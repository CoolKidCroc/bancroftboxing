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how Setup" sheetId="2" state="visible" r:id="rId4"/>
    <sheet name="Campaign" sheetId="3" state="visible" r:id="rId5"/>
    <sheet name="Ticket Sources" sheetId="4" state="visible" r:id="rId6"/>
    <sheet name="Ads" sheetId="5" state="visible" r:id="rId7"/>
    <sheet name="Livestream" sheetId="6" state="visible" r:id="rId8"/>
    <sheet name="Poster Drop" sheetId="7" state="visible" r:id="rId9"/>
    <sheet name="Shot List" sheetId="8" state="visible" r:id="rId10"/>
    <sheet name="Canva Kit"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<sst xmlns="http://schemas.openxmlformats.org/spreadsheetml/2006/main" count="620" uniqueCount="425">
  <si>
    <t xml:space="preserve">CCCL MARKETING KIT</t>
  </si>
  <si>
    <t xml:space="preserve">How each show sells out: the campaign week by week, where tickets come from, whether ads are worth it, posters, the shot list and the Canva kit. Built for Cody Purtell by Kyle. Opens in Google Sheets or Excel.</t>
  </si>
  <si>
    <t xml:space="preserve">IN ORDER</t>
  </si>
  <si>
    <t xml:space="preserve">1</t>
  </si>
  <si>
    <t xml:space="preserve">Show Setup</t>
  </si>
  <si>
    <t xml:space="preserve">Show date, ticket link, CCCL's pages, and the numbers that decide if an ad is worth it.</t>
  </si>
  <si>
    <t xml:space="preserve">2</t>
  </si>
  <si>
    <t xml:space="preserve">Campaign</t>
  </si>
  <si>
    <t xml:space="preserve">Every post, poster, press release and push from 16 weeks out to the highlight video after. Dates follow the show date.</t>
  </si>
  <si>
    <t xml:space="preserve">3</t>
  </si>
  <si>
    <t xml:space="preserve">Ticket Sources</t>
  </si>
  <si>
    <t xml:space="preserve">One Eventbrite tracking link or code per source (each fighter, posters, each ad...). Copy the sales in weekly to see what works.</t>
  </si>
  <si>
    <t xml:space="preserve">4</t>
  </si>
  <si>
    <t xml:space="preserve">Ads</t>
  </si>
  <si>
    <t xml:space="preserve">Optional. Test small, keep only ads that sell tickets under the target cost, stop the rest.</t>
  </si>
  <si>
    <t xml:space="preserve">5</t>
  </si>
  <si>
    <t xml:space="preserve">Livestream</t>
  </si>
  <si>
    <t xml:space="preserve">What a paid stream could bring in (Eventbrite online ticket or Dacast), and the other options with their risks.</t>
  </si>
  <si>
    <t xml:space="preserve">6</t>
  </si>
  <si>
    <t xml:space="preserve">Poster Drop</t>
  </si>
  <si>
    <t xml:space="preserve">Where the posters go in the show town, and when they come down.</t>
  </si>
  <si>
    <t xml:space="preserve">7</t>
  </si>
  <si>
    <t xml:space="preserve">Shot List</t>
  </si>
  <si>
    <t xml:space="preserve">Photos and video to get on fight night, and whose OK each one needs.</t>
  </si>
  <si>
    <t xml:space="preserve">8</t>
  </si>
  <si>
    <t xml:space="preserve">Canva Kit</t>
  </si>
  <si>
    <t xml:space="preserve">CCCL colours, fonts and sizes, and the starter designs to import into Canva.</t>
  </si>
  <si>
    <t xml:space="preserve">THE BIG IDEAS</t>
  </si>
  <si>
    <t xml:space="preserve">Fighters sell tickets</t>
  </si>
  <si>
    <t xml:space="preserve">In 2026 fighters told friends and family informally. Give each one a personal link and a promo pack, and track it: it's usually the biggest source at amateur shows.</t>
  </si>
  <si>
    <t xml:space="preserve">Measure everything</t>
  </si>
  <si>
    <t xml:space="preserve">If a post, poster or ad doesn't have its own link or code, you can't tell if it worked.</t>
  </si>
  <si>
    <t xml:space="preserve">Ads only if they pay</t>
  </si>
  <si>
    <t xml:space="preserve">Every paid ticket is worth about $73 to CCCL. An ad is only worth running if it sells tickets for well under that.</t>
  </si>
  <si>
    <t xml:space="preserve">Real numbers only</t>
  </si>
  <si>
    <t xml:space="preserve">400 tickets and 15 sponsors at the first show are real. Never post made-up crowd or viewer numbers.</t>
  </si>
  <si>
    <t xml:space="preserve">Kids</t>
  </si>
  <si>
    <t xml:space="preserve">No youth athletes in ads. Photos or video of kids only with a parent's written OK. Never name anyone under 18 in a press release.</t>
  </si>
  <si>
    <t xml:space="preserve">WORKS WITH</t>
  </si>
  <si>
    <t xml:space="preserve">Fight Night Kit</t>
  </si>
  <si>
    <t xml:space="preserve">Same show date. Press list, fighters and the Results &amp; Report tab.</t>
  </si>
  <si>
    <t xml:space="preserve">Constrictor HQ</t>
  </si>
  <si>
    <t xml:space="preserve">Drafted posts go on the Content Calendar and wait on the Approvals tab for Cody's OK.</t>
  </si>
  <si>
    <t xml:space="preserve">Claude</t>
  </si>
  <si>
    <t xml:space="preserve">The bbg-cccl-social skill drafts the whole campaign, captions and fighter promo packs from this sheet.</t>
  </si>
  <si>
    <t xml:space="preserve">SHOW SETUP</t>
  </si>
  <si>
    <t xml:space="preserve">Fill this in once per show. The campaign dates and the 'worth it' checks use these numbers.</t>
  </si>
  <si>
    <t xml:space="preserve">THE SHOW</t>
  </si>
  <si>
    <t xml:space="preserve">Show name</t>
  </si>
  <si>
    <t xml:space="preserve">CCCL 2</t>
  </si>
  <si>
    <t xml:space="preserve">Town</t>
  </si>
  <si>
    <t xml:space="preserve">Fill in once the show is booked; use the same town and date as the Fight Night Kit.</t>
  </si>
  <si>
    <t xml:space="preserve">Show date</t>
  </si>
  <si>
    <t xml:space="preserve">Fill in once the show is booked: the campaign dates follow it. Until then they stay blank.</t>
  </si>
  <si>
    <t xml:space="preserve">Eventbrite ticket link</t>
  </si>
  <si>
    <t xml:space="preserve">The main link. Every source on the Ticket Sources tab gets its own tracking link or code.</t>
  </si>
  <si>
    <t xml:space="preserve">CCCL Facebook page</t>
  </si>
  <si>
    <t xml:space="preserve">CCCL's own page (Kyle, Oct 2026).</t>
  </si>
  <si>
    <t xml:space="preserve">CCCL Instagram</t>
  </si>
  <si>
    <t xml:space="preserve">CCCL's own account.</t>
  </si>
  <si>
    <t xml:space="preserve">Hashtags</t>
  </si>
  <si>
    <t xml:space="preserve">#CCCL #CottageCountryCombatLeague #AmateurMMA</t>
  </si>
  <si>
    <t xml:space="preserve">Add the town: #Haliburton, #Peterborough, #Kingston...</t>
  </si>
  <si>
    <t xml:space="preserve">IS A PAID AD WORTH IT?</t>
  </si>
  <si>
    <t xml:space="preserve">Money CCCL keeps per paid ticket ($)</t>
  </si>
  <si>
    <t xml:space="preserve">From the Profit Predictor (Compare tab, 'Total per paid ticket'). About $73 at 2026 prices after Eventbrite's Canadian fees (3.5% + $1.29 per ticket, plus 2.9% processing).</t>
  </si>
  <si>
    <t xml:space="preserve">Most you'll pay in ads to sell one ticket ($)</t>
  </si>
  <si>
    <t xml:space="preserve">STARTING POINT. Below $73 the ad pays for itself on paper, but some of those buyers would have come anyway, so aim well under it. Raise it if ads clearly bring new people.</t>
  </si>
  <si>
    <t xml:space="preserve">First test budget per ad ($)</t>
  </si>
  <si>
    <t xml:space="preserve">Spend a little, check the tickets on that ad's tracking link after a week, then keep or stop.</t>
  </si>
  <si>
    <t xml:space="preserve">SHOW CAMPAIGN</t>
  </si>
  <si>
    <t xml:space="preserve">Everything that sells tickets, week by week. Dates follow Show Setup. Every post needs Cody's OK (Approvals tab in Constrictor HQ). Matches the Countdown tab in the Fight Night Kit.</t>
  </si>
  <si>
    <t xml:space="preserve">Weeks before (minus = days after)</t>
  </si>
  <si>
    <t xml:space="preserve">Date</t>
  </si>
  <si>
    <t xml:space="preserve">Channel</t>
  </si>
  <si>
    <t xml:space="preserve">What to do</t>
  </si>
  <si>
    <t xml:space="preserve">Graphic / asset</t>
  </si>
  <si>
    <t xml:space="preserve">Owner</t>
  </si>
  <si>
    <t xml:space="preserve">Status</t>
  </si>
  <si>
    <t xml:space="preserve">Notes</t>
  </si>
  <si>
    <t xml:space="preserve">CCCL Facebook + Instagram</t>
  </si>
  <si>
    <t xml:space="preserve">Save the date: town, venue, date. Share to BBG's pages.</t>
  </si>
  <si>
    <t xml:space="preserve">01 (as Save the date) + 02 story</t>
  </si>
  <si>
    <t xml:space="preserve">Kyle</t>
  </si>
  <si>
    <t xml:space="preserve">To do</t>
  </si>
  <si>
    <t xml:space="preserve">Facebook event</t>
  </si>
  <si>
    <t xml:space="preserve">Create the Facebook event on the CCCL page; ask BBG, the venue and sponsors to co-host or share.</t>
  </si>
  <si>
    <t xml:space="preserve">09 Facebook event cover</t>
  </si>
  <si>
    <t xml:space="preserve">Eventbrite</t>
  </si>
  <si>
    <t xml:space="preserve">Tickets on sale. Make a tracking link for every source on the Ticket Sources tab (Marketing &gt; Tracking links) before sharing anything. Add the Meta Pixel (Marketing &gt; Tracking pixels) if you'll run ads.</t>
  </si>
  <si>
    <t xml:space="preserve">Tickets on sale post with prices and the link. Pin it.</t>
  </si>
  <si>
    <t xml:space="preserve">01 Tickets on sale + 02 story</t>
  </si>
  <si>
    <t xml:space="preserve">Press</t>
  </si>
  <si>
    <t xml:space="preserve">Release 1: show announced (Fight Night Kit, Press tab).</t>
  </si>
  <si>
    <t xml:space="preserve">Cody</t>
  </si>
  <si>
    <t xml:space="preserve">Community calendars</t>
  </si>
  <si>
    <t xml:space="preserve">List the show on kawarthaNOW, Moose FM and the town's event calendar.</t>
  </si>
  <si>
    <t xml:space="preserve">Email</t>
  </si>
  <si>
    <t xml:space="preserve">Email last show's ticket buyers from Eventbrite (Marketing &gt; Email your audience; up to 250 emails a day).</t>
  </si>
  <si>
    <t xml:space="preserve">Sponsors wanted: 'put your business cage-side' with the sponsor sheet.</t>
  </si>
  <si>
    <t xml:space="preserve">Sponsors wanted</t>
  </si>
  <si>
    <t xml:space="preserve">Fighters wanted: Ontario gyms, link to the sign-up form.</t>
  </si>
  <si>
    <t xml:space="preserve">Fighters wanted</t>
  </si>
  <si>
    <t xml:space="preserve">Gym (BBG)</t>
  </si>
  <si>
    <t xml:space="preserve">Members and families: group-ticket push at the gym and in the members' chat.</t>
  </si>
  <si>
    <t xml:space="preserve">Posters</t>
  </si>
  <si>
    <t xml:space="preserve">Posters up around town with a QR code to the posters' tracking link (Poster Drop tab).</t>
  </si>
  <si>
    <t xml:space="preserve">03 Poster (11x17 and letter)</t>
  </si>
  <si>
    <t xml:space="preserve">Volunteer</t>
  </si>
  <si>
    <t xml:space="preserve">Shorts / Reels / TikTok</t>
  </si>
  <si>
    <t xml:space="preserve">Behind the scenes: Cody training, the venue, why this town. 30-60 seconds.</t>
  </si>
  <si>
    <t xml:space="preserve">Paid ads (optional)</t>
  </si>
  <si>
    <t xml:space="preserve">Ad test 1: small budget, its own tracking link. Check after a week (Ads tab).</t>
  </si>
  <si>
    <t xml:space="preserve">Ad image</t>
  </si>
  <si>
    <t xml:space="preserve">Thank-you post for sponsors signed so far (only what their package includes).</t>
  </si>
  <si>
    <t xml:space="preserve">07 Sponsor thank-you</t>
  </si>
  <si>
    <t xml:space="preserve">Fighters</t>
  </si>
  <si>
    <t xml:space="preserve">Send each confirmed fighter their Fighter Package (through the coach) and adults their promo pack: personal ticket link, ready-made posts, graphics.</t>
  </si>
  <si>
    <t xml:space="preserve">11 + 12 I'm fighting (each adult)</t>
  </si>
  <si>
    <t xml:space="preserve">Fighter spotlights start: one or two a week, adults who agree only.</t>
  </si>
  <si>
    <t xml:space="preserve">06 Fighter spotlight</t>
  </si>
  <si>
    <t xml:space="preserve">Radio</t>
  </si>
  <si>
    <t xml:space="preserve">Pitch an interview or event listing to local radio (Moose FM, Quinte News...).</t>
  </si>
  <si>
    <t xml:space="preserve">Fight card announced: official bouts only, adults only by name. Swap the early posters for the main-event poster.</t>
  </si>
  <si>
    <t xml:space="preserve">04 + 16 card, 05 vs, 10 poster</t>
  </si>
  <si>
    <t xml:space="preserve">Release 2: the card (Fight Night Kit, Press tab).</t>
  </si>
  <si>
    <t xml:space="preserve">Sponsors</t>
  </si>
  <si>
    <t xml:space="preserve">Individual posts for Title, Gold and Silver; one group post for Bronze and Community. Send each sponsor a share kit.</t>
  </si>
  <si>
    <t xml:space="preserve">15 Proud sponsor</t>
  </si>
  <si>
    <t xml:space="preserve">Scale only ads under the target cost per ticket; stop the rest.</t>
  </si>
  <si>
    <t xml:space="preserve">Stories</t>
  </si>
  <si>
    <t xml:space="preserve">Countdown stories: 21, 14, 7 days.</t>
  </si>
  <si>
    <t xml:space="preserve">02 Countdown story</t>
  </si>
  <si>
    <t xml:space="preserve">VIP tables or tickets running low, only if it's true (Ticket Tracker).</t>
  </si>
  <si>
    <t xml:space="preserve">Livestream link announced for people who can't come.</t>
  </si>
  <si>
    <t xml:space="preserve">Fight week: final card graphic, doors time, parking, what to bring.</t>
  </si>
  <si>
    <t xml:space="preserve">16 Fight card story</t>
  </si>
  <si>
    <t xml:space="preserve">Fighters + gyms</t>
  </si>
  <si>
    <t xml:space="preserve">Fight week reminder to every fighter and coach to share their link one last time.</t>
  </si>
  <si>
    <t xml:space="preserve">Stories / live</t>
  </si>
  <si>
    <t xml:space="preserve">Show day: weigh-in results post once weigh-ins are done, 'doors at 6', clips between bouts. No youth without a parent's OK.</t>
  </si>
  <si>
    <t xml:space="preserve">13 Weigh-in results</t>
  </si>
  <si>
    <t xml:space="preserve">The day after: official results and thank-you to fighters, officials, medical staff, volunteers, venue.</t>
  </si>
  <si>
    <t xml:space="preserve">08 Results</t>
  </si>
  <si>
    <t xml:space="preserve">The day after: each adult fighter's result post: WIN, or THANK YOU for a loss. Official results only.</t>
  </si>
  <si>
    <t xml:space="preserve">14 Win (each adult)</t>
  </si>
  <si>
    <t xml:space="preserve">The day after: Release 3, results (official only).</t>
  </si>
  <si>
    <t xml:space="preserve">Thank-you posts with photos of their banners and logos (within 3 days).</t>
  </si>
  <si>
    <t xml:space="preserve">YouTube + Shorts / Reels</t>
  </si>
  <si>
    <t xml:space="preserve">Highlight video and clips; 'next show' teaser.</t>
  </si>
  <si>
    <t xml:space="preserve">Thumbnail</t>
  </si>
  <si>
    <t xml:space="preserve">Report</t>
  </si>
  <si>
    <t xml:space="preserve">Which sources sold tickets (Ticket Sources tab) into the Fight Night Kit's Results &amp; Report.</t>
  </si>
  <si>
    <t xml:space="preserve">WHERE THE TICKETS CAME FROM</t>
  </si>
  <si>
    <t xml:space="preserve">Give every source its own Eventbrite tracking link (Marketing &gt; Tracking links), then copy the sales per link in each week (Reporting &gt; Tracking links). That's how you find out which posts, posters, fighters and ads actually sell tickets.</t>
  </si>
  <si>
    <t xml:space="preserve">Total tickets sold (from Eventbrite)</t>
  </si>
  <si>
    <t xml:space="preserve">Share with a known source</t>
  </si>
  <si>
    <t xml:space="preserve">Tickets with a known source</t>
  </si>
  <si>
    <t xml:space="preserve">Use tracking links, not promo codes: an Eventbrite promo code has to give a discount or unlock a hidden ticket. Sponsor tickets: add them as Complimentary attendees (Manage Attendees &gt; Add Attendees), which has no fees.</t>
  </si>
  <si>
    <t xml:space="preserve">Source</t>
  </si>
  <si>
    <t xml:space="preserve">Type</t>
  </si>
  <si>
    <t xml:space="preserve">Tracking link or code</t>
  </si>
  <si>
    <t xml:space="preserve">Cost ($)</t>
  </si>
  <si>
    <t xml:space="preserve">Tickets sold</t>
  </si>
  <si>
    <t xml:space="preserve">Ticket money ($)</t>
  </si>
  <si>
    <t xml:space="preserve">Cost per ticket</t>
  </si>
  <si>
    <t xml:space="preserve">Worth it?</t>
  </si>
  <si>
    <t xml:space="preserve">CCCL Facebook (posts and event)</t>
  </si>
  <si>
    <t xml:space="preserve">Social (free)</t>
  </si>
  <si>
    <t xml:space="preserve">BBG Facebook + Instagram</t>
  </si>
  <si>
    <t xml:space="preserve">Cody's page (Facebook + Instagram)</t>
  </si>
  <si>
    <t xml:space="preserve">Posters (QR code)</t>
  </si>
  <si>
    <t xml:space="preserve">Poster</t>
  </si>
  <si>
    <t xml:space="preserve">Press releases</t>
  </si>
  <si>
    <t xml:space="preserve">Press / radio</t>
  </si>
  <si>
    <t xml:space="preserve">Calendar</t>
  </si>
  <si>
    <t xml:space="preserve">Email to past buyers</t>
  </si>
  <si>
    <t xml:space="preserve">BBG members</t>
  </si>
  <si>
    <t xml:space="preserve">Gym</t>
  </si>
  <si>
    <t xml:space="preserve">Fighter: [name]</t>
  </si>
  <si>
    <t xml:space="preserve">Fighter</t>
  </si>
  <si>
    <t xml:space="preserve">Gym: [name]</t>
  </si>
  <si>
    <t xml:space="preserve">Sponsor: [name]</t>
  </si>
  <si>
    <t xml:space="preserve">Sponsor</t>
  </si>
  <si>
    <t xml:space="preserve">Ad test 1</t>
  </si>
  <si>
    <t xml:space="preserve">Ad</t>
  </si>
  <si>
    <t xml:space="preserve">Ad test 2</t>
  </si>
  <si>
    <t xml:space="preserve">Ad test 3</t>
  </si>
  <si>
    <t xml:space="preserve">Ad test 4</t>
  </si>
  <si>
    <t xml:space="preserve">Ad test 5</t>
  </si>
  <si>
    <t xml:space="preserve">Walk-up at the door</t>
  </si>
  <si>
    <t xml:space="preserve">Walk-up</t>
  </si>
  <si>
    <t xml:space="preserve">BY TYPE</t>
  </si>
  <si>
    <t xml:space="preserve">Tickets</t>
  </si>
  <si>
    <t xml:space="preserve">Other</t>
  </si>
  <si>
    <t xml:space="preserve">AD TESTS</t>
  </si>
  <si>
    <t xml:space="preserve">Only spend where it pays. Each ad gets its own tracking link. Start with the test budget on Show Setup, check its tickets after a week, keep ads under the target cost per ticket and stop the rest.</t>
  </si>
  <si>
    <t xml:space="preserve">Start date</t>
  </si>
  <si>
    <t xml:space="preserve">Platform</t>
  </si>
  <si>
    <t xml:space="preserve">Ad or boosted post</t>
  </si>
  <si>
    <t xml:space="preserve">Who it targets</t>
  </si>
  <si>
    <t xml:space="preserve">Tracking link name</t>
  </si>
  <si>
    <t xml:space="preserve">Spent ($)</t>
  </si>
  <si>
    <t xml:space="preserve">Link clicks</t>
  </si>
  <si>
    <t xml:space="preserve">Tickets (from its link)</t>
  </si>
  <si>
    <t xml:space="preserve">Keep or stop?</t>
  </si>
  <si>
    <t xml:space="preserve">How to: use the ad's own tracking link as its website link. Target a radius around the show town (Meta allows 1-80 km around a pin) and adults 18+ (19+ if the ad mentions a bar). Ads Manager shows the minimum daily budget in dollars when you set it; a few dollars a day is enough to test. Optional: add the Meta Pixel in Eventbrite (Marketing &gt; Tracking pixels) so Meta sees purchases.</t>
  </si>
  <si>
    <t xml:space="preserve">Ad rules: Meta bans shocking or excessively violent images, so use face-offs, posed fighter photos and event graphics, never blood or a knockout. No youth athletes in ads. No alcohol in any ad that could reach under-19s. Real numbers only ('400 tickets sold at our first show').</t>
  </si>
  <si>
    <t xml:space="preserve">LIVESTREAM: CAN IT MAKE MONEY?</t>
  </si>
  <si>
    <t xml:space="preserve">The 2026 stream made nothing. Two simple ways to charge for it, worked out for your numbers, plus what else is out there. Whatever you choose, the Athletics Commission gets a recording if the show is filmed.</t>
  </si>
  <si>
    <t xml:space="preserve">YOUR NUMBERS (ESTIMATES: change them)</t>
  </si>
  <si>
    <t xml:space="preserve">Stream ticket price ($)</t>
  </si>
  <si>
    <t xml:space="preserve">ESTIMATE. What a viewer pays to watch.</t>
  </si>
  <si>
    <t xml:space="preserve">People who buy the stream</t>
  </si>
  <si>
    <t xml:space="preserve">ESTIMATE. Fighters' families out of town are the likely buyers.</t>
  </si>
  <si>
    <t xml:space="preserve">US dollar in Canadian dollars</t>
  </si>
  <si>
    <t xml:space="preserve">ESTIMATE. Check today's rate; Dacast charges in US dollars.</t>
  </si>
  <si>
    <t xml:space="preserve">Dacast plan for one month (US$)</t>
  </si>
  <si>
    <t xml:space="preserve">Dacast lists plans from about US$39 to US$63 a month; the paywall may be an add-on. Check before signing up.</t>
  </si>
  <si>
    <t xml:space="preserve">WHAT CCCL WOULD KEEP</t>
  </si>
  <si>
    <t xml:space="preserve">Option</t>
  </si>
  <si>
    <t xml:space="preserve">Fees per buyer ($)</t>
  </si>
  <si>
    <t xml:space="preserve">CCCL keeps per buyer ($)</t>
  </si>
  <si>
    <t xml:space="preserve">Monthly or fixed cost ($)</t>
  </si>
  <si>
    <t xml:space="preserve">CCCL keeps in total ($)</t>
  </si>
  <si>
    <t xml:space="preserve">How it works</t>
  </si>
  <si>
    <t xml:space="preserve">Eventbrite online ticket</t>
  </si>
  <si>
    <t xml:space="preserve">A separate online event on Eventbrite. Buyers get a private page with the stream link. Same Canadian fees as tickets (3.5% + $1.29, plus 2.9%). Links can be shared, so some people will watch for free.</t>
  </si>
  <si>
    <t xml:space="preserve">Dacast pay-per-view</t>
  </si>
  <si>
    <t xml:space="preserve">A paywall around the stream: 9.9% + US$0.40 per sale plus a monthly plan. Harder to share than a link.</t>
  </si>
  <si>
    <t xml:space="preserve">OTHER OPTIONS (researched Oct 2026)</t>
  </si>
  <si>
    <t xml:space="preserve">TrillerTV</t>
  </si>
  <si>
    <t xml:space="preserve">Pay-per-view platform, but risky for 2027: AEW sued it in May 2026 for unpaid revenue and its operating company told a court it can't pay its debts.</t>
  </si>
  <si>
    <t xml:space="preserve">https://cultaholic.com/posts/aew-files-lawsuit-against-trillertv-for-overdue-payments</t>
  </si>
  <si>
    <t xml:space="preserve">UFC Fight Pass</t>
  </si>
  <si>
    <t xml:space="preserve">Carries bigger Canadian promotions under multi-year deals. A long-term goal, not a 2027 option.</t>
  </si>
  <si>
    <t xml:space="preserve">https://www.sportskeeda.com/mma/news-ufc-fight-pass-announces-multi-year-streaming-right-deal-3-canadian-mma-promotions</t>
  </si>
  <si>
    <t xml:space="preserve">Vimeo OTT</t>
  </si>
  <si>
    <t xml:space="preserve">Live pay-per-view only on a custom-priced Enterprise plan.</t>
  </si>
  <si>
    <t xml:space="preserve">https://vimeo.com/ott/pricing</t>
  </si>
  <si>
    <t xml:space="preserve">YouTube</t>
  </si>
  <si>
    <t xml:space="preserve">YouTube pays creators 70% of channel memberships and Super Chat. Members-only streams need a channel with 500+ subscribers and 3,000 watch hours.</t>
  </si>
  <si>
    <t xml:space="preserve">https://support.google.com/youtube/answer/72902?hl=en</t>
  </si>
  <si>
    <t xml:space="preserve">Facebook Stars</t>
  </si>
  <si>
    <t xml:space="preserve">Viewers send Stars; Meta pays 1 cent per Star. Facebook's paid online events ended in 2023.</t>
  </si>
  <si>
    <t xml:space="preserve">https://creators.facebook.com/tools/stars</t>
  </si>
  <si>
    <t xml:space="preserve">The safest money from the stream is sponsors: every package already includes the livestream (logo or name sized by level). Charging for the stream only makes sense once enough out-of-town family and fans want to watch. Put any stream money on the Predictor's Inputs tab.</t>
  </si>
  <si>
    <t xml:space="preserve">POSTER DROP</t>
  </si>
  <si>
    <t xml:space="preserve">Where the posters go in the show town. Ask first, put them up about 10 weeks out, take them down after the show. Every poster has the QR code for the posters' tracking link.</t>
  </si>
  <si>
    <t xml:space="preserve">Place</t>
  </si>
  <si>
    <t xml:space="preserve">Kind of place</t>
  </si>
  <si>
    <t xml:space="preserve">Area / address</t>
  </si>
  <si>
    <t xml:space="preserve">Asked permission?</t>
  </si>
  <si>
    <t xml:space="preserve">Put up (date)</t>
  </si>
  <si>
    <t xml:space="preserve">Taken down (date)</t>
  </si>
  <si>
    <t xml:space="preserve">Every sponsor's business</t>
  </si>
  <si>
    <t xml:space="preserve">The venue's lobby and front doors</t>
  </si>
  <si>
    <t xml:space="preserve">Venue</t>
  </si>
  <si>
    <t xml:space="preserve">Grocery store community boards</t>
  </si>
  <si>
    <t xml:space="preserve">Community board</t>
  </si>
  <si>
    <t xml:space="preserve">Gas stations and convenience stores</t>
  </si>
  <si>
    <t xml:space="preserve">Store</t>
  </si>
  <si>
    <t xml:space="preserve">Coffee shops (Tim Hortons, local cafes)</t>
  </si>
  <si>
    <t xml:space="preserve">Restaurant / cafe</t>
  </si>
  <si>
    <t xml:space="preserve">Every gym and fitness studio in town</t>
  </si>
  <si>
    <t xml:space="preserve">Public library board</t>
  </si>
  <si>
    <t xml:space="preserve">Legion, Lions or community hall</t>
  </si>
  <si>
    <t xml:space="preserve">Hardware and farm supply stores</t>
  </si>
  <si>
    <t xml:space="preserve">Restaurants and pubs (adults)</t>
  </si>
  <si>
    <t xml:space="preserve">Barber shops and salons</t>
  </si>
  <si>
    <t xml:space="preserve">Motels, cottage resorts and campgrounds (summer)</t>
  </si>
  <si>
    <t xml:space="preserve">Tourism</t>
  </si>
  <si>
    <t xml:space="preserve">Arena bulletin boards (other arenas nearby)</t>
  </si>
  <si>
    <t xml:space="preserve">The first rows are reminders of the kinds of places that work in small towns. Replace them with real places. No posters at schools.</t>
  </si>
  <si>
    <t xml:space="preserve">FIGHT NIGHT SHOT LIST</t>
  </si>
  <si>
    <t xml:space="preserve">Photos and video to grab on the night, for the highlight video, sponsor thank-yous, press and next year's sponsor pitch.</t>
  </si>
  <si>
    <t xml:space="preserve">Shot</t>
  </si>
  <si>
    <t xml:space="preserve">When</t>
  </si>
  <si>
    <t xml:space="preserve">Used for</t>
  </si>
  <si>
    <t xml:space="preserve">Consent needed</t>
  </si>
  <si>
    <t xml:space="preserve">Who films</t>
  </si>
  <si>
    <t xml:space="preserve">Got it?</t>
  </si>
  <si>
    <t xml:space="preserve">Empty venue, wide, before doors</t>
  </si>
  <si>
    <t xml:space="preserve">Afternoon</t>
  </si>
  <si>
    <t xml:space="preserve">Highlight intro, venue thank-you</t>
  </si>
  <si>
    <t xml:space="preserve">None</t>
  </si>
  <si>
    <t xml:space="preserve">Cage build time-lapse</t>
  </si>
  <si>
    <t xml:space="preserve">Load-in</t>
  </si>
  <si>
    <t xml:space="preserve">Reels / Shorts</t>
  </si>
  <si>
    <t xml:space="preserve">Crew OK</t>
  </si>
  <si>
    <t xml:space="preserve">Every sponsor's banner with the crowd behind it</t>
  </si>
  <si>
    <t xml:space="preserve">During the show</t>
  </si>
  <si>
    <t xml:space="preserve">Sponsor thank-you emails and posts</t>
  </si>
  <si>
    <t xml:space="preserve">None (crowd shot)</t>
  </si>
  <si>
    <t xml:space="preserve">Weigh-ins on the scale</t>
  </si>
  <si>
    <t xml:space="preserve">Weigh-ins</t>
  </si>
  <si>
    <t xml:space="preserve">Stories, fighter posts</t>
  </si>
  <si>
    <t xml:space="preserve">Adult fighters who agree only</t>
  </si>
  <si>
    <t xml:space="preserve">Fighters' walkouts</t>
  </si>
  <si>
    <t xml:space="preserve">Each bout</t>
  </si>
  <si>
    <t xml:space="preserve">Highlight video</t>
  </si>
  <si>
    <t xml:space="preserve">Fighter agrees (sign-up form)</t>
  </si>
  <si>
    <t xml:space="preserve">Crowd reactions, packed seats</t>
  </si>
  <si>
    <t xml:space="preserve">Main card</t>
  </si>
  <si>
    <t xml:space="preserve">Next year's sponsor pitch, ads</t>
  </si>
  <si>
    <t xml:space="preserve">Each finish and each hand raised</t>
  </si>
  <si>
    <t xml:space="preserve">Results posts, highlight video</t>
  </si>
  <si>
    <t xml:space="preserve">Fighter agrees</t>
  </si>
  <si>
    <t xml:space="preserve">Cody's welcome and the Title Sponsor read</t>
  </si>
  <si>
    <t xml:space="preserve">Opening</t>
  </si>
  <si>
    <t xml:space="preserve">Sponsor thank-you, highlight</t>
  </si>
  <si>
    <t xml:space="preserve">Short winner interviews (15 seconds)</t>
  </si>
  <si>
    <t xml:space="preserve">After each bout</t>
  </si>
  <si>
    <t xml:space="preserve">Reels / Shorts, press</t>
  </si>
  <si>
    <t xml:space="preserve">Adult winners who agree</t>
  </si>
  <si>
    <t xml:space="preserve">VIP tables and sponsor guests</t>
  </si>
  <si>
    <t xml:space="preserve">Next year's VIP table sales</t>
  </si>
  <si>
    <t xml:space="preserve">Ask the table first</t>
  </si>
  <si>
    <t xml:space="preserve">Volunteers and officials at work</t>
  </si>
  <si>
    <t xml:space="preserve">Thank-you post</t>
  </si>
  <si>
    <t xml:space="preserve">Ask first</t>
  </si>
  <si>
    <t xml:space="preserve">Merch table and event shirts</t>
  </si>
  <si>
    <t xml:space="preserve">Intermission</t>
  </si>
  <si>
    <t xml:space="preserve">Merch posts</t>
  </si>
  <si>
    <t xml:space="preserve">Livestream screen with the sponsor overlay</t>
  </si>
  <si>
    <t xml:space="preserve">Proof for sponsors</t>
  </si>
  <si>
    <t xml:space="preserve">Youth grappling</t>
  </si>
  <si>
    <t xml:space="preserve">Youth matches</t>
  </si>
  <si>
    <t xml:space="preserve">Only if a parent has said yes</t>
  </si>
  <si>
    <t xml:space="preserve">Parent's written OK for every child shown</t>
  </si>
  <si>
    <t xml:space="preserve">CANVA KIT</t>
  </si>
  <si>
    <t xml:space="preserve">Sizes, colours and fonts for CCCL graphics in Canva, and the starter designs in the Marketing folder.</t>
  </si>
  <si>
    <t xml:space="preserve">COLOURS (from the CCCL logo)</t>
  </si>
  <si>
    <t xml:space="preserve">Near-black</t>
  </si>
  <si>
    <t xml:space="preserve">#151C19</t>
  </si>
  <si>
    <t xml:space="preserve">Backgrounds</t>
  </si>
  <si>
    <t xml:space="preserve">Forest green</t>
  </si>
  <si>
    <t xml:space="preserve">#354940</t>
  </si>
  <si>
    <t xml:space="preserve">Panels, headers</t>
  </si>
  <si>
    <t xml:space="preserve">Dark green</t>
  </si>
  <si>
    <t xml:space="preserve">#26362F</t>
  </si>
  <si>
    <t xml:space="preserve">Cards, footers</t>
  </si>
  <si>
    <t xml:space="preserve">Cream</t>
  </si>
  <si>
    <t xml:space="preserve">#F2ECDC</t>
  </si>
  <si>
    <t xml:space="preserve">Text on dark, badges</t>
  </si>
  <si>
    <t xml:space="preserve">Red (maple leaf)</t>
  </si>
  <si>
    <t xml:space="preserve">#AE2221</t>
  </si>
  <si>
    <t xml:space="preserve">One accent per design: the date, VS, a price</t>
  </si>
  <si>
    <t xml:space="preserve">Bright red (big text on dark)</t>
  </si>
  <si>
    <t xml:space="preserve">#D9483B</t>
  </si>
  <si>
    <t xml:space="preserve">Headlines on near-black</t>
  </si>
  <si>
    <t xml:space="preserve">FONTS (all free in Canva)</t>
  </si>
  <si>
    <t xml:space="preserve">Anton</t>
  </si>
  <si>
    <t xml:space="preserve">Headlines: tall, condensed, all caps, like the logo (the starter designs use it)</t>
  </si>
  <si>
    <t xml:space="preserve">Oswald (SemiBold)</t>
  </si>
  <si>
    <t xml:space="preserve">Subheads, fighter names, dates</t>
  </si>
  <si>
    <t xml:space="preserve">Inter</t>
  </si>
  <si>
    <t xml:space="preserve">Small text: venue, tickets, sponsor lines</t>
  </si>
  <si>
    <t xml:space="preserve">SIZES</t>
  </si>
  <si>
    <t xml:space="preserve">Format</t>
  </si>
  <si>
    <t xml:space="preserve">Size (px)</t>
  </si>
  <si>
    <t xml:space="preserve">Ratio</t>
  </si>
  <si>
    <t xml:space="preserve">Use</t>
  </si>
  <si>
    <t xml:space="preserve">Instagram + Facebook feed post (use this)</t>
  </si>
  <si>
    <t xml:space="preserve">1080 x 1350</t>
  </si>
  <si>
    <t xml:space="preserve">4:5</t>
  </si>
  <si>
    <t xml:space="preserve">Most posts. The starter designs use it.</t>
  </si>
  <si>
    <t xml:space="preserve">sproutsocial.com social image sizes guide (Oct 2026)</t>
  </si>
  <si>
    <t xml:space="preserve">Instagram 3:4 post</t>
  </si>
  <si>
    <t xml:space="preserve">1080 x 1440</t>
  </si>
  <si>
    <t xml:space="preserve">3:4</t>
  </si>
  <si>
    <t xml:space="preserve">Supported since May 2025; the profile grid crops to 3:4, so keep text away from the top and bottom edges</t>
  </si>
  <si>
    <t xml:space="preserve">9to5mac.com, May 29 2025</t>
  </si>
  <si>
    <t xml:space="preserve">Stories and Reels</t>
  </si>
  <si>
    <t xml:space="preserve">1080 x 1920</t>
  </si>
  <si>
    <t xml:space="preserve">9:16</t>
  </si>
  <si>
    <t xml:space="preserve">Countdowns, show day. Keep text inside the middle 1080 x 1610</t>
  </si>
  <si>
    <t xml:space="preserve">sproutsocial.com</t>
  </si>
  <si>
    <t xml:space="preserve">Facebook event cover</t>
  </si>
  <si>
    <t xml:space="preserve">1920 x 1005</t>
  </si>
  <si>
    <t xml:space="preserve">about 1.91:1</t>
  </si>
  <si>
    <t xml:space="preserve">The Facebook event. Keep the title and date in the middle 60%</t>
  </si>
  <si>
    <t xml:space="preserve">postfa.st (Meta no longer publishes a spec)</t>
  </si>
  <si>
    <t xml:space="preserve">Facebook link / landscape</t>
  </si>
  <si>
    <t xml:space="preserve">1200 x 628</t>
  </si>
  <si>
    <t xml:space="preserve">1.91:1</t>
  </si>
  <si>
    <t xml:space="preserve">Shared links, some ads</t>
  </si>
  <si>
    <t xml:space="preserve">blog.hootsuite.com</t>
  </si>
  <si>
    <t xml:space="preserve">11 x 17 in (also letter 8.5 x 11)</t>
  </si>
  <si>
    <t xml:space="preserve">Printed posters with the QR code</t>
  </si>
  <si>
    <t xml:space="preserve">STARTER DESIGNS (Marketing / Canva starter designs folder)</t>
  </si>
  <si>
    <t xml:space="preserve">01 Tickets on sale (post)</t>
  </si>
  <si>
    <t xml:space="preserve">Weeks 16 and 14</t>
  </si>
  <si>
    <t xml:space="preserve">21, 14 and 7 days out</t>
  </si>
  <si>
    <t xml:space="preserve">03 Poster, early (11x17)</t>
  </si>
  <si>
    <t xml:space="preserve">Week 10, printed with the QR code</t>
  </si>
  <si>
    <t xml:space="preserve">04 Fight card (post)</t>
  </si>
  <si>
    <t xml:space="preserve">Card announced, fight week</t>
  </si>
  <si>
    <t xml:space="preserve">05 Fighter vs fighter</t>
  </si>
  <si>
    <t xml:space="preserve">One per adult bout, weeks 4 to 1</t>
  </si>
  <si>
    <t xml:space="preserve">Weeks 6 to 2, adults who agree</t>
  </si>
  <si>
    <t xml:space="preserve">Week 8 and after the show</t>
  </si>
  <si>
    <t xml:space="preserve">Day after, official only</t>
  </si>
  <si>
    <t xml:space="preserve">Week 16</t>
  </si>
  <si>
    <t xml:space="preserve">10 Poster with main event (11x17)</t>
  </si>
  <si>
    <t xml:space="preserve">Once the main event is signed</t>
  </si>
  <si>
    <t xml:space="preserve">11 I'm fighting (post)</t>
  </si>
  <si>
    <t xml:space="preserve">Each adult fighter, week 6</t>
  </si>
  <si>
    <t xml:space="preserve">12 I'm fighting (story)</t>
  </si>
  <si>
    <t xml:space="preserve">Each adult fighter, with the link sticker</t>
  </si>
  <si>
    <t xml:space="preserve">Fight day</t>
  </si>
  <si>
    <t xml:space="preserve">14 Win (or Thank you)</t>
  </si>
  <si>
    <t xml:space="preserve">Day after, each adult fighter</t>
  </si>
  <si>
    <t xml:space="preserve">Each sponsor, week 4</t>
  </si>
  <si>
    <t xml:space="preserve">16 Fight card (story)</t>
  </si>
  <si>
    <t xml:space="preserve">Logo files: Brand/CCCL logo.png and Brand/CCCL logo (transparent).png. Keep the logo round and uncropped; put it on dark backgrounds or the cream badge. Never put alcohol logos on youth content.</t>
  </si>
  <si>
    <t xml:space="preserve">CANVA: GOOD TO KNOW (canva.com help, Oct 2026)</t>
  </si>
  <si>
    <t xml:space="preserve">Importing the starter PDFs</t>
  </si>
  <si>
    <t xml:space="preserve">Create a design &gt; Import file &gt; pick the PDF. Every word is its own text box; the background is one image (lock it). If a font gets swapped, re-pick Anton, Oswald or Inter. Photos: delete the grey photo box and drop the photo into a Frame (Elements &gt; Frames).</t>
  </si>
  <si>
    <t xml:space="preserve">Free vs Pro</t>
  </si>
  <si>
    <t xml:space="preserve">Free Canva works for all of this. Pro (about $142 CAD a year) adds a full Brand Kit with all the CCCL colours, saved brand templates and one-click resizing (post to story).</t>
  </si>
  <si>
    <t xml:space="preserve">Claude + Canva</t>
  </si>
  <si>
    <t xml:space="preserve">Canva has a connector for Claude that works on free Canva: Claude can make, edit and export designs. Filling a saved template automatically (Autofill) needs Pro.</t>
  </si>
  <si>
    <t xml:space="preserve">Canva for Nonprofits</t>
  </si>
  <si>
    <t xml:space="preserve">Not an option for CCCL: Canva excludes sports leagues and for-profit companies.</t>
  </si>
</sst>
</file>

<file path=xl/styles.xml><?xml version="1.0" encoding="utf-8"?>
<styleSheet xmlns="http://schemas.openxmlformats.org/spreadsheetml/2006/main">
  <numFmts count="11">
    <numFmt numFmtId="164" formatCode="General"/>
    <numFmt numFmtId="165" formatCode="ddd\ mmm\ d&quot;, &quot;yyyy"/>
    <numFmt numFmtId="166" formatCode="\$#,##0.00;&quot;($&quot;#,##0.00\);\-"/>
    <numFmt numFmtId="167" formatCode="\$#,##0;&quot;($&quot;#,##0\);\-"/>
    <numFmt numFmtId="168" formatCode="0"/>
    <numFmt numFmtId="169" formatCode="ddd\ mmm\ d"/>
    <numFmt numFmtId="170" formatCode="#,##0;\(#,##0\);\-"/>
    <numFmt numFmtId="171" formatCode="0%"/>
    <numFmt numFmtId="172" formatCode="General"/>
    <numFmt numFmtId="173" formatCode="mmm\ d"/>
    <numFmt numFmtId="174"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F2ECDC"/>
      <name val="Arial"/>
      <family val="0"/>
      <charset val="1"/>
    </font>
    <font>
      <sz val="10"/>
      <color rgb="FFD9D5C8"/>
      <name val="Arial"/>
      <family val="0"/>
      <charset val="1"/>
    </font>
    <font>
      <b val="true"/>
      <sz val="11"/>
      <color rgb="FF354940"/>
      <name val="Arial"/>
      <family val="0"/>
      <charset val="1"/>
    </font>
    <font>
      <b val="true"/>
      <sz val="12"/>
      <color rgb="FFAE2221"/>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i val="true"/>
      <sz val="9"/>
      <color rgb="FF555555"/>
      <name val="Arial"/>
      <family val="0"/>
      <charset val="1"/>
    </font>
    <font>
      <sz val="10"/>
      <color rgb="FF000000"/>
      <name val="Arial"/>
      <family val="0"/>
      <charset val="1"/>
    </font>
  </fonts>
  <fills count="10">
    <fill>
      <patternFill patternType="none"/>
    </fill>
    <fill>
      <patternFill patternType="gray125"/>
    </fill>
    <fill>
      <patternFill patternType="solid">
        <fgColor rgb="FF151C19"/>
        <bgColor rgb="FF26362F"/>
      </patternFill>
    </fill>
    <fill>
      <patternFill patternType="solid">
        <fgColor rgb="FF354940"/>
        <bgColor rgb="FF26362F"/>
      </patternFill>
    </fill>
    <fill>
      <patternFill patternType="solid">
        <fgColor rgb="FFFFFF00"/>
        <bgColor rgb="FFFFFF00"/>
      </patternFill>
    </fill>
    <fill>
      <patternFill patternType="solid">
        <fgColor rgb="FFE6EEE9"/>
        <bgColor rgb="FFF2ECDC"/>
      </patternFill>
    </fill>
    <fill>
      <patternFill patternType="solid">
        <fgColor rgb="FF26362F"/>
        <bgColor rgb="FF354940"/>
      </patternFill>
    </fill>
    <fill>
      <patternFill patternType="solid">
        <fgColor rgb="FFF2ECDC"/>
        <bgColor rgb="FFE6EEE9"/>
      </patternFill>
    </fill>
    <fill>
      <patternFill patternType="solid">
        <fgColor rgb="FFAE2221"/>
        <bgColor rgb="FF993366"/>
      </patternFill>
    </fill>
    <fill>
      <patternFill patternType="solid">
        <fgColor rgb="FFD9483B"/>
        <bgColor rgb="FFAE222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center" textRotation="0" wrapText="tru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73" fontId="11" fillId="4" borderId="1" xfId="0" applyFont="true" applyBorder="true" applyAlignment="false" applyProtection="false">
      <alignment horizontal="general" vertical="bottom" textRotation="0" wrapText="false" indent="0" shrinkToFit="false"/>
      <protection locked="true" hidden="false"/>
    </xf>
    <xf numFmtId="174" fontId="11"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6EFCE"/>
        </patternFill>
      </fill>
    </dxf>
    <dxf>
      <fill>
        <patternFill>
          <bgColor rgb="FFE6EEE9"/>
        </patternFill>
      </fill>
    </dxf>
    <dxf>
      <fill>
        <patternFill>
          <bgColor rgb="FFFFEB9C"/>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ECDC"/>
      <rgbColor rgb="FFE6EEE9"/>
      <rgbColor rgb="FF660066"/>
      <rgbColor rgb="FFFF8080"/>
      <rgbColor rgb="FF0066CC"/>
      <rgbColor rgb="FFD9D5C8"/>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D9483B"/>
      <rgbColor rgb="FF555555"/>
      <rgbColor rgb="FF969696"/>
      <rgbColor rgb="FF003366"/>
      <rgbColor rgb="FF339966"/>
      <rgbColor rgb="FF151C19"/>
      <rgbColor rgb="FF354940"/>
      <rgbColor rgb="FFAE2221"/>
      <rgbColor rgb="FF993366"/>
      <rgbColor rgb="FF333399"/>
      <rgbColor rgb="FF2636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2221"/>
    <pageSetUpPr fitToPage="true"/>
  </sheetPr>
  <dimension ref="A1: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98"/>
  </cols>
  <sheetData>
    <row r="1" customFormat="false" ht="30" hidden="false" customHeight="true" outlineLevel="0" collapsed="false">
      <c r="A1" s="1" t="s">
        <v>0</v>
      </c>
      <c r="B1" s="1"/>
      <c r="C1" s="1"/>
    </row>
    <row r="2" customFormat="false" ht="33.75" hidden="false" customHeight="true" outlineLevel="0" collapsed="false">
      <c r="A2" s="2" t="s">
        <v>1</v>
      </c>
      <c r="B2" s="2"/>
      <c r="C2" s="2"/>
    </row>
    <row r="4" customFormat="false" ht="15" hidden="false" customHeight="false" outlineLevel="0" collapsed="false">
      <c r="B4" s="3" t="s">
        <v>2</v>
      </c>
    </row>
    <row r="5" customFormat="false" ht="15" hidden="false" customHeight="false" outlineLevel="0" collapsed="false">
      <c r="A5" s="4" t="s">
        <v>3</v>
      </c>
      <c r="B5" s="5" t="s">
        <v>4</v>
      </c>
      <c r="C5" s="6" t="s">
        <v>5</v>
      </c>
    </row>
    <row r="6" customFormat="false" ht="27.75" hidden="false" customHeight="true" outlineLevel="0" collapsed="false">
      <c r="A6" s="4" t="s">
        <v>6</v>
      </c>
      <c r="B6" s="5" t="s">
        <v>7</v>
      </c>
      <c r="C6" s="6" t="s">
        <v>8</v>
      </c>
    </row>
    <row r="7" customFormat="false" ht="27.75" hidden="false" customHeight="true" outlineLevel="0" collapsed="false">
      <c r="A7" s="4" t="s">
        <v>9</v>
      </c>
      <c r="B7" s="5" t="s">
        <v>10</v>
      </c>
      <c r="C7" s="6" t="s">
        <v>11</v>
      </c>
    </row>
    <row r="8" customFormat="false" ht="15" hidden="false" customHeight="false" outlineLevel="0" collapsed="false">
      <c r="A8" s="4" t="s">
        <v>12</v>
      </c>
      <c r="B8" s="5" t="s">
        <v>13</v>
      </c>
      <c r="C8" s="6" t="s">
        <v>14</v>
      </c>
    </row>
    <row r="9" customFormat="false" ht="27.75" hidden="false" customHeight="true" outlineLevel="0" collapsed="false">
      <c r="A9" s="4" t="s">
        <v>15</v>
      </c>
      <c r="B9" s="5" t="s">
        <v>16</v>
      </c>
      <c r="C9" s="6" t="s">
        <v>17</v>
      </c>
    </row>
    <row r="10" customFormat="false" ht="15" hidden="false" customHeight="false" outlineLevel="0" collapsed="false">
      <c r="A10" s="4" t="s">
        <v>18</v>
      </c>
      <c r="B10" s="5" t="s">
        <v>19</v>
      </c>
      <c r="C10" s="6" t="s">
        <v>20</v>
      </c>
    </row>
    <row r="11" customFormat="false" ht="15" hidden="false" customHeight="false" outlineLevel="0" collapsed="false">
      <c r="A11" s="4" t="s">
        <v>21</v>
      </c>
      <c r="B11" s="5" t="s">
        <v>22</v>
      </c>
      <c r="C11" s="6" t="s">
        <v>23</v>
      </c>
    </row>
    <row r="12" customFormat="false" ht="15" hidden="false" customHeight="false" outlineLevel="0" collapsed="false">
      <c r="A12" s="4" t="s">
        <v>24</v>
      </c>
      <c r="B12" s="5" t="s">
        <v>25</v>
      </c>
      <c r="C12" s="6" t="s">
        <v>26</v>
      </c>
    </row>
    <row r="14" customFormat="false" ht="15" hidden="false" customHeight="false" outlineLevel="0" collapsed="false">
      <c r="B14" s="3" t="s">
        <v>27</v>
      </c>
    </row>
    <row r="15" customFormat="false" ht="27.75" hidden="false" customHeight="true" outlineLevel="0" collapsed="false">
      <c r="B15" s="5" t="s">
        <v>28</v>
      </c>
      <c r="C15" s="6" t="s">
        <v>29</v>
      </c>
    </row>
    <row r="16" customFormat="false" ht="15" hidden="false" customHeight="false" outlineLevel="0" collapsed="false">
      <c r="B16" s="5" t="s">
        <v>30</v>
      </c>
      <c r="C16" s="6" t="s">
        <v>31</v>
      </c>
    </row>
    <row r="17" customFormat="false" ht="27.75" hidden="false" customHeight="true" outlineLevel="0" collapsed="false">
      <c r="B17" s="5" t="s">
        <v>32</v>
      </c>
      <c r="C17" s="6" t="s">
        <v>33</v>
      </c>
    </row>
    <row r="18" customFormat="false" ht="15" hidden="false" customHeight="false" outlineLevel="0" collapsed="false">
      <c r="B18" s="5" t="s">
        <v>34</v>
      </c>
      <c r="C18" s="6" t="s">
        <v>35</v>
      </c>
    </row>
    <row r="19" customFormat="false" ht="27.75" hidden="false" customHeight="true" outlineLevel="0" collapsed="false">
      <c r="B19" s="5" t="s">
        <v>36</v>
      </c>
      <c r="C19" s="6" t="s">
        <v>37</v>
      </c>
    </row>
    <row r="21" customFormat="false" ht="15" hidden="false" customHeight="false" outlineLevel="0" collapsed="false">
      <c r="B21" s="3" t="s">
        <v>38</v>
      </c>
    </row>
    <row r="22" customFormat="false" ht="15" hidden="false" customHeight="false" outlineLevel="0" collapsed="false">
      <c r="B22" s="5" t="s">
        <v>39</v>
      </c>
      <c r="C22" s="6" t="s">
        <v>40</v>
      </c>
    </row>
    <row r="23" customFormat="false" ht="15" hidden="false" customHeight="false" outlineLevel="0" collapsed="false">
      <c r="B23" s="5" t="s">
        <v>41</v>
      </c>
      <c r="C23" s="6" t="s">
        <v>42</v>
      </c>
    </row>
    <row r="24" customFormat="false" ht="15" hidden="false" customHeight="false" outlineLevel="0" collapsed="false">
      <c r="B24" s="5" t="s">
        <v>43</v>
      </c>
      <c r="C24" s="6" t="s">
        <v>44</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4"/>
    <col collapsed="false" customWidth="true" hidden="false" outlineLevel="0" max="3" min="3" style="0" width="4"/>
    <col collapsed="false" customWidth="true" hidden="false" outlineLevel="0" max="4" min="4" style="0" width="70"/>
  </cols>
  <sheetData>
    <row r="1" customFormat="false" ht="30" hidden="false" customHeight="true" outlineLevel="0" collapsed="false">
      <c r="A1" s="1" t="s">
        <v>45</v>
      </c>
      <c r="B1" s="1"/>
      <c r="C1" s="1"/>
      <c r="D1" s="1"/>
    </row>
    <row r="2" customFormat="false" ht="33.75" hidden="false" customHeight="true" outlineLevel="0" collapsed="false">
      <c r="A2" s="2" t="s">
        <v>46</v>
      </c>
      <c r="B2" s="2"/>
      <c r="C2" s="2"/>
      <c r="D2" s="2"/>
    </row>
    <row r="4" customFormat="false" ht="19.5" hidden="false" customHeight="true" outlineLevel="0" collapsed="false">
      <c r="A4" s="7" t="s">
        <v>47</v>
      </c>
      <c r="B4" s="8"/>
      <c r="C4" s="8"/>
      <c r="D4" s="8"/>
    </row>
    <row r="5" customFormat="false" ht="15" hidden="false" customHeight="false" outlineLevel="0" collapsed="false">
      <c r="A5" s="9" t="s">
        <v>48</v>
      </c>
      <c r="B5" s="10" t="s">
        <v>49</v>
      </c>
    </row>
    <row r="6" customFormat="false" ht="15" hidden="false" customHeight="false" outlineLevel="0" collapsed="false">
      <c r="A6" s="9" t="s">
        <v>50</v>
      </c>
      <c r="B6" s="10"/>
      <c r="D6" s="11" t="s">
        <v>51</v>
      </c>
    </row>
    <row r="7" customFormat="false" ht="15" hidden="false" customHeight="false" outlineLevel="0" collapsed="false">
      <c r="A7" s="9" t="s">
        <v>52</v>
      </c>
      <c r="B7" s="12"/>
      <c r="D7" s="11" t="s">
        <v>53</v>
      </c>
    </row>
    <row r="8" customFormat="false" ht="15" hidden="false" customHeight="false" outlineLevel="0" collapsed="false">
      <c r="A8" s="9" t="s">
        <v>54</v>
      </c>
      <c r="B8" s="10"/>
      <c r="D8" s="11" t="s">
        <v>55</v>
      </c>
    </row>
    <row r="9" customFormat="false" ht="15" hidden="false" customHeight="false" outlineLevel="0" collapsed="false">
      <c r="A9" s="9" t="s">
        <v>56</v>
      </c>
      <c r="B9" s="10"/>
      <c r="D9" s="11" t="s">
        <v>57</v>
      </c>
    </row>
    <row r="10" customFormat="false" ht="15" hidden="false" customHeight="false" outlineLevel="0" collapsed="false">
      <c r="A10" s="9" t="s">
        <v>58</v>
      </c>
      <c r="B10" s="10"/>
      <c r="D10" s="11" t="s">
        <v>59</v>
      </c>
    </row>
    <row r="11" customFormat="false" ht="15" hidden="false" customHeight="false" outlineLevel="0" collapsed="false">
      <c r="A11" s="9" t="s">
        <v>60</v>
      </c>
      <c r="B11" s="10" t="s">
        <v>61</v>
      </c>
      <c r="D11" s="11" t="s">
        <v>62</v>
      </c>
    </row>
    <row r="13" customFormat="false" ht="19.5" hidden="false" customHeight="true" outlineLevel="0" collapsed="false">
      <c r="A13" s="7" t="s">
        <v>63</v>
      </c>
      <c r="B13" s="8"/>
      <c r="C13" s="8"/>
      <c r="D13" s="8"/>
    </row>
    <row r="14" customFormat="false" ht="30" hidden="false" customHeight="true" outlineLevel="0" collapsed="false">
      <c r="A14" s="6" t="s">
        <v>64</v>
      </c>
      <c r="B14" s="13" t="n">
        <v>73</v>
      </c>
      <c r="D14" s="11" t="s">
        <v>65</v>
      </c>
    </row>
    <row r="15" customFormat="false" ht="30" hidden="false" customHeight="true" outlineLevel="0" collapsed="false">
      <c r="A15" s="6" t="s">
        <v>66</v>
      </c>
      <c r="B15" s="13" t="n">
        <v>20</v>
      </c>
      <c r="D15" s="11" t="s">
        <v>67</v>
      </c>
    </row>
    <row r="16" customFormat="false" ht="30" hidden="false" customHeight="true" outlineLevel="0" collapsed="false">
      <c r="A16" s="6" t="s">
        <v>68</v>
      </c>
      <c r="B16" s="14" t="n">
        <v>50</v>
      </c>
      <c r="D16" s="11" t="s">
        <v>69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E2221"/>
    <pageSetUpPr fitToPage="true"/>
  </sheetPr>
  <dimension ref="A1:H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0"/>
    <col collapsed="false" customWidth="true" hidden="false" outlineLevel="0" max="4" min="4" style="0" width="58"/>
    <col collapsed="false" customWidth="true" hidden="false" outlineLevel="0" max="5" min="5" style="0" width="22"/>
    <col collapsed="false" customWidth="true" hidden="false" outlineLevel="0" max="6" min="6" style="0" width="10"/>
    <col collapsed="false" customWidth="true" hidden="false" outlineLevel="0" max="7" min="7" style="0" width="11"/>
    <col collapsed="false" customWidth="true" hidden="false" outlineLevel="0" max="8" min="8" style="0" width="34"/>
  </cols>
  <sheetData>
    <row r="1" customFormat="false" ht="30" hidden="false" customHeight="true" outlineLevel="0" collapsed="false">
      <c r="A1" s="1" t="s">
        <v>70</v>
      </c>
      <c r="B1" s="1"/>
      <c r="C1" s="1"/>
      <c r="D1" s="1"/>
      <c r="E1" s="1"/>
      <c r="F1" s="1"/>
      <c r="G1" s="1"/>
      <c r="H1" s="1"/>
    </row>
    <row r="2" customFormat="false" ht="33.75" hidden="false" customHeight="true" outlineLevel="0" collapsed="false">
      <c r="A2" s="2" t="s">
        <v>71</v>
      </c>
      <c r="B2" s="2"/>
      <c r="C2" s="2"/>
      <c r="D2" s="2"/>
      <c r="E2" s="2"/>
      <c r="F2" s="2"/>
      <c r="G2" s="2"/>
      <c r="H2" s="2"/>
    </row>
    <row r="4" customFormat="false" ht="33.75" hidden="false" customHeight="true" outlineLevel="0" collapsed="false">
      <c r="A4" s="15" t="s">
        <v>72</v>
      </c>
      <c r="B4" s="15" t="s">
        <v>73</v>
      </c>
      <c r="C4" s="15" t="s">
        <v>74</v>
      </c>
      <c r="D4" s="15" t="s">
        <v>75</v>
      </c>
      <c r="E4" s="15" t="s">
        <v>76</v>
      </c>
      <c r="F4" s="15" t="s">
        <v>77</v>
      </c>
      <c r="G4" s="15" t="s">
        <v>78</v>
      </c>
      <c r="H4" s="15" t="s">
        <v>79</v>
      </c>
    </row>
    <row r="5" customFormat="false" ht="30" hidden="false" customHeight="true" outlineLevel="0" collapsed="false">
      <c r="A5" s="16" t="n">
        <v>16</v>
      </c>
      <c r="B5" s="17" t="str">
        <f aca="false">IF('Show Setup'!$B$7="","",IF(A5&gt;=0,'Show Setup'!$B$7-A5*7,'Show Setup'!$B$7-A5))</f>
        <v/>
      </c>
      <c r="C5" s="18" t="s">
        <v>80</v>
      </c>
      <c r="D5" s="18" t="s">
        <v>81</v>
      </c>
      <c r="E5" s="18" t="s">
        <v>82</v>
      </c>
      <c r="F5" s="10" t="s">
        <v>83</v>
      </c>
      <c r="G5" s="10" t="s">
        <v>84</v>
      </c>
      <c r="H5" s="10"/>
    </row>
    <row r="6" customFormat="false" ht="31.5" hidden="false" customHeight="true" outlineLevel="0" collapsed="false">
      <c r="A6" s="16" t="n">
        <v>16</v>
      </c>
      <c r="B6" s="17" t="str">
        <f aca="false">IF('Show Setup'!$B$7="","",IF(A6&gt;=0,'Show Setup'!$B$7-A6*7,'Show Setup'!$B$7-A6))</f>
        <v/>
      </c>
      <c r="C6" s="18" t="s">
        <v>85</v>
      </c>
      <c r="D6" s="18" t="s">
        <v>86</v>
      </c>
      <c r="E6" s="18" t="s">
        <v>87</v>
      </c>
      <c r="F6" s="10" t="s">
        <v>83</v>
      </c>
      <c r="G6" s="10" t="s">
        <v>84</v>
      </c>
      <c r="H6" s="10"/>
    </row>
    <row r="7" customFormat="false" ht="60" hidden="false" customHeight="true" outlineLevel="0" collapsed="false">
      <c r="A7" s="16" t="n">
        <v>14</v>
      </c>
      <c r="B7" s="17" t="str">
        <f aca="false">IF('Show Setup'!$B$7="","",IF(A7&gt;=0,'Show Setup'!$B$7-A7*7,'Show Setup'!$B$7-A7))</f>
        <v/>
      </c>
      <c r="C7" s="18" t="s">
        <v>88</v>
      </c>
      <c r="D7" s="18" t="s">
        <v>89</v>
      </c>
      <c r="E7" s="18"/>
      <c r="F7" s="10" t="s">
        <v>83</v>
      </c>
      <c r="G7" s="10" t="s">
        <v>84</v>
      </c>
      <c r="H7" s="10"/>
    </row>
    <row r="8" customFormat="false" ht="30" hidden="false" customHeight="true" outlineLevel="0" collapsed="false">
      <c r="A8" s="16" t="n">
        <v>14</v>
      </c>
      <c r="B8" s="17" t="str">
        <f aca="false">IF('Show Setup'!$B$7="","",IF(A8&gt;=0,'Show Setup'!$B$7-A8*7,'Show Setup'!$B$7-A8))</f>
        <v/>
      </c>
      <c r="C8" s="18" t="s">
        <v>80</v>
      </c>
      <c r="D8" s="18" t="s">
        <v>90</v>
      </c>
      <c r="E8" s="18" t="s">
        <v>91</v>
      </c>
      <c r="F8" s="10" t="s">
        <v>83</v>
      </c>
      <c r="G8" s="10" t="s">
        <v>84</v>
      </c>
      <c r="H8" s="10"/>
    </row>
    <row r="9" customFormat="false" ht="30" hidden="false" customHeight="true" outlineLevel="0" collapsed="false">
      <c r="A9" s="16" t="n">
        <v>14</v>
      </c>
      <c r="B9" s="17" t="str">
        <f aca="false">IF('Show Setup'!$B$7="","",IF(A9&gt;=0,'Show Setup'!$B$7-A9*7,'Show Setup'!$B$7-A9))</f>
        <v/>
      </c>
      <c r="C9" s="18" t="s">
        <v>92</v>
      </c>
      <c r="D9" s="18" t="s">
        <v>93</v>
      </c>
      <c r="E9" s="18"/>
      <c r="F9" s="10" t="s">
        <v>94</v>
      </c>
      <c r="G9" s="10" t="s">
        <v>84</v>
      </c>
      <c r="H9" s="10"/>
    </row>
    <row r="10" customFormat="false" ht="31.5" hidden="false" customHeight="true" outlineLevel="0" collapsed="false">
      <c r="A10" s="16" t="n">
        <v>14</v>
      </c>
      <c r="B10" s="17" t="str">
        <f aca="false">IF('Show Setup'!$B$7="","",IF(A10&gt;=0,'Show Setup'!$B$7-A10*7,'Show Setup'!$B$7-A10))</f>
        <v/>
      </c>
      <c r="C10" s="18" t="s">
        <v>95</v>
      </c>
      <c r="D10" s="18" t="s">
        <v>96</v>
      </c>
      <c r="E10" s="18"/>
      <c r="F10" s="10" t="s">
        <v>83</v>
      </c>
      <c r="G10" s="10" t="s">
        <v>84</v>
      </c>
      <c r="H10" s="10"/>
    </row>
    <row r="11" customFormat="false" ht="31.5" hidden="false" customHeight="true" outlineLevel="0" collapsed="false">
      <c r="A11" s="16" t="n">
        <v>14</v>
      </c>
      <c r="B11" s="17" t="str">
        <f aca="false">IF('Show Setup'!$B$7="","",IF(A11&gt;=0,'Show Setup'!$B$7-A11*7,'Show Setup'!$B$7-A11))</f>
        <v/>
      </c>
      <c r="C11" s="18" t="s">
        <v>97</v>
      </c>
      <c r="D11" s="18" t="s">
        <v>98</v>
      </c>
      <c r="E11" s="18"/>
      <c r="F11" s="10" t="s">
        <v>83</v>
      </c>
      <c r="G11" s="10" t="s">
        <v>84</v>
      </c>
      <c r="H11" s="10"/>
    </row>
    <row r="12" customFormat="false" ht="31.5" hidden="false" customHeight="true" outlineLevel="0" collapsed="false">
      <c r="A12" s="16" t="n">
        <v>13</v>
      </c>
      <c r="B12" s="17" t="str">
        <f aca="false">IF('Show Setup'!$B$7="","",IF(A12&gt;=0,'Show Setup'!$B$7-A12*7,'Show Setup'!$B$7-A12))</f>
        <v/>
      </c>
      <c r="C12" s="18" t="s">
        <v>80</v>
      </c>
      <c r="D12" s="18" t="s">
        <v>99</v>
      </c>
      <c r="E12" s="18" t="s">
        <v>100</v>
      </c>
      <c r="F12" s="10" t="s">
        <v>83</v>
      </c>
      <c r="G12" s="10" t="s">
        <v>84</v>
      </c>
      <c r="H12" s="10"/>
    </row>
    <row r="13" customFormat="false" ht="30" hidden="false" customHeight="true" outlineLevel="0" collapsed="false">
      <c r="A13" s="16" t="n">
        <v>12</v>
      </c>
      <c r="B13" s="17" t="str">
        <f aca="false">IF('Show Setup'!$B$7="","",IF(A13&gt;=0,'Show Setup'!$B$7-A13*7,'Show Setup'!$B$7-A13))</f>
        <v/>
      </c>
      <c r="C13" s="18" t="s">
        <v>80</v>
      </c>
      <c r="D13" s="18" t="s">
        <v>101</v>
      </c>
      <c r="E13" s="18" t="s">
        <v>102</v>
      </c>
      <c r="F13" s="10" t="s">
        <v>83</v>
      </c>
      <c r="G13" s="10" t="s">
        <v>84</v>
      </c>
      <c r="H13" s="10"/>
    </row>
    <row r="14" customFormat="false" ht="31.5" hidden="false" customHeight="true" outlineLevel="0" collapsed="false">
      <c r="A14" s="16" t="n">
        <v>12</v>
      </c>
      <c r="B14" s="17" t="str">
        <f aca="false">IF('Show Setup'!$B$7="","",IF(A14&gt;=0,'Show Setup'!$B$7-A14*7,'Show Setup'!$B$7-A14))</f>
        <v/>
      </c>
      <c r="C14" s="18" t="s">
        <v>103</v>
      </c>
      <c r="D14" s="18" t="s">
        <v>104</v>
      </c>
      <c r="E14" s="18"/>
      <c r="F14" s="10" t="s">
        <v>94</v>
      </c>
      <c r="G14" s="10" t="s">
        <v>84</v>
      </c>
      <c r="H14" s="10"/>
    </row>
    <row r="15" customFormat="false" ht="31.5" hidden="false" customHeight="true" outlineLevel="0" collapsed="false">
      <c r="A15" s="16" t="n">
        <v>10</v>
      </c>
      <c r="B15" s="17" t="str">
        <f aca="false">IF('Show Setup'!$B$7="","",IF(A15&gt;=0,'Show Setup'!$B$7-A15*7,'Show Setup'!$B$7-A15))</f>
        <v/>
      </c>
      <c r="C15" s="18" t="s">
        <v>105</v>
      </c>
      <c r="D15" s="18" t="s">
        <v>106</v>
      </c>
      <c r="E15" s="18" t="s">
        <v>107</v>
      </c>
      <c r="F15" s="10" t="s">
        <v>108</v>
      </c>
      <c r="G15" s="10" t="s">
        <v>84</v>
      </c>
      <c r="H15" s="10"/>
    </row>
    <row r="16" customFormat="false" ht="31.5" hidden="false" customHeight="true" outlineLevel="0" collapsed="false">
      <c r="A16" s="16" t="n">
        <v>10</v>
      </c>
      <c r="B16" s="17" t="str">
        <f aca="false">IF('Show Setup'!$B$7="","",IF(A16&gt;=0,'Show Setup'!$B$7-A16*7,'Show Setup'!$B$7-A16))</f>
        <v/>
      </c>
      <c r="C16" s="18" t="s">
        <v>109</v>
      </c>
      <c r="D16" s="18" t="s">
        <v>110</v>
      </c>
      <c r="E16" s="18"/>
      <c r="F16" s="10" t="s">
        <v>83</v>
      </c>
      <c r="G16" s="10" t="s">
        <v>84</v>
      </c>
      <c r="H16" s="10"/>
    </row>
    <row r="17" customFormat="false" ht="31.5" hidden="false" customHeight="true" outlineLevel="0" collapsed="false">
      <c r="A17" s="16" t="n">
        <v>8</v>
      </c>
      <c r="B17" s="17" t="str">
        <f aca="false">IF('Show Setup'!$B$7="","",IF(A17&gt;=0,'Show Setup'!$B$7-A17*7,'Show Setup'!$B$7-A17))</f>
        <v/>
      </c>
      <c r="C17" s="18" t="s">
        <v>111</v>
      </c>
      <c r="D17" s="18" t="s">
        <v>112</v>
      </c>
      <c r="E17" s="18" t="s">
        <v>113</v>
      </c>
      <c r="F17" s="10" t="s">
        <v>83</v>
      </c>
      <c r="G17" s="10" t="s">
        <v>84</v>
      </c>
      <c r="H17" s="10"/>
    </row>
    <row r="18" customFormat="false" ht="31.5" hidden="false" customHeight="true" outlineLevel="0" collapsed="false">
      <c r="A18" s="16" t="n">
        <v>8</v>
      </c>
      <c r="B18" s="17" t="str">
        <f aca="false">IF('Show Setup'!$B$7="","",IF(A18&gt;=0,'Show Setup'!$B$7-A18*7,'Show Setup'!$B$7-A18))</f>
        <v/>
      </c>
      <c r="C18" s="18" t="s">
        <v>80</v>
      </c>
      <c r="D18" s="18" t="s">
        <v>114</v>
      </c>
      <c r="E18" s="18" t="s">
        <v>115</v>
      </c>
      <c r="F18" s="10" t="s">
        <v>83</v>
      </c>
      <c r="G18" s="10" t="s">
        <v>84</v>
      </c>
      <c r="H18" s="10"/>
    </row>
    <row r="19" customFormat="false" ht="45.75" hidden="false" customHeight="true" outlineLevel="0" collapsed="false">
      <c r="A19" s="16" t="n">
        <v>6</v>
      </c>
      <c r="B19" s="17" t="str">
        <f aca="false">IF('Show Setup'!$B$7="","",IF(A19&gt;=0,'Show Setup'!$B$7-A19*7,'Show Setup'!$B$7-A19))</f>
        <v/>
      </c>
      <c r="C19" s="18" t="s">
        <v>116</v>
      </c>
      <c r="D19" s="18" t="s">
        <v>117</v>
      </c>
      <c r="E19" s="18" t="s">
        <v>118</v>
      </c>
      <c r="F19" s="10" t="s">
        <v>94</v>
      </c>
      <c r="G19" s="10" t="s">
        <v>84</v>
      </c>
      <c r="H19" s="10"/>
    </row>
    <row r="20" customFormat="false" ht="31.5" hidden="false" customHeight="true" outlineLevel="0" collapsed="false">
      <c r="A20" s="16" t="n">
        <v>6</v>
      </c>
      <c r="B20" s="17" t="str">
        <f aca="false">IF('Show Setup'!$B$7="","",IF(A20&gt;=0,'Show Setup'!$B$7-A20*7,'Show Setup'!$B$7-A20))</f>
        <v/>
      </c>
      <c r="C20" s="18" t="s">
        <v>80</v>
      </c>
      <c r="D20" s="18" t="s">
        <v>119</v>
      </c>
      <c r="E20" s="18" t="s">
        <v>120</v>
      </c>
      <c r="F20" s="10" t="s">
        <v>83</v>
      </c>
      <c r="G20" s="10" t="s">
        <v>84</v>
      </c>
      <c r="H20" s="10"/>
    </row>
    <row r="21" customFormat="false" ht="31.5" hidden="false" customHeight="true" outlineLevel="0" collapsed="false">
      <c r="A21" s="16" t="n">
        <v>5</v>
      </c>
      <c r="B21" s="17" t="str">
        <f aca="false">IF('Show Setup'!$B$7="","",IF(A21&gt;=0,'Show Setup'!$B$7-A21*7,'Show Setup'!$B$7-A21))</f>
        <v/>
      </c>
      <c r="C21" s="18" t="s">
        <v>121</v>
      </c>
      <c r="D21" s="18" t="s">
        <v>122</v>
      </c>
      <c r="E21" s="18"/>
      <c r="F21" s="10" t="s">
        <v>94</v>
      </c>
      <c r="G21" s="10" t="s">
        <v>84</v>
      </c>
      <c r="H21" s="10"/>
    </row>
    <row r="22" customFormat="false" ht="31.5" hidden="false" customHeight="true" outlineLevel="0" collapsed="false">
      <c r="A22" s="16" t="n">
        <v>4</v>
      </c>
      <c r="B22" s="17" t="str">
        <f aca="false">IF('Show Setup'!$B$7="","",IF(A22&gt;=0,'Show Setup'!$B$7-A22*7,'Show Setup'!$B$7-A22))</f>
        <v/>
      </c>
      <c r="C22" s="18" t="s">
        <v>80</v>
      </c>
      <c r="D22" s="18" t="s">
        <v>123</v>
      </c>
      <c r="E22" s="18" t="s">
        <v>124</v>
      </c>
      <c r="F22" s="10" t="s">
        <v>83</v>
      </c>
      <c r="G22" s="10" t="s">
        <v>84</v>
      </c>
      <c r="H22" s="10"/>
    </row>
    <row r="23" customFormat="false" ht="30" hidden="false" customHeight="true" outlineLevel="0" collapsed="false">
      <c r="A23" s="16" t="n">
        <v>4</v>
      </c>
      <c r="B23" s="17" t="str">
        <f aca="false">IF('Show Setup'!$B$7="","",IF(A23&gt;=0,'Show Setup'!$B$7-A23*7,'Show Setup'!$B$7-A23))</f>
        <v/>
      </c>
      <c r="C23" s="18" t="s">
        <v>92</v>
      </c>
      <c r="D23" s="18" t="s">
        <v>125</v>
      </c>
      <c r="E23" s="18"/>
      <c r="F23" s="10" t="s">
        <v>94</v>
      </c>
      <c r="G23" s="10" t="s">
        <v>84</v>
      </c>
      <c r="H23" s="10"/>
    </row>
    <row r="24" customFormat="false" ht="31.5" hidden="false" customHeight="true" outlineLevel="0" collapsed="false">
      <c r="A24" s="16" t="n">
        <v>4</v>
      </c>
      <c r="B24" s="17" t="str">
        <f aca="false">IF('Show Setup'!$B$7="","",IF(A24&gt;=0,'Show Setup'!$B$7-A24*7,'Show Setup'!$B$7-A24))</f>
        <v/>
      </c>
      <c r="C24" s="18" t="s">
        <v>126</v>
      </c>
      <c r="D24" s="18" t="s">
        <v>127</v>
      </c>
      <c r="E24" s="18" t="s">
        <v>128</v>
      </c>
      <c r="F24" s="10" t="s">
        <v>83</v>
      </c>
      <c r="G24" s="10" t="s">
        <v>84</v>
      </c>
      <c r="H24" s="10"/>
    </row>
    <row r="25" customFormat="false" ht="31.5" hidden="false" customHeight="true" outlineLevel="0" collapsed="false">
      <c r="A25" s="16" t="n">
        <v>3</v>
      </c>
      <c r="B25" s="17" t="str">
        <f aca="false">IF('Show Setup'!$B$7="","",IF(A25&gt;=0,'Show Setup'!$B$7-A25*7,'Show Setup'!$B$7-A25))</f>
        <v/>
      </c>
      <c r="C25" s="18" t="s">
        <v>111</v>
      </c>
      <c r="D25" s="18" t="s">
        <v>129</v>
      </c>
      <c r="E25" s="18"/>
      <c r="F25" s="10" t="s">
        <v>83</v>
      </c>
      <c r="G25" s="10" t="s">
        <v>84</v>
      </c>
      <c r="H25" s="10"/>
    </row>
    <row r="26" customFormat="false" ht="30" hidden="false" customHeight="true" outlineLevel="0" collapsed="false">
      <c r="A26" s="16" t="n">
        <v>3</v>
      </c>
      <c r="B26" s="17" t="str">
        <f aca="false">IF('Show Setup'!$B$7="","",IF(A26&gt;=0,'Show Setup'!$B$7-A26*7,'Show Setup'!$B$7-A26))</f>
        <v/>
      </c>
      <c r="C26" s="18" t="s">
        <v>130</v>
      </c>
      <c r="D26" s="18" t="s">
        <v>131</v>
      </c>
      <c r="E26" s="18" t="s">
        <v>132</v>
      </c>
      <c r="F26" s="10" t="s">
        <v>83</v>
      </c>
      <c r="G26" s="10" t="s">
        <v>84</v>
      </c>
      <c r="H26" s="10"/>
    </row>
    <row r="27" customFormat="false" ht="31.5" hidden="false" customHeight="true" outlineLevel="0" collapsed="false">
      <c r="A27" s="16" t="n">
        <v>2</v>
      </c>
      <c r="B27" s="17" t="str">
        <f aca="false">IF('Show Setup'!$B$7="","",IF(A27&gt;=0,'Show Setup'!$B$7-A27*7,'Show Setup'!$B$7-A27))</f>
        <v/>
      </c>
      <c r="C27" s="18" t="s">
        <v>80</v>
      </c>
      <c r="D27" s="18" t="s">
        <v>133</v>
      </c>
      <c r="E27" s="18"/>
      <c r="F27" s="10" t="s">
        <v>83</v>
      </c>
      <c r="G27" s="10" t="s">
        <v>84</v>
      </c>
      <c r="H27" s="10"/>
    </row>
    <row r="28" customFormat="false" ht="30" hidden="false" customHeight="true" outlineLevel="0" collapsed="false">
      <c r="A28" s="16" t="n">
        <v>2</v>
      </c>
      <c r="B28" s="17" t="str">
        <f aca="false">IF('Show Setup'!$B$7="","",IF(A28&gt;=0,'Show Setup'!$B$7-A28*7,'Show Setup'!$B$7-A28))</f>
        <v/>
      </c>
      <c r="C28" s="18" t="s">
        <v>80</v>
      </c>
      <c r="D28" s="18" t="s">
        <v>134</v>
      </c>
      <c r="E28" s="18" t="s">
        <v>16</v>
      </c>
      <c r="F28" s="10" t="s">
        <v>83</v>
      </c>
      <c r="G28" s="10" t="s">
        <v>84</v>
      </c>
      <c r="H28" s="10"/>
    </row>
    <row r="29" customFormat="false" ht="31.5" hidden="false" customHeight="true" outlineLevel="0" collapsed="false">
      <c r="A29" s="16" t="n">
        <v>1</v>
      </c>
      <c r="B29" s="17" t="str">
        <f aca="false">IF('Show Setup'!$B$7="","",IF(A29&gt;=0,'Show Setup'!$B$7-A29*7,'Show Setup'!$B$7-A29))</f>
        <v/>
      </c>
      <c r="C29" s="18" t="s">
        <v>80</v>
      </c>
      <c r="D29" s="18" t="s">
        <v>135</v>
      </c>
      <c r="E29" s="18" t="s">
        <v>136</v>
      </c>
      <c r="F29" s="10" t="s">
        <v>83</v>
      </c>
      <c r="G29" s="10" t="s">
        <v>84</v>
      </c>
      <c r="H29" s="10"/>
    </row>
    <row r="30" customFormat="false" ht="31.5" hidden="false" customHeight="true" outlineLevel="0" collapsed="false">
      <c r="A30" s="16" t="n">
        <v>1</v>
      </c>
      <c r="B30" s="17" t="str">
        <f aca="false">IF('Show Setup'!$B$7="","",IF(A30&gt;=0,'Show Setup'!$B$7-A30*7,'Show Setup'!$B$7-A30))</f>
        <v/>
      </c>
      <c r="C30" s="18" t="s">
        <v>137</v>
      </c>
      <c r="D30" s="18" t="s">
        <v>138</v>
      </c>
      <c r="E30" s="18"/>
      <c r="F30" s="10" t="s">
        <v>94</v>
      </c>
      <c r="G30" s="10" t="s">
        <v>84</v>
      </c>
      <c r="H30" s="10"/>
    </row>
    <row r="31" customFormat="false" ht="45.75" hidden="false" customHeight="true" outlineLevel="0" collapsed="false">
      <c r="A31" s="16" t="n">
        <v>0</v>
      </c>
      <c r="B31" s="17" t="str">
        <f aca="false">IF('Show Setup'!$B$7="","",IF(A31&gt;=0,'Show Setup'!$B$7-A31*7,'Show Setup'!$B$7-A31))</f>
        <v/>
      </c>
      <c r="C31" s="18" t="s">
        <v>139</v>
      </c>
      <c r="D31" s="18" t="s">
        <v>140</v>
      </c>
      <c r="E31" s="18" t="s">
        <v>141</v>
      </c>
      <c r="F31" s="10" t="s">
        <v>83</v>
      </c>
      <c r="G31" s="10" t="s">
        <v>84</v>
      </c>
      <c r="H31" s="10"/>
    </row>
    <row r="32" customFormat="false" ht="31.5" hidden="false" customHeight="true" outlineLevel="0" collapsed="false">
      <c r="A32" s="16" t="n">
        <v>-1</v>
      </c>
      <c r="B32" s="17" t="str">
        <f aca="false">IF('Show Setup'!$B$7="","",IF(A32&gt;=0,'Show Setup'!$B$7-A32*7,'Show Setup'!$B$7-A32))</f>
        <v/>
      </c>
      <c r="C32" s="18" t="s">
        <v>80</v>
      </c>
      <c r="D32" s="18" t="s">
        <v>142</v>
      </c>
      <c r="E32" s="18" t="s">
        <v>143</v>
      </c>
      <c r="F32" s="10" t="s">
        <v>83</v>
      </c>
      <c r="G32" s="10" t="s">
        <v>84</v>
      </c>
      <c r="H32" s="10"/>
    </row>
    <row r="33" customFormat="false" ht="31.5" hidden="false" customHeight="true" outlineLevel="0" collapsed="false">
      <c r="A33" s="16" t="n">
        <v>-1</v>
      </c>
      <c r="B33" s="17" t="str">
        <f aca="false">IF('Show Setup'!$B$7="","",IF(A33&gt;=0,'Show Setup'!$B$7-A33*7,'Show Setup'!$B$7-A33))</f>
        <v/>
      </c>
      <c r="C33" s="18" t="s">
        <v>116</v>
      </c>
      <c r="D33" s="18" t="s">
        <v>144</v>
      </c>
      <c r="E33" s="18" t="s">
        <v>145</v>
      </c>
      <c r="F33" s="10" t="s">
        <v>83</v>
      </c>
      <c r="G33" s="10" t="s">
        <v>84</v>
      </c>
      <c r="H33" s="10"/>
    </row>
    <row r="34" customFormat="false" ht="30" hidden="false" customHeight="true" outlineLevel="0" collapsed="false">
      <c r="A34" s="16" t="n">
        <v>-1</v>
      </c>
      <c r="B34" s="17" t="str">
        <f aca="false">IF('Show Setup'!$B$7="","",IF(A34&gt;=0,'Show Setup'!$B$7-A34*7,'Show Setup'!$B$7-A34))</f>
        <v/>
      </c>
      <c r="C34" s="18" t="s">
        <v>92</v>
      </c>
      <c r="D34" s="18" t="s">
        <v>146</v>
      </c>
      <c r="E34" s="18"/>
      <c r="F34" s="10" t="s">
        <v>94</v>
      </c>
      <c r="G34" s="10" t="s">
        <v>84</v>
      </c>
      <c r="H34" s="10"/>
    </row>
    <row r="35" customFormat="false" ht="31.5" hidden="false" customHeight="true" outlineLevel="0" collapsed="false">
      <c r="A35" s="16" t="n">
        <v>-3</v>
      </c>
      <c r="B35" s="17" t="str">
        <f aca="false">IF('Show Setup'!$B$7="","",IF(A35&gt;=0,'Show Setup'!$B$7-A35*7,'Show Setup'!$B$7-A35))</f>
        <v/>
      </c>
      <c r="C35" s="18" t="s">
        <v>126</v>
      </c>
      <c r="D35" s="18" t="s">
        <v>147</v>
      </c>
      <c r="E35" s="18" t="s">
        <v>115</v>
      </c>
      <c r="F35" s="10" t="s">
        <v>83</v>
      </c>
      <c r="G35" s="10" t="s">
        <v>84</v>
      </c>
      <c r="H35" s="10"/>
    </row>
    <row r="36" customFormat="false" ht="30" hidden="false" customHeight="true" outlineLevel="0" collapsed="false">
      <c r="A36" s="16" t="n">
        <v>-7</v>
      </c>
      <c r="B36" s="17" t="str">
        <f aca="false">IF('Show Setup'!$B$7="","",IF(A36&gt;=0,'Show Setup'!$B$7-A36*7,'Show Setup'!$B$7-A36))</f>
        <v/>
      </c>
      <c r="C36" s="18" t="s">
        <v>148</v>
      </c>
      <c r="D36" s="18" t="s">
        <v>149</v>
      </c>
      <c r="E36" s="18" t="s">
        <v>150</v>
      </c>
      <c r="F36" s="10" t="s">
        <v>83</v>
      </c>
      <c r="G36" s="10" t="s">
        <v>84</v>
      </c>
      <c r="H36" s="10"/>
    </row>
    <row r="37" customFormat="false" ht="31.5" hidden="false" customHeight="true" outlineLevel="0" collapsed="false">
      <c r="A37" s="16" t="n">
        <v>-7</v>
      </c>
      <c r="B37" s="17" t="str">
        <f aca="false">IF('Show Setup'!$B$7="","",IF(A37&gt;=0,'Show Setup'!$B$7-A37*7,'Show Setup'!$B$7-A37))</f>
        <v/>
      </c>
      <c r="C37" s="18" t="s">
        <v>151</v>
      </c>
      <c r="D37" s="18" t="s">
        <v>152</v>
      </c>
      <c r="E37" s="18"/>
      <c r="F37" s="10" t="s">
        <v>83</v>
      </c>
      <c r="G37" s="10" t="s">
        <v>84</v>
      </c>
      <c r="H37" s="10"/>
    </row>
    <row r="38" customFormat="false" ht="15" hidden="false" customHeight="false" outlineLevel="0" collapsed="false">
      <c r="A38" s="10"/>
      <c r="B38" s="17" t="str">
        <f aca="false">IF(OR(A38="",'Show Setup'!$B$7=""),"",IF(A38&gt;=0,'Show Setup'!$B$7-A38*7,'Show Setup'!$B$7-A38))</f>
        <v/>
      </c>
      <c r="C38" s="10"/>
      <c r="D38" s="10"/>
      <c r="E38" s="10"/>
      <c r="F38" s="10"/>
      <c r="G38" s="10"/>
      <c r="H38" s="10"/>
    </row>
    <row r="39" customFormat="false" ht="15" hidden="false" customHeight="false" outlineLevel="0" collapsed="false">
      <c r="A39" s="10"/>
      <c r="B39" s="17" t="str">
        <f aca="false">IF(OR(A39="",'Show Setup'!$B$7=""),"",IF(A39&gt;=0,'Show Setup'!$B$7-A39*7,'Show Setup'!$B$7-A39))</f>
        <v/>
      </c>
      <c r="C39" s="10"/>
      <c r="D39" s="10"/>
      <c r="E39" s="10"/>
      <c r="F39" s="10"/>
      <c r="G39" s="10"/>
      <c r="H39" s="10"/>
    </row>
    <row r="40" customFormat="false" ht="15" hidden="false" customHeight="false" outlineLevel="0" collapsed="false">
      <c r="A40" s="10"/>
      <c r="B40" s="17" t="str">
        <f aca="false">IF(OR(A40="",'Show Setup'!$B$7=""),"",IF(A40&gt;=0,'Show Setup'!$B$7-A40*7,'Show Setup'!$B$7-A40))</f>
        <v/>
      </c>
      <c r="C40" s="10"/>
      <c r="D40" s="10"/>
      <c r="E40" s="10"/>
      <c r="F40" s="10"/>
      <c r="G40" s="10"/>
      <c r="H40" s="10"/>
    </row>
    <row r="41" customFormat="false" ht="15" hidden="false" customHeight="false" outlineLevel="0" collapsed="false">
      <c r="A41" s="10"/>
      <c r="B41" s="17" t="str">
        <f aca="false">IF(OR(A41="",'Show Setup'!$B$7=""),"",IF(A41&gt;=0,'Show Setup'!$B$7-A41*7,'Show Setup'!$B$7-A41))</f>
        <v/>
      </c>
      <c r="C41" s="10"/>
      <c r="D41" s="10"/>
      <c r="E41" s="10"/>
      <c r="F41" s="10"/>
      <c r="G41" s="10"/>
      <c r="H41" s="10"/>
    </row>
    <row r="42" customFormat="false" ht="15" hidden="false" customHeight="false" outlineLevel="0" collapsed="false">
      <c r="A42" s="10"/>
      <c r="B42" s="17" t="str">
        <f aca="false">IF(OR(A42="",'Show Setup'!$B$7=""),"",IF(A42&gt;=0,'Show Setup'!$B$7-A42*7,'Show Setup'!$B$7-A42))</f>
        <v/>
      </c>
      <c r="C42" s="10"/>
      <c r="D42" s="10"/>
      <c r="E42" s="10"/>
      <c r="F42" s="10"/>
      <c r="G42" s="10"/>
      <c r="H42" s="10"/>
    </row>
    <row r="43" customFormat="false" ht="15" hidden="false" customHeight="false" outlineLevel="0" collapsed="false">
      <c r="A43" s="10"/>
      <c r="B43" s="17" t="str">
        <f aca="false">IF(OR(A43="",'Show Setup'!$B$7=""),"",IF(A43&gt;=0,'Show Setup'!$B$7-A43*7,'Show Setup'!$B$7-A43))</f>
        <v/>
      </c>
      <c r="C43" s="10"/>
      <c r="D43" s="10"/>
      <c r="E43" s="10"/>
      <c r="F43" s="10"/>
      <c r="G43" s="10"/>
      <c r="H43" s="10"/>
    </row>
    <row r="44" customFormat="false" ht="15" hidden="false" customHeight="false" outlineLevel="0" collapsed="false">
      <c r="A44" s="10"/>
      <c r="B44" s="17" t="str">
        <f aca="false">IF(OR(A44="",'Show Setup'!$B$7=""),"",IF(A44&gt;=0,'Show Setup'!$B$7-A44*7,'Show Setup'!$B$7-A44))</f>
        <v/>
      </c>
      <c r="C44" s="10"/>
      <c r="D44" s="10"/>
      <c r="E44" s="10"/>
      <c r="F44" s="10"/>
      <c r="G44" s="10"/>
      <c r="H44" s="10"/>
    </row>
    <row r="45" customFormat="false" ht="15" hidden="false" customHeight="false" outlineLevel="0" collapsed="false">
      <c r="A45" s="10"/>
      <c r="B45" s="17" t="str">
        <f aca="false">IF(OR(A45="",'Show Setup'!$B$7=""),"",IF(A45&gt;=0,'Show Setup'!$B$7-A45*7,'Show Setup'!$B$7-A45))</f>
        <v/>
      </c>
      <c r="C45" s="10"/>
      <c r="D45" s="10"/>
      <c r="E45" s="10"/>
      <c r="F45" s="10"/>
      <c r="G45" s="10"/>
      <c r="H45" s="10"/>
    </row>
    <row r="46" customFormat="false" ht="15" hidden="false" customHeight="false" outlineLevel="0" collapsed="false">
      <c r="A46" s="10"/>
      <c r="B46" s="17" t="str">
        <f aca="false">IF(OR(A46="",'Show Setup'!$B$7=""),"",IF(A46&gt;=0,'Show Setup'!$B$7-A46*7,'Show Setup'!$B$7-A46))</f>
        <v/>
      </c>
      <c r="C46" s="10"/>
      <c r="D46" s="10"/>
      <c r="E46" s="10"/>
      <c r="F46" s="10"/>
      <c r="G46" s="10"/>
      <c r="H46" s="10"/>
    </row>
    <row r="47" customFormat="false" ht="15" hidden="false" customHeight="false" outlineLevel="0" collapsed="false">
      <c r="A47" s="10"/>
      <c r="B47" s="17" t="str">
        <f aca="false">IF(OR(A47="",'Show Setup'!$B$7=""),"",IF(A47&gt;=0,'Show Setup'!$B$7-A47*7,'Show Setup'!$B$7-A47))</f>
        <v/>
      </c>
      <c r="C47" s="10"/>
      <c r="D47" s="10"/>
      <c r="E47" s="10"/>
      <c r="F47" s="10"/>
      <c r="G47" s="10"/>
      <c r="H47" s="10"/>
    </row>
    <row r="48" customFormat="false" ht="15" hidden="false" customHeight="false" outlineLevel="0" collapsed="false">
      <c r="A48" s="10"/>
      <c r="B48" s="17" t="str">
        <f aca="false">IF(OR(A48="",'Show Setup'!$B$7=""),"",IF(A48&gt;=0,'Show Setup'!$B$7-A48*7,'Show Setup'!$B$7-A48))</f>
        <v/>
      </c>
      <c r="C48" s="10"/>
      <c r="D48" s="10"/>
      <c r="E48" s="10"/>
      <c r="F48" s="10"/>
      <c r="G48" s="10"/>
      <c r="H48" s="10"/>
    </row>
    <row r="49" customFormat="false" ht="15" hidden="false" customHeight="false" outlineLevel="0" collapsed="false">
      <c r="A49" s="10"/>
      <c r="B49" s="17" t="str">
        <f aca="false">IF(OR(A49="",'Show Setup'!$B$7=""),"",IF(A49&gt;=0,'Show Setup'!$B$7-A49*7,'Show Setup'!$B$7-A49))</f>
        <v/>
      </c>
      <c r="C49" s="10"/>
      <c r="D49" s="10"/>
      <c r="E49" s="10"/>
      <c r="F49" s="10"/>
      <c r="G49" s="10"/>
      <c r="H49" s="10"/>
    </row>
    <row r="50" customFormat="false" ht="15" hidden="false" customHeight="false" outlineLevel="0" collapsed="false">
      <c r="A50" s="10"/>
      <c r="B50" s="17" t="str">
        <f aca="false">IF(OR(A50="",'Show Setup'!$B$7=""),"",IF(A50&gt;=0,'Show Setup'!$B$7-A50*7,'Show Setup'!$B$7-A50))</f>
        <v/>
      </c>
      <c r="C50" s="10"/>
      <c r="D50" s="10"/>
      <c r="E50" s="10"/>
      <c r="F50" s="10"/>
      <c r="G50" s="10"/>
      <c r="H50" s="10"/>
    </row>
    <row r="51" customFormat="false" ht="15" hidden="false" customHeight="false" outlineLevel="0" collapsed="false">
      <c r="A51" s="10"/>
      <c r="B51" s="17" t="str">
        <f aca="false">IF(OR(A51="",'Show Setup'!$B$7=""),"",IF(A51&gt;=0,'Show Setup'!$B$7-A51*7,'Show Setup'!$B$7-A51))</f>
        <v/>
      </c>
      <c r="C51" s="10"/>
      <c r="D51" s="10"/>
      <c r="E51" s="10"/>
      <c r="F51" s="10"/>
      <c r="G51" s="10"/>
      <c r="H51" s="10"/>
    </row>
    <row r="52" customFormat="false" ht="15" hidden="false" customHeight="false" outlineLevel="0" collapsed="false">
      <c r="A52" s="10"/>
      <c r="B52" s="17" t="str">
        <f aca="false">IF(OR(A52="",'Show Setup'!$B$7=""),"",IF(A52&gt;=0,'Show Setup'!$B$7-A52*7,'Show Setup'!$B$7-A52))</f>
        <v/>
      </c>
      <c r="C52" s="10"/>
      <c r="D52" s="10"/>
      <c r="E52" s="10"/>
      <c r="F52" s="10"/>
      <c r="G52" s="10"/>
      <c r="H52" s="10"/>
    </row>
  </sheetData>
  <mergeCells count="2">
    <mergeCell ref="A1:H1"/>
    <mergeCell ref="A2:H2"/>
  </mergeCells>
  <conditionalFormatting sqref="G5:G52">
    <cfRule type="cellIs" priority="2" operator="equal" aboveAverage="0" equalAverage="0" bottom="0" percent="0" rank="0" text="" dxfId="0">
      <formula>"Done"</formula>
    </cfRule>
    <cfRule type="cellIs" priority="3" operator="equal" aboveAverage="0" equalAverage="0" bottom="0" percent="0" rank="0" text="" dxfId="1">
      <formula>"Approved"</formula>
    </cfRule>
    <cfRule type="cellIs" priority="4" operator="equal" aboveAverage="0" equalAverage="0" bottom="0" percent="0" rank="0" text="" dxfId="2">
      <formula>"Drafted"</formula>
    </cfRule>
  </conditionalFormatting>
  <conditionalFormatting sqref="B5:B52">
    <cfRule type="expression" priority="5" aboveAverage="0" equalAverage="0" bottom="0" percent="0" rank="0" text="" dxfId="3">
      <formula>AND(B5&lt;&gt;"",B5&lt;TODAY(),G5&lt;&gt;"Done",G5&lt;&gt;"Skipped")</formula>
    </cfRule>
  </conditionalFormatting>
  <dataValidations count="1">
    <dataValidation allowBlank="true" errorStyle="stop" operator="between" showDropDown="false" showErrorMessage="false" showInputMessage="false" sqref="G5:G52" type="list">
      <formula1>"To do,Drafted,Approved,Done,Skipped"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I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32"/>
    <col collapsed="false" customWidth="true" hidden="false" outlineLevel="0" max="5" min="4" style="0" width="9"/>
    <col collapsed="false" customWidth="true" hidden="false" outlineLevel="0" max="6" min="6" style="0" width="11"/>
    <col collapsed="false" customWidth="true" hidden="false" outlineLevel="0" max="7" min="7" style="0" width="10"/>
    <col collapsed="false" customWidth="true" hidden="false" outlineLevel="0" max="8" min="8" style="0" width="13"/>
    <col collapsed="false" customWidth="true" hidden="false" outlineLevel="0" max="9" min="9" style="0" width="32"/>
  </cols>
  <sheetData>
    <row r="1" customFormat="false" ht="30" hidden="false" customHeight="true" outlineLevel="0" collapsed="false">
      <c r="A1" s="1" t="s">
        <v>153</v>
      </c>
      <c r="B1" s="1"/>
      <c r="C1" s="1"/>
      <c r="D1" s="1"/>
      <c r="E1" s="1"/>
      <c r="F1" s="1"/>
      <c r="G1" s="1"/>
      <c r="H1" s="1"/>
      <c r="I1" s="1"/>
    </row>
    <row r="2" customFormat="false" ht="33.75" hidden="false" customHeight="true" outlineLevel="0" collapsed="false">
      <c r="A2" s="2" t="s">
        <v>154</v>
      </c>
      <c r="B2" s="2"/>
      <c r="C2" s="2"/>
      <c r="D2" s="2"/>
      <c r="E2" s="2"/>
      <c r="F2" s="2"/>
      <c r="G2" s="2"/>
      <c r="H2" s="2"/>
      <c r="I2" s="2"/>
    </row>
    <row r="4" customFormat="false" ht="15" hidden="false" customHeight="false" outlineLevel="0" collapsed="false">
      <c r="A4" s="19" t="s">
        <v>155</v>
      </c>
      <c r="B4" s="20"/>
      <c r="D4" s="19" t="s">
        <v>156</v>
      </c>
      <c r="F4" s="21" t="str">
        <f aca="false">IF(N(B4)=0,"",B5/B4)</f>
        <v/>
      </c>
    </row>
    <row r="5" customFormat="false" ht="30" hidden="false" customHeight="true" outlineLevel="0" collapsed="false">
      <c r="A5" s="19" t="s">
        <v>157</v>
      </c>
      <c r="B5" s="22" t="n">
        <f aca="false">SUM(E8:E87)</f>
        <v>0</v>
      </c>
      <c r="D5" s="23" t="s">
        <v>158</v>
      </c>
      <c r="E5" s="23"/>
      <c r="F5" s="23"/>
      <c r="G5" s="23"/>
      <c r="H5" s="23"/>
      <c r="I5" s="23"/>
    </row>
    <row r="7" customFormat="false" ht="33.75" hidden="false" customHeight="true" outlineLevel="0" collapsed="false">
      <c r="A7" s="15" t="s">
        <v>159</v>
      </c>
      <c r="B7" s="15" t="s">
        <v>160</v>
      </c>
      <c r="C7" s="15" t="s">
        <v>161</v>
      </c>
      <c r="D7" s="15" t="s">
        <v>162</v>
      </c>
      <c r="E7" s="15" t="s">
        <v>163</v>
      </c>
      <c r="F7" s="15" t="s">
        <v>164</v>
      </c>
      <c r="G7" s="15" t="s">
        <v>165</v>
      </c>
      <c r="H7" s="15" t="s">
        <v>166</v>
      </c>
      <c r="I7" s="15" t="s">
        <v>79</v>
      </c>
    </row>
    <row r="8" customFormat="false" ht="15" hidden="false" customHeight="false" outlineLevel="0" collapsed="false">
      <c r="A8" s="10" t="s">
        <v>167</v>
      </c>
      <c r="B8" s="10" t="s">
        <v>168</v>
      </c>
      <c r="C8" s="10"/>
      <c r="D8" s="14"/>
      <c r="E8" s="20"/>
      <c r="F8" s="14"/>
      <c r="G8" s="24" t="str">
        <f aca="false">IF(OR(N(D8)=0,N(E8)=0),"",D8/E8)</f>
        <v/>
      </c>
      <c r="H8" s="25" t="str">
        <f aca="false">IF(A8="","",IF(N(D8)=0,IF(N(E8)&gt;0,"Free",""),IF(N(E8)=0,"No sales yet",IF(G8&lt;='Show Setup'!$B$15,"Worth it",IF(G8&lt;='Show Setup'!$B$14,"Pays, barely","Not worth it")))))</f>
        <v/>
      </c>
      <c r="I8" s="10"/>
    </row>
    <row r="9" customFormat="false" ht="15" hidden="false" customHeight="false" outlineLevel="0" collapsed="false">
      <c r="A9" s="10" t="s">
        <v>58</v>
      </c>
      <c r="B9" s="10" t="s">
        <v>168</v>
      </c>
      <c r="C9" s="10"/>
      <c r="D9" s="14"/>
      <c r="E9" s="20"/>
      <c r="F9" s="14"/>
      <c r="G9" s="24" t="str">
        <f aca="false">IF(OR(N(D9)=0,N(E9)=0),"",D9/E9)</f>
        <v/>
      </c>
      <c r="H9" s="25" t="str">
        <f aca="false">IF(A9="","",IF(N(D9)=0,IF(N(E9)&gt;0,"Free",""),IF(N(E9)=0,"No sales yet",IF(G9&lt;='Show Setup'!$B$15,"Worth it",IF(G9&lt;='Show Setup'!$B$14,"Pays, barely","Not worth it")))))</f>
        <v/>
      </c>
      <c r="I9" s="10"/>
    </row>
    <row r="10" customFormat="false" ht="15" hidden="false" customHeight="false" outlineLevel="0" collapsed="false">
      <c r="A10" s="10" t="s">
        <v>169</v>
      </c>
      <c r="B10" s="10" t="s">
        <v>168</v>
      </c>
      <c r="C10" s="10"/>
      <c r="D10" s="14"/>
      <c r="E10" s="20"/>
      <c r="F10" s="14"/>
      <c r="G10" s="24" t="str">
        <f aca="false">IF(OR(N(D10)=0,N(E10)=0),"",D10/E10)</f>
        <v/>
      </c>
      <c r="H10" s="25" t="str">
        <f aca="false">IF(A10="","",IF(N(D10)=0,IF(N(E10)&gt;0,"Free",""),IF(N(E10)=0,"No sales yet",IF(G10&lt;='Show Setup'!$B$15,"Worth it",IF(G10&lt;='Show Setup'!$B$14,"Pays, barely","Not worth it")))))</f>
        <v/>
      </c>
      <c r="I10" s="10"/>
    </row>
    <row r="11" customFormat="false" ht="15" hidden="false" customHeight="false" outlineLevel="0" collapsed="false">
      <c r="A11" s="10" t="s">
        <v>170</v>
      </c>
      <c r="B11" s="10" t="s">
        <v>168</v>
      </c>
      <c r="C11" s="10"/>
      <c r="D11" s="14"/>
      <c r="E11" s="20"/>
      <c r="F11" s="14"/>
      <c r="G11" s="24" t="str">
        <f aca="false">IF(OR(N(D11)=0,N(E11)=0),"",D11/E11)</f>
        <v/>
      </c>
      <c r="H11" s="25" t="str">
        <f aca="false">IF(A11="","",IF(N(D11)=0,IF(N(E11)&gt;0,"Free",""),IF(N(E11)=0,"No sales yet",IF(G11&lt;='Show Setup'!$B$15,"Worth it",IF(G11&lt;='Show Setup'!$B$14,"Pays, barely","Not worth it")))))</f>
        <v/>
      </c>
      <c r="I11" s="10"/>
    </row>
    <row r="12" customFormat="false" ht="15" hidden="false" customHeight="false" outlineLevel="0" collapsed="false">
      <c r="A12" s="10" t="s">
        <v>171</v>
      </c>
      <c r="B12" s="10" t="s">
        <v>172</v>
      </c>
      <c r="C12" s="10"/>
      <c r="D12" s="14"/>
      <c r="E12" s="20"/>
      <c r="F12" s="14"/>
      <c r="G12" s="24" t="str">
        <f aca="false">IF(OR(N(D12)=0,N(E12)=0),"",D12/E12)</f>
        <v/>
      </c>
      <c r="H12" s="25" t="str">
        <f aca="false">IF(A12="","",IF(N(D12)=0,IF(N(E12)&gt;0,"Free",""),IF(N(E12)=0,"No sales yet",IF(G12&lt;='Show Setup'!$B$15,"Worth it",IF(G12&lt;='Show Setup'!$B$14,"Pays, barely","Not worth it")))))</f>
        <v/>
      </c>
      <c r="I12" s="10"/>
    </row>
    <row r="13" customFormat="false" ht="15" hidden="false" customHeight="false" outlineLevel="0" collapsed="false">
      <c r="A13" s="10" t="s">
        <v>173</v>
      </c>
      <c r="B13" s="10" t="s">
        <v>174</v>
      </c>
      <c r="C13" s="10"/>
      <c r="D13" s="14"/>
      <c r="E13" s="20"/>
      <c r="F13" s="14"/>
      <c r="G13" s="24" t="str">
        <f aca="false">IF(OR(N(D13)=0,N(E13)=0),"",D13/E13)</f>
        <v/>
      </c>
      <c r="H13" s="25" t="str">
        <f aca="false">IF(A13="","",IF(N(D13)=0,IF(N(E13)&gt;0,"Free",""),IF(N(E13)=0,"No sales yet",IF(G13&lt;='Show Setup'!$B$15,"Worth it",IF(G13&lt;='Show Setup'!$B$14,"Pays, barely","Not worth it")))))</f>
        <v/>
      </c>
      <c r="I13" s="10"/>
    </row>
    <row r="14" customFormat="false" ht="15" hidden="false" customHeight="false" outlineLevel="0" collapsed="false">
      <c r="A14" s="10" t="s">
        <v>121</v>
      </c>
      <c r="B14" s="10" t="s">
        <v>174</v>
      </c>
      <c r="C14" s="10"/>
      <c r="D14" s="14"/>
      <c r="E14" s="20"/>
      <c r="F14" s="14"/>
      <c r="G14" s="24" t="str">
        <f aca="false">IF(OR(N(D14)=0,N(E14)=0),"",D14/E14)</f>
        <v/>
      </c>
      <c r="H14" s="25" t="str">
        <f aca="false">IF(A14="","",IF(N(D14)=0,IF(N(E14)&gt;0,"Free",""),IF(N(E14)=0,"No sales yet",IF(G14&lt;='Show Setup'!$B$15,"Worth it",IF(G14&lt;='Show Setup'!$B$14,"Pays, barely","Not worth it")))))</f>
        <v/>
      </c>
      <c r="I14" s="10"/>
    </row>
    <row r="15" customFormat="false" ht="15" hidden="false" customHeight="false" outlineLevel="0" collapsed="false">
      <c r="A15" s="10" t="s">
        <v>95</v>
      </c>
      <c r="B15" s="10" t="s">
        <v>175</v>
      </c>
      <c r="C15" s="10"/>
      <c r="D15" s="14"/>
      <c r="E15" s="20"/>
      <c r="F15" s="14"/>
      <c r="G15" s="24" t="str">
        <f aca="false">IF(OR(N(D15)=0,N(E15)=0),"",D15/E15)</f>
        <v/>
      </c>
      <c r="H15" s="25" t="str">
        <f aca="false">IF(A15="","",IF(N(D15)=0,IF(N(E15)&gt;0,"Free",""),IF(N(E15)=0,"No sales yet",IF(G15&lt;='Show Setup'!$B$15,"Worth it",IF(G15&lt;='Show Setup'!$B$14,"Pays, barely","Not worth it")))))</f>
        <v/>
      </c>
      <c r="I15" s="10"/>
    </row>
    <row r="16" customFormat="false" ht="15" hidden="false" customHeight="false" outlineLevel="0" collapsed="false">
      <c r="A16" s="10" t="s">
        <v>176</v>
      </c>
      <c r="B16" s="10" t="s">
        <v>97</v>
      </c>
      <c r="C16" s="10"/>
      <c r="D16" s="14"/>
      <c r="E16" s="20"/>
      <c r="F16" s="14"/>
      <c r="G16" s="24" t="str">
        <f aca="false">IF(OR(N(D16)=0,N(E16)=0),"",D16/E16)</f>
        <v/>
      </c>
      <c r="H16" s="25" t="str">
        <f aca="false">IF(A16="","",IF(N(D16)=0,IF(N(E16)&gt;0,"Free",""),IF(N(E16)=0,"No sales yet",IF(G16&lt;='Show Setup'!$B$15,"Worth it",IF(G16&lt;='Show Setup'!$B$14,"Pays, barely","Not worth it")))))</f>
        <v/>
      </c>
      <c r="I16" s="10"/>
    </row>
    <row r="17" customFormat="false" ht="15" hidden="false" customHeight="false" outlineLevel="0" collapsed="false">
      <c r="A17" s="10" t="s">
        <v>177</v>
      </c>
      <c r="B17" s="10" t="s">
        <v>178</v>
      </c>
      <c r="C17" s="10"/>
      <c r="D17" s="14"/>
      <c r="E17" s="20"/>
      <c r="F17" s="14"/>
      <c r="G17" s="24" t="str">
        <f aca="false">IF(OR(N(D17)=0,N(E17)=0),"",D17/E17)</f>
        <v/>
      </c>
      <c r="H17" s="25" t="str">
        <f aca="false">IF(A17="","",IF(N(D17)=0,IF(N(E17)&gt;0,"Free",""),IF(N(E17)=0,"No sales yet",IF(G17&lt;='Show Setup'!$B$15,"Worth it",IF(G17&lt;='Show Setup'!$B$14,"Pays, barely","Not worth it")))))</f>
        <v/>
      </c>
      <c r="I17" s="10"/>
    </row>
    <row r="18" customFormat="false" ht="15" hidden="false" customHeight="false" outlineLevel="0" collapsed="false">
      <c r="A18" s="10" t="s">
        <v>179</v>
      </c>
      <c r="B18" s="10" t="s">
        <v>180</v>
      </c>
      <c r="C18" s="10"/>
      <c r="D18" s="14"/>
      <c r="E18" s="20"/>
      <c r="F18" s="14"/>
      <c r="G18" s="24" t="str">
        <f aca="false">IF(OR(N(D18)=0,N(E18)=0),"",D18/E18)</f>
        <v/>
      </c>
      <c r="H18" s="25" t="str">
        <f aca="false">IF(A18="","",IF(N(D18)=0,IF(N(E18)&gt;0,"Free",""),IF(N(E18)=0,"No sales yet",IF(G18&lt;='Show Setup'!$B$15,"Worth it",IF(G18&lt;='Show Setup'!$B$14,"Pays, barely","Not worth it")))))</f>
        <v/>
      </c>
      <c r="I18" s="10"/>
    </row>
    <row r="19" customFormat="false" ht="15" hidden="false" customHeight="false" outlineLevel="0" collapsed="false">
      <c r="A19" s="10" t="s">
        <v>179</v>
      </c>
      <c r="B19" s="10" t="s">
        <v>180</v>
      </c>
      <c r="C19" s="10"/>
      <c r="D19" s="14"/>
      <c r="E19" s="20"/>
      <c r="F19" s="14"/>
      <c r="G19" s="24" t="str">
        <f aca="false">IF(OR(N(D19)=0,N(E19)=0),"",D19/E19)</f>
        <v/>
      </c>
      <c r="H19" s="25" t="str">
        <f aca="false">IF(A19="","",IF(N(D19)=0,IF(N(E19)&gt;0,"Free",""),IF(N(E19)=0,"No sales yet",IF(G19&lt;='Show Setup'!$B$15,"Worth it",IF(G19&lt;='Show Setup'!$B$14,"Pays, barely","Not worth it")))))</f>
        <v/>
      </c>
      <c r="I19" s="10"/>
    </row>
    <row r="20" customFormat="false" ht="15" hidden="false" customHeight="false" outlineLevel="0" collapsed="false">
      <c r="A20" s="10" t="s">
        <v>179</v>
      </c>
      <c r="B20" s="10" t="s">
        <v>180</v>
      </c>
      <c r="C20" s="10"/>
      <c r="D20" s="14"/>
      <c r="E20" s="20"/>
      <c r="F20" s="14"/>
      <c r="G20" s="24" t="str">
        <f aca="false">IF(OR(N(D20)=0,N(E20)=0),"",D20/E20)</f>
        <v/>
      </c>
      <c r="H20" s="25" t="str">
        <f aca="false">IF(A20="","",IF(N(D20)=0,IF(N(E20)&gt;0,"Free",""),IF(N(E20)=0,"No sales yet",IF(G20&lt;='Show Setup'!$B$15,"Worth it",IF(G20&lt;='Show Setup'!$B$14,"Pays, barely","Not worth it")))))</f>
        <v/>
      </c>
      <c r="I20" s="10"/>
    </row>
    <row r="21" customFormat="false" ht="15" hidden="false" customHeight="false" outlineLevel="0" collapsed="false">
      <c r="A21" s="10" t="s">
        <v>179</v>
      </c>
      <c r="B21" s="10" t="s">
        <v>180</v>
      </c>
      <c r="C21" s="10"/>
      <c r="D21" s="14"/>
      <c r="E21" s="20"/>
      <c r="F21" s="14"/>
      <c r="G21" s="24" t="str">
        <f aca="false">IF(OR(N(D21)=0,N(E21)=0),"",D21/E21)</f>
        <v/>
      </c>
      <c r="H21" s="25" t="str">
        <f aca="false">IF(A21="","",IF(N(D21)=0,IF(N(E21)&gt;0,"Free",""),IF(N(E21)=0,"No sales yet",IF(G21&lt;='Show Setup'!$B$15,"Worth it",IF(G21&lt;='Show Setup'!$B$14,"Pays, barely","Not worth it")))))</f>
        <v/>
      </c>
      <c r="I21" s="10"/>
    </row>
    <row r="22" customFormat="false" ht="15" hidden="false" customHeight="false" outlineLevel="0" collapsed="false">
      <c r="A22" s="10" t="s">
        <v>179</v>
      </c>
      <c r="B22" s="10" t="s">
        <v>180</v>
      </c>
      <c r="C22" s="10"/>
      <c r="D22" s="14"/>
      <c r="E22" s="20"/>
      <c r="F22" s="14"/>
      <c r="G22" s="24" t="str">
        <f aca="false">IF(OR(N(D22)=0,N(E22)=0),"",D22/E22)</f>
        <v/>
      </c>
      <c r="H22" s="25" t="str">
        <f aca="false">IF(A22="","",IF(N(D22)=0,IF(N(E22)&gt;0,"Free",""),IF(N(E22)=0,"No sales yet",IF(G22&lt;='Show Setup'!$B$15,"Worth it",IF(G22&lt;='Show Setup'!$B$14,"Pays, barely","Not worth it")))))</f>
        <v/>
      </c>
      <c r="I22" s="10"/>
    </row>
    <row r="23" customFormat="false" ht="15" hidden="false" customHeight="false" outlineLevel="0" collapsed="false">
      <c r="A23" s="10" t="s">
        <v>179</v>
      </c>
      <c r="B23" s="10" t="s">
        <v>180</v>
      </c>
      <c r="C23" s="10"/>
      <c r="D23" s="14"/>
      <c r="E23" s="20"/>
      <c r="F23" s="14"/>
      <c r="G23" s="24" t="str">
        <f aca="false">IF(OR(N(D23)=0,N(E23)=0),"",D23/E23)</f>
        <v/>
      </c>
      <c r="H23" s="25" t="str">
        <f aca="false">IF(A23="","",IF(N(D23)=0,IF(N(E23)&gt;0,"Free",""),IF(N(E23)=0,"No sales yet",IF(G23&lt;='Show Setup'!$B$15,"Worth it",IF(G23&lt;='Show Setup'!$B$14,"Pays, barely","Not worth it")))))</f>
        <v/>
      </c>
      <c r="I23" s="10"/>
    </row>
    <row r="24" customFormat="false" ht="15" hidden="false" customHeight="false" outlineLevel="0" collapsed="false">
      <c r="A24" s="10" t="s">
        <v>179</v>
      </c>
      <c r="B24" s="10" t="s">
        <v>180</v>
      </c>
      <c r="C24" s="10"/>
      <c r="D24" s="14"/>
      <c r="E24" s="20"/>
      <c r="F24" s="14"/>
      <c r="G24" s="24" t="str">
        <f aca="false">IF(OR(N(D24)=0,N(E24)=0),"",D24/E24)</f>
        <v/>
      </c>
      <c r="H24" s="25" t="str">
        <f aca="false">IF(A24="","",IF(N(D24)=0,IF(N(E24)&gt;0,"Free",""),IF(N(E24)=0,"No sales yet",IF(G24&lt;='Show Setup'!$B$15,"Worth it",IF(G24&lt;='Show Setup'!$B$14,"Pays, barely","Not worth it")))))</f>
        <v/>
      </c>
      <c r="I24" s="10"/>
    </row>
    <row r="25" customFormat="false" ht="15" hidden="false" customHeight="false" outlineLevel="0" collapsed="false">
      <c r="A25" s="10" t="s">
        <v>179</v>
      </c>
      <c r="B25" s="10" t="s">
        <v>180</v>
      </c>
      <c r="C25" s="10"/>
      <c r="D25" s="14"/>
      <c r="E25" s="20"/>
      <c r="F25" s="14"/>
      <c r="G25" s="24" t="str">
        <f aca="false">IF(OR(N(D25)=0,N(E25)=0),"",D25/E25)</f>
        <v/>
      </c>
      <c r="H25" s="25" t="str">
        <f aca="false">IF(A25="","",IF(N(D25)=0,IF(N(E25)&gt;0,"Free",""),IF(N(E25)=0,"No sales yet",IF(G25&lt;='Show Setup'!$B$15,"Worth it",IF(G25&lt;='Show Setup'!$B$14,"Pays, barely","Not worth it")))))</f>
        <v/>
      </c>
      <c r="I25" s="10"/>
    </row>
    <row r="26" customFormat="false" ht="15" hidden="false" customHeight="false" outlineLevel="0" collapsed="false">
      <c r="A26" s="10" t="s">
        <v>179</v>
      </c>
      <c r="B26" s="10" t="s">
        <v>180</v>
      </c>
      <c r="C26" s="10"/>
      <c r="D26" s="14"/>
      <c r="E26" s="20"/>
      <c r="F26" s="14"/>
      <c r="G26" s="24" t="str">
        <f aca="false">IF(OR(N(D26)=0,N(E26)=0),"",D26/E26)</f>
        <v/>
      </c>
      <c r="H26" s="25" t="str">
        <f aca="false">IF(A26="","",IF(N(D26)=0,IF(N(E26)&gt;0,"Free",""),IF(N(E26)=0,"No sales yet",IF(G26&lt;='Show Setup'!$B$15,"Worth it",IF(G26&lt;='Show Setup'!$B$14,"Pays, barely","Not worth it")))))</f>
        <v/>
      </c>
      <c r="I26" s="10"/>
    </row>
    <row r="27" customFormat="false" ht="15" hidden="false" customHeight="false" outlineLevel="0" collapsed="false">
      <c r="A27" s="10" t="s">
        <v>179</v>
      </c>
      <c r="B27" s="10" t="s">
        <v>180</v>
      </c>
      <c r="C27" s="10"/>
      <c r="D27" s="14"/>
      <c r="E27" s="20"/>
      <c r="F27" s="14"/>
      <c r="G27" s="24" t="str">
        <f aca="false">IF(OR(N(D27)=0,N(E27)=0),"",D27/E27)</f>
        <v/>
      </c>
      <c r="H27" s="25" t="str">
        <f aca="false">IF(A27="","",IF(N(D27)=0,IF(N(E27)&gt;0,"Free",""),IF(N(E27)=0,"No sales yet",IF(G27&lt;='Show Setup'!$B$15,"Worth it",IF(G27&lt;='Show Setup'!$B$14,"Pays, barely","Not worth it")))))</f>
        <v/>
      </c>
      <c r="I27" s="10"/>
    </row>
    <row r="28" customFormat="false" ht="15" hidden="false" customHeight="false" outlineLevel="0" collapsed="false">
      <c r="A28" s="10" t="s">
        <v>179</v>
      </c>
      <c r="B28" s="10" t="s">
        <v>180</v>
      </c>
      <c r="C28" s="10"/>
      <c r="D28" s="14"/>
      <c r="E28" s="20"/>
      <c r="F28" s="14"/>
      <c r="G28" s="24" t="str">
        <f aca="false">IF(OR(N(D28)=0,N(E28)=0),"",D28/E28)</f>
        <v/>
      </c>
      <c r="H28" s="25" t="str">
        <f aca="false">IF(A28="","",IF(N(D28)=0,IF(N(E28)&gt;0,"Free",""),IF(N(E28)=0,"No sales yet",IF(G28&lt;='Show Setup'!$B$15,"Worth it",IF(G28&lt;='Show Setup'!$B$14,"Pays, barely","Not worth it")))))</f>
        <v/>
      </c>
      <c r="I28" s="10"/>
    </row>
    <row r="29" customFormat="false" ht="15" hidden="false" customHeight="false" outlineLevel="0" collapsed="false">
      <c r="A29" s="10" t="s">
        <v>179</v>
      </c>
      <c r="B29" s="10" t="s">
        <v>180</v>
      </c>
      <c r="C29" s="10"/>
      <c r="D29" s="14"/>
      <c r="E29" s="20"/>
      <c r="F29" s="14"/>
      <c r="G29" s="24" t="str">
        <f aca="false">IF(OR(N(D29)=0,N(E29)=0),"",D29/E29)</f>
        <v/>
      </c>
      <c r="H29" s="25" t="str">
        <f aca="false">IF(A29="","",IF(N(D29)=0,IF(N(E29)&gt;0,"Free",""),IF(N(E29)=0,"No sales yet",IF(G29&lt;='Show Setup'!$B$15,"Worth it",IF(G29&lt;='Show Setup'!$B$14,"Pays, barely","Not worth it")))))</f>
        <v/>
      </c>
      <c r="I29" s="10"/>
    </row>
    <row r="30" customFormat="false" ht="15" hidden="false" customHeight="false" outlineLevel="0" collapsed="false">
      <c r="A30" s="10" t="s">
        <v>179</v>
      </c>
      <c r="B30" s="10" t="s">
        <v>180</v>
      </c>
      <c r="C30" s="10"/>
      <c r="D30" s="14"/>
      <c r="E30" s="20"/>
      <c r="F30" s="14"/>
      <c r="G30" s="24" t="str">
        <f aca="false">IF(OR(N(D30)=0,N(E30)=0),"",D30/E30)</f>
        <v/>
      </c>
      <c r="H30" s="25" t="str">
        <f aca="false">IF(A30="","",IF(N(D30)=0,IF(N(E30)&gt;0,"Free",""),IF(N(E30)=0,"No sales yet",IF(G30&lt;='Show Setup'!$B$15,"Worth it",IF(G30&lt;='Show Setup'!$B$14,"Pays, barely","Not worth it")))))</f>
        <v/>
      </c>
      <c r="I30" s="10"/>
    </row>
    <row r="31" customFormat="false" ht="15" hidden="false" customHeight="false" outlineLevel="0" collapsed="false">
      <c r="A31" s="10" t="s">
        <v>179</v>
      </c>
      <c r="B31" s="10" t="s">
        <v>180</v>
      </c>
      <c r="C31" s="10"/>
      <c r="D31" s="14"/>
      <c r="E31" s="20"/>
      <c r="F31" s="14"/>
      <c r="G31" s="24" t="str">
        <f aca="false">IF(OR(N(D31)=0,N(E31)=0),"",D31/E31)</f>
        <v/>
      </c>
      <c r="H31" s="25" t="str">
        <f aca="false">IF(A31="","",IF(N(D31)=0,IF(N(E31)&gt;0,"Free",""),IF(N(E31)=0,"No sales yet",IF(G31&lt;='Show Setup'!$B$15,"Worth it",IF(G31&lt;='Show Setup'!$B$14,"Pays, barely","Not worth it")))))</f>
        <v/>
      </c>
      <c r="I31" s="10"/>
    </row>
    <row r="32" customFormat="false" ht="15" hidden="false" customHeight="false" outlineLevel="0" collapsed="false">
      <c r="A32" s="10" t="s">
        <v>179</v>
      </c>
      <c r="B32" s="10" t="s">
        <v>180</v>
      </c>
      <c r="C32" s="10"/>
      <c r="D32" s="14"/>
      <c r="E32" s="20"/>
      <c r="F32" s="14"/>
      <c r="G32" s="24" t="str">
        <f aca="false">IF(OR(N(D32)=0,N(E32)=0),"",D32/E32)</f>
        <v/>
      </c>
      <c r="H32" s="25" t="str">
        <f aca="false">IF(A32="","",IF(N(D32)=0,IF(N(E32)&gt;0,"Free",""),IF(N(E32)=0,"No sales yet",IF(G32&lt;='Show Setup'!$B$15,"Worth it",IF(G32&lt;='Show Setup'!$B$14,"Pays, barely","Not worth it")))))</f>
        <v/>
      </c>
      <c r="I32" s="10"/>
    </row>
    <row r="33" customFormat="false" ht="15" hidden="false" customHeight="false" outlineLevel="0" collapsed="false">
      <c r="A33" s="10" t="s">
        <v>179</v>
      </c>
      <c r="B33" s="10" t="s">
        <v>180</v>
      </c>
      <c r="C33" s="10"/>
      <c r="D33" s="14"/>
      <c r="E33" s="20"/>
      <c r="F33" s="14"/>
      <c r="G33" s="24" t="str">
        <f aca="false">IF(OR(N(D33)=0,N(E33)=0),"",D33/E33)</f>
        <v/>
      </c>
      <c r="H33" s="25" t="str">
        <f aca="false">IF(A33="","",IF(N(D33)=0,IF(N(E33)&gt;0,"Free",""),IF(N(E33)=0,"No sales yet",IF(G33&lt;='Show Setup'!$B$15,"Worth it",IF(G33&lt;='Show Setup'!$B$14,"Pays, barely","Not worth it")))))</f>
        <v/>
      </c>
      <c r="I33" s="10"/>
    </row>
    <row r="34" customFormat="false" ht="15" hidden="false" customHeight="false" outlineLevel="0" collapsed="false">
      <c r="A34" s="10" t="s">
        <v>181</v>
      </c>
      <c r="B34" s="10" t="s">
        <v>178</v>
      </c>
      <c r="C34" s="10"/>
      <c r="D34" s="14"/>
      <c r="E34" s="20"/>
      <c r="F34" s="14"/>
      <c r="G34" s="24" t="str">
        <f aca="false">IF(OR(N(D34)=0,N(E34)=0),"",D34/E34)</f>
        <v/>
      </c>
      <c r="H34" s="25" t="str">
        <f aca="false">IF(A34="","",IF(N(D34)=0,IF(N(E34)&gt;0,"Free",""),IF(N(E34)=0,"No sales yet",IF(G34&lt;='Show Setup'!$B$15,"Worth it",IF(G34&lt;='Show Setup'!$B$14,"Pays, barely","Not worth it")))))</f>
        <v/>
      </c>
      <c r="I34" s="10"/>
    </row>
    <row r="35" customFormat="false" ht="15" hidden="false" customHeight="false" outlineLevel="0" collapsed="false">
      <c r="A35" s="10" t="s">
        <v>181</v>
      </c>
      <c r="B35" s="10" t="s">
        <v>178</v>
      </c>
      <c r="C35" s="10"/>
      <c r="D35" s="14"/>
      <c r="E35" s="20"/>
      <c r="F35" s="14"/>
      <c r="G35" s="24" t="str">
        <f aca="false">IF(OR(N(D35)=0,N(E35)=0),"",D35/E35)</f>
        <v/>
      </c>
      <c r="H35" s="25" t="str">
        <f aca="false">IF(A35="","",IF(N(D35)=0,IF(N(E35)&gt;0,"Free",""),IF(N(E35)=0,"No sales yet",IF(G35&lt;='Show Setup'!$B$15,"Worth it",IF(G35&lt;='Show Setup'!$B$14,"Pays, barely","Not worth it")))))</f>
        <v/>
      </c>
      <c r="I35" s="10"/>
    </row>
    <row r="36" customFormat="false" ht="15" hidden="false" customHeight="false" outlineLevel="0" collapsed="false">
      <c r="A36" s="10" t="s">
        <v>181</v>
      </c>
      <c r="B36" s="10" t="s">
        <v>178</v>
      </c>
      <c r="C36" s="10"/>
      <c r="D36" s="14"/>
      <c r="E36" s="20"/>
      <c r="F36" s="14"/>
      <c r="G36" s="24" t="str">
        <f aca="false">IF(OR(N(D36)=0,N(E36)=0),"",D36/E36)</f>
        <v/>
      </c>
      <c r="H36" s="25" t="str">
        <f aca="false">IF(A36="","",IF(N(D36)=0,IF(N(E36)&gt;0,"Free",""),IF(N(E36)=0,"No sales yet",IF(G36&lt;='Show Setup'!$B$15,"Worth it",IF(G36&lt;='Show Setup'!$B$14,"Pays, barely","Not worth it")))))</f>
        <v/>
      </c>
      <c r="I36" s="10"/>
    </row>
    <row r="37" customFormat="false" ht="15" hidden="false" customHeight="false" outlineLevel="0" collapsed="false">
      <c r="A37" s="10" t="s">
        <v>181</v>
      </c>
      <c r="B37" s="10" t="s">
        <v>178</v>
      </c>
      <c r="C37" s="10"/>
      <c r="D37" s="14"/>
      <c r="E37" s="20"/>
      <c r="F37" s="14"/>
      <c r="G37" s="24" t="str">
        <f aca="false">IF(OR(N(D37)=0,N(E37)=0),"",D37/E37)</f>
        <v/>
      </c>
      <c r="H37" s="25" t="str">
        <f aca="false">IF(A37="","",IF(N(D37)=0,IF(N(E37)&gt;0,"Free",""),IF(N(E37)=0,"No sales yet",IF(G37&lt;='Show Setup'!$B$15,"Worth it",IF(G37&lt;='Show Setup'!$B$14,"Pays, barely","Not worth it")))))</f>
        <v/>
      </c>
      <c r="I37" s="10"/>
    </row>
    <row r="38" customFormat="false" ht="15" hidden="false" customHeight="false" outlineLevel="0" collapsed="false">
      <c r="A38" s="10" t="s">
        <v>182</v>
      </c>
      <c r="B38" s="10" t="s">
        <v>183</v>
      </c>
      <c r="C38" s="10"/>
      <c r="D38" s="14"/>
      <c r="E38" s="20"/>
      <c r="F38" s="14"/>
      <c r="G38" s="24" t="str">
        <f aca="false">IF(OR(N(D38)=0,N(E38)=0),"",D38/E38)</f>
        <v/>
      </c>
      <c r="H38" s="25" t="str">
        <f aca="false">IF(A38="","",IF(N(D38)=0,IF(N(E38)&gt;0,"Free",""),IF(N(E38)=0,"No sales yet",IF(G38&lt;='Show Setup'!$B$15,"Worth it",IF(G38&lt;='Show Setup'!$B$14,"Pays, barely","Not worth it")))))</f>
        <v/>
      </c>
      <c r="I38" s="10"/>
    </row>
    <row r="39" customFormat="false" ht="15" hidden="false" customHeight="false" outlineLevel="0" collapsed="false">
      <c r="A39" s="10" t="s">
        <v>182</v>
      </c>
      <c r="B39" s="10" t="s">
        <v>183</v>
      </c>
      <c r="C39" s="10"/>
      <c r="D39" s="14"/>
      <c r="E39" s="20"/>
      <c r="F39" s="14"/>
      <c r="G39" s="24" t="str">
        <f aca="false">IF(OR(N(D39)=0,N(E39)=0),"",D39/E39)</f>
        <v/>
      </c>
      <c r="H39" s="25" t="str">
        <f aca="false">IF(A39="","",IF(N(D39)=0,IF(N(E39)&gt;0,"Free",""),IF(N(E39)=0,"No sales yet",IF(G39&lt;='Show Setup'!$B$15,"Worth it",IF(G39&lt;='Show Setup'!$B$14,"Pays, barely","Not worth it")))))</f>
        <v/>
      </c>
      <c r="I39" s="10"/>
    </row>
    <row r="40" customFormat="false" ht="15" hidden="false" customHeight="false" outlineLevel="0" collapsed="false">
      <c r="A40" s="10" t="s">
        <v>182</v>
      </c>
      <c r="B40" s="10" t="s">
        <v>183</v>
      </c>
      <c r="C40" s="10"/>
      <c r="D40" s="14"/>
      <c r="E40" s="20"/>
      <c r="F40" s="14"/>
      <c r="G40" s="24" t="str">
        <f aca="false">IF(OR(N(D40)=0,N(E40)=0),"",D40/E40)</f>
        <v/>
      </c>
      <c r="H40" s="25" t="str">
        <f aca="false">IF(A40="","",IF(N(D40)=0,IF(N(E40)&gt;0,"Free",""),IF(N(E40)=0,"No sales yet",IF(G40&lt;='Show Setup'!$B$15,"Worth it",IF(G40&lt;='Show Setup'!$B$14,"Pays, barely","Not worth it")))))</f>
        <v/>
      </c>
      <c r="I40" s="10"/>
    </row>
    <row r="41" customFormat="false" ht="15" hidden="false" customHeight="false" outlineLevel="0" collapsed="false">
      <c r="A41" s="10" t="s">
        <v>182</v>
      </c>
      <c r="B41" s="10" t="s">
        <v>183</v>
      </c>
      <c r="C41" s="10"/>
      <c r="D41" s="14"/>
      <c r="E41" s="20"/>
      <c r="F41" s="14"/>
      <c r="G41" s="24" t="str">
        <f aca="false">IF(OR(N(D41)=0,N(E41)=0),"",D41/E41)</f>
        <v/>
      </c>
      <c r="H41" s="25" t="str">
        <f aca="false">IF(A41="","",IF(N(D41)=0,IF(N(E41)&gt;0,"Free",""),IF(N(E41)=0,"No sales yet",IF(G41&lt;='Show Setup'!$B$15,"Worth it",IF(G41&lt;='Show Setup'!$B$14,"Pays, barely","Not worth it")))))</f>
        <v/>
      </c>
      <c r="I41" s="10"/>
    </row>
    <row r="42" customFormat="false" ht="15" hidden="false" customHeight="false" outlineLevel="0" collapsed="false">
      <c r="A42" s="10" t="s">
        <v>182</v>
      </c>
      <c r="B42" s="10" t="s">
        <v>183</v>
      </c>
      <c r="C42" s="10"/>
      <c r="D42" s="14"/>
      <c r="E42" s="20"/>
      <c r="F42" s="14"/>
      <c r="G42" s="24" t="str">
        <f aca="false">IF(OR(N(D42)=0,N(E42)=0),"",D42/E42)</f>
        <v/>
      </c>
      <c r="H42" s="25" t="str">
        <f aca="false">IF(A42="","",IF(N(D42)=0,IF(N(E42)&gt;0,"Free",""),IF(N(E42)=0,"No sales yet",IF(G42&lt;='Show Setup'!$B$15,"Worth it",IF(G42&lt;='Show Setup'!$B$14,"Pays, barely","Not worth it")))))</f>
        <v/>
      </c>
      <c r="I42" s="10"/>
    </row>
    <row r="43" customFormat="false" ht="15" hidden="false" customHeight="false" outlineLevel="0" collapsed="false">
      <c r="A43" s="10" t="s">
        <v>182</v>
      </c>
      <c r="B43" s="10" t="s">
        <v>183</v>
      </c>
      <c r="C43" s="10"/>
      <c r="D43" s="14"/>
      <c r="E43" s="20"/>
      <c r="F43" s="14"/>
      <c r="G43" s="24" t="str">
        <f aca="false">IF(OR(N(D43)=0,N(E43)=0),"",D43/E43)</f>
        <v/>
      </c>
      <c r="H43" s="25" t="str">
        <f aca="false">IF(A43="","",IF(N(D43)=0,IF(N(E43)&gt;0,"Free",""),IF(N(E43)=0,"No sales yet",IF(G43&lt;='Show Setup'!$B$15,"Worth it",IF(G43&lt;='Show Setup'!$B$14,"Pays, barely","Not worth it")))))</f>
        <v/>
      </c>
      <c r="I43" s="10"/>
    </row>
    <row r="44" customFormat="false" ht="15" hidden="false" customHeight="false" outlineLevel="0" collapsed="false">
      <c r="A44" s="10" t="s">
        <v>184</v>
      </c>
      <c r="B44" s="10" t="s">
        <v>185</v>
      </c>
      <c r="C44" s="10"/>
      <c r="D44" s="14"/>
      <c r="E44" s="20"/>
      <c r="F44" s="14"/>
      <c r="G44" s="24" t="str">
        <f aca="false">IF(OR(N(D44)=0,N(E44)=0),"",D44/E44)</f>
        <v/>
      </c>
      <c r="H44" s="25" t="str">
        <f aca="false">IF(A44="","",IF(N(D44)=0,IF(N(E44)&gt;0,"Free",""),IF(N(E44)=0,"No sales yet",IF(G44&lt;='Show Setup'!$B$15,"Worth it",IF(G44&lt;='Show Setup'!$B$14,"Pays, barely","Not worth it")))))</f>
        <v/>
      </c>
      <c r="I44" s="10"/>
    </row>
    <row r="45" customFormat="false" ht="15" hidden="false" customHeight="false" outlineLevel="0" collapsed="false">
      <c r="A45" s="10" t="s">
        <v>186</v>
      </c>
      <c r="B45" s="10" t="s">
        <v>185</v>
      </c>
      <c r="C45" s="10"/>
      <c r="D45" s="14"/>
      <c r="E45" s="20"/>
      <c r="F45" s="14"/>
      <c r="G45" s="24" t="str">
        <f aca="false">IF(OR(N(D45)=0,N(E45)=0),"",D45/E45)</f>
        <v/>
      </c>
      <c r="H45" s="25" t="str">
        <f aca="false">IF(A45="","",IF(N(D45)=0,IF(N(E45)&gt;0,"Free",""),IF(N(E45)=0,"No sales yet",IF(G45&lt;='Show Setup'!$B$15,"Worth it",IF(G45&lt;='Show Setup'!$B$14,"Pays, barely","Not worth it")))))</f>
        <v/>
      </c>
      <c r="I45" s="10"/>
    </row>
    <row r="46" customFormat="false" ht="15" hidden="false" customHeight="false" outlineLevel="0" collapsed="false">
      <c r="A46" s="10" t="s">
        <v>187</v>
      </c>
      <c r="B46" s="10" t="s">
        <v>185</v>
      </c>
      <c r="C46" s="10"/>
      <c r="D46" s="14"/>
      <c r="E46" s="20"/>
      <c r="F46" s="14"/>
      <c r="G46" s="24" t="str">
        <f aca="false">IF(OR(N(D46)=0,N(E46)=0),"",D46/E46)</f>
        <v/>
      </c>
      <c r="H46" s="25" t="str">
        <f aca="false">IF(A46="","",IF(N(D46)=0,IF(N(E46)&gt;0,"Free",""),IF(N(E46)=0,"No sales yet",IF(G46&lt;='Show Setup'!$B$15,"Worth it",IF(G46&lt;='Show Setup'!$B$14,"Pays, barely","Not worth it")))))</f>
        <v/>
      </c>
      <c r="I46" s="10"/>
    </row>
    <row r="47" customFormat="false" ht="15" hidden="false" customHeight="false" outlineLevel="0" collapsed="false">
      <c r="A47" s="10" t="s">
        <v>188</v>
      </c>
      <c r="B47" s="10" t="s">
        <v>185</v>
      </c>
      <c r="C47" s="10"/>
      <c r="D47" s="14"/>
      <c r="E47" s="20"/>
      <c r="F47" s="14"/>
      <c r="G47" s="24" t="str">
        <f aca="false">IF(OR(N(D47)=0,N(E47)=0),"",D47/E47)</f>
        <v/>
      </c>
      <c r="H47" s="25" t="str">
        <f aca="false">IF(A47="","",IF(N(D47)=0,IF(N(E47)&gt;0,"Free",""),IF(N(E47)=0,"No sales yet",IF(G47&lt;='Show Setup'!$B$15,"Worth it",IF(G47&lt;='Show Setup'!$B$14,"Pays, barely","Not worth it")))))</f>
        <v/>
      </c>
      <c r="I47" s="10"/>
    </row>
    <row r="48" customFormat="false" ht="15" hidden="false" customHeight="false" outlineLevel="0" collapsed="false">
      <c r="A48" s="10" t="s">
        <v>189</v>
      </c>
      <c r="B48" s="10" t="s">
        <v>185</v>
      </c>
      <c r="C48" s="10"/>
      <c r="D48" s="14"/>
      <c r="E48" s="20"/>
      <c r="F48" s="14"/>
      <c r="G48" s="24" t="str">
        <f aca="false">IF(OR(N(D48)=0,N(E48)=0),"",D48/E48)</f>
        <v/>
      </c>
      <c r="H48" s="25" t="str">
        <f aca="false">IF(A48="","",IF(N(D48)=0,IF(N(E48)&gt;0,"Free",""),IF(N(E48)=0,"No sales yet",IF(G48&lt;='Show Setup'!$B$15,"Worth it",IF(G48&lt;='Show Setup'!$B$14,"Pays, barely","Not worth it")))))</f>
        <v/>
      </c>
      <c r="I48" s="10"/>
    </row>
    <row r="49" customFormat="false" ht="15" hidden="false" customHeight="false" outlineLevel="0" collapsed="false">
      <c r="A49" s="10" t="s">
        <v>190</v>
      </c>
      <c r="B49" s="10" t="s">
        <v>191</v>
      </c>
      <c r="C49" s="10"/>
      <c r="D49" s="14"/>
      <c r="E49" s="20"/>
      <c r="F49" s="14"/>
      <c r="G49" s="24" t="str">
        <f aca="false">IF(OR(N(D49)=0,N(E49)=0),"",D49/E49)</f>
        <v/>
      </c>
      <c r="H49" s="25" t="str">
        <f aca="false">IF(A49="","",IF(N(D49)=0,IF(N(E49)&gt;0,"Free",""),IF(N(E49)=0,"No sales yet",IF(G49&lt;='Show Setup'!$B$15,"Worth it",IF(G49&lt;='Show Setup'!$B$14,"Pays, barely","Not worth it")))))</f>
        <v/>
      </c>
      <c r="I49" s="10"/>
    </row>
    <row r="50" customFormat="false" ht="15" hidden="false" customHeight="false" outlineLevel="0" collapsed="false">
      <c r="A50" s="10"/>
      <c r="B50" s="10"/>
      <c r="C50" s="10"/>
      <c r="D50" s="14"/>
      <c r="E50" s="20"/>
      <c r="F50" s="14"/>
      <c r="G50" s="24" t="str">
        <f aca="false">IF(OR(N(D50)=0,N(E50)=0),"",D50/E50)</f>
        <v/>
      </c>
      <c r="H50" s="25" t="str">
        <f aca="false">IF(A50="","",IF(N(D50)=0,IF(N(E50)&gt;0,"Free",""),IF(N(E50)=0,"No sales yet",IF(G50&lt;='Show Setup'!$B$15,"Worth it",IF(G50&lt;='Show Setup'!$B$14,"Pays, barely","Not worth it")))))</f>
        <v/>
      </c>
      <c r="I50" s="10"/>
    </row>
    <row r="51" customFormat="false" ht="15" hidden="false" customHeight="false" outlineLevel="0" collapsed="false">
      <c r="A51" s="10"/>
      <c r="B51" s="10"/>
      <c r="C51" s="10"/>
      <c r="D51" s="14"/>
      <c r="E51" s="20"/>
      <c r="F51" s="14"/>
      <c r="G51" s="24" t="str">
        <f aca="false">IF(OR(N(D51)=0,N(E51)=0),"",D51/E51)</f>
        <v/>
      </c>
      <c r="H51" s="25" t="str">
        <f aca="false">IF(A51="","",IF(N(D51)=0,IF(N(E51)&gt;0,"Free",""),IF(N(E51)=0,"No sales yet",IF(G51&lt;='Show Setup'!$B$15,"Worth it",IF(G51&lt;='Show Setup'!$B$14,"Pays, barely","Not worth it")))))</f>
        <v/>
      </c>
      <c r="I51" s="10"/>
    </row>
    <row r="52" customFormat="false" ht="15" hidden="false" customHeight="false" outlineLevel="0" collapsed="false">
      <c r="A52" s="10"/>
      <c r="B52" s="10"/>
      <c r="C52" s="10"/>
      <c r="D52" s="14"/>
      <c r="E52" s="20"/>
      <c r="F52" s="14"/>
      <c r="G52" s="24" t="str">
        <f aca="false">IF(OR(N(D52)=0,N(E52)=0),"",D52/E52)</f>
        <v/>
      </c>
      <c r="H52" s="25" t="str">
        <f aca="false">IF(A52="","",IF(N(D52)=0,IF(N(E52)&gt;0,"Free",""),IF(N(E52)=0,"No sales yet",IF(G52&lt;='Show Setup'!$B$15,"Worth it",IF(G52&lt;='Show Setup'!$B$14,"Pays, barely","Not worth it")))))</f>
        <v/>
      </c>
      <c r="I52" s="10"/>
    </row>
    <row r="53" customFormat="false" ht="15" hidden="false" customHeight="false" outlineLevel="0" collapsed="false">
      <c r="A53" s="10"/>
      <c r="B53" s="10"/>
      <c r="C53" s="10"/>
      <c r="D53" s="14"/>
      <c r="E53" s="20"/>
      <c r="F53" s="14"/>
      <c r="G53" s="24" t="str">
        <f aca="false">IF(OR(N(D53)=0,N(E53)=0),"",D53/E53)</f>
        <v/>
      </c>
      <c r="H53" s="25" t="str">
        <f aca="false">IF(A53="","",IF(N(D53)=0,IF(N(E53)&gt;0,"Free",""),IF(N(E53)=0,"No sales yet",IF(G53&lt;='Show Setup'!$B$15,"Worth it",IF(G53&lt;='Show Setup'!$B$14,"Pays, barely","Not worth it")))))</f>
        <v/>
      </c>
      <c r="I53" s="10"/>
    </row>
    <row r="54" customFormat="false" ht="15" hidden="false" customHeight="false" outlineLevel="0" collapsed="false">
      <c r="A54" s="10"/>
      <c r="B54" s="10"/>
      <c r="C54" s="10"/>
      <c r="D54" s="14"/>
      <c r="E54" s="20"/>
      <c r="F54" s="14"/>
      <c r="G54" s="24" t="str">
        <f aca="false">IF(OR(N(D54)=0,N(E54)=0),"",D54/E54)</f>
        <v/>
      </c>
      <c r="H54" s="25" t="str">
        <f aca="false">IF(A54="","",IF(N(D54)=0,IF(N(E54)&gt;0,"Free",""),IF(N(E54)=0,"No sales yet",IF(G54&lt;='Show Setup'!$B$15,"Worth it",IF(G54&lt;='Show Setup'!$B$14,"Pays, barely","Not worth it")))))</f>
        <v/>
      </c>
      <c r="I54" s="10"/>
    </row>
    <row r="55" customFormat="false" ht="15" hidden="false" customHeight="false" outlineLevel="0" collapsed="false">
      <c r="A55" s="10"/>
      <c r="B55" s="10"/>
      <c r="C55" s="10"/>
      <c r="D55" s="14"/>
      <c r="E55" s="20"/>
      <c r="F55" s="14"/>
      <c r="G55" s="24" t="str">
        <f aca="false">IF(OR(N(D55)=0,N(E55)=0),"",D55/E55)</f>
        <v/>
      </c>
      <c r="H55" s="25" t="str">
        <f aca="false">IF(A55="","",IF(N(D55)=0,IF(N(E55)&gt;0,"Free",""),IF(N(E55)=0,"No sales yet",IF(G55&lt;='Show Setup'!$B$15,"Worth it",IF(G55&lt;='Show Setup'!$B$14,"Pays, barely","Not worth it")))))</f>
        <v/>
      </c>
      <c r="I55" s="10"/>
    </row>
    <row r="56" customFormat="false" ht="15" hidden="false" customHeight="false" outlineLevel="0" collapsed="false">
      <c r="A56" s="10"/>
      <c r="B56" s="10"/>
      <c r="C56" s="10"/>
      <c r="D56" s="14"/>
      <c r="E56" s="20"/>
      <c r="F56" s="14"/>
      <c r="G56" s="24" t="str">
        <f aca="false">IF(OR(N(D56)=0,N(E56)=0),"",D56/E56)</f>
        <v/>
      </c>
      <c r="H56" s="25" t="str">
        <f aca="false">IF(A56="","",IF(N(D56)=0,IF(N(E56)&gt;0,"Free",""),IF(N(E56)=0,"No sales yet",IF(G56&lt;='Show Setup'!$B$15,"Worth it",IF(G56&lt;='Show Setup'!$B$14,"Pays, barely","Not worth it")))))</f>
        <v/>
      </c>
      <c r="I56" s="10"/>
    </row>
    <row r="57" customFormat="false" ht="15" hidden="false" customHeight="false" outlineLevel="0" collapsed="false">
      <c r="A57" s="10"/>
      <c r="B57" s="10"/>
      <c r="C57" s="10"/>
      <c r="D57" s="14"/>
      <c r="E57" s="20"/>
      <c r="F57" s="14"/>
      <c r="G57" s="24" t="str">
        <f aca="false">IF(OR(N(D57)=0,N(E57)=0),"",D57/E57)</f>
        <v/>
      </c>
      <c r="H57" s="25" t="str">
        <f aca="false">IF(A57="","",IF(N(D57)=0,IF(N(E57)&gt;0,"Free",""),IF(N(E57)=0,"No sales yet",IF(G57&lt;='Show Setup'!$B$15,"Worth it",IF(G57&lt;='Show Setup'!$B$14,"Pays, barely","Not worth it")))))</f>
        <v/>
      </c>
      <c r="I57" s="10"/>
    </row>
    <row r="58" customFormat="false" ht="15" hidden="false" customHeight="false" outlineLevel="0" collapsed="false">
      <c r="A58" s="10"/>
      <c r="B58" s="10"/>
      <c r="C58" s="10"/>
      <c r="D58" s="14"/>
      <c r="E58" s="20"/>
      <c r="F58" s="14"/>
      <c r="G58" s="24" t="str">
        <f aca="false">IF(OR(N(D58)=0,N(E58)=0),"",D58/E58)</f>
        <v/>
      </c>
      <c r="H58" s="25" t="str">
        <f aca="false">IF(A58="","",IF(N(D58)=0,IF(N(E58)&gt;0,"Free",""),IF(N(E58)=0,"No sales yet",IF(G58&lt;='Show Setup'!$B$15,"Worth it",IF(G58&lt;='Show Setup'!$B$14,"Pays, barely","Not worth it")))))</f>
        <v/>
      </c>
      <c r="I58" s="10"/>
    </row>
    <row r="59" customFormat="false" ht="15" hidden="false" customHeight="false" outlineLevel="0" collapsed="false">
      <c r="A59" s="10"/>
      <c r="B59" s="10"/>
      <c r="C59" s="10"/>
      <c r="D59" s="14"/>
      <c r="E59" s="20"/>
      <c r="F59" s="14"/>
      <c r="G59" s="24" t="str">
        <f aca="false">IF(OR(N(D59)=0,N(E59)=0),"",D59/E59)</f>
        <v/>
      </c>
      <c r="H59" s="25" t="str">
        <f aca="false">IF(A59="","",IF(N(D59)=0,IF(N(E59)&gt;0,"Free",""),IF(N(E59)=0,"No sales yet",IF(G59&lt;='Show Setup'!$B$15,"Worth it",IF(G59&lt;='Show Setup'!$B$14,"Pays, barely","Not worth it")))))</f>
        <v/>
      </c>
      <c r="I59" s="10"/>
    </row>
    <row r="60" customFormat="false" ht="15" hidden="false" customHeight="false" outlineLevel="0" collapsed="false">
      <c r="A60" s="10"/>
      <c r="B60" s="10"/>
      <c r="C60" s="10"/>
      <c r="D60" s="14"/>
      <c r="E60" s="20"/>
      <c r="F60" s="14"/>
      <c r="G60" s="24" t="str">
        <f aca="false">IF(OR(N(D60)=0,N(E60)=0),"",D60/E60)</f>
        <v/>
      </c>
      <c r="H60" s="25" t="str">
        <f aca="false">IF(A60="","",IF(N(D60)=0,IF(N(E60)&gt;0,"Free",""),IF(N(E60)=0,"No sales yet",IF(G60&lt;='Show Setup'!$B$15,"Worth it",IF(G60&lt;='Show Setup'!$B$14,"Pays, barely","Not worth it")))))</f>
        <v/>
      </c>
      <c r="I60" s="10"/>
    </row>
    <row r="61" customFormat="false" ht="15" hidden="false" customHeight="false" outlineLevel="0" collapsed="false">
      <c r="A61" s="10"/>
      <c r="B61" s="10"/>
      <c r="C61" s="10"/>
      <c r="D61" s="14"/>
      <c r="E61" s="20"/>
      <c r="F61" s="14"/>
      <c r="G61" s="24" t="str">
        <f aca="false">IF(OR(N(D61)=0,N(E61)=0),"",D61/E61)</f>
        <v/>
      </c>
      <c r="H61" s="25" t="str">
        <f aca="false">IF(A61="","",IF(N(D61)=0,IF(N(E61)&gt;0,"Free",""),IF(N(E61)=0,"No sales yet",IF(G61&lt;='Show Setup'!$B$15,"Worth it",IF(G61&lt;='Show Setup'!$B$14,"Pays, barely","Not worth it")))))</f>
        <v/>
      </c>
      <c r="I61" s="10"/>
    </row>
    <row r="62" customFormat="false" ht="15" hidden="false" customHeight="false" outlineLevel="0" collapsed="false">
      <c r="A62" s="10"/>
      <c r="B62" s="10"/>
      <c r="C62" s="10"/>
      <c r="D62" s="14"/>
      <c r="E62" s="20"/>
      <c r="F62" s="14"/>
      <c r="G62" s="24" t="str">
        <f aca="false">IF(OR(N(D62)=0,N(E62)=0),"",D62/E62)</f>
        <v/>
      </c>
      <c r="H62" s="25" t="str">
        <f aca="false">IF(A62="","",IF(N(D62)=0,IF(N(E62)&gt;0,"Free",""),IF(N(E62)=0,"No sales yet",IF(G62&lt;='Show Setup'!$B$15,"Worth it",IF(G62&lt;='Show Setup'!$B$14,"Pays, barely","Not worth it")))))</f>
        <v/>
      </c>
      <c r="I62" s="10"/>
    </row>
    <row r="63" customFormat="false" ht="15" hidden="false" customHeight="false" outlineLevel="0" collapsed="false">
      <c r="A63" s="10"/>
      <c r="B63" s="10"/>
      <c r="C63" s="10"/>
      <c r="D63" s="14"/>
      <c r="E63" s="20"/>
      <c r="F63" s="14"/>
      <c r="G63" s="24" t="str">
        <f aca="false">IF(OR(N(D63)=0,N(E63)=0),"",D63/E63)</f>
        <v/>
      </c>
      <c r="H63" s="25" t="str">
        <f aca="false">IF(A63="","",IF(N(D63)=0,IF(N(E63)&gt;0,"Free",""),IF(N(E63)=0,"No sales yet",IF(G63&lt;='Show Setup'!$B$15,"Worth it",IF(G63&lt;='Show Setup'!$B$14,"Pays, barely","Not worth it")))))</f>
        <v/>
      </c>
      <c r="I63" s="10"/>
    </row>
    <row r="64" customFormat="false" ht="15" hidden="false" customHeight="false" outlineLevel="0" collapsed="false">
      <c r="A64" s="10"/>
      <c r="B64" s="10"/>
      <c r="C64" s="10"/>
      <c r="D64" s="14"/>
      <c r="E64" s="20"/>
      <c r="F64" s="14"/>
      <c r="G64" s="24" t="str">
        <f aca="false">IF(OR(N(D64)=0,N(E64)=0),"",D64/E64)</f>
        <v/>
      </c>
      <c r="H64" s="25" t="str">
        <f aca="false">IF(A64="","",IF(N(D64)=0,IF(N(E64)&gt;0,"Free",""),IF(N(E64)=0,"No sales yet",IF(G64&lt;='Show Setup'!$B$15,"Worth it",IF(G64&lt;='Show Setup'!$B$14,"Pays, barely","Not worth it")))))</f>
        <v/>
      </c>
      <c r="I64" s="10"/>
    </row>
    <row r="65" customFormat="false" ht="15" hidden="false" customHeight="false" outlineLevel="0" collapsed="false">
      <c r="A65" s="10"/>
      <c r="B65" s="10"/>
      <c r="C65" s="10"/>
      <c r="D65" s="14"/>
      <c r="E65" s="20"/>
      <c r="F65" s="14"/>
      <c r="G65" s="24" t="str">
        <f aca="false">IF(OR(N(D65)=0,N(E65)=0),"",D65/E65)</f>
        <v/>
      </c>
      <c r="H65" s="25" t="str">
        <f aca="false">IF(A65="","",IF(N(D65)=0,IF(N(E65)&gt;0,"Free",""),IF(N(E65)=0,"No sales yet",IF(G65&lt;='Show Setup'!$B$15,"Worth it",IF(G65&lt;='Show Setup'!$B$14,"Pays, barely","Not worth it")))))</f>
        <v/>
      </c>
      <c r="I65" s="10"/>
    </row>
    <row r="66" customFormat="false" ht="15" hidden="false" customHeight="false" outlineLevel="0" collapsed="false">
      <c r="A66" s="10"/>
      <c r="B66" s="10"/>
      <c r="C66" s="10"/>
      <c r="D66" s="14"/>
      <c r="E66" s="20"/>
      <c r="F66" s="14"/>
      <c r="G66" s="24" t="str">
        <f aca="false">IF(OR(N(D66)=0,N(E66)=0),"",D66/E66)</f>
        <v/>
      </c>
      <c r="H66" s="25" t="str">
        <f aca="false">IF(A66="","",IF(N(D66)=0,IF(N(E66)&gt;0,"Free",""),IF(N(E66)=0,"No sales yet",IF(G66&lt;='Show Setup'!$B$15,"Worth it",IF(G66&lt;='Show Setup'!$B$14,"Pays, barely","Not worth it")))))</f>
        <v/>
      </c>
      <c r="I66" s="10"/>
    </row>
    <row r="67" customFormat="false" ht="15" hidden="false" customHeight="false" outlineLevel="0" collapsed="false">
      <c r="A67" s="10"/>
      <c r="B67" s="10"/>
      <c r="C67" s="10"/>
      <c r="D67" s="14"/>
      <c r="E67" s="20"/>
      <c r="F67" s="14"/>
      <c r="G67" s="24" t="str">
        <f aca="false">IF(OR(N(D67)=0,N(E67)=0),"",D67/E67)</f>
        <v/>
      </c>
      <c r="H67" s="25" t="str">
        <f aca="false">IF(A67="","",IF(N(D67)=0,IF(N(E67)&gt;0,"Free",""),IF(N(E67)=0,"No sales yet",IF(G67&lt;='Show Setup'!$B$15,"Worth it",IF(G67&lt;='Show Setup'!$B$14,"Pays, barely","Not worth it")))))</f>
        <v/>
      </c>
      <c r="I67" s="10"/>
    </row>
    <row r="68" customFormat="false" ht="15" hidden="false" customHeight="false" outlineLevel="0" collapsed="false">
      <c r="A68" s="10"/>
      <c r="B68" s="10"/>
      <c r="C68" s="10"/>
      <c r="D68" s="14"/>
      <c r="E68" s="20"/>
      <c r="F68" s="14"/>
      <c r="G68" s="24" t="str">
        <f aca="false">IF(OR(N(D68)=0,N(E68)=0),"",D68/E68)</f>
        <v/>
      </c>
      <c r="H68" s="25" t="str">
        <f aca="false">IF(A68="","",IF(N(D68)=0,IF(N(E68)&gt;0,"Free",""),IF(N(E68)=0,"No sales yet",IF(G68&lt;='Show Setup'!$B$15,"Worth it",IF(G68&lt;='Show Setup'!$B$14,"Pays, barely","Not worth it")))))</f>
        <v/>
      </c>
      <c r="I68" s="10"/>
    </row>
    <row r="69" customFormat="false" ht="15" hidden="false" customHeight="false" outlineLevel="0" collapsed="false">
      <c r="A69" s="10"/>
      <c r="B69" s="10"/>
      <c r="C69" s="10"/>
      <c r="D69" s="14"/>
      <c r="E69" s="20"/>
      <c r="F69" s="14"/>
      <c r="G69" s="24" t="str">
        <f aca="false">IF(OR(N(D69)=0,N(E69)=0),"",D69/E69)</f>
        <v/>
      </c>
      <c r="H69" s="25" t="str">
        <f aca="false">IF(A69="","",IF(N(D69)=0,IF(N(E69)&gt;0,"Free",""),IF(N(E69)=0,"No sales yet",IF(G69&lt;='Show Setup'!$B$15,"Worth it",IF(G69&lt;='Show Setup'!$B$14,"Pays, barely","Not worth it")))))</f>
        <v/>
      </c>
      <c r="I69" s="10"/>
    </row>
    <row r="70" customFormat="false" ht="15" hidden="false" customHeight="false" outlineLevel="0" collapsed="false">
      <c r="A70" s="10"/>
      <c r="B70" s="10"/>
      <c r="C70" s="10"/>
      <c r="D70" s="14"/>
      <c r="E70" s="20"/>
      <c r="F70" s="14"/>
      <c r="G70" s="24" t="str">
        <f aca="false">IF(OR(N(D70)=0,N(E70)=0),"",D70/E70)</f>
        <v/>
      </c>
      <c r="H70" s="25" t="str">
        <f aca="false">IF(A70="","",IF(N(D70)=0,IF(N(E70)&gt;0,"Free",""),IF(N(E70)=0,"No sales yet",IF(G70&lt;='Show Setup'!$B$15,"Worth it",IF(G70&lt;='Show Setup'!$B$14,"Pays, barely","Not worth it")))))</f>
        <v/>
      </c>
      <c r="I70" s="10"/>
    </row>
    <row r="71" customFormat="false" ht="15" hidden="false" customHeight="false" outlineLevel="0" collapsed="false">
      <c r="A71" s="10"/>
      <c r="B71" s="10"/>
      <c r="C71" s="10"/>
      <c r="D71" s="14"/>
      <c r="E71" s="20"/>
      <c r="F71" s="14"/>
      <c r="G71" s="24" t="str">
        <f aca="false">IF(OR(N(D71)=0,N(E71)=0),"",D71/E71)</f>
        <v/>
      </c>
      <c r="H71" s="25" t="str">
        <f aca="false">IF(A71="","",IF(N(D71)=0,IF(N(E71)&gt;0,"Free",""),IF(N(E71)=0,"No sales yet",IF(G71&lt;='Show Setup'!$B$15,"Worth it",IF(G71&lt;='Show Setup'!$B$14,"Pays, barely","Not worth it")))))</f>
        <v/>
      </c>
      <c r="I71" s="10"/>
    </row>
    <row r="72" customFormat="false" ht="15" hidden="false" customHeight="false" outlineLevel="0" collapsed="false">
      <c r="A72" s="10"/>
      <c r="B72" s="10"/>
      <c r="C72" s="10"/>
      <c r="D72" s="14"/>
      <c r="E72" s="20"/>
      <c r="F72" s="14"/>
      <c r="G72" s="24" t="str">
        <f aca="false">IF(OR(N(D72)=0,N(E72)=0),"",D72/E72)</f>
        <v/>
      </c>
      <c r="H72" s="25" t="str">
        <f aca="false">IF(A72="","",IF(N(D72)=0,IF(N(E72)&gt;0,"Free",""),IF(N(E72)=0,"No sales yet",IF(G72&lt;='Show Setup'!$B$15,"Worth it",IF(G72&lt;='Show Setup'!$B$14,"Pays, barely","Not worth it")))))</f>
        <v/>
      </c>
      <c r="I72" s="10"/>
    </row>
    <row r="73" customFormat="false" ht="15" hidden="false" customHeight="false" outlineLevel="0" collapsed="false">
      <c r="A73" s="10"/>
      <c r="B73" s="10"/>
      <c r="C73" s="10"/>
      <c r="D73" s="14"/>
      <c r="E73" s="20"/>
      <c r="F73" s="14"/>
      <c r="G73" s="24" t="str">
        <f aca="false">IF(OR(N(D73)=0,N(E73)=0),"",D73/E73)</f>
        <v/>
      </c>
      <c r="H73" s="25" t="str">
        <f aca="false">IF(A73="","",IF(N(D73)=0,IF(N(E73)&gt;0,"Free",""),IF(N(E73)=0,"No sales yet",IF(G73&lt;='Show Setup'!$B$15,"Worth it",IF(G73&lt;='Show Setup'!$B$14,"Pays, barely","Not worth it")))))</f>
        <v/>
      </c>
      <c r="I73" s="10"/>
    </row>
    <row r="74" customFormat="false" ht="15" hidden="false" customHeight="false" outlineLevel="0" collapsed="false">
      <c r="A74" s="10"/>
      <c r="B74" s="10"/>
      <c r="C74" s="10"/>
      <c r="D74" s="14"/>
      <c r="E74" s="20"/>
      <c r="F74" s="14"/>
      <c r="G74" s="24" t="str">
        <f aca="false">IF(OR(N(D74)=0,N(E74)=0),"",D74/E74)</f>
        <v/>
      </c>
      <c r="H74" s="25" t="str">
        <f aca="false">IF(A74="","",IF(N(D74)=0,IF(N(E74)&gt;0,"Free",""),IF(N(E74)=0,"No sales yet",IF(G74&lt;='Show Setup'!$B$15,"Worth it",IF(G74&lt;='Show Setup'!$B$14,"Pays, barely","Not worth it")))))</f>
        <v/>
      </c>
      <c r="I74" s="10"/>
    </row>
    <row r="75" customFormat="false" ht="15" hidden="false" customHeight="false" outlineLevel="0" collapsed="false">
      <c r="A75" s="10"/>
      <c r="B75" s="10"/>
      <c r="C75" s="10"/>
      <c r="D75" s="14"/>
      <c r="E75" s="20"/>
      <c r="F75" s="14"/>
      <c r="G75" s="24" t="str">
        <f aca="false">IF(OR(N(D75)=0,N(E75)=0),"",D75/E75)</f>
        <v/>
      </c>
      <c r="H75" s="25" t="str">
        <f aca="false">IF(A75="","",IF(N(D75)=0,IF(N(E75)&gt;0,"Free",""),IF(N(E75)=0,"No sales yet",IF(G75&lt;='Show Setup'!$B$15,"Worth it",IF(G75&lt;='Show Setup'!$B$14,"Pays, barely","Not worth it")))))</f>
        <v/>
      </c>
      <c r="I75" s="10"/>
    </row>
    <row r="76" customFormat="false" ht="15" hidden="false" customHeight="false" outlineLevel="0" collapsed="false">
      <c r="A76" s="10"/>
      <c r="B76" s="10"/>
      <c r="C76" s="10"/>
      <c r="D76" s="14"/>
      <c r="E76" s="20"/>
      <c r="F76" s="14"/>
      <c r="G76" s="24" t="str">
        <f aca="false">IF(OR(N(D76)=0,N(E76)=0),"",D76/E76)</f>
        <v/>
      </c>
      <c r="H76" s="25" t="str">
        <f aca="false">IF(A76="","",IF(N(D76)=0,IF(N(E76)&gt;0,"Free",""),IF(N(E76)=0,"No sales yet",IF(G76&lt;='Show Setup'!$B$15,"Worth it",IF(G76&lt;='Show Setup'!$B$14,"Pays, barely","Not worth it")))))</f>
        <v/>
      </c>
      <c r="I76" s="10"/>
    </row>
    <row r="77" customFormat="false" ht="15" hidden="false" customHeight="false" outlineLevel="0" collapsed="false">
      <c r="A77" s="10"/>
      <c r="B77" s="10"/>
      <c r="C77" s="10"/>
      <c r="D77" s="14"/>
      <c r="E77" s="20"/>
      <c r="F77" s="14"/>
      <c r="G77" s="24" t="str">
        <f aca="false">IF(OR(N(D77)=0,N(E77)=0),"",D77/E77)</f>
        <v/>
      </c>
      <c r="H77" s="25" t="str">
        <f aca="false">IF(A77="","",IF(N(D77)=0,IF(N(E77)&gt;0,"Free",""),IF(N(E77)=0,"No sales yet",IF(G77&lt;='Show Setup'!$B$15,"Worth it",IF(G77&lt;='Show Setup'!$B$14,"Pays, barely","Not worth it")))))</f>
        <v/>
      </c>
      <c r="I77" s="10"/>
    </row>
    <row r="78" customFormat="false" ht="15" hidden="false" customHeight="false" outlineLevel="0" collapsed="false">
      <c r="A78" s="10"/>
      <c r="B78" s="10"/>
      <c r="C78" s="10"/>
      <c r="D78" s="14"/>
      <c r="E78" s="20"/>
      <c r="F78" s="14"/>
      <c r="G78" s="24" t="str">
        <f aca="false">IF(OR(N(D78)=0,N(E78)=0),"",D78/E78)</f>
        <v/>
      </c>
      <c r="H78" s="25" t="str">
        <f aca="false">IF(A78="","",IF(N(D78)=0,IF(N(E78)&gt;0,"Free",""),IF(N(E78)=0,"No sales yet",IF(G78&lt;='Show Setup'!$B$15,"Worth it",IF(G78&lt;='Show Setup'!$B$14,"Pays, barely","Not worth it")))))</f>
        <v/>
      </c>
      <c r="I78" s="10"/>
    </row>
    <row r="79" customFormat="false" ht="15" hidden="false" customHeight="false" outlineLevel="0" collapsed="false">
      <c r="A79" s="10"/>
      <c r="B79" s="10"/>
      <c r="C79" s="10"/>
      <c r="D79" s="14"/>
      <c r="E79" s="20"/>
      <c r="F79" s="14"/>
      <c r="G79" s="24" t="str">
        <f aca="false">IF(OR(N(D79)=0,N(E79)=0),"",D79/E79)</f>
        <v/>
      </c>
      <c r="H79" s="25" t="str">
        <f aca="false">IF(A79="","",IF(N(D79)=0,IF(N(E79)&gt;0,"Free",""),IF(N(E79)=0,"No sales yet",IF(G79&lt;='Show Setup'!$B$15,"Worth it",IF(G79&lt;='Show Setup'!$B$14,"Pays, barely","Not worth it")))))</f>
        <v/>
      </c>
      <c r="I79" s="10"/>
    </row>
    <row r="80" customFormat="false" ht="15" hidden="false" customHeight="false" outlineLevel="0" collapsed="false">
      <c r="A80" s="10"/>
      <c r="B80" s="10"/>
      <c r="C80" s="10"/>
      <c r="D80" s="14"/>
      <c r="E80" s="20"/>
      <c r="F80" s="14"/>
      <c r="G80" s="24" t="str">
        <f aca="false">IF(OR(N(D80)=0,N(E80)=0),"",D80/E80)</f>
        <v/>
      </c>
      <c r="H80" s="25" t="str">
        <f aca="false">IF(A80="","",IF(N(D80)=0,IF(N(E80)&gt;0,"Free",""),IF(N(E80)=0,"No sales yet",IF(G80&lt;='Show Setup'!$B$15,"Worth it",IF(G80&lt;='Show Setup'!$B$14,"Pays, barely","Not worth it")))))</f>
        <v/>
      </c>
      <c r="I80" s="10"/>
    </row>
    <row r="81" customFormat="false" ht="15" hidden="false" customHeight="false" outlineLevel="0" collapsed="false">
      <c r="A81" s="10"/>
      <c r="B81" s="10"/>
      <c r="C81" s="10"/>
      <c r="D81" s="14"/>
      <c r="E81" s="20"/>
      <c r="F81" s="14"/>
      <c r="G81" s="24" t="str">
        <f aca="false">IF(OR(N(D81)=0,N(E81)=0),"",D81/E81)</f>
        <v/>
      </c>
      <c r="H81" s="25" t="str">
        <f aca="false">IF(A81="","",IF(N(D81)=0,IF(N(E81)&gt;0,"Free",""),IF(N(E81)=0,"No sales yet",IF(G81&lt;='Show Setup'!$B$15,"Worth it",IF(G81&lt;='Show Setup'!$B$14,"Pays, barely","Not worth it")))))</f>
        <v/>
      </c>
      <c r="I81" s="10"/>
    </row>
    <row r="82" customFormat="false" ht="15" hidden="false" customHeight="false" outlineLevel="0" collapsed="false">
      <c r="A82" s="10"/>
      <c r="B82" s="10"/>
      <c r="C82" s="10"/>
      <c r="D82" s="14"/>
      <c r="E82" s="20"/>
      <c r="F82" s="14"/>
      <c r="G82" s="24" t="str">
        <f aca="false">IF(OR(N(D82)=0,N(E82)=0),"",D82/E82)</f>
        <v/>
      </c>
      <c r="H82" s="25" t="str">
        <f aca="false">IF(A82="","",IF(N(D82)=0,IF(N(E82)&gt;0,"Free",""),IF(N(E82)=0,"No sales yet",IF(G82&lt;='Show Setup'!$B$15,"Worth it",IF(G82&lt;='Show Setup'!$B$14,"Pays, barely","Not worth it")))))</f>
        <v/>
      </c>
      <c r="I82" s="10"/>
    </row>
    <row r="83" customFormat="false" ht="15" hidden="false" customHeight="false" outlineLevel="0" collapsed="false">
      <c r="A83" s="10"/>
      <c r="B83" s="10"/>
      <c r="C83" s="10"/>
      <c r="D83" s="14"/>
      <c r="E83" s="20"/>
      <c r="F83" s="14"/>
      <c r="G83" s="24" t="str">
        <f aca="false">IF(OR(N(D83)=0,N(E83)=0),"",D83/E83)</f>
        <v/>
      </c>
      <c r="H83" s="25" t="str">
        <f aca="false">IF(A83="","",IF(N(D83)=0,IF(N(E83)&gt;0,"Free",""),IF(N(E83)=0,"No sales yet",IF(G83&lt;='Show Setup'!$B$15,"Worth it",IF(G83&lt;='Show Setup'!$B$14,"Pays, barely","Not worth it")))))</f>
        <v/>
      </c>
      <c r="I83" s="10"/>
    </row>
    <row r="84" customFormat="false" ht="15" hidden="false" customHeight="false" outlineLevel="0" collapsed="false">
      <c r="A84" s="10"/>
      <c r="B84" s="10"/>
      <c r="C84" s="10"/>
      <c r="D84" s="14"/>
      <c r="E84" s="20"/>
      <c r="F84" s="14"/>
      <c r="G84" s="24" t="str">
        <f aca="false">IF(OR(N(D84)=0,N(E84)=0),"",D84/E84)</f>
        <v/>
      </c>
      <c r="H84" s="25" t="str">
        <f aca="false">IF(A84="","",IF(N(D84)=0,IF(N(E84)&gt;0,"Free",""),IF(N(E84)=0,"No sales yet",IF(G84&lt;='Show Setup'!$B$15,"Worth it",IF(G84&lt;='Show Setup'!$B$14,"Pays, barely","Not worth it")))))</f>
        <v/>
      </c>
      <c r="I84" s="10"/>
    </row>
    <row r="85" customFormat="false" ht="15" hidden="false" customHeight="false" outlineLevel="0" collapsed="false">
      <c r="A85" s="10"/>
      <c r="B85" s="10"/>
      <c r="C85" s="10"/>
      <c r="D85" s="14"/>
      <c r="E85" s="20"/>
      <c r="F85" s="14"/>
      <c r="G85" s="24" t="str">
        <f aca="false">IF(OR(N(D85)=0,N(E85)=0),"",D85/E85)</f>
        <v/>
      </c>
      <c r="H85" s="25" t="str">
        <f aca="false">IF(A85="","",IF(N(D85)=0,IF(N(E85)&gt;0,"Free",""),IF(N(E85)=0,"No sales yet",IF(G85&lt;='Show Setup'!$B$15,"Worth it",IF(G85&lt;='Show Setup'!$B$14,"Pays, barely","Not worth it")))))</f>
        <v/>
      </c>
      <c r="I85" s="10"/>
    </row>
    <row r="86" customFormat="false" ht="15" hidden="false" customHeight="false" outlineLevel="0" collapsed="false">
      <c r="A86" s="10"/>
      <c r="B86" s="10"/>
      <c r="C86" s="10"/>
      <c r="D86" s="14"/>
      <c r="E86" s="20"/>
      <c r="F86" s="14"/>
      <c r="G86" s="24" t="str">
        <f aca="false">IF(OR(N(D86)=0,N(E86)=0),"",D86/E86)</f>
        <v/>
      </c>
      <c r="H86" s="25" t="str">
        <f aca="false">IF(A86="","",IF(N(D86)=0,IF(N(E86)&gt;0,"Free",""),IF(N(E86)=0,"No sales yet",IF(G86&lt;='Show Setup'!$B$15,"Worth it",IF(G86&lt;='Show Setup'!$B$14,"Pays, barely","Not worth it")))))</f>
        <v/>
      </c>
      <c r="I86" s="10"/>
    </row>
    <row r="87" customFormat="false" ht="15" hidden="false" customHeight="false" outlineLevel="0" collapsed="false">
      <c r="A87" s="10"/>
      <c r="B87" s="10"/>
      <c r="C87" s="10"/>
      <c r="D87" s="14"/>
      <c r="E87" s="20"/>
      <c r="F87" s="14"/>
      <c r="G87" s="24" t="str">
        <f aca="false">IF(OR(N(D87)=0,N(E87)=0),"",D87/E87)</f>
        <v/>
      </c>
      <c r="H87" s="25" t="str">
        <f aca="false">IF(A87="","",IF(N(D87)=0,IF(N(E87)&gt;0,"Free",""),IF(N(E87)=0,"No sales yet",IF(G87&lt;='Show Setup'!$B$15,"Worth it",IF(G87&lt;='Show Setup'!$B$14,"Pays, barely","Not worth it")))))</f>
        <v/>
      </c>
      <c r="I87" s="10"/>
    </row>
    <row r="90" customFormat="false" ht="19.5" hidden="false" customHeight="true" outlineLevel="0" collapsed="false">
      <c r="A90" s="7" t="s">
        <v>192</v>
      </c>
      <c r="B90" s="8"/>
      <c r="C90" s="8"/>
      <c r="D90" s="8"/>
      <c r="E90" s="8"/>
      <c r="F90" s="8"/>
      <c r="G90" s="8"/>
      <c r="H90" s="8"/>
      <c r="I90" s="8"/>
    </row>
    <row r="91" customFormat="false" ht="15" hidden="false" customHeight="false" outlineLevel="0" collapsed="false">
      <c r="A91" s="26" t="s">
        <v>160</v>
      </c>
      <c r="B91" s="26" t="s">
        <v>193</v>
      </c>
      <c r="C91" s="26" t="s">
        <v>162</v>
      </c>
      <c r="D91" s="26" t="s">
        <v>165</v>
      </c>
    </row>
    <row r="92" customFormat="false" ht="15" hidden="false" customHeight="false" outlineLevel="0" collapsed="false">
      <c r="A92" s="27" t="s">
        <v>168</v>
      </c>
      <c r="B92" s="28" t="n">
        <f aca="false">SUMIF($B$8:$B$87,A92,$E$8:$E$87)</f>
        <v>0</v>
      </c>
      <c r="C92" s="29" t="n">
        <f aca="false">SUMIF($B$8:$B$87,A92,$D$8:$D$87)</f>
        <v>0</v>
      </c>
      <c r="D92" s="30" t="str">
        <f aca="false">IF(OR(C92=0,B92=0),"",C92/B92)</f>
        <v/>
      </c>
    </row>
    <row r="93" customFormat="false" ht="15" hidden="false" customHeight="false" outlineLevel="0" collapsed="false">
      <c r="A93" s="27" t="s">
        <v>180</v>
      </c>
      <c r="B93" s="28" t="n">
        <f aca="false">SUMIF($B$8:$B$87,A93,$E$8:$E$87)</f>
        <v>0</v>
      </c>
      <c r="C93" s="29" t="n">
        <f aca="false">SUMIF($B$8:$B$87,A93,$D$8:$D$87)</f>
        <v>0</v>
      </c>
      <c r="D93" s="30" t="str">
        <f aca="false">IF(OR(C93=0,B93=0),"",C93/B93)</f>
        <v/>
      </c>
    </row>
    <row r="94" customFormat="false" ht="15" hidden="false" customHeight="false" outlineLevel="0" collapsed="false">
      <c r="A94" s="27" t="s">
        <v>178</v>
      </c>
      <c r="B94" s="28" t="n">
        <f aca="false">SUMIF($B$8:$B$87,A94,$E$8:$E$87)</f>
        <v>0</v>
      </c>
      <c r="C94" s="29" t="n">
        <f aca="false">SUMIF($B$8:$B$87,A94,$D$8:$D$87)</f>
        <v>0</v>
      </c>
      <c r="D94" s="30" t="str">
        <f aca="false">IF(OR(C94=0,B94=0),"",C94/B94)</f>
        <v/>
      </c>
    </row>
    <row r="95" customFormat="false" ht="15" hidden="false" customHeight="false" outlineLevel="0" collapsed="false">
      <c r="A95" s="27" t="s">
        <v>183</v>
      </c>
      <c r="B95" s="28" t="n">
        <f aca="false">SUMIF($B$8:$B$87,A95,$E$8:$E$87)</f>
        <v>0</v>
      </c>
      <c r="C95" s="29" t="n">
        <f aca="false">SUMIF($B$8:$B$87,A95,$D$8:$D$87)</f>
        <v>0</v>
      </c>
      <c r="D95" s="30" t="str">
        <f aca="false">IF(OR(C95=0,B95=0),"",C95/B95)</f>
        <v/>
      </c>
    </row>
    <row r="96" customFormat="false" ht="15" hidden="false" customHeight="false" outlineLevel="0" collapsed="false">
      <c r="A96" s="27" t="s">
        <v>185</v>
      </c>
      <c r="B96" s="28" t="n">
        <f aca="false">SUMIF($B$8:$B$87,A96,$E$8:$E$87)</f>
        <v>0</v>
      </c>
      <c r="C96" s="29" t="n">
        <f aca="false">SUMIF($B$8:$B$87,A96,$D$8:$D$87)</f>
        <v>0</v>
      </c>
      <c r="D96" s="30" t="str">
        <f aca="false">IF(OR(C96=0,B96=0),"",C96/B96)</f>
        <v/>
      </c>
    </row>
    <row r="97" customFormat="false" ht="15" hidden="false" customHeight="false" outlineLevel="0" collapsed="false">
      <c r="A97" s="27" t="s">
        <v>172</v>
      </c>
      <c r="B97" s="28" t="n">
        <f aca="false">SUMIF($B$8:$B$87,A97,$E$8:$E$87)</f>
        <v>0</v>
      </c>
      <c r="C97" s="29" t="n">
        <f aca="false">SUMIF($B$8:$B$87,A97,$D$8:$D$87)</f>
        <v>0</v>
      </c>
      <c r="D97" s="30" t="str">
        <f aca="false">IF(OR(C97=0,B97=0),"",C97/B97)</f>
        <v/>
      </c>
    </row>
    <row r="98" customFormat="false" ht="15" hidden="false" customHeight="false" outlineLevel="0" collapsed="false">
      <c r="A98" s="27" t="s">
        <v>174</v>
      </c>
      <c r="B98" s="28" t="n">
        <f aca="false">SUMIF($B$8:$B$87,A98,$E$8:$E$87)</f>
        <v>0</v>
      </c>
      <c r="C98" s="29" t="n">
        <f aca="false">SUMIF($B$8:$B$87,A98,$D$8:$D$87)</f>
        <v>0</v>
      </c>
      <c r="D98" s="30" t="str">
        <f aca="false">IF(OR(C98=0,B98=0),"",C98/B98)</f>
        <v/>
      </c>
    </row>
    <row r="99" customFormat="false" ht="15" hidden="false" customHeight="false" outlineLevel="0" collapsed="false">
      <c r="A99" s="27" t="s">
        <v>175</v>
      </c>
      <c r="B99" s="28" t="n">
        <f aca="false">SUMIF($B$8:$B$87,A99,$E$8:$E$87)</f>
        <v>0</v>
      </c>
      <c r="C99" s="29" t="n">
        <f aca="false">SUMIF($B$8:$B$87,A99,$D$8:$D$87)</f>
        <v>0</v>
      </c>
      <c r="D99" s="30" t="str">
        <f aca="false">IF(OR(C99=0,B99=0),"",C99/B99)</f>
        <v/>
      </c>
    </row>
    <row r="100" customFormat="false" ht="15" hidden="false" customHeight="false" outlineLevel="0" collapsed="false">
      <c r="A100" s="27" t="s">
        <v>97</v>
      </c>
      <c r="B100" s="28" t="n">
        <f aca="false">SUMIF($B$8:$B$87,A100,$E$8:$E$87)</f>
        <v>0</v>
      </c>
      <c r="C100" s="29" t="n">
        <f aca="false">SUMIF($B$8:$B$87,A100,$D$8:$D$87)</f>
        <v>0</v>
      </c>
      <c r="D100" s="30" t="str">
        <f aca="false">IF(OR(C100=0,B100=0),"",C100/B100)</f>
        <v/>
      </c>
    </row>
    <row r="101" customFormat="false" ht="15" hidden="false" customHeight="false" outlineLevel="0" collapsed="false">
      <c r="A101" s="27" t="s">
        <v>191</v>
      </c>
      <c r="B101" s="28" t="n">
        <f aca="false">SUMIF($B$8:$B$87,A101,$E$8:$E$87)</f>
        <v>0</v>
      </c>
      <c r="C101" s="29" t="n">
        <f aca="false">SUMIF($B$8:$B$87,A101,$D$8:$D$87)</f>
        <v>0</v>
      </c>
      <c r="D101" s="30" t="str">
        <f aca="false">IF(OR(C101=0,B101=0),"",C101/B101)</f>
        <v/>
      </c>
    </row>
    <row r="102" customFormat="false" ht="15" hidden="false" customHeight="false" outlineLevel="0" collapsed="false">
      <c r="A102" s="27" t="s">
        <v>194</v>
      </c>
      <c r="B102" s="28" t="n">
        <f aca="false">SUMIF($B$8:$B$87,A102,$E$8:$E$87)</f>
        <v>0</v>
      </c>
      <c r="C102" s="29" t="n">
        <f aca="false">SUMIF($B$8:$B$87,A102,$D$8:$D$87)</f>
        <v>0</v>
      </c>
      <c r="D102" s="30" t="str">
        <f aca="false">IF(OR(C102=0,B102=0),"",C102/B102)</f>
        <v/>
      </c>
    </row>
  </sheetData>
  <mergeCells count="3">
    <mergeCell ref="A1:I1"/>
    <mergeCell ref="A2:I2"/>
    <mergeCell ref="D5:I5"/>
  </mergeCells>
  <conditionalFormatting sqref="H8:H87">
    <cfRule type="cellIs" priority="2" operator="equal" aboveAverage="0" equalAverage="0" bottom="0" percent="0" rank="0" text="" dxfId="0">
      <formula>"Worth it"</formula>
    </cfRule>
    <cfRule type="cellIs" priority="3" operator="equal" aboveAverage="0" equalAverage="0" bottom="0" percent="0" rank="0" text="" dxfId="0">
      <formula>"Free"</formula>
    </cfRule>
    <cfRule type="cellIs" priority="4" operator="equal" aboveAverage="0" equalAverage="0" bottom="0" percent="0" rank="0" text="" dxfId="2">
      <formula>"Pays, barely"</formula>
    </cfRule>
    <cfRule type="cellIs" priority="5" operator="equal" aboveAverage="0" equalAverage="0" bottom="0" percent="0" rank="0" text="" dxfId="3">
      <formula>"Not worth it"</formula>
    </cfRule>
  </conditionalFormatting>
  <dataValidations count="1">
    <dataValidation allowBlank="true" errorStyle="stop" operator="between" showDropDown="false" showErrorMessage="false" showInputMessage="false" sqref="B8:B87" type="list">
      <formula1>"Social (free),Fighter,Gym,Sponsor,Ad,Poster,Press / radio,Calendar,Email,Walk-up,Other"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K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4" min="3" style="0" width="30"/>
    <col collapsed="false" customWidth="true" hidden="false" outlineLevel="0" max="5" min="5" style="0" width="20"/>
    <col collapsed="false" customWidth="true" hidden="false" outlineLevel="0" max="7" min="6" style="0" width="9"/>
    <col collapsed="false" customWidth="true" hidden="false" outlineLevel="0" max="9" min="8" style="0" width="10"/>
    <col collapsed="false" customWidth="true" hidden="false" outlineLevel="0" max="10" min="10" style="0" width="14"/>
    <col collapsed="false" customWidth="true" hidden="false" outlineLevel="0" max="11" min="11" style="0" width="30"/>
  </cols>
  <sheetData>
    <row r="1" customFormat="false" ht="30" hidden="false" customHeight="true" outlineLevel="0" collapsed="false">
      <c r="A1" s="1" t="s">
        <v>195</v>
      </c>
      <c r="B1" s="1"/>
      <c r="C1" s="1"/>
      <c r="D1" s="1"/>
      <c r="E1" s="1"/>
      <c r="F1" s="1"/>
      <c r="G1" s="1"/>
      <c r="H1" s="1"/>
      <c r="I1" s="1"/>
      <c r="J1" s="1"/>
      <c r="K1" s="1"/>
    </row>
    <row r="2" customFormat="false" ht="33.75" hidden="false" customHeight="true" outlineLevel="0" collapsed="false">
      <c r="A2" s="2" t="s">
        <v>196</v>
      </c>
      <c r="B2" s="2"/>
      <c r="C2" s="2"/>
      <c r="D2" s="2"/>
      <c r="E2" s="2"/>
      <c r="F2" s="2"/>
      <c r="G2" s="2"/>
      <c r="H2" s="2"/>
      <c r="I2" s="2"/>
      <c r="J2" s="2"/>
      <c r="K2" s="2"/>
    </row>
    <row r="4" customFormat="false" ht="33.75" hidden="false" customHeight="true" outlineLevel="0" collapsed="false">
      <c r="A4" s="15" t="s">
        <v>197</v>
      </c>
      <c r="B4" s="15" t="s">
        <v>198</v>
      </c>
      <c r="C4" s="15" t="s">
        <v>199</v>
      </c>
      <c r="D4" s="15" t="s">
        <v>200</v>
      </c>
      <c r="E4" s="15" t="s">
        <v>201</v>
      </c>
      <c r="F4" s="15" t="s">
        <v>202</v>
      </c>
      <c r="G4" s="15" t="s">
        <v>203</v>
      </c>
      <c r="H4" s="15" t="s">
        <v>204</v>
      </c>
      <c r="I4" s="15" t="s">
        <v>165</v>
      </c>
      <c r="J4" s="15" t="s">
        <v>205</v>
      </c>
      <c r="K4" s="15" t="s">
        <v>79</v>
      </c>
    </row>
    <row r="5" customFormat="false" ht="15" hidden="false" customHeight="false" outlineLevel="0" collapsed="false">
      <c r="A5" s="31"/>
      <c r="B5" s="10"/>
      <c r="C5" s="10"/>
      <c r="D5" s="10"/>
      <c r="E5" s="10"/>
      <c r="F5" s="14"/>
      <c r="G5" s="10"/>
      <c r="H5" s="20"/>
      <c r="I5" s="30" t="str">
        <f aca="false">IF(OR(N(F5)=0,N(H5)=0),"",F5/H5)</f>
        <v/>
      </c>
      <c r="J5" s="25" t="str">
        <f aca="false">IF(N(F5)=0,"",IF(N(H5)=0,IF(F5&gt;='Show Setup'!$B$16,"STOP: no sales","Wait"),IF(I5&lt;='Show Setup'!$B$15,"KEEP",IF(I5&lt;='Show Setup'!$B$14,"Maybe: pays, barely","STOP"))))</f>
        <v/>
      </c>
      <c r="K5" s="10"/>
    </row>
    <row r="6" customFormat="false" ht="15" hidden="false" customHeight="false" outlineLevel="0" collapsed="false">
      <c r="A6" s="31"/>
      <c r="B6" s="10"/>
      <c r="C6" s="10"/>
      <c r="D6" s="10"/>
      <c r="E6" s="10"/>
      <c r="F6" s="14"/>
      <c r="G6" s="10"/>
      <c r="H6" s="20"/>
      <c r="I6" s="30" t="str">
        <f aca="false">IF(OR(N(F6)=0,N(H6)=0),"",F6/H6)</f>
        <v/>
      </c>
      <c r="J6" s="25" t="str">
        <f aca="false">IF(N(F6)=0,"",IF(N(H6)=0,IF(F6&gt;='Show Setup'!$B$16,"STOP: no sales","Wait"),IF(I6&lt;='Show Setup'!$B$15,"KEEP",IF(I6&lt;='Show Setup'!$B$14,"Maybe: pays, barely","STOP"))))</f>
        <v/>
      </c>
      <c r="K6" s="10"/>
    </row>
    <row r="7" customFormat="false" ht="15" hidden="false" customHeight="false" outlineLevel="0" collapsed="false">
      <c r="A7" s="31"/>
      <c r="B7" s="10"/>
      <c r="C7" s="10"/>
      <c r="D7" s="10"/>
      <c r="E7" s="10"/>
      <c r="F7" s="14"/>
      <c r="G7" s="10"/>
      <c r="H7" s="20"/>
      <c r="I7" s="30" t="str">
        <f aca="false">IF(OR(N(F7)=0,N(H7)=0),"",F7/H7)</f>
        <v/>
      </c>
      <c r="J7" s="25" t="str">
        <f aca="false">IF(N(F7)=0,"",IF(N(H7)=0,IF(F7&gt;='Show Setup'!$B$16,"STOP: no sales","Wait"),IF(I7&lt;='Show Setup'!$B$15,"KEEP",IF(I7&lt;='Show Setup'!$B$14,"Maybe: pays, barely","STOP"))))</f>
        <v/>
      </c>
      <c r="K7" s="10"/>
    </row>
    <row r="8" customFormat="false" ht="15" hidden="false" customHeight="false" outlineLevel="0" collapsed="false">
      <c r="A8" s="31"/>
      <c r="B8" s="10"/>
      <c r="C8" s="10"/>
      <c r="D8" s="10"/>
      <c r="E8" s="10"/>
      <c r="F8" s="14"/>
      <c r="G8" s="10"/>
      <c r="H8" s="20"/>
      <c r="I8" s="30" t="str">
        <f aca="false">IF(OR(N(F8)=0,N(H8)=0),"",F8/H8)</f>
        <v/>
      </c>
      <c r="J8" s="25" t="str">
        <f aca="false">IF(N(F8)=0,"",IF(N(H8)=0,IF(F8&gt;='Show Setup'!$B$16,"STOP: no sales","Wait"),IF(I8&lt;='Show Setup'!$B$15,"KEEP",IF(I8&lt;='Show Setup'!$B$14,"Maybe: pays, barely","STOP"))))</f>
        <v/>
      </c>
      <c r="K8" s="10"/>
    </row>
    <row r="9" customFormat="false" ht="15" hidden="false" customHeight="false" outlineLevel="0" collapsed="false">
      <c r="A9" s="31"/>
      <c r="B9" s="10"/>
      <c r="C9" s="10"/>
      <c r="D9" s="10"/>
      <c r="E9" s="10"/>
      <c r="F9" s="14"/>
      <c r="G9" s="10"/>
      <c r="H9" s="20"/>
      <c r="I9" s="30" t="str">
        <f aca="false">IF(OR(N(F9)=0,N(H9)=0),"",F9/H9)</f>
        <v/>
      </c>
      <c r="J9" s="25" t="str">
        <f aca="false">IF(N(F9)=0,"",IF(N(H9)=0,IF(F9&gt;='Show Setup'!$B$16,"STOP: no sales","Wait"),IF(I9&lt;='Show Setup'!$B$15,"KEEP",IF(I9&lt;='Show Setup'!$B$14,"Maybe: pays, barely","STOP"))))</f>
        <v/>
      </c>
      <c r="K9" s="10"/>
    </row>
    <row r="10" customFormat="false" ht="15" hidden="false" customHeight="false" outlineLevel="0" collapsed="false">
      <c r="A10" s="31"/>
      <c r="B10" s="10"/>
      <c r="C10" s="10"/>
      <c r="D10" s="10"/>
      <c r="E10" s="10"/>
      <c r="F10" s="14"/>
      <c r="G10" s="10"/>
      <c r="H10" s="20"/>
      <c r="I10" s="30" t="str">
        <f aca="false">IF(OR(N(F10)=0,N(H10)=0),"",F10/H10)</f>
        <v/>
      </c>
      <c r="J10" s="25" t="str">
        <f aca="false">IF(N(F10)=0,"",IF(N(H10)=0,IF(F10&gt;='Show Setup'!$B$16,"STOP: no sales","Wait"),IF(I10&lt;='Show Setup'!$B$15,"KEEP",IF(I10&lt;='Show Setup'!$B$14,"Maybe: pays, barely","STOP"))))</f>
        <v/>
      </c>
      <c r="K10" s="10"/>
    </row>
    <row r="11" customFormat="false" ht="15" hidden="false" customHeight="false" outlineLevel="0" collapsed="false">
      <c r="A11" s="31"/>
      <c r="B11" s="10"/>
      <c r="C11" s="10"/>
      <c r="D11" s="10"/>
      <c r="E11" s="10"/>
      <c r="F11" s="14"/>
      <c r="G11" s="10"/>
      <c r="H11" s="20"/>
      <c r="I11" s="30" t="str">
        <f aca="false">IF(OR(N(F11)=0,N(H11)=0),"",F11/H11)</f>
        <v/>
      </c>
      <c r="J11" s="25" t="str">
        <f aca="false">IF(N(F11)=0,"",IF(N(H11)=0,IF(F11&gt;='Show Setup'!$B$16,"STOP: no sales","Wait"),IF(I11&lt;='Show Setup'!$B$15,"KEEP",IF(I11&lt;='Show Setup'!$B$14,"Maybe: pays, barely","STOP"))))</f>
        <v/>
      </c>
      <c r="K11" s="10"/>
    </row>
    <row r="12" customFormat="false" ht="15" hidden="false" customHeight="false" outlineLevel="0" collapsed="false">
      <c r="A12" s="31"/>
      <c r="B12" s="10"/>
      <c r="C12" s="10"/>
      <c r="D12" s="10"/>
      <c r="E12" s="10"/>
      <c r="F12" s="14"/>
      <c r="G12" s="10"/>
      <c r="H12" s="20"/>
      <c r="I12" s="30" t="str">
        <f aca="false">IF(OR(N(F12)=0,N(H12)=0),"",F12/H12)</f>
        <v/>
      </c>
      <c r="J12" s="25" t="str">
        <f aca="false">IF(N(F12)=0,"",IF(N(H12)=0,IF(F12&gt;='Show Setup'!$B$16,"STOP: no sales","Wait"),IF(I12&lt;='Show Setup'!$B$15,"KEEP",IF(I12&lt;='Show Setup'!$B$14,"Maybe: pays, barely","STOP"))))</f>
        <v/>
      </c>
      <c r="K12" s="10"/>
    </row>
    <row r="13" customFormat="false" ht="15" hidden="false" customHeight="false" outlineLevel="0" collapsed="false">
      <c r="A13" s="31"/>
      <c r="B13" s="10"/>
      <c r="C13" s="10"/>
      <c r="D13" s="10"/>
      <c r="E13" s="10"/>
      <c r="F13" s="14"/>
      <c r="G13" s="10"/>
      <c r="H13" s="20"/>
      <c r="I13" s="30" t="str">
        <f aca="false">IF(OR(N(F13)=0,N(H13)=0),"",F13/H13)</f>
        <v/>
      </c>
      <c r="J13" s="25" t="str">
        <f aca="false">IF(N(F13)=0,"",IF(N(H13)=0,IF(F13&gt;='Show Setup'!$B$16,"STOP: no sales","Wait"),IF(I13&lt;='Show Setup'!$B$15,"KEEP",IF(I13&lt;='Show Setup'!$B$14,"Maybe: pays, barely","STOP"))))</f>
        <v/>
      </c>
      <c r="K13" s="10"/>
    </row>
    <row r="14" customFormat="false" ht="15" hidden="false" customHeight="false" outlineLevel="0" collapsed="false">
      <c r="A14" s="31"/>
      <c r="B14" s="10"/>
      <c r="C14" s="10"/>
      <c r="D14" s="10"/>
      <c r="E14" s="10"/>
      <c r="F14" s="14"/>
      <c r="G14" s="10"/>
      <c r="H14" s="20"/>
      <c r="I14" s="30" t="str">
        <f aca="false">IF(OR(N(F14)=0,N(H14)=0),"",F14/H14)</f>
        <v/>
      </c>
      <c r="J14" s="25" t="str">
        <f aca="false">IF(N(F14)=0,"",IF(N(H14)=0,IF(F14&gt;='Show Setup'!$B$16,"STOP: no sales","Wait"),IF(I14&lt;='Show Setup'!$B$15,"KEEP",IF(I14&lt;='Show Setup'!$B$14,"Maybe: pays, barely","STOP"))))</f>
        <v/>
      </c>
      <c r="K14" s="10"/>
    </row>
    <row r="15" customFormat="false" ht="15" hidden="false" customHeight="false" outlineLevel="0" collapsed="false">
      <c r="A15" s="31"/>
      <c r="B15" s="10"/>
      <c r="C15" s="10"/>
      <c r="D15" s="10"/>
      <c r="E15" s="10"/>
      <c r="F15" s="14"/>
      <c r="G15" s="10"/>
      <c r="H15" s="20"/>
      <c r="I15" s="30" t="str">
        <f aca="false">IF(OR(N(F15)=0,N(H15)=0),"",F15/H15)</f>
        <v/>
      </c>
      <c r="J15" s="25" t="str">
        <f aca="false">IF(N(F15)=0,"",IF(N(H15)=0,IF(F15&gt;='Show Setup'!$B$16,"STOP: no sales","Wait"),IF(I15&lt;='Show Setup'!$B$15,"KEEP",IF(I15&lt;='Show Setup'!$B$14,"Maybe: pays, barely","STOP"))))</f>
        <v/>
      </c>
      <c r="K15" s="10"/>
    </row>
    <row r="16" customFormat="false" ht="15" hidden="false" customHeight="false" outlineLevel="0" collapsed="false">
      <c r="A16" s="31"/>
      <c r="B16" s="10"/>
      <c r="C16" s="10"/>
      <c r="D16" s="10"/>
      <c r="E16" s="10"/>
      <c r="F16" s="14"/>
      <c r="G16" s="10"/>
      <c r="H16" s="20"/>
      <c r="I16" s="30" t="str">
        <f aca="false">IF(OR(N(F16)=0,N(H16)=0),"",F16/H16)</f>
        <v/>
      </c>
      <c r="J16" s="25" t="str">
        <f aca="false">IF(N(F16)=0,"",IF(N(H16)=0,IF(F16&gt;='Show Setup'!$B$16,"STOP: no sales","Wait"),IF(I16&lt;='Show Setup'!$B$15,"KEEP",IF(I16&lt;='Show Setup'!$B$14,"Maybe: pays, barely","STOP"))))</f>
        <v/>
      </c>
      <c r="K16" s="10"/>
    </row>
    <row r="17" customFormat="false" ht="15" hidden="false" customHeight="false" outlineLevel="0" collapsed="false">
      <c r="A17" s="31"/>
      <c r="B17" s="10"/>
      <c r="C17" s="10"/>
      <c r="D17" s="10"/>
      <c r="E17" s="10"/>
      <c r="F17" s="14"/>
      <c r="G17" s="10"/>
      <c r="H17" s="20"/>
      <c r="I17" s="30" t="str">
        <f aca="false">IF(OR(N(F17)=0,N(H17)=0),"",F17/H17)</f>
        <v/>
      </c>
      <c r="J17" s="25" t="str">
        <f aca="false">IF(N(F17)=0,"",IF(N(H17)=0,IF(F17&gt;='Show Setup'!$B$16,"STOP: no sales","Wait"),IF(I17&lt;='Show Setup'!$B$15,"KEEP",IF(I17&lt;='Show Setup'!$B$14,"Maybe: pays, barely","STOP"))))</f>
        <v/>
      </c>
      <c r="K17" s="10"/>
    </row>
    <row r="18" customFormat="false" ht="15" hidden="false" customHeight="false" outlineLevel="0" collapsed="false">
      <c r="A18" s="31"/>
      <c r="B18" s="10"/>
      <c r="C18" s="10"/>
      <c r="D18" s="10"/>
      <c r="E18" s="10"/>
      <c r="F18" s="14"/>
      <c r="G18" s="10"/>
      <c r="H18" s="20"/>
      <c r="I18" s="30" t="str">
        <f aca="false">IF(OR(N(F18)=0,N(H18)=0),"",F18/H18)</f>
        <v/>
      </c>
      <c r="J18" s="25" t="str">
        <f aca="false">IF(N(F18)=0,"",IF(N(H18)=0,IF(F18&gt;='Show Setup'!$B$16,"STOP: no sales","Wait"),IF(I18&lt;='Show Setup'!$B$15,"KEEP",IF(I18&lt;='Show Setup'!$B$14,"Maybe: pays, barely","STOP"))))</f>
        <v/>
      </c>
      <c r="K18" s="10"/>
    </row>
    <row r="19" customFormat="false" ht="15" hidden="false" customHeight="false" outlineLevel="0" collapsed="false">
      <c r="A19" s="31"/>
      <c r="B19" s="10"/>
      <c r="C19" s="10"/>
      <c r="D19" s="10"/>
      <c r="E19" s="10"/>
      <c r="F19" s="14"/>
      <c r="G19" s="10"/>
      <c r="H19" s="20"/>
      <c r="I19" s="30" t="str">
        <f aca="false">IF(OR(N(F19)=0,N(H19)=0),"",F19/H19)</f>
        <v/>
      </c>
      <c r="J19" s="25" t="str">
        <f aca="false">IF(N(F19)=0,"",IF(N(H19)=0,IF(F19&gt;='Show Setup'!$B$16,"STOP: no sales","Wait"),IF(I19&lt;='Show Setup'!$B$15,"KEEP",IF(I19&lt;='Show Setup'!$B$14,"Maybe: pays, barely","STOP"))))</f>
        <v/>
      </c>
      <c r="K19" s="10"/>
    </row>
    <row r="20" customFormat="false" ht="15" hidden="false" customHeight="false" outlineLevel="0" collapsed="false">
      <c r="A20" s="31"/>
      <c r="B20" s="10"/>
      <c r="C20" s="10"/>
      <c r="D20" s="10"/>
      <c r="E20" s="10"/>
      <c r="F20" s="14"/>
      <c r="G20" s="10"/>
      <c r="H20" s="20"/>
      <c r="I20" s="30" t="str">
        <f aca="false">IF(OR(N(F20)=0,N(H20)=0),"",F20/H20)</f>
        <v/>
      </c>
      <c r="J20" s="25" t="str">
        <f aca="false">IF(N(F20)=0,"",IF(N(H20)=0,IF(F20&gt;='Show Setup'!$B$16,"STOP: no sales","Wait"),IF(I20&lt;='Show Setup'!$B$15,"KEEP",IF(I20&lt;='Show Setup'!$B$14,"Maybe: pays, barely","STOP"))))</f>
        <v/>
      </c>
      <c r="K20" s="10"/>
    </row>
    <row r="21" customFormat="false" ht="15" hidden="false" customHeight="false" outlineLevel="0" collapsed="false">
      <c r="A21" s="31"/>
      <c r="B21" s="10"/>
      <c r="C21" s="10"/>
      <c r="D21" s="10"/>
      <c r="E21" s="10"/>
      <c r="F21" s="14"/>
      <c r="G21" s="10"/>
      <c r="H21" s="20"/>
      <c r="I21" s="30" t="str">
        <f aca="false">IF(OR(N(F21)=0,N(H21)=0),"",F21/H21)</f>
        <v/>
      </c>
      <c r="J21" s="25" t="str">
        <f aca="false">IF(N(F21)=0,"",IF(N(H21)=0,IF(F21&gt;='Show Setup'!$B$16,"STOP: no sales","Wait"),IF(I21&lt;='Show Setup'!$B$15,"KEEP",IF(I21&lt;='Show Setup'!$B$14,"Maybe: pays, barely","STOP"))))</f>
        <v/>
      </c>
      <c r="K21" s="10"/>
    </row>
    <row r="22" customFormat="false" ht="15" hidden="false" customHeight="false" outlineLevel="0" collapsed="false">
      <c r="A22" s="31"/>
      <c r="B22" s="10"/>
      <c r="C22" s="10"/>
      <c r="D22" s="10"/>
      <c r="E22" s="10"/>
      <c r="F22" s="14"/>
      <c r="G22" s="10"/>
      <c r="H22" s="20"/>
      <c r="I22" s="30" t="str">
        <f aca="false">IF(OR(N(F22)=0,N(H22)=0),"",F22/H22)</f>
        <v/>
      </c>
      <c r="J22" s="25" t="str">
        <f aca="false">IF(N(F22)=0,"",IF(N(H22)=0,IF(F22&gt;='Show Setup'!$B$16,"STOP: no sales","Wait"),IF(I22&lt;='Show Setup'!$B$15,"KEEP",IF(I22&lt;='Show Setup'!$B$14,"Maybe: pays, barely","STOP"))))</f>
        <v/>
      </c>
      <c r="K22" s="10"/>
    </row>
    <row r="23" customFormat="false" ht="15" hidden="false" customHeight="false" outlineLevel="0" collapsed="false">
      <c r="A23" s="31"/>
      <c r="B23" s="10"/>
      <c r="C23" s="10"/>
      <c r="D23" s="10"/>
      <c r="E23" s="10"/>
      <c r="F23" s="14"/>
      <c r="G23" s="10"/>
      <c r="H23" s="20"/>
      <c r="I23" s="30" t="str">
        <f aca="false">IF(OR(N(F23)=0,N(H23)=0),"",F23/H23)</f>
        <v/>
      </c>
      <c r="J23" s="25" t="str">
        <f aca="false">IF(N(F23)=0,"",IF(N(H23)=0,IF(F23&gt;='Show Setup'!$B$16,"STOP: no sales","Wait"),IF(I23&lt;='Show Setup'!$B$15,"KEEP",IF(I23&lt;='Show Setup'!$B$14,"Maybe: pays, barely","STOP"))))</f>
        <v/>
      </c>
      <c r="K23" s="10"/>
    </row>
    <row r="24" customFormat="false" ht="15" hidden="false" customHeight="false" outlineLevel="0" collapsed="false">
      <c r="A24" s="31"/>
      <c r="B24" s="10"/>
      <c r="C24" s="10"/>
      <c r="D24" s="10"/>
      <c r="E24" s="10"/>
      <c r="F24" s="14"/>
      <c r="G24" s="10"/>
      <c r="H24" s="20"/>
      <c r="I24" s="30" t="str">
        <f aca="false">IF(OR(N(F24)=0,N(H24)=0),"",F24/H24)</f>
        <v/>
      </c>
      <c r="J24" s="25" t="str">
        <f aca="false">IF(N(F24)=0,"",IF(N(H24)=0,IF(F24&gt;='Show Setup'!$B$16,"STOP: no sales","Wait"),IF(I24&lt;='Show Setup'!$B$15,"KEEP",IF(I24&lt;='Show Setup'!$B$14,"Maybe: pays, barely","STOP"))))</f>
        <v/>
      </c>
      <c r="K24" s="10"/>
    </row>
    <row r="25" customFormat="false" ht="15" hidden="false" customHeight="false" outlineLevel="0" collapsed="false">
      <c r="A25" s="31"/>
      <c r="B25" s="10"/>
      <c r="C25" s="10"/>
      <c r="D25" s="10"/>
      <c r="E25" s="10"/>
      <c r="F25" s="14"/>
      <c r="G25" s="10"/>
      <c r="H25" s="20"/>
      <c r="I25" s="30" t="str">
        <f aca="false">IF(OR(N(F25)=0,N(H25)=0),"",F25/H25)</f>
        <v/>
      </c>
      <c r="J25" s="25" t="str">
        <f aca="false">IF(N(F25)=0,"",IF(N(H25)=0,IF(F25&gt;='Show Setup'!$B$16,"STOP: no sales","Wait"),IF(I25&lt;='Show Setup'!$B$15,"KEEP",IF(I25&lt;='Show Setup'!$B$14,"Maybe: pays, barely","STOP"))))</f>
        <v/>
      </c>
      <c r="K25" s="10"/>
    </row>
    <row r="26" customFormat="false" ht="15" hidden="false" customHeight="false" outlineLevel="0" collapsed="false">
      <c r="A26" s="31"/>
      <c r="B26" s="10"/>
      <c r="C26" s="10"/>
      <c r="D26" s="10"/>
      <c r="E26" s="10"/>
      <c r="F26" s="14"/>
      <c r="G26" s="10"/>
      <c r="H26" s="20"/>
      <c r="I26" s="30" t="str">
        <f aca="false">IF(OR(N(F26)=0,N(H26)=0),"",F26/H26)</f>
        <v/>
      </c>
      <c r="J26" s="25" t="str">
        <f aca="false">IF(N(F26)=0,"",IF(N(H26)=0,IF(F26&gt;='Show Setup'!$B$16,"STOP: no sales","Wait"),IF(I26&lt;='Show Setup'!$B$15,"KEEP",IF(I26&lt;='Show Setup'!$B$14,"Maybe: pays, barely","STOP"))))</f>
        <v/>
      </c>
      <c r="K26" s="10"/>
    </row>
    <row r="27" customFormat="false" ht="15" hidden="false" customHeight="false" outlineLevel="0" collapsed="false">
      <c r="A27" s="31"/>
      <c r="B27" s="10"/>
      <c r="C27" s="10"/>
      <c r="D27" s="10"/>
      <c r="E27" s="10"/>
      <c r="F27" s="14"/>
      <c r="G27" s="10"/>
      <c r="H27" s="20"/>
      <c r="I27" s="30" t="str">
        <f aca="false">IF(OR(N(F27)=0,N(H27)=0),"",F27/H27)</f>
        <v/>
      </c>
      <c r="J27" s="25" t="str">
        <f aca="false">IF(N(F27)=0,"",IF(N(H27)=0,IF(F27&gt;='Show Setup'!$B$16,"STOP: no sales","Wait"),IF(I27&lt;='Show Setup'!$B$15,"KEEP",IF(I27&lt;='Show Setup'!$B$14,"Maybe: pays, barely","STOP"))))</f>
        <v/>
      </c>
      <c r="K27" s="10"/>
    </row>
    <row r="28" customFormat="false" ht="15" hidden="false" customHeight="false" outlineLevel="0" collapsed="false">
      <c r="A28" s="31"/>
      <c r="B28" s="10"/>
      <c r="C28" s="10"/>
      <c r="D28" s="10"/>
      <c r="E28" s="10"/>
      <c r="F28" s="14"/>
      <c r="G28" s="10"/>
      <c r="H28" s="20"/>
      <c r="I28" s="30" t="str">
        <f aca="false">IF(OR(N(F28)=0,N(H28)=0),"",F28/H28)</f>
        <v/>
      </c>
      <c r="J28" s="25" t="str">
        <f aca="false">IF(N(F28)=0,"",IF(N(H28)=0,IF(F28&gt;='Show Setup'!$B$16,"STOP: no sales","Wait"),IF(I28&lt;='Show Setup'!$B$15,"KEEP",IF(I28&lt;='Show Setup'!$B$14,"Maybe: pays, barely","STOP"))))</f>
        <v/>
      </c>
      <c r="K28" s="10"/>
    </row>
    <row r="29" customFormat="false" ht="15" hidden="false" customHeight="false" outlineLevel="0" collapsed="false">
      <c r="A29" s="31"/>
      <c r="B29" s="10"/>
      <c r="C29" s="10"/>
      <c r="D29" s="10"/>
      <c r="E29" s="10"/>
      <c r="F29" s="14"/>
      <c r="G29" s="10"/>
      <c r="H29" s="20"/>
      <c r="I29" s="30" t="str">
        <f aca="false">IF(OR(N(F29)=0,N(H29)=0),"",F29/H29)</f>
        <v/>
      </c>
      <c r="J29" s="25" t="str">
        <f aca="false">IF(N(F29)=0,"",IF(N(H29)=0,IF(F29&gt;='Show Setup'!$B$16,"STOP: no sales","Wait"),IF(I29&lt;='Show Setup'!$B$15,"KEEP",IF(I29&lt;='Show Setup'!$B$14,"Maybe: pays, barely","STOP"))))</f>
        <v/>
      </c>
      <c r="K29" s="10"/>
    </row>
    <row r="30" customFormat="false" ht="15" hidden="false" customHeight="false" outlineLevel="0" collapsed="false">
      <c r="A30" s="31"/>
      <c r="B30" s="10"/>
      <c r="C30" s="10"/>
      <c r="D30" s="10"/>
      <c r="E30" s="10"/>
      <c r="F30" s="14"/>
      <c r="G30" s="10"/>
      <c r="H30" s="20"/>
      <c r="I30" s="30" t="str">
        <f aca="false">IF(OR(N(F30)=0,N(H30)=0),"",F30/H30)</f>
        <v/>
      </c>
      <c r="J30" s="25" t="str">
        <f aca="false">IF(N(F30)=0,"",IF(N(H30)=0,IF(F30&gt;='Show Setup'!$B$16,"STOP: no sales","Wait"),IF(I30&lt;='Show Setup'!$B$15,"KEEP",IF(I30&lt;='Show Setup'!$B$14,"Maybe: pays, barely","STOP"))))</f>
        <v/>
      </c>
      <c r="K30" s="10"/>
    </row>
    <row r="31" customFormat="false" ht="15" hidden="false" customHeight="false" outlineLevel="0" collapsed="false">
      <c r="A31" s="31"/>
      <c r="B31" s="10"/>
      <c r="C31" s="10"/>
      <c r="D31" s="10"/>
      <c r="E31" s="10"/>
      <c r="F31" s="14"/>
      <c r="G31" s="10"/>
      <c r="H31" s="20"/>
      <c r="I31" s="30" t="str">
        <f aca="false">IF(OR(N(F31)=0,N(H31)=0),"",F31/H31)</f>
        <v/>
      </c>
      <c r="J31" s="25" t="str">
        <f aca="false">IF(N(F31)=0,"",IF(N(H31)=0,IF(F31&gt;='Show Setup'!$B$16,"STOP: no sales","Wait"),IF(I31&lt;='Show Setup'!$B$15,"KEEP",IF(I31&lt;='Show Setup'!$B$14,"Maybe: pays, barely","STOP"))))</f>
        <v/>
      </c>
      <c r="K31" s="10"/>
    </row>
    <row r="32" customFormat="false" ht="15" hidden="false" customHeight="false" outlineLevel="0" collapsed="false">
      <c r="A32" s="31"/>
      <c r="B32" s="10"/>
      <c r="C32" s="10"/>
      <c r="D32" s="10"/>
      <c r="E32" s="10"/>
      <c r="F32" s="14"/>
      <c r="G32" s="10"/>
      <c r="H32" s="20"/>
      <c r="I32" s="30" t="str">
        <f aca="false">IF(OR(N(F32)=0,N(H32)=0),"",F32/H32)</f>
        <v/>
      </c>
      <c r="J32" s="25" t="str">
        <f aca="false">IF(N(F32)=0,"",IF(N(H32)=0,IF(F32&gt;='Show Setup'!$B$16,"STOP: no sales","Wait"),IF(I32&lt;='Show Setup'!$B$15,"KEEP",IF(I32&lt;='Show Setup'!$B$14,"Maybe: pays, barely","STOP"))))</f>
        <v/>
      </c>
      <c r="K32" s="10"/>
    </row>
    <row r="33" customFormat="false" ht="15" hidden="false" customHeight="false" outlineLevel="0" collapsed="false">
      <c r="A33" s="31"/>
      <c r="B33" s="10"/>
      <c r="C33" s="10"/>
      <c r="D33" s="10"/>
      <c r="E33" s="10"/>
      <c r="F33" s="14"/>
      <c r="G33" s="10"/>
      <c r="H33" s="20"/>
      <c r="I33" s="30" t="str">
        <f aca="false">IF(OR(N(F33)=0,N(H33)=0),"",F33/H33)</f>
        <v/>
      </c>
      <c r="J33" s="25" t="str">
        <f aca="false">IF(N(F33)=0,"",IF(N(H33)=0,IF(F33&gt;='Show Setup'!$B$16,"STOP: no sales","Wait"),IF(I33&lt;='Show Setup'!$B$15,"KEEP",IF(I33&lt;='Show Setup'!$B$14,"Maybe: pays, barely","STOP"))))</f>
        <v/>
      </c>
      <c r="K33" s="10"/>
    </row>
    <row r="34" customFormat="false" ht="15" hidden="false" customHeight="false" outlineLevel="0" collapsed="false">
      <c r="A34" s="31"/>
      <c r="B34" s="10"/>
      <c r="C34" s="10"/>
      <c r="D34" s="10"/>
      <c r="E34" s="10"/>
      <c r="F34" s="14"/>
      <c r="G34" s="10"/>
      <c r="H34" s="20"/>
      <c r="I34" s="30" t="str">
        <f aca="false">IF(OR(N(F34)=0,N(H34)=0),"",F34/H34)</f>
        <v/>
      </c>
      <c r="J34" s="25" t="str">
        <f aca="false">IF(N(F34)=0,"",IF(N(H34)=0,IF(F34&gt;='Show Setup'!$B$16,"STOP: no sales","Wait"),IF(I34&lt;='Show Setup'!$B$15,"KEEP",IF(I34&lt;='Show Setup'!$B$14,"Maybe: pays, barely","STOP"))))</f>
        <v/>
      </c>
      <c r="K34" s="10"/>
    </row>
    <row r="36" customFormat="false" ht="42" hidden="false" customHeight="true" outlineLevel="0" collapsed="false">
      <c r="A36" s="23" t="s">
        <v>206</v>
      </c>
      <c r="B36" s="23"/>
      <c r="C36" s="23"/>
      <c r="D36" s="23"/>
      <c r="E36" s="23"/>
      <c r="F36" s="23"/>
      <c r="G36" s="23"/>
      <c r="H36" s="23"/>
      <c r="I36" s="23"/>
      <c r="J36" s="23"/>
      <c r="K36" s="23"/>
    </row>
    <row r="37" customFormat="false" ht="30" hidden="false" customHeight="true" outlineLevel="0" collapsed="false">
      <c r="A37" s="23" t="s">
        <v>207</v>
      </c>
      <c r="B37" s="23"/>
      <c r="C37" s="23"/>
      <c r="D37" s="23"/>
      <c r="E37" s="23"/>
      <c r="F37" s="23"/>
      <c r="G37" s="23"/>
      <c r="H37" s="23"/>
      <c r="I37" s="23"/>
      <c r="J37" s="23"/>
      <c r="K37" s="23"/>
    </row>
  </sheetData>
  <mergeCells count="4">
    <mergeCell ref="A1:K1"/>
    <mergeCell ref="A2:K2"/>
    <mergeCell ref="A36:K36"/>
    <mergeCell ref="A37:K37"/>
  </mergeCells>
  <conditionalFormatting sqref="J5:J34">
    <cfRule type="cellIs" priority="2" operator="equal" aboveAverage="0" equalAverage="0" bottom="0" percent="0" rank="0" text="" dxfId="0">
      <formula>"KEEP"</formula>
    </cfRule>
    <cfRule type="cellIs" priority="3" operator="equal" aboveAverage="0" equalAverage="0" bottom="0" percent="0" rank="0" text="" dxfId="3">
      <formula>"STOP"</formula>
    </cfRule>
    <cfRule type="cellIs" priority="4" operator="equal" aboveAverage="0" equalAverage="0" bottom="0" percent="0" rank="0" text="" dxfId="3">
      <formula>"STOP: no sales"</formula>
    </cfRule>
    <cfRule type="expression" priority="5" aboveAverage="0" equalAverage="0" bottom="0" percent="0" rank="0" text="" dxfId="2">
      <formula>LEFT(J5,5)="Maybe"</formula>
    </cfRule>
  </conditionalFormatting>
  <dataValidations count="1">
    <dataValidation allowBlank="true" errorStyle="stop" operator="between" showDropDown="false" showErrorMessage="false" showInputMessage="false" sqref="B5:B34" type="list">
      <formula1>"Facebook + Instagram,Facebook,Instagram,Eventbrite,Other"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5" min="2" style="0" width="16"/>
    <col collapsed="false" customWidth="true" hidden="false" outlineLevel="0" max="6" min="6" style="0" width="44"/>
  </cols>
  <sheetData>
    <row r="1" customFormat="false" ht="30" hidden="false" customHeight="true" outlineLevel="0" collapsed="false">
      <c r="A1" s="1" t="s">
        <v>208</v>
      </c>
      <c r="B1" s="1"/>
      <c r="C1" s="1"/>
      <c r="D1" s="1"/>
      <c r="E1" s="1"/>
      <c r="F1" s="1"/>
    </row>
    <row r="2" customFormat="false" ht="33.75" hidden="false" customHeight="true" outlineLevel="0" collapsed="false">
      <c r="A2" s="2" t="s">
        <v>209</v>
      </c>
      <c r="B2" s="2"/>
      <c r="C2" s="2"/>
      <c r="D2" s="2"/>
      <c r="E2" s="2"/>
      <c r="F2" s="2"/>
    </row>
    <row r="4" customFormat="false" ht="19.5" hidden="false" customHeight="true" outlineLevel="0" collapsed="false">
      <c r="A4" s="7" t="s">
        <v>210</v>
      </c>
      <c r="B4" s="8"/>
      <c r="C4" s="8"/>
      <c r="D4" s="8"/>
      <c r="E4" s="8"/>
      <c r="F4" s="8"/>
    </row>
    <row r="5" customFormat="false" ht="15" hidden="false" customHeight="true" outlineLevel="0" collapsed="false">
      <c r="A5" s="9" t="s">
        <v>211</v>
      </c>
      <c r="B5" s="13" t="n">
        <v>15</v>
      </c>
      <c r="C5" s="23" t="s">
        <v>212</v>
      </c>
      <c r="D5" s="23"/>
      <c r="E5" s="23"/>
      <c r="F5" s="23"/>
    </row>
    <row r="6" customFormat="false" ht="15" hidden="false" customHeight="true" outlineLevel="0" collapsed="false">
      <c r="A6" s="9" t="s">
        <v>213</v>
      </c>
      <c r="B6" s="20" t="n">
        <v>50</v>
      </c>
      <c r="C6" s="23" t="s">
        <v>214</v>
      </c>
      <c r="D6" s="23"/>
      <c r="E6" s="23"/>
      <c r="F6" s="23"/>
    </row>
    <row r="7" customFormat="false" ht="15" hidden="false" customHeight="true" outlineLevel="0" collapsed="false">
      <c r="A7" s="9" t="s">
        <v>215</v>
      </c>
      <c r="B7" s="32" t="n">
        <v>1.38</v>
      </c>
      <c r="C7" s="23" t="s">
        <v>216</v>
      </c>
      <c r="D7" s="23"/>
      <c r="E7" s="23"/>
      <c r="F7" s="23"/>
    </row>
    <row r="8" customFormat="false" ht="15" hidden="false" customHeight="true" outlineLevel="0" collapsed="false">
      <c r="A8" s="9" t="s">
        <v>217</v>
      </c>
      <c r="B8" s="14" t="n">
        <v>39</v>
      </c>
      <c r="C8" s="23" t="s">
        <v>218</v>
      </c>
      <c r="D8" s="23"/>
      <c r="E8" s="23"/>
      <c r="F8" s="23"/>
    </row>
    <row r="10" customFormat="false" ht="19.5" hidden="false" customHeight="true" outlineLevel="0" collapsed="false">
      <c r="A10" s="7" t="s">
        <v>219</v>
      </c>
      <c r="B10" s="8"/>
      <c r="C10" s="8"/>
      <c r="D10" s="8"/>
      <c r="E10" s="8"/>
      <c r="F10" s="8"/>
    </row>
    <row r="11" customFormat="false" ht="30" hidden="false" customHeight="true" outlineLevel="0" collapsed="false">
      <c r="A11" s="33" t="s">
        <v>220</v>
      </c>
      <c r="B11" s="33" t="s">
        <v>221</v>
      </c>
      <c r="C11" s="33" t="s">
        <v>222</v>
      </c>
      <c r="D11" s="33" t="s">
        <v>223</v>
      </c>
      <c r="E11" s="33" t="s">
        <v>224</v>
      </c>
      <c r="F11" s="33" t="s">
        <v>225</v>
      </c>
    </row>
    <row r="12" customFormat="false" ht="43.5" hidden="false" customHeight="true" outlineLevel="0" collapsed="false">
      <c r="A12" s="25" t="s">
        <v>226</v>
      </c>
      <c r="B12" s="30" t="n">
        <f aca="false">$B$5*0.035+1.29+$B$5*0.029</f>
        <v>2.25</v>
      </c>
      <c r="C12" s="30" t="n">
        <f aca="false">$B$5-B12</f>
        <v>12.75</v>
      </c>
      <c r="D12" s="29" t="n">
        <v>0</v>
      </c>
      <c r="E12" s="34" t="n">
        <f aca="false">C12*$B$6-D12</f>
        <v>637.5</v>
      </c>
      <c r="F12" s="18" t="s">
        <v>227</v>
      </c>
    </row>
    <row r="13" customFormat="false" ht="43.5" hidden="false" customHeight="true" outlineLevel="0" collapsed="false">
      <c r="A13" s="25" t="s">
        <v>228</v>
      </c>
      <c r="B13" s="30" t="n">
        <f aca="false">$B$5*0.099+0.4*$B$7</f>
        <v>2.037</v>
      </c>
      <c r="C13" s="30" t="n">
        <f aca="false">$B$5-B13</f>
        <v>12.963</v>
      </c>
      <c r="D13" s="29" t="n">
        <f aca="false">$B$8*$B$7</f>
        <v>53.82</v>
      </c>
      <c r="E13" s="34" t="n">
        <f aca="false">C13*$B$6-D13</f>
        <v>594.33</v>
      </c>
      <c r="F13" s="18" t="s">
        <v>229</v>
      </c>
    </row>
    <row r="15" customFormat="false" ht="19.5" hidden="false" customHeight="true" outlineLevel="0" collapsed="false">
      <c r="A15" s="7" t="s">
        <v>230</v>
      </c>
      <c r="B15" s="8"/>
      <c r="C15" s="8"/>
      <c r="D15" s="8"/>
      <c r="E15" s="8"/>
      <c r="F15" s="8"/>
    </row>
    <row r="16" customFormat="false" ht="31.5" hidden="false" customHeight="true" outlineLevel="0" collapsed="false">
      <c r="A16" s="35" t="s">
        <v>231</v>
      </c>
      <c r="B16" s="36" t="s">
        <v>232</v>
      </c>
      <c r="C16" s="36"/>
      <c r="D16" s="36"/>
      <c r="E16" s="36"/>
      <c r="F16" s="11" t="s">
        <v>233</v>
      </c>
    </row>
    <row r="17" customFormat="false" ht="31.5" hidden="false" customHeight="true" outlineLevel="0" collapsed="false">
      <c r="A17" s="35" t="s">
        <v>234</v>
      </c>
      <c r="B17" s="36" t="s">
        <v>235</v>
      </c>
      <c r="C17" s="36"/>
      <c r="D17" s="36"/>
      <c r="E17" s="36"/>
      <c r="F17" s="11" t="s">
        <v>236</v>
      </c>
    </row>
    <row r="18" customFormat="false" ht="31.5" hidden="false" customHeight="true" outlineLevel="0" collapsed="false">
      <c r="A18" s="35" t="s">
        <v>237</v>
      </c>
      <c r="B18" s="36" t="s">
        <v>238</v>
      </c>
      <c r="C18" s="36"/>
      <c r="D18" s="36"/>
      <c r="E18" s="36"/>
      <c r="F18" s="11" t="s">
        <v>239</v>
      </c>
    </row>
    <row r="19" customFormat="false" ht="31.5" hidden="false" customHeight="true" outlineLevel="0" collapsed="false">
      <c r="A19" s="35" t="s">
        <v>240</v>
      </c>
      <c r="B19" s="36" t="s">
        <v>241</v>
      </c>
      <c r="C19" s="36"/>
      <c r="D19" s="36"/>
      <c r="E19" s="36"/>
      <c r="F19" s="11" t="s">
        <v>242</v>
      </c>
    </row>
    <row r="20" customFormat="false" ht="31.5" hidden="false" customHeight="true" outlineLevel="0" collapsed="false">
      <c r="A20" s="35" t="s">
        <v>243</v>
      </c>
      <c r="B20" s="36" t="s">
        <v>244</v>
      </c>
      <c r="C20" s="36"/>
      <c r="D20" s="36"/>
      <c r="E20" s="36"/>
      <c r="F20" s="11" t="s">
        <v>245</v>
      </c>
    </row>
    <row r="22" customFormat="false" ht="30" hidden="false" customHeight="true" outlineLevel="0" collapsed="false">
      <c r="A22" s="23" t="s">
        <v>246</v>
      </c>
      <c r="B22" s="23"/>
      <c r="C22" s="23"/>
      <c r="D22" s="23"/>
      <c r="E22" s="23"/>
      <c r="F22" s="23"/>
    </row>
  </sheetData>
  <mergeCells count="12">
    <mergeCell ref="A1:F1"/>
    <mergeCell ref="A2:F2"/>
    <mergeCell ref="C5:F5"/>
    <mergeCell ref="C6:F6"/>
    <mergeCell ref="C7:F7"/>
    <mergeCell ref="C8:F8"/>
    <mergeCell ref="B16:E16"/>
    <mergeCell ref="B17:E17"/>
    <mergeCell ref="B18:E18"/>
    <mergeCell ref="B19:E19"/>
    <mergeCell ref="B20:E20"/>
    <mergeCell ref="A22:F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G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26"/>
    <col collapsed="false" customWidth="true" hidden="false" outlineLevel="0" max="4" min="4" style="0" width="10"/>
    <col collapsed="false" customWidth="true" hidden="false" outlineLevel="0" max="6" min="5" style="0" width="11"/>
    <col collapsed="false" customWidth="true" hidden="false" outlineLevel="0" max="7" min="7" style="0" width="34"/>
  </cols>
  <sheetData>
    <row r="1" customFormat="false" ht="30" hidden="false" customHeight="true" outlineLevel="0" collapsed="false">
      <c r="A1" s="1" t="s">
        <v>247</v>
      </c>
      <c r="B1" s="1"/>
      <c r="C1" s="1"/>
      <c r="D1" s="1"/>
      <c r="E1" s="1"/>
      <c r="F1" s="1"/>
      <c r="G1" s="1"/>
    </row>
    <row r="2" customFormat="false" ht="33.75" hidden="false" customHeight="true" outlineLevel="0" collapsed="false">
      <c r="A2" s="2" t="s">
        <v>248</v>
      </c>
      <c r="B2" s="2"/>
      <c r="C2" s="2"/>
      <c r="D2" s="2"/>
      <c r="E2" s="2"/>
      <c r="F2" s="2"/>
      <c r="G2" s="2"/>
    </row>
    <row r="4" customFormat="false" ht="33.75" hidden="false" customHeight="true" outlineLevel="0" collapsed="false">
      <c r="A4" s="15" t="s">
        <v>249</v>
      </c>
      <c r="B4" s="15" t="s">
        <v>250</v>
      </c>
      <c r="C4" s="15" t="s">
        <v>251</v>
      </c>
      <c r="D4" s="15" t="s">
        <v>252</v>
      </c>
      <c r="E4" s="15" t="s">
        <v>253</v>
      </c>
      <c r="F4" s="15" t="s">
        <v>254</v>
      </c>
      <c r="G4" s="15" t="s">
        <v>79</v>
      </c>
    </row>
    <row r="5" customFormat="false" ht="15" hidden="false" customHeight="false" outlineLevel="0" collapsed="false">
      <c r="A5" s="10" t="s">
        <v>255</v>
      </c>
      <c r="B5" s="10" t="s">
        <v>183</v>
      </c>
      <c r="C5" s="10"/>
      <c r="D5" s="10"/>
      <c r="E5" s="31"/>
      <c r="F5" s="31"/>
      <c r="G5" s="10"/>
    </row>
    <row r="6" customFormat="false" ht="15" hidden="false" customHeight="false" outlineLevel="0" collapsed="false">
      <c r="A6" s="10" t="s">
        <v>256</v>
      </c>
      <c r="B6" s="10" t="s">
        <v>257</v>
      </c>
      <c r="C6" s="10"/>
      <c r="D6" s="10"/>
      <c r="E6" s="31"/>
      <c r="F6" s="31"/>
      <c r="G6" s="10"/>
    </row>
    <row r="7" customFormat="false" ht="15" hidden="false" customHeight="false" outlineLevel="0" collapsed="false">
      <c r="A7" s="10" t="s">
        <v>258</v>
      </c>
      <c r="B7" s="10" t="s">
        <v>259</v>
      </c>
      <c r="C7" s="10"/>
      <c r="D7" s="10"/>
      <c r="E7" s="31"/>
      <c r="F7" s="31"/>
      <c r="G7" s="10"/>
    </row>
    <row r="8" customFormat="false" ht="15" hidden="false" customHeight="false" outlineLevel="0" collapsed="false">
      <c r="A8" s="10" t="s">
        <v>260</v>
      </c>
      <c r="B8" s="10" t="s">
        <v>261</v>
      </c>
      <c r="C8" s="10"/>
      <c r="D8" s="10"/>
      <c r="E8" s="31"/>
      <c r="F8" s="31"/>
      <c r="G8" s="10"/>
    </row>
    <row r="9" customFormat="false" ht="15" hidden="false" customHeight="false" outlineLevel="0" collapsed="false">
      <c r="A9" s="10" t="s">
        <v>262</v>
      </c>
      <c r="B9" s="10" t="s">
        <v>263</v>
      </c>
      <c r="C9" s="10"/>
      <c r="D9" s="10"/>
      <c r="E9" s="31"/>
      <c r="F9" s="31"/>
      <c r="G9" s="10"/>
    </row>
    <row r="10" customFormat="false" ht="15" hidden="false" customHeight="false" outlineLevel="0" collapsed="false">
      <c r="A10" s="10" t="s">
        <v>264</v>
      </c>
      <c r="B10" s="10" t="s">
        <v>178</v>
      </c>
      <c r="C10" s="10"/>
      <c r="D10" s="10"/>
      <c r="E10" s="31"/>
      <c r="F10" s="31"/>
      <c r="G10" s="10"/>
    </row>
    <row r="11" customFormat="false" ht="15" hidden="false" customHeight="false" outlineLevel="0" collapsed="false">
      <c r="A11" s="10" t="s">
        <v>265</v>
      </c>
      <c r="B11" s="10" t="s">
        <v>259</v>
      </c>
      <c r="C11" s="10"/>
      <c r="D11" s="10"/>
      <c r="E11" s="31"/>
      <c r="F11" s="31"/>
      <c r="G11" s="10"/>
    </row>
    <row r="12" customFormat="false" ht="15" hidden="false" customHeight="false" outlineLevel="0" collapsed="false">
      <c r="A12" s="10" t="s">
        <v>266</v>
      </c>
      <c r="B12" s="10" t="s">
        <v>259</v>
      </c>
      <c r="C12" s="10"/>
      <c r="D12" s="10"/>
      <c r="E12" s="31"/>
      <c r="F12" s="31"/>
      <c r="G12" s="10"/>
    </row>
    <row r="13" customFormat="false" ht="15" hidden="false" customHeight="false" outlineLevel="0" collapsed="false">
      <c r="A13" s="10" t="s">
        <v>267</v>
      </c>
      <c r="B13" s="10" t="s">
        <v>261</v>
      </c>
      <c r="C13" s="10"/>
      <c r="D13" s="10"/>
      <c r="E13" s="31"/>
      <c r="F13" s="31"/>
      <c r="G13" s="10"/>
    </row>
    <row r="14" customFormat="false" ht="15" hidden="false" customHeight="false" outlineLevel="0" collapsed="false">
      <c r="A14" s="10" t="s">
        <v>268</v>
      </c>
      <c r="B14" s="10" t="s">
        <v>263</v>
      </c>
      <c r="C14" s="10"/>
      <c r="D14" s="10"/>
      <c r="E14" s="31"/>
      <c r="F14" s="31"/>
      <c r="G14" s="10"/>
    </row>
    <row r="15" customFormat="false" ht="15" hidden="false" customHeight="false" outlineLevel="0" collapsed="false">
      <c r="A15" s="10" t="s">
        <v>269</v>
      </c>
      <c r="B15" s="10" t="s">
        <v>261</v>
      </c>
      <c r="C15" s="10"/>
      <c r="D15" s="10"/>
      <c r="E15" s="31"/>
      <c r="F15" s="31"/>
      <c r="G15" s="10"/>
    </row>
    <row r="16" customFormat="false" ht="15" hidden="false" customHeight="false" outlineLevel="0" collapsed="false">
      <c r="A16" s="10" t="s">
        <v>270</v>
      </c>
      <c r="B16" s="10" t="s">
        <v>271</v>
      </c>
      <c r="C16" s="10"/>
      <c r="D16" s="10"/>
      <c r="E16" s="31"/>
      <c r="F16" s="31"/>
      <c r="G16" s="10"/>
    </row>
    <row r="17" customFormat="false" ht="15" hidden="false" customHeight="false" outlineLevel="0" collapsed="false">
      <c r="A17" s="10" t="s">
        <v>272</v>
      </c>
      <c r="B17" s="10" t="s">
        <v>259</v>
      </c>
      <c r="C17" s="10"/>
      <c r="D17" s="10"/>
      <c r="E17" s="31"/>
      <c r="F17" s="31"/>
      <c r="G17" s="10"/>
    </row>
    <row r="18" customFormat="false" ht="15" hidden="false" customHeight="false" outlineLevel="0" collapsed="false">
      <c r="A18" s="10"/>
      <c r="B18" s="10"/>
      <c r="C18" s="10"/>
      <c r="D18" s="10"/>
      <c r="E18" s="31"/>
      <c r="F18" s="31"/>
      <c r="G18" s="10"/>
    </row>
    <row r="19" customFormat="false" ht="15" hidden="false" customHeight="false" outlineLevel="0" collapsed="false">
      <c r="A19" s="10"/>
      <c r="B19" s="10"/>
      <c r="C19" s="10"/>
      <c r="D19" s="10"/>
      <c r="E19" s="31"/>
      <c r="F19" s="31"/>
      <c r="G19" s="10"/>
    </row>
    <row r="20" customFormat="false" ht="15" hidden="false" customHeight="false" outlineLevel="0" collapsed="false">
      <c r="A20" s="10"/>
      <c r="B20" s="10"/>
      <c r="C20" s="10"/>
      <c r="D20" s="10"/>
      <c r="E20" s="31"/>
      <c r="F20" s="31"/>
      <c r="G20" s="10"/>
    </row>
    <row r="21" customFormat="false" ht="15" hidden="false" customHeight="false" outlineLevel="0" collapsed="false">
      <c r="A21" s="10"/>
      <c r="B21" s="10"/>
      <c r="C21" s="10"/>
      <c r="D21" s="10"/>
      <c r="E21" s="31"/>
      <c r="F21" s="31"/>
      <c r="G21" s="10"/>
    </row>
    <row r="22" customFormat="false" ht="15" hidden="false" customHeight="false" outlineLevel="0" collapsed="false">
      <c r="A22" s="10"/>
      <c r="B22" s="10"/>
      <c r="C22" s="10"/>
      <c r="D22" s="10"/>
      <c r="E22" s="31"/>
      <c r="F22" s="31"/>
      <c r="G22" s="10"/>
    </row>
    <row r="23" customFormat="false" ht="15" hidden="false" customHeight="false" outlineLevel="0" collapsed="false">
      <c r="A23" s="10"/>
      <c r="B23" s="10"/>
      <c r="C23" s="10"/>
      <c r="D23" s="10"/>
      <c r="E23" s="31"/>
      <c r="F23" s="31"/>
      <c r="G23" s="10"/>
    </row>
    <row r="24" customFormat="false" ht="15" hidden="false" customHeight="false" outlineLevel="0" collapsed="false">
      <c r="A24" s="10"/>
      <c r="B24" s="10"/>
      <c r="C24" s="10"/>
      <c r="D24" s="10"/>
      <c r="E24" s="31"/>
      <c r="F24" s="31"/>
      <c r="G24" s="10"/>
    </row>
    <row r="25" customFormat="false" ht="15" hidden="false" customHeight="false" outlineLevel="0" collapsed="false">
      <c r="A25" s="10"/>
      <c r="B25" s="10"/>
      <c r="C25" s="10"/>
      <c r="D25" s="10"/>
      <c r="E25" s="31"/>
      <c r="F25" s="31"/>
      <c r="G25" s="10"/>
    </row>
    <row r="26" customFormat="false" ht="15" hidden="false" customHeight="false" outlineLevel="0" collapsed="false">
      <c r="A26" s="10"/>
      <c r="B26" s="10"/>
      <c r="C26" s="10"/>
      <c r="D26" s="10"/>
      <c r="E26" s="31"/>
      <c r="F26" s="31"/>
      <c r="G26" s="10"/>
    </row>
    <row r="27" customFormat="false" ht="15" hidden="false" customHeight="false" outlineLevel="0" collapsed="false">
      <c r="A27" s="10"/>
      <c r="B27" s="10"/>
      <c r="C27" s="10"/>
      <c r="D27" s="10"/>
      <c r="E27" s="31"/>
      <c r="F27" s="31"/>
      <c r="G27" s="10"/>
    </row>
    <row r="28" customFormat="false" ht="15" hidden="false" customHeight="false" outlineLevel="0" collapsed="false">
      <c r="A28" s="10"/>
      <c r="B28" s="10"/>
      <c r="C28" s="10"/>
      <c r="D28" s="10"/>
      <c r="E28" s="31"/>
      <c r="F28" s="31"/>
      <c r="G28" s="10"/>
    </row>
    <row r="29" customFormat="false" ht="15" hidden="false" customHeight="false" outlineLevel="0" collapsed="false">
      <c r="A29" s="10"/>
      <c r="B29" s="10"/>
      <c r="C29" s="10"/>
      <c r="D29" s="10"/>
      <c r="E29" s="31"/>
      <c r="F29" s="31"/>
      <c r="G29" s="10"/>
    </row>
    <row r="30" customFormat="false" ht="15" hidden="false" customHeight="false" outlineLevel="0" collapsed="false">
      <c r="A30" s="10"/>
      <c r="B30" s="10"/>
      <c r="C30" s="10"/>
      <c r="D30" s="10"/>
      <c r="E30" s="31"/>
      <c r="F30" s="31"/>
      <c r="G30" s="10"/>
    </row>
    <row r="31" customFormat="false" ht="15" hidden="false" customHeight="false" outlineLevel="0" collapsed="false">
      <c r="A31" s="10"/>
      <c r="B31" s="10"/>
      <c r="C31" s="10"/>
      <c r="D31" s="10"/>
      <c r="E31" s="31"/>
      <c r="F31" s="31"/>
      <c r="G31" s="10"/>
    </row>
    <row r="32" customFormat="false" ht="15" hidden="false" customHeight="false" outlineLevel="0" collapsed="false">
      <c r="A32" s="10"/>
      <c r="B32" s="10"/>
      <c r="C32" s="10"/>
      <c r="D32" s="10"/>
      <c r="E32" s="31"/>
      <c r="F32" s="31"/>
      <c r="G32" s="10"/>
    </row>
    <row r="33" customFormat="false" ht="15" hidden="false" customHeight="false" outlineLevel="0" collapsed="false">
      <c r="A33" s="10"/>
      <c r="B33" s="10"/>
      <c r="C33" s="10"/>
      <c r="D33" s="10"/>
      <c r="E33" s="31"/>
      <c r="F33" s="31"/>
      <c r="G33" s="10"/>
    </row>
    <row r="34" customFormat="false" ht="15" hidden="false" customHeight="false" outlineLevel="0" collapsed="false">
      <c r="A34" s="10"/>
      <c r="B34" s="10"/>
      <c r="C34" s="10"/>
      <c r="D34" s="10"/>
      <c r="E34" s="31"/>
      <c r="F34" s="31"/>
      <c r="G34" s="10"/>
    </row>
    <row r="35" customFormat="false" ht="15" hidden="false" customHeight="false" outlineLevel="0" collapsed="false">
      <c r="A35" s="10"/>
      <c r="B35" s="10"/>
      <c r="C35" s="10"/>
      <c r="D35" s="10"/>
      <c r="E35" s="31"/>
      <c r="F35" s="31"/>
      <c r="G35" s="10"/>
    </row>
    <row r="36" customFormat="false" ht="15" hidden="false" customHeight="false" outlineLevel="0" collapsed="false">
      <c r="A36" s="10"/>
      <c r="B36" s="10"/>
      <c r="C36" s="10"/>
      <c r="D36" s="10"/>
      <c r="E36" s="31"/>
      <c r="F36" s="31"/>
      <c r="G36" s="10"/>
    </row>
    <row r="37" customFormat="false" ht="15" hidden="false" customHeight="false" outlineLevel="0" collapsed="false">
      <c r="A37" s="10"/>
      <c r="B37" s="10"/>
      <c r="C37" s="10"/>
      <c r="D37" s="10"/>
      <c r="E37" s="31"/>
      <c r="F37" s="31"/>
      <c r="G37" s="10"/>
    </row>
    <row r="38" customFormat="false" ht="15" hidden="false" customHeight="false" outlineLevel="0" collapsed="false">
      <c r="A38" s="10"/>
      <c r="B38" s="10"/>
      <c r="C38" s="10"/>
      <c r="D38" s="10"/>
      <c r="E38" s="31"/>
      <c r="F38" s="31"/>
      <c r="G38" s="10"/>
    </row>
    <row r="39" customFormat="false" ht="15" hidden="false" customHeight="false" outlineLevel="0" collapsed="false">
      <c r="A39" s="10"/>
      <c r="B39" s="10"/>
      <c r="C39" s="10"/>
      <c r="D39" s="10"/>
      <c r="E39" s="31"/>
      <c r="F39" s="31"/>
      <c r="G39" s="10"/>
    </row>
    <row r="40" customFormat="false" ht="15" hidden="false" customHeight="false" outlineLevel="0" collapsed="false">
      <c r="A40" s="10"/>
      <c r="B40" s="10"/>
      <c r="C40" s="10"/>
      <c r="D40" s="10"/>
      <c r="E40" s="31"/>
      <c r="F40" s="31"/>
      <c r="G40" s="10"/>
    </row>
    <row r="41" customFormat="false" ht="15" hidden="false" customHeight="false" outlineLevel="0" collapsed="false">
      <c r="A41" s="10"/>
      <c r="B41" s="10"/>
      <c r="C41" s="10"/>
      <c r="D41" s="10"/>
      <c r="E41" s="31"/>
      <c r="F41" s="31"/>
      <c r="G41" s="10"/>
    </row>
    <row r="42" customFormat="false" ht="15" hidden="false" customHeight="false" outlineLevel="0" collapsed="false">
      <c r="A42" s="10"/>
      <c r="B42" s="10"/>
      <c r="C42" s="10"/>
      <c r="D42" s="10"/>
      <c r="E42" s="31"/>
      <c r="F42" s="31"/>
      <c r="G42" s="10"/>
    </row>
    <row r="43" customFormat="false" ht="15" hidden="false" customHeight="false" outlineLevel="0" collapsed="false">
      <c r="A43" s="10"/>
      <c r="B43" s="10"/>
      <c r="C43" s="10"/>
      <c r="D43" s="10"/>
      <c r="E43" s="31"/>
      <c r="F43" s="31"/>
      <c r="G43" s="10"/>
    </row>
    <row r="44" customFormat="false" ht="15" hidden="false" customHeight="false" outlineLevel="0" collapsed="false">
      <c r="A44" s="10"/>
      <c r="B44" s="10"/>
      <c r="C44" s="10"/>
      <c r="D44" s="10"/>
      <c r="E44" s="31"/>
      <c r="F44" s="31"/>
      <c r="G44" s="10"/>
    </row>
    <row r="45" customFormat="false" ht="15" hidden="false" customHeight="false" outlineLevel="0" collapsed="false">
      <c r="A45" s="10"/>
      <c r="B45" s="10"/>
      <c r="C45" s="10"/>
      <c r="D45" s="10"/>
      <c r="E45" s="31"/>
      <c r="F45" s="31"/>
      <c r="G45" s="10"/>
    </row>
    <row r="46" customFormat="false" ht="15" hidden="false" customHeight="false" outlineLevel="0" collapsed="false">
      <c r="A46" s="10"/>
      <c r="B46" s="10"/>
      <c r="C46" s="10"/>
      <c r="D46" s="10"/>
      <c r="E46" s="31"/>
      <c r="F46" s="31"/>
      <c r="G46" s="10"/>
    </row>
    <row r="47" customFormat="false" ht="15" hidden="false" customHeight="false" outlineLevel="0" collapsed="false">
      <c r="A47" s="10"/>
      <c r="B47" s="10"/>
      <c r="C47" s="10"/>
      <c r="D47" s="10"/>
      <c r="E47" s="31"/>
      <c r="F47" s="31"/>
      <c r="G47" s="10"/>
    </row>
    <row r="48" customFormat="false" ht="15" hidden="false" customHeight="false" outlineLevel="0" collapsed="false">
      <c r="A48" s="10"/>
      <c r="B48" s="10"/>
      <c r="C48" s="10"/>
      <c r="D48" s="10"/>
      <c r="E48" s="31"/>
      <c r="F48" s="31"/>
      <c r="G48" s="10"/>
    </row>
    <row r="49" customFormat="false" ht="15" hidden="false" customHeight="false" outlineLevel="0" collapsed="false">
      <c r="A49" s="10"/>
      <c r="B49" s="10"/>
      <c r="C49" s="10"/>
      <c r="D49" s="10"/>
      <c r="E49" s="31"/>
      <c r="F49" s="31"/>
      <c r="G49" s="10"/>
    </row>
    <row r="50" customFormat="false" ht="15" hidden="false" customHeight="false" outlineLevel="0" collapsed="false">
      <c r="A50" s="10"/>
      <c r="B50" s="10"/>
      <c r="C50" s="10"/>
      <c r="D50" s="10"/>
      <c r="E50" s="31"/>
      <c r="F50" s="31"/>
      <c r="G50" s="10"/>
    </row>
    <row r="51" customFormat="false" ht="15" hidden="false" customHeight="false" outlineLevel="0" collapsed="false">
      <c r="A51" s="10"/>
      <c r="B51" s="10"/>
      <c r="C51" s="10"/>
      <c r="D51" s="10"/>
      <c r="E51" s="31"/>
      <c r="F51" s="31"/>
      <c r="G51" s="10"/>
    </row>
    <row r="52" customFormat="false" ht="15" hidden="false" customHeight="false" outlineLevel="0" collapsed="false">
      <c r="A52" s="10"/>
      <c r="B52" s="10"/>
      <c r="C52" s="10"/>
      <c r="D52" s="10"/>
      <c r="E52" s="31"/>
      <c r="F52" s="31"/>
      <c r="G52" s="10"/>
    </row>
    <row r="53" customFormat="false" ht="15" hidden="false" customHeight="false" outlineLevel="0" collapsed="false">
      <c r="A53" s="10"/>
      <c r="B53" s="10"/>
      <c r="C53" s="10"/>
      <c r="D53" s="10"/>
      <c r="E53" s="31"/>
      <c r="F53" s="31"/>
      <c r="G53" s="10"/>
    </row>
    <row r="54" customFormat="false" ht="15" hidden="false" customHeight="false" outlineLevel="0" collapsed="false">
      <c r="A54" s="10"/>
      <c r="B54" s="10"/>
      <c r="C54" s="10"/>
      <c r="D54" s="10"/>
      <c r="E54" s="31"/>
      <c r="F54" s="31"/>
      <c r="G54" s="10"/>
    </row>
    <row r="55" customFormat="false" ht="15" hidden="false" customHeight="false" outlineLevel="0" collapsed="false">
      <c r="A55" s="10"/>
      <c r="B55" s="10"/>
      <c r="C55" s="10"/>
      <c r="D55" s="10"/>
      <c r="E55" s="31"/>
      <c r="F55" s="31"/>
      <c r="G55" s="10"/>
    </row>
    <row r="56" customFormat="false" ht="15" hidden="false" customHeight="false" outlineLevel="0" collapsed="false">
      <c r="A56" s="10"/>
      <c r="B56" s="10"/>
      <c r="C56" s="10"/>
      <c r="D56" s="10"/>
      <c r="E56" s="31"/>
      <c r="F56" s="31"/>
      <c r="G56" s="10"/>
    </row>
    <row r="57" customFormat="false" ht="15" hidden="false" customHeight="false" outlineLevel="0" collapsed="false">
      <c r="A57" s="10"/>
      <c r="B57" s="10"/>
      <c r="C57" s="10"/>
      <c r="D57" s="10"/>
      <c r="E57" s="31"/>
      <c r="F57" s="31"/>
      <c r="G57" s="10"/>
    </row>
    <row r="58" customFormat="false" ht="15" hidden="false" customHeight="false" outlineLevel="0" collapsed="false">
      <c r="A58" s="10"/>
      <c r="B58" s="10"/>
      <c r="C58" s="10"/>
      <c r="D58" s="10"/>
      <c r="E58" s="31"/>
      <c r="F58" s="31"/>
      <c r="G58" s="10"/>
    </row>
    <row r="59" customFormat="false" ht="15" hidden="false" customHeight="false" outlineLevel="0" collapsed="false">
      <c r="A59" s="10"/>
      <c r="B59" s="10"/>
      <c r="C59" s="10"/>
      <c r="D59" s="10"/>
      <c r="E59" s="31"/>
      <c r="F59" s="31"/>
      <c r="G59" s="10"/>
    </row>
    <row r="60" customFormat="false" ht="15" hidden="false" customHeight="false" outlineLevel="0" collapsed="false">
      <c r="A60" s="10"/>
      <c r="B60" s="10"/>
      <c r="C60" s="10"/>
      <c r="D60" s="10"/>
      <c r="E60" s="31"/>
      <c r="F60" s="31"/>
      <c r="G60" s="10"/>
    </row>
    <row r="61" customFormat="false" ht="15" hidden="false" customHeight="false" outlineLevel="0" collapsed="false">
      <c r="A61" s="10"/>
      <c r="B61" s="10"/>
      <c r="C61" s="10"/>
      <c r="D61" s="10"/>
      <c r="E61" s="31"/>
      <c r="F61" s="31"/>
      <c r="G61" s="10"/>
    </row>
    <row r="62" customFormat="false" ht="15" hidden="false" customHeight="false" outlineLevel="0" collapsed="false">
      <c r="A62" s="10"/>
      <c r="B62" s="10"/>
      <c r="C62" s="10"/>
      <c r="D62" s="10"/>
      <c r="E62" s="31"/>
      <c r="F62" s="31"/>
      <c r="G62" s="10"/>
    </row>
    <row r="63" customFormat="false" ht="15" hidden="false" customHeight="false" outlineLevel="0" collapsed="false">
      <c r="A63" s="10"/>
      <c r="B63" s="10"/>
      <c r="C63" s="10"/>
      <c r="D63" s="10"/>
      <c r="E63" s="31"/>
      <c r="F63" s="31"/>
      <c r="G63" s="10"/>
    </row>
    <row r="64" customFormat="false" ht="15" hidden="false" customHeight="false" outlineLevel="0" collapsed="false">
      <c r="A64" s="10"/>
      <c r="B64" s="10"/>
      <c r="C64" s="10"/>
      <c r="D64" s="10"/>
      <c r="E64" s="31"/>
      <c r="F64" s="31"/>
      <c r="G64" s="10"/>
    </row>
    <row r="66" customFormat="false" ht="15" hidden="false" customHeight="true" outlineLevel="0" collapsed="false">
      <c r="A66" s="23" t="s">
        <v>273</v>
      </c>
      <c r="B66" s="23"/>
      <c r="C66" s="23"/>
      <c r="D66" s="23"/>
      <c r="E66" s="23"/>
      <c r="F66" s="23"/>
      <c r="G66" s="23"/>
    </row>
  </sheetData>
  <mergeCells count="3">
    <mergeCell ref="A1:G1"/>
    <mergeCell ref="A2:G2"/>
    <mergeCell ref="A66:G66"/>
  </mergeCells>
  <dataValidations count="1">
    <dataValidation allowBlank="true" errorStyle="stop" operator="between" showDropDown="false" showErrorMessage="false" showInputMessage="false" sqref="D5:D6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6"/>
    <col collapsed="false" customWidth="true" hidden="false" outlineLevel="0" max="3" min="3" style="0" width="28"/>
    <col collapsed="false" customWidth="true" hidden="false" outlineLevel="0" max="4" min="4" style="0" width="26"/>
    <col collapsed="false" customWidth="true" hidden="false" outlineLevel="0" max="5" min="5" style="0" width="12"/>
    <col collapsed="false" customWidth="true" hidden="false" outlineLevel="0" max="6" min="6" style="0" width="8"/>
  </cols>
  <sheetData>
    <row r="1" customFormat="false" ht="30" hidden="false" customHeight="true" outlineLevel="0" collapsed="false">
      <c r="A1" s="1" t="s">
        <v>274</v>
      </c>
      <c r="B1" s="1"/>
      <c r="C1" s="1"/>
      <c r="D1" s="1"/>
      <c r="E1" s="1"/>
      <c r="F1" s="1"/>
    </row>
    <row r="2" customFormat="false" ht="33.75" hidden="false" customHeight="true" outlineLevel="0" collapsed="false">
      <c r="A2" s="2" t="s">
        <v>275</v>
      </c>
      <c r="B2" s="2"/>
      <c r="C2" s="2"/>
      <c r="D2" s="2"/>
      <c r="E2" s="2"/>
      <c r="F2" s="2"/>
    </row>
    <row r="4" customFormat="false" ht="33.75" hidden="false" customHeight="true" outlineLevel="0" collapsed="false">
      <c r="A4" s="15" t="s">
        <v>276</v>
      </c>
      <c r="B4" s="15" t="s">
        <v>277</v>
      </c>
      <c r="C4" s="15" t="s">
        <v>278</v>
      </c>
      <c r="D4" s="15" t="s">
        <v>279</v>
      </c>
      <c r="E4" s="15" t="s">
        <v>280</v>
      </c>
      <c r="F4" s="15" t="s">
        <v>281</v>
      </c>
    </row>
    <row r="5" customFormat="false" ht="27.75" hidden="false" customHeight="true" outlineLevel="0" collapsed="false">
      <c r="A5" s="18" t="s">
        <v>282</v>
      </c>
      <c r="B5" s="18" t="s">
        <v>283</v>
      </c>
      <c r="C5" s="18" t="s">
        <v>284</v>
      </c>
      <c r="D5" s="18" t="s">
        <v>285</v>
      </c>
      <c r="E5" s="10" t="s">
        <v>83</v>
      </c>
      <c r="F5" s="10"/>
    </row>
    <row r="6" customFormat="false" ht="27.75" hidden="false" customHeight="true" outlineLevel="0" collapsed="false">
      <c r="A6" s="18" t="s">
        <v>286</v>
      </c>
      <c r="B6" s="18" t="s">
        <v>287</v>
      </c>
      <c r="C6" s="18" t="s">
        <v>288</v>
      </c>
      <c r="D6" s="18" t="s">
        <v>289</v>
      </c>
      <c r="E6" s="10" t="s">
        <v>83</v>
      </c>
      <c r="F6" s="10"/>
    </row>
    <row r="7" customFormat="false" ht="27.75" hidden="false" customHeight="true" outlineLevel="0" collapsed="false">
      <c r="A7" s="18" t="s">
        <v>290</v>
      </c>
      <c r="B7" s="18" t="s">
        <v>291</v>
      </c>
      <c r="C7" s="18" t="s">
        <v>292</v>
      </c>
      <c r="D7" s="18" t="s">
        <v>293</v>
      </c>
      <c r="E7" s="10" t="s">
        <v>83</v>
      </c>
      <c r="F7" s="10"/>
    </row>
    <row r="8" customFormat="false" ht="27.75" hidden="false" customHeight="true" outlineLevel="0" collapsed="false">
      <c r="A8" s="18" t="s">
        <v>294</v>
      </c>
      <c r="B8" s="18" t="s">
        <v>295</v>
      </c>
      <c r="C8" s="18" t="s">
        <v>296</v>
      </c>
      <c r="D8" s="18" t="s">
        <v>297</v>
      </c>
      <c r="E8" s="10" t="s">
        <v>83</v>
      </c>
      <c r="F8" s="10"/>
    </row>
    <row r="9" customFormat="false" ht="27.75" hidden="false" customHeight="true" outlineLevel="0" collapsed="false">
      <c r="A9" s="18" t="s">
        <v>298</v>
      </c>
      <c r="B9" s="18" t="s">
        <v>299</v>
      </c>
      <c r="C9" s="18" t="s">
        <v>300</v>
      </c>
      <c r="D9" s="18" t="s">
        <v>301</v>
      </c>
      <c r="E9" s="10" t="s">
        <v>83</v>
      </c>
      <c r="F9" s="10"/>
    </row>
    <row r="10" customFormat="false" ht="27.75" hidden="false" customHeight="true" outlineLevel="0" collapsed="false">
      <c r="A10" s="18" t="s">
        <v>302</v>
      </c>
      <c r="B10" s="18" t="s">
        <v>303</v>
      </c>
      <c r="C10" s="18" t="s">
        <v>304</v>
      </c>
      <c r="D10" s="18" t="s">
        <v>293</v>
      </c>
      <c r="E10" s="10" t="s">
        <v>83</v>
      </c>
      <c r="F10" s="10"/>
    </row>
    <row r="11" customFormat="false" ht="27.75" hidden="false" customHeight="true" outlineLevel="0" collapsed="false">
      <c r="A11" s="18" t="s">
        <v>305</v>
      </c>
      <c r="B11" s="18" t="s">
        <v>299</v>
      </c>
      <c r="C11" s="18" t="s">
        <v>306</v>
      </c>
      <c r="D11" s="18" t="s">
        <v>307</v>
      </c>
      <c r="E11" s="10" t="s">
        <v>83</v>
      </c>
      <c r="F11" s="10"/>
    </row>
    <row r="12" customFormat="false" ht="27.75" hidden="false" customHeight="true" outlineLevel="0" collapsed="false">
      <c r="A12" s="18" t="s">
        <v>308</v>
      </c>
      <c r="B12" s="18" t="s">
        <v>309</v>
      </c>
      <c r="C12" s="18" t="s">
        <v>310</v>
      </c>
      <c r="D12" s="18" t="s">
        <v>285</v>
      </c>
      <c r="E12" s="10" t="s">
        <v>83</v>
      </c>
      <c r="F12" s="10"/>
    </row>
    <row r="13" customFormat="false" ht="27.75" hidden="false" customHeight="true" outlineLevel="0" collapsed="false">
      <c r="A13" s="18" t="s">
        <v>311</v>
      </c>
      <c r="B13" s="18" t="s">
        <v>312</v>
      </c>
      <c r="C13" s="18" t="s">
        <v>313</v>
      </c>
      <c r="D13" s="18" t="s">
        <v>314</v>
      </c>
      <c r="E13" s="10" t="s">
        <v>83</v>
      </c>
      <c r="F13" s="10"/>
    </row>
    <row r="14" customFormat="false" ht="27.75" hidden="false" customHeight="true" outlineLevel="0" collapsed="false">
      <c r="A14" s="18" t="s">
        <v>315</v>
      </c>
      <c r="B14" s="18" t="s">
        <v>291</v>
      </c>
      <c r="C14" s="18" t="s">
        <v>316</v>
      </c>
      <c r="D14" s="18" t="s">
        <v>317</v>
      </c>
      <c r="E14" s="10" t="s">
        <v>83</v>
      </c>
      <c r="F14" s="10"/>
    </row>
    <row r="15" customFormat="false" ht="27.75" hidden="false" customHeight="true" outlineLevel="0" collapsed="false">
      <c r="A15" s="18" t="s">
        <v>318</v>
      </c>
      <c r="B15" s="18" t="s">
        <v>291</v>
      </c>
      <c r="C15" s="18" t="s">
        <v>319</v>
      </c>
      <c r="D15" s="18" t="s">
        <v>320</v>
      </c>
      <c r="E15" s="10" t="s">
        <v>83</v>
      </c>
      <c r="F15" s="10"/>
    </row>
    <row r="16" customFormat="false" ht="27.75" hidden="false" customHeight="true" outlineLevel="0" collapsed="false">
      <c r="A16" s="18" t="s">
        <v>321</v>
      </c>
      <c r="B16" s="18" t="s">
        <v>322</v>
      </c>
      <c r="C16" s="18" t="s">
        <v>323</v>
      </c>
      <c r="D16" s="18" t="s">
        <v>285</v>
      </c>
      <c r="E16" s="10" t="s">
        <v>83</v>
      </c>
      <c r="F16" s="10"/>
    </row>
    <row r="17" customFormat="false" ht="27.75" hidden="false" customHeight="true" outlineLevel="0" collapsed="false">
      <c r="A17" s="18" t="s">
        <v>324</v>
      </c>
      <c r="B17" s="18" t="s">
        <v>291</v>
      </c>
      <c r="C17" s="18" t="s">
        <v>325</v>
      </c>
      <c r="D17" s="18" t="s">
        <v>285</v>
      </c>
      <c r="E17" s="10" t="s">
        <v>83</v>
      </c>
      <c r="F17" s="10"/>
    </row>
    <row r="18" customFormat="false" ht="27.75" hidden="false" customHeight="true" outlineLevel="0" collapsed="false">
      <c r="A18" s="18" t="s">
        <v>326</v>
      </c>
      <c r="B18" s="18" t="s">
        <v>327</v>
      </c>
      <c r="C18" s="18" t="s">
        <v>328</v>
      </c>
      <c r="D18" s="18" t="s">
        <v>329</v>
      </c>
      <c r="E18" s="10" t="s">
        <v>83</v>
      </c>
      <c r="F18" s="10"/>
    </row>
  </sheetData>
  <mergeCells count="2">
    <mergeCell ref="A1:F1"/>
    <mergeCell ref="A2:F2"/>
  </mergeCells>
  <conditionalFormatting sqref="F5:F18">
    <cfRule type="cellIs" priority="2" operator="equal" aboveAverage="0" equalAverage="0" bottom="0" percent="0" rank="0" text="" dxfId="0">
      <formula>"Yes"</formula>
    </cfRule>
  </conditionalFormatting>
  <dataValidations count="1">
    <dataValidation allowBlank="true" errorStyle="stop" operator="between" showDropDown="false" showErrorMessage="false" showInputMessage="false" sqref="F5:F18"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54940"/>
    <pageSetUpPr fitToPage="tru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44"/>
    <col collapsed="false" customWidth="true" hidden="false" outlineLevel="0" max="5" min="5" style="0" width="34"/>
  </cols>
  <sheetData>
    <row r="1" customFormat="false" ht="30" hidden="false" customHeight="true" outlineLevel="0" collapsed="false">
      <c r="A1" s="1" t="s">
        <v>330</v>
      </c>
      <c r="B1" s="1"/>
      <c r="C1" s="1"/>
      <c r="D1" s="1"/>
      <c r="E1" s="1"/>
    </row>
    <row r="2" customFormat="false" ht="33.75" hidden="false" customHeight="true" outlineLevel="0" collapsed="false">
      <c r="A2" s="2" t="s">
        <v>331</v>
      </c>
      <c r="B2" s="2"/>
      <c r="C2" s="2"/>
      <c r="D2" s="2"/>
      <c r="E2" s="2"/>
    </row>
    <row r="4" customFormat="false" ht="19.5" hidden="false" customHeight="true" outlineLevel="0" collapsed="false">
      <c r="A4" s="7" t="s">
        <v>332</v>
      </c>
      <c r="B4" s="8"/>
      <c r="C4" s="8"/>
      <c r="D4" s="8"/>
      <c r="E4" s="8"/>
    </row>
    <row r="5" customFormat="false" ht="15" hidden="false" customHeight="false" outlineLevel="0" collapsed="false">
      <c r="A5" s="19" t="s">
        <v>333</v>
      </c>
      <c r="B5" s="9" t="s">
        <v>334</v>
      </c>
      <c r="C5" s="37"/>
      <c r="D5" s="9" t="s">
        <v>335</v>
      </c>
    </row>
    <row r="6" customFormat="false" ht="15" hidden="false" customHeight="false" outlineLevel="0" collapsed="false">
      <c r="A6" s="19" t="s">
        <v>336</v>
      </c>
      <c r="B6" s="9" t="s">
        <v>337</v>
      </c>
      <c r="C6" s="8"/>
      <c r="D6" s="9" t="s">
        <v>338</v>
      </c>
    </row>
    <row r="7" customFormat="false" ht="15" hidden="false" customHeight="false" outlineLevel="0" collapsed="false">
      <c r="A7" s="19" t="s">
        <v>339</v>
      </c>
      <c r="B7" s="9" t="s">
        <v>340</v>
      </c>
      <c r="C7" s="38"/>
      <c r="D7" s="9" t="s">
        <v>341</v>
      </c>
    </row>
    <row r="8" customFormat="false" ht="15" hidden="false" customHeight="false" outlineLevel="0" collapsed="false">
      <c r="A8" s="19" t="s">
        <v>342</v>
      </c>
      <c r="B8" s="9" t="s">
        <v>343</v>
      </c>
      <c r="C8" s="39"/>
      <c r="D8" s="9" t="s">
        <v>344</v>
      </c>
    </row>
    <row r="9" customFormat="false" ht="15" hidden="false" customHeight="false" outlineLevel="0" collapsed="false">
      <c r="A9" s="19" t="s">
        <v>345</v>
      </c>
      <c r="B9" s="9" t="s">
        <v>346</v>
      </c>
      <c r="C9" s="40"/>
      <c r="D9" s="9" t="s">
        <v>347</v>
      </c>
    </row>
    <row r="10" customFormat="false" ht="15" hidden="false" customHeight="false" outlineLevel="0" collapsed="false">
      <c r="A10" s="19" t="s">
        <v>348</v>
      </c>
      <c r="B10" s="9" t="s">
        <v>349</v>
      </c>
      <c r="C10" s="41"/>
      <c r="D10" s="9" t="s">
        <v>350</v>
      </c>
    </row>
    <row r="12" customFormat="false" ht="19.5" hidden="false" customHeight="true" outlineLevel="0" collapsed="false">
      <c r="A12" s="7" t="s">
        <v>351</v>
      </c>
      <c r="B12" s="8"/>
      <c r="C12" s="8"/>
      <c r="D12" s="8"/>
      <c r="E12" s="8"/>
    </row>
    <row r="13" customFormat="false" ht="15" hidden="false" customHeight="false" outlineLevel="0" collapsed="false">
      <c r="A13" s="19" t="s">
        <v>352</v>
      </c>
      <c r="D13" s="9" t="s">
        <v>353</v>
      </c>
    </row>
    <row r="14" customFormat="false" ht="15" hidden="false" customHeight="false" outlineLevel="0" collapsed="false">
      <c r="A14" s="19" t="s">
        <v>354</v>
      </c>
      <c r="D14" s="9" t="s">
        <v>355</v>
      </c>
    </row>
    <row r="15" customFormat="false" ht="15" hidden="false" customHeight="false" outlineLevel="0" collapsed="false">
      <c r="A15" s="19" t="s">
        <v>356</v>
      </c>
      <c r="D15" s="9" t="s">
        <v>357</v>
      </c>
    </row>
    <row r="17" customFormat="false" ht="19.5" hidden="false" customHeight="true" outlineLevel="0" collapsed="false">
      <c r="A17" s="7" t="s">
        <v>358</v>
      </c>
      <c r="B17" s="8"/>
      <c r="C17" s="8"/>
      <c r="D17" s="8"/>
      <c r="E17" s="8"/>
    </row>
    <row r="18" customFormat="false" ht="15" hidden="false" customHeight="false" outlineLevel="0" collapsed="false">
      <c r="A18" s="26" t="s">
        <v>359</v>
      </c>
      <c r="B18" s="26" t="s">
        <v>360</v>
      </c>
      <c r="C18" s="26" t="s">
        <v>361</v>
      </c>
      <c r="D18" s="26" t="s">
        <v>362</v>
      </c>
      <c r="E18" s="26" t="s">
        <v>159</v>
      </c>
    </row>
    <row r="19" customFormat="false" ht="27.75" hidden="false" customHeight="true" outlineLevel="0" collapsed="false">
      <c r="A19" s="18" t="s">
        <v>363</v>
      </c>
      <c r="B19" s="18" t="s">
        <v>364</v>
      </c>
      <c r="C19" s="18" t="s">
        <v>365</v>
      </c>
      <c r="D19" s="18" t="s">
        <v>366</v>
      </c>
      <c r="E19" s="18" t="s">
        <v>367</v>
      </c>
    </row>
    <row r="20" customFormat="false" ht="27.75" hidden="false" customHeight="true" outlineLevel="0" collapsed="false">
      <c r="A20" s="18" t="s">
        <v>368</v>
      </c>
      <c r="B20" s="18" t="s">
        <v>369</v>
      </c>
      <c r="C20" s="18" t="s">
        <v>370</v>
      </c>
      <c r="D20" s="18" t="s">
        <v>371</v>
      </c>
      <c r="E20" s="18" t="s">
        <v>372</v>
      </c>
    </row>
    <row r="21" customFormat="false" ht="27.75" hidden="false" customHeight="true" outlineLevel="0" collapsed="false">
      <c r="A21" s="18" t="s">
        <v>373</v>
      </c>
      <c r="B21" s="18" t="s">
        <v>374</v>
      </c>
      <c r="C21" s="18" t="s">
        <v>375</v>
      </c>
      <c r="D21" s="18" t="s">
        <v>376</v>
      </c>
      <c r="E21" s="18" t="s">
        <v>377</v>
      </c>
    </row>
    <row r="22" customFormat="false" ht="27.75" hidden="false" customHeight="true" outlineLevel="0" collapsed="false">
      <c r="A22" s="18" t="s">
        <v>378</v>
      </c>
      <c r="B22" s="18" t="s">
        <v>379</v>
      </c>
      <c r="C22" s="18" t="s">
        <v>380</v>
      </c>
      <c r="D22" s="18" t="s">
        <v>381</v>
      </c>
      <c r="E22" s="18" t="s">
        <v>382</v>
      </c>
    </row>
    <row r="23" customFormat="false" ht="27.75" hidden="false" customHeight="true" outlineLevel="0" collapsed="false">
      <c r="A23" s="18" t="s">
        <v>383</v>
      </c>
      <c r="B23" s="18" t="s">
        <v>384</v>
      </c>
      <c r="C23" s="18" t="s">
        <v>385</v>
      </c>
      <c r="D23" s="18" t="s">
        <v>386</v>
      </c>
      <c r="E23" s="18" t="s">
        <v>387</v>
      </c>
    </row>
    <row r="24" customFormat="false" ht="27.75" hidden="false" customHeight="true" outlineLevel="0" collapsed="false">
      <c r="A24" s="18" t="s">
        <v>172</v>
      </c>
      <c r="B24" s="18" t="s">
        <v>388</v>
      </c>
      <c r="C24" s="18"/>
      <c r="D24" s="18" t="s">
        <v>389</v>
      </c>
      <c r="E24" s="18"/>
    </row>
    <row r="26" customFormat="false" ht="19.5" hidden="false" customHeight="true" outlineLevel="0" collapsed="false">
      <c r="A26" s="7" t="s">
        <v>390</v>
      </c>
      <c r="B26" s="8"/>
      <c r="C26" s="8"/>
      <c r="D26" s="8"/>
      <c r="E26" s="8"/>
    </row>
    <row r="27" customFormat="false" ht="15" hidden="false" customHeight="false" outlineLevel="0" collapsed="false">
      <c r="A27" s="19" t="s">
        <v>391</v>
      </c>
      <c r="D27" s="9" t="s">
        <v>392</v>
      </c>
    </row>
    <row r="28" customFormat="false" ht="15" hidden="false" customHeight="false" outlineLevel="0" collapsed="false">
      <c r="A28" s="19" t="s">
        <v>132</v>
      </c>
      <c r="D28" s="9" t="s">
        <v>393</v>
      </c>
    </row>
    <row r="29" customFormat="false" ht="15" hidden="false" customHeight="false" outlineLevel="0" collapsed="false">
      <c r="A29" s="19" t="s">
        <v>394</v>
      </c>
      <c r="D29" s="9" t="s">
        <v>395</v>
      </c>
    </row>
    <row r="30" customFormat="false" ht="15" hidden="false" customHeight="false" outlineLevel="0" collapsed="false">
      <c r="A30" s="19" t="s">
        <v>396</v>
      </c>
      <c r="D30" s="9" t="s">
        <v>397</v>
      </c>
    </row>
    <row r="31" customFormat="false" ht="15" hidden="false" customHeight="false" outlineLevel="0" collapsed="false">
      <c r="A31" s="19" t="s">
        <v>398</v>
      </c>
      <c r="D31" s="9" t="s">
        <v>399</v>
      </c>
    </row>
    <row r="32" customFormat="false" ht="15" hidden="false" customHeight="false" outlineLevel="0" collapsed="false">
      <c r="A32" s="19" t="s">
        <v>120</v>
      </c>
      <c r="D32" s="9" t="s">
        <v>400</v>
      </c>
    </row>
    <row r="33" customFormat="false" ht="15" hidden="false" customHeight="false" outlineLevel="0" collapsed="false">
      <c r="A33" s="19" t="s">
        <v>115</v>
      </c>
      <c r="D33" s="9" t="s">
        <v>401</v>
      </c>
    </row>
    <row r="34" customFormat="false" ht="15" hidden="false" customHeight="false" outlineLevel="0" collapsed="false">
      <c r="A34" s="19" t="s">
        <v>143</v>
      </c>
      <c r="D34" s="9" t="s">
        <v>402</v>
      </c>
    </row>
    <row r="35" customFormat="false" ht="15" hidden="false" customHeight="false" outlineLevel="0" collapsed="false">
      <c r="A35" s="19" t="s">
        <v>87</v>
      </c>
      <c r="D35" s="9" t="s">
        <v>403</v>
      </c>
    </row>
    <row r="36" customFormat="false" ht="15" hidden="false" customHeight="false" outlineLevel="0" collapsed="false">
      <c r="A36" s="19" t="s">
        <v>404</v>
      </c>
      <c r="D36" s="9" t="s">
        <v>405</v>
      </c>
    </row>
    <row r="37" customFormat="false" ht="15" hidden="false" customHeight="false" outlineLevel="0" collapsed="false">
      <c r="A37" s="19" t="s">
        <v>406</v>
      </c>
      <c r="D37" s="9" t="s">
        <v>407</v>
      </c>
    </row>
    <row r="38" customFormat="false" ht="15" hidden="false" customHeight="false" outlineLevel="0" collapsed="false">
      <c r="A38" s="19" t="s">
        <v>408</v>
      </c>
      <c r="D38" s="9" t="s">
        <v>409</v>
      </c>
    </row>
    <row r="39" customFormat="false" ht="15" hidden="false" customHeight="false" outlineLevel="0" collapsed="false">
      <c r="A39" s="19" t="s">
        <v>141</v>
      </c>
      <c r="D39" s="9" t="s">
        <v>410</v>
      </c>
    </row>
    <row r="40" customFormat="false" ht="15" hidden="false" customHeight="false" outlineLevel="0" collapsed="false">
      <c r="A40" s="19" t="s">
        <v>411</v>
      </c>
      <c r="D40" s="9" t="s">
        <v>412</v>
      </c>
    </row>
    <row r="41" customFormat="false" ht="15" hidden="false" customHeight="false" outlineLevel="0" collapsed="false">
      <c r="A41" s="19" t="s">
        <v>128</v>
      </c>
      <c r="D41" s="9" t="s">
        <v>413</v>
      </c>
    </row>
    <row r="42" customFormat="false" ht="15" hidden="false" customHeight="false" outlineLevel="0" collapsed="false">
      <c r="A42" s="19" t="s">
        <v>414</v>
      </c>
      <c r="D42" s="9" t="s">
        <v>397</v>
      </c>
    </row>
    <row r="44" customFormat="false" ht="30" hidden="false" customHeight="true" outlineLevel="0" collapsed="false">
      <c r="A44" s="23" t="s">
        <v>415</v>
      </c>
      <c r="B44" s="23"/>
      <c r="C44" s="23"/>
      <c r="D44" s="23"/>
      <c r="E44" s="23"/>
    </row>
    <row r="46" customFormat="false" ht="19.5" hidden="false" customHeight="true" outlineLevel="0" collapsed="false">
      <c r="A46" s="7" t="s">
        <v>416</v>
      </c>
      <c r="B46" s="8"/>
      <c r="C46" s="8"/>
      <c r="D46" s="8"/>
      <c r="E46" s="8"/>
    </row>
    <row r="47" customFormat="false" ht="30" hidden="false" customHeight="true" outlineLevel="0" collapsed="false">
      <c r="A47" s="35" t="s">
        <v>417</v>
      </c>
      <c r="B47" s="36" t="s">
        <v>418</v>
      </c>
      <c r="C47" s="36"/>
      <c r="D47" s="36"/>
      <c r="E47" s="36"/>
    </row>
    <row r="48" customFormat="false" ht="30" hidden="false" customHeight="true" outlineLevel="0" collapsed="false">
      <c r="A48" s="35" t="s">
        <v>419</v>
      </c>
      <c r="B48" s="36" t="s">
        <v>420</v>
      </c>
      <c r="C48" s="36"/>
      <c r="D48" s="36"/>
      <c r="E48" s="36"/>
    </row>
    <row r="49" customFormat="false" ht="30" hidden="false" customHeight="true" outlineLevel="0" collapsed="false">
      <c r="A49" s="35" t="s">
        <v>421</v>
      </c>
      <c r="B49" s="36" t="s">
        <v>422</v>
      </c>
      <c r="C49" s="36"/>
      <c r="D49" s="36"/>
      <c r="E49" s="36"/>
    </row>
    <row r="50" customFormat="false" ht="30" hidden="false" customHeight="true" outlineLevel="0" collapsed="false">
      <c r="A50" s="35" t="s">
        <v>423</v>
      </c>
      <c r="B50" s="36" t="s">
        <v>424</v>
      </c>
      <c r="C50" s="36"/>
      <c r="D50" s="36"/>
      <c r="E50" s="36"/>
    </row>
  </sheetData>
  <mergeCells count="7">
    <mergeCell ref="A1:E1"/>
    <mergeCell ref="A2:E2"/>
    <mergeCell ref="A44:E44"/>
    <mergeCell ref="B47:E47"/>
    <mergeCell ref="B48:E48"/>
    <mergeCell ref="B49:E49"/>
    <mergeCell ref="B50:E50"/>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2026-10-21T03:23:43Z</dcterms:created>
  <dc:creator>openpyxl</dc:creator>
  <dc:description/>
  <dc:language>en-US</dc:language>
  <cp:lastModifiedBy/>
  <dcterms:modified xsi:type="dcterms:W3CDTF">2026-10-21T03:23:43Z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