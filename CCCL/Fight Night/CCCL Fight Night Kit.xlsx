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how Setup" sheetId="2" state="visible" r:id="rId4"/>
    <sheet name="Countdown" sheetId="3" state="visible" r:id="rId5"/>
    <sheet name="Recruitment" sheetId="4" state="visible" r:id="rId6"/>
    <sheet name="Fighters" sheetId="5" state="visible" r:id="rId7"/>
    <sheet name="Bout Card" sheetId="6" state="visible" r:id="rId8"/>
    <sheet name="Volunteers" sheetId="7" state="visible" r:id="rId9"/>
    <sheet name="Production" sheetId="8" state="visible" r:id="rId10"/>
    <sheet name="Run of Show" sheetId="9" state="visible" r:id="rId11"/>
    <sheet name="Press" sheetId="10" state="visible" r:id="rId12"/>
    <sheet name="Results &amp; Report" sheetId="11" state="visible" r:id="rId13"/>
    <sheet name="Rules" sheetId="12" state="visible" r:id="rId14"/>
    <sheet name="Lists" sheetId="13" state="hidden" r:id="rId15"/>
  </sheets>
  <definedNames>
    <definedName function="false" hidden="true" localSheetId="4" name="_xlnm._FilterDatabase" vbProcedure="false">Fighters!$A$4:$W$204</definedName>
    <definedName function="false" hidden="true" localSheetId="9" name="_xlnm._FilterDatabase" vbProcedure="false">Press!$A$4:$J$48</definedName>
    <definedName function="false" hidden="true" localSheetId="3" name="_xlnm._FilterDatabase" vbProcedure="false">Recruitment!$A$4:$M$68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<sst xmlns="http://schemas.openxmlformats.org/spreadsheetml/2006/main" count="1555" uniqueCount="1042">
  <si>
    <t xml:space="preserve">CCCL FIGHT NIGHT KIT</t>
  </si>
  <si>
    <t xml:space="preserve">Everything to run a Cottage Country Combat League show: fighters, the bout card, the countdown, the night itself and the report after. Built for Cody Purtell by Kyle. Opens in Google Sheets or Excel.</t>
  </si>
  <si>
    <t xml:space="preserve">IN ORDER</t>
  </si>
  <si>
    <t xml:space="preserve">1</t>
  </si>
  <si>
    <t xml:space="preserve">Show Setup</t>
  </si>
  <si>
    <t xml:space="preserve">Show name, venue, date and times. Everything else follows these.</t>
  </si>
  <si>
    <t xml:space="preserve">2</t>
  </si>
  <si>
    <t xml:space="preserve">Countdown</t>
  </si>
  <si>
    <t xml:space="preserve">Every job from booking the venue to the Commission report after, with due dates worked out from the show date.</t>
  </si>
  <si>
    <t xml:space="preserve">3</t>
  </si>
  <si>
    <t xml:space="preserve">Recruitment</t>
  </si>
  <si>
    <t xml:space="preserve">Gyms that could send fighters. Message the head coach through the gym and track who's sending fighters.</t>
  </si>
  <si>
    <t xml:space="preserve">4</t>
  </si>
  <si>
    <t xml:space="preserve">Fighters</t>
  </si>
  <si>
    <t xml:space="preserve">Everyone who applies. Works out each fighter's experience class. 'Ready to fight?' turns green once the medical, signed forms, waiver, and parent consent and concussion confirmation where needed are done.</t>
  </si>
  <si>
    <t xml:space="preserve">5</t>
  </si>
  <si>
    <t xml:space="preserve">Bout Card</t>
  </si>
  <si>
    <t xml:space="preserve">Pick both corners. It checks the Ontario weight-gap table, experience classes, age divisions and paperwork. Cody and the officials decide.</t>
  </si>
  <si>
    <t xml:space="preserve">6</t>
  </si>
  <si>
    <t xml:space="preserve">Volunteers</t>
  </si>
  <si>
    <t xml:space="preserve">Every fight-night role, how many people, who's doing it.</t>
  </si>
  <si>
    <t xml:space="preserve">7</t>
  </si>
  <si>
    <t xml:space="preserve">Production</t>
  </si>
  <si>
    <t xml:space="preserve">Cage, lights, sound, livestream, supplies: booked and confirmed.</t>
  </si>
  <si>
    <t xml:space="preserve">8</t>
  </si>
  <si>
    <t xml:space="preserve">Run of Show</t>
  </si>
  <si>
    <t xml:space="preserve">The night minute by minute, built from Show Setup and the Bout Card. Print it.</t>
  </si>
  <si>
    <t xml:space="preserve">9</t>
  </si>
  <si>
    <t xml:space="preserve">Press</t>
  </si>
  <si>
    <t xml:space="preserve">Media list with each outlet's own way to send news. Three releases per show.</t>
  </si>
  <si>
    <t xml:space="preserve">10</t>
  </si>
  <si>
    <t xml:space="preserve">Results &amp; Report</t>
  </si>
  <si>
    <t xml:space="preserve">Real numbers vs the Predictor, the fight results and what to change. Feeds the next forecast.</t>
  </si>
  <si>
    <t xml:space="preserve">11</t>
  </si>
  <si>
    <t xml:space="preserve">Rules</t>
  </si>
  <si>
    <t xml:space="preserve">Ontario rules that shape matchmaking and the night, with sources. Confirm with the Commission.</t>
  </si>
  <si>
    <t xml:space="preserve">GROUND RULES</t>
  </si>
  <si>
    <t xml:space="preserve">Who decides</t>
  </si>
  <si>
    <t xml:space="preserve">Cody and the officials decide every bout. The sheet only flags things to look at again. Results go in only once official.</t>
  </si>
  <si>
    <t xml:space="preserve">Medical</t>
  </si>
  <si>
    <t xml:space="preserve">Medical cleared: Yes, No or Pending. Never write a diagnosis, test result or injury in this sheet.</t>
  </si>
  <si>
    <t xml:space="preserve">Youth athletes</t>
  </si>
  <si>
    <t xml:space="preserve">First name and last initial only, a parent's consent first, and no photos or video without a parent's OK.</t>
  </si>
  <si>
    <t xml:space="preserve">Contact</t>
  </si>
  <si>
    <t xml:space="preserve">Reach fighters through their gym or coach. No personal phone numbers in the sheet.</t>
  </si>
  <si>
    <t xml:space="preserve">Colour key</t>
  </si>
  <si>
    <t xml:space="preserve">Yellow cells with blue text are yours to fill in. Black text is calculated. Green text is pulled from another tab.</t>
  </si>
  <si>
    <t xml:space="preserve">WORKS WITH</t>
  </si>
  <si>
    <t xml:space="preserve">Profit Predictor</t>
  </si>
  <si>
    <t xml:space="preserve">Budget numbers for the Results tab; real numbers go back into it after the show.</t>
  </si>
  <si>
    <t xml:space="preserve">Sponsorship Pipeline</t>
  </si>
  <si>
    <t xml:space="preserve">Sponsor banners, shirt logos and announcer reads by level (Fulfilment tab).</t>
  </si>
  <si>
    <t xml:space="preserve">Claude</t>
  </si>
  <si>
    <t xml:space="preserve">The cccl-fight-night skill drafts gym outreach, fighter packages, the announcer script, press releases and the post-show report from this sheet.</t>
  </si>
  <si>
    <t xml:space="preserve">SHOW SETUP</t>
  </si>
  <si>
    <t xml:space="preserve">Fill this in first. Every other tab uses these answers: the countdown dates, the run of show times and the bout checks.</t>
  </si>
  <si>
    <t xml:space="preserve">THE SHOW</t>
  </si>
  <si>
    <t xml:space="preserve">Show name</t>
  </si>
  <si>
    <t xml:space="preserve">CCCL 2</t>
  </si>
  <si>
    <t xml:space="preserve">Whatever goes on the poster.</t>
  </si>
  <si>
    <t xml:space="preserve">Town</t>
  </si>
  <si>
    <t xml:space="preserve">Fill in once the show is booked (no 2027 show is booked yet).</t>
  </si>
  <si>
    <t xml:space="preserve">Venue</t>
  </si>
  <si>
    <t xml:space="preserve">Show date</t>
  </si>
  <si>
    <t xml:space="preserve">Fill in once the show is booked: the Countdown and Run of Show follow it. Until then they stay blank.</t>
  </si>
  <si>
    <t xml:space="preserve">Load-in and cage build start (show day)</t>
  </si>
  <si>
    <t xml:space="preserve">The cage has to sit on a platform 3-4 ft off the floor (Ontario rule).</t>
  </si>
  <si>
    <t xml:space="preserve">Weigh-ins start (show day)</t>
  </si>
  <si>
    <t xml:space="preserve">Ontario rule: on the day, within 3 hours of the first bout. No day-before weigh-ins.</t>
  </si>
  <si>
    <t xml:space="preserve">Doors open</t>
  </si>
  <si>
    <t xml:space="preserve">First bout</t>
  </si>
  <si>
    <t xml:space="preserve">Weigh-in timing check</t>
  </si>
  <si>
    <t xml:space="preserve">BOUT TIMING (for the Run of Show)</t>
  </si>
  <si>
    <t xml:space="preserve">Minutes per amateur MMA bout (walkouts, rounds, breaks, decision)</t>
  </si>
  <si>
    <t xml:space="preserve">ESTIMATE. Senior bouts are 3 x 3-minute rounds with 1-minute breaks; youth bouts are shorter.</t>
  </si>
  <si>
    <t xml:space="preserve">Minutes per grappling match</t>
  </si>
  <si>
    <t xml:space="preserve">ESTIMATE.</t>
  </si>
  <si>
    <t xml:space="preserve">Intermission after bout number</t>
  </si>
  <si>
    <t xml:space="preserve">Sponsor reads and the merch push happen here.</t>
  </si>
  <si>
    <t xml:space="preserve">Intermission length (minutes)</t>
  </si>
  <si>
    <t xml:space="preserve">MATCHMAKING CHECKS (flags only: Cody and the officials decide every bout)</t>
  </si>
  <si>
    <t xml:space="preserve">Amateur MMA weight gap</t>
  </si>
  <si>
    <t xml:space="preserve">Ontario table (built in)</t>
  </si>
  <si>
    <t xml:space="preserve">Max difference by weight: 4 lb under 148, 9 lb at 148-165, 11 lb at 165-200, 24 lb at 200-265, no limit over 265. See the Lists and Rules tabs.</t>
  </si>
  <si>
    <t xml:space="preserve">Grappling: flag a weight gap over (lb)</t>
  </si>
  <si>
    <t xml:space="preserve">STARTING POINT. Use the grappling ruleset's weight classes for the age group (Rules tab).</t>
  </si>
  <si>
    <t xml:space="preserve">SHOW COUNTDOWN</t>
  </si>
  <si>
    <t xml:space="preserve">Every job from booking the venue to the report after the show. Due dates follow the show date on Show Setup. Mark Done = Yes as things finish. A working list, not legal advice: confirm requirements with the Athletics Commission and the insurer.</t>
  </si>
  <si>
    <t xml:space="preserve">Weeks before (minus = days after)</t>
  </si>
  <si>
    <t xml:space="preserve">Task</t>
  </si>
  <si>
    <t xml:space="preserve">Area</t>
  </si>
  <si>
    <t xml:space="preserve">Owner</t>
  </si>
  <si>
    <t xml:space="preserve">Due</t>
  </si>
  <si>
    <t xml:space="preserve">Done?</t>
  </si>
  <si>
    <t xml:space="preserve">Status</t>
  </si>
  <si>
    <t xml:space="preserve">Notes</t>
  </si>
  <si>
    <t xml:space="preserve">Pick town and date; check clashes (other combat shows, fairs, long weekends, big UFC cards)</t>
  </si>
  <si>
    <t xml:space="preserve">Cody</t>
  </si>
  <si>
    <t xml:space="preserve">Venue quote: rent for setup + show day, capacity, chairs/tables, staff, who runs the bar and CCCL's share</t>
  </si>
  <si>
    <t xml:space="preserve">Run the Profit Predictor with the real quote; go / no-go</t>
  </si>
  <si>
    <t xml:space="preserve">Money</t>
  </si>
  <si>
    <t xml:space="preserve">Hold the date with a deposit; council approval if the venue needs it</t>
  </si>
  <si>
    <t xml:space="preserve">Sponsor push starts: 2026 sponsors first (Sponsorship Pipeline)</t>
  </si>
  <si>
    <t xml:space="preserve">Sponsors</t>
  </si>
  <si>
    <t xml:space="preserve">Apply for the Athletics Commission event permit: $600 for one show (one permit should cover the whole card; confirm). At least 30 days ahead; 120 days for any rule change</t>
  </si>
  <si>
    <t xml:space="preserve">Commission</t>
  </si>
  <si>
    <t xml:space="preserve">Book officials for every bout: referee, 3 judges, timekeeper, scorekeeper, plus a neutral cut-person</t>
  </si>
  <si>
    <t xml:space="preserve">Book the physician (Ontario-licensed, on site all night) and a second medical person. Ask the Commission if it wants an ambulance</t>
  </si>
  <si>
    <t xml:space="preserve">$2M liability insurance certificate that also covers referees, judges, officials and the Commissioner</t>
  </si>
  <si>
    <t xml:space="preserve">Book the cage on a platform raised 3-4 ft (Ontario rule) and delivery</t>
  </si>
  <si>
    <t xml:space="preserve">Youth grappling: confirm it's covered by the CCCL permit or sanctioned by the Ontario Grappling Association</t>
  </si>
  <si>
    <t xml:space="preserve">Tickets on sale on Eventbrite (GA, VIP seats, VIP tables)</t>
  </si>
  <si>
    <t xml:space="preserve">Tickets</t>
  </si>
  <si>
    <t xml:space="preserve">Kyle</t>
  </si>
  <si>
    <t xml:space="preserve">Announce the show: press release to the media list, first social post</t>
  </si>
  <si>
    <t xml:space="preserve">Fighter recruitment: message the gyms on the Recruitment tab; open the sign-up form</t>
  </si>
  <si>
    <t xml:space="preserve">Book security</t>
  </si>
  <si>
    <t xml:space="preserve">Book lights, sound, livestream crew and the announcer</t>
  </si>
  <si>
    <t xml:space="preserve">Poster with sponsor logos; social countdown starts</t>
  </si>
  <si>
    <t xml:space="preserve">Volunteers: fill every role on the Volunteers tab</t>
  </si>
  <si>
    <t xml:space="preserve">Order event shirts with sponsor logos (sized by level)</t>
  </si>
  <si>
    <t xml:space="preserve">Concussion confirmations (Rowan's Law) from youth and grappling athletes and their parents; concussion code and removal/return-to-sport steps ready</t>
  </si>
  <si>
    <t xml:space="preserve">Draft bout card; Cody and officials review (same experience class unless the Commissioner approves)</t>
  </si>
  <si>
    <t xml:space="preserve">Send each confirmed fighter their Fighter Package through the coach (Fight Night folder; fill the yellow fields)</t>
  </si>
  <si>
    <t xml:space="preserve">Bout card final; give the Commission what it asks for</t>
  </si>
  <si>
    <t xml:space="preserve">Announce the card: press release and fighter posts (adults who agree; nobody under 18 named)</t>
  </si>
  <si>
    <t xml:space="preserve">Banners printed; sponsor deliverables checked on the Fulfilment tab</t>
  </si>
  <si>
    <t xml:space="preserve">Day-of forms ready: codes of conduct, rules declaration, no-suspension form (a parent signs for under-18s), permit sign</t>
  </si>
  <si>
    <t xml:space="preserve">Every fighter READY on the Fighters tab</t>
  </si>
  <si>
    <t xml:space="preserve">Gloves (open-hand, 6 oz or more), hand wraps and tape ready: CCCL supplies them, fighters can't bring their own</t>
  </si>
  <si>
    <t xml:space="preserve">Run of show final; announcer script with sponsor reads by level</t>
  </si>
  <si>
    <t xml:space="preserve">Livestream test from the venue (internet, cameras, overlay with sponsor logos)</t>
  </si>
  <si>
    <t xml:space="preserve">Volunteer briefing sent; radios, wristbands, scale and supplies on the Production tab ready</t>
  </si>
  <si>
    <t xml:space="preserve">SHOW DAY: weigh-ins within 3 hours of the first bout, then follow the Run of Show</t>
  </si>
  <si>
    <t xml:space="preserve">Show</t>
  </si>
  <si>
    <t xml:space="preserve">Everyone</t>
  </si>
  <si>
    <t xml:space="preserve">The day after: official results posted; thank-you post</t>
  </si>
  <si>
    <t xml:space="preserve">The day after: results press release to the media list</t>
  </si>
  <si>
    <t xml:space="preserve">Sponsor thank-yous with photos (within 3 days)</t>
  </si>
  <si>
    <t xml:space="preserve">Amateur books updated (results, suspensions). Injury details stay in the private amateur books, never in these sheets</t>
  </si>
  <si>
    <t xml:space="preserve">Results &amp; Report tab filled in; real numbers into the Profit Predictor</t>
  </si>
  <si>
    <t xml:space="preserve">Send the Commission the event recording (required if the show was filmed)</t>
  </si>
  <si>
    <t xml:space="preserve">Post-event report to the Commission within 14 days: contestants, bouts, injuries without names, officials</t>
  </si>
  <si>
    <t xml:space="preserve">FIGHTER RECRUITMENT: GYMS</t>
  </si>
  <si>
    <t xml:space="preserve">Gyms that could send amateur fighters. Contact the head coach through the gym, never the athletes directly. Track who's been asked and how many fighters they can send.</t>
  </si>
  <si>
    <t xml:space="preserve">Gym</t>
  </si>
  <si>
    <t xml:space="preserve">Disciplines</t>
  </si>
  <si>
    <t xml:space="preserve">Competition team?</t>
  </si>
  <si>
    <t xml:space="preserve">Contact (public)</t>
  </si>
  <si>
    <t xml:space="preserve">Website</t>
  </si>
  <si>
    <t xml:space="preserve">Stage</t>
  </si>
  <si>
    <t xml:space="preserve">Fighters offered</t>
  </si>
  <si>
    <t xml:space="preserve">Last contact</t>
  </si>
  <si>
    <t xml:space="preserve">Next follow-up</t>
  </si>
  <si>
    <t xml:space="preserve">Follow-up due?</t>
  </si>
  <si>
    <t xml:space="preserve">Source</t>
  </si>
  <si>
    <t xml:space="preserve">Big Country MMA - Lindsay</t>
  </si>
  <si>
    <t xml:space="preserve">Lindsay (~1h50 drive)</t>
  </si>
  <si>
    <t xml:space="preserve">MMA, BJJ (gi/no-gi), Muay Thai, kickboxing, boxing, wrestling</t>
  </si>
  <si>
    <t xml:space="preserve">yes</t>
  </si>
  <si>
    <t xml:space="preserve">bigcountrymma1@gmail.com; 705-344-2662; 50 Mary St W, Lindsay</t>
  </si>
  <si>
    <t xml:space="preserve">https://bigcountrylindsay.gymdesk.com/</t>
  </si>
  <si>
    <t xml:space="preserve">Not contacted</t>
  </si>
  <si>
    <t xml:space="preserve">The best partner gym: it already sends several fighters per card. Head coach Joe Elliott (BJJ black, Muay Thai red) teaches across all three Big Country locations. Competition: Sherdog: Jake Parsons (CCCL 1 main-event winner) and Levi Oram, both Lindsay / Big Country MMA. The CCCL 1 winner Cooper Elliott shares his name with a coach on the instructor list (not confirmed as the same person). The Highlander said Big Country's amateur champion would fight on CCCL 1. Pros: James Clarke (12-4, BTC 26 winner) and Blake Oswald.</t>
  </si>
  <si>
    <t xml:space="preserve">https://bigcountrylindsay.gymdesk.com/page/home</t>
  </si>
  <si>
    <t xml:space="preserve">Grizzly Gym</t>
  </si>
  <si>
    <t xml:space="preserve">Kingston (~2h30 drive)</t>
  </si>
  <si>
    <t xml:space="preserve">MMA, BJJ, Muay Thai, Kung Fu, Sanda/SAW, Tai Chi</t>
  </si>
  <si>
    <t xml:space="preserve">mike@grizzlygym.com (decoded from its site); 613-483-7522; 541 Days Rd, Kingston</t>
  </si>
  <si>
    <t xml:space="preserve">https://www.grizzlygym.com/</t>
  </si>
  <si>
    <t xml:space="preserve">Has already sent a fighter to CCCL. Strong partner for a Kingston show. Competition: Sherdog: Joshua Henshaw (Kingston, Grizzly Gym) fought at CCCL 1 (May 2026), BTC 34 (Nov 2025), PFC 20 (Oct 2025) and Rising Stars (Aug 2025). The head instructor has 'competed more than 250 times'.</t>
  </si>
  <si>
    <t xml:space="preserve">https://www.sherdog.com/fighter/Joshua-Henshaw-355453</t>
  </si>
  <si>
    <t xml:space="preserve">van Jango Studio of Martial Arts</t>
  </si>
  <si>
    <t xml:space="preserve">BJJ, Muay Thai, MMA, striking &amp; conditioning</t>
  </si>
  <si>
    <t xml:space="preserve">manager@vanjango.com; 343-333-8433; 629 Division St (lower level), Kingston</t>
  </si>
  <si>
    <t xml:space="preserve">https://www.vanjango.com/</t>
  </si>
  <si>
    <t xml:space="preserve">Competition: Sherdog: Jesse Van Vlack (Kingston, 'Van Jango MMA') has 8 amateur MMA bouts (2024-2026), including PFC 25 (win), Cage Wars 73/76, VCFC 39 and Fightquest 57. Striking coach Daniel Goel is an amateur Muay Thai fighter.</t>
  </si>
  <si>
    <t xml:space="preserve">https://www.sherdog.com/fighter/Jesse-Van-Vlack-464451</t>
  </si>
  <si>
    <t xml:space="preserve">Oshawa BJJ &amp; Fitness</t>
  </si>
  <si>
    <t xml:space="preserve">Oshawa (~2h40 drive)</t>
  </si>
  <si>
    <t xml:space="preserve">BJJ gi/no-gi, Muay Thai, women's kickboxing, kids wrestling, conditioning</t>
  </si>
  <si>
    <t xml:space="preserve">mocaiberbjj@gmail.com; 289-980-0484; 350 Wentworth St E Unit 4-5, Oshawa (waiver lists 1160 Simcoe St S)</t>
  </si>
  <si>
    <t xml:space="preserve">https://oshawabjj.com/</t>
  </si>
  <si>
    <t xml:space="preserve">Good source of youth grapplers. A BBG 12-year-old won gold at the Durham Classic BJJ event in Oshawa (Feb 2026). Competition: Schedule includes 'KIDS COMPETITION' and 'WOMEN'S COMPETITION' classes, led by 'two multiple time world champions' (Igor Mocaiber, 3rd-degree black belt).</t>
  </si>
  <si>
    <t xml:space="preserve">Evolution Jiu Jitsu (Petawawa)</t>
  </si>
  <si>
    <t xml:space="preserve">Petawawa (~1h50-2h drive)</t>
  </si>
  <si>
    <t xml:space="preserve">BJJ, Muay Thai (adult and youth), women's BJJ</t>
  </si>
  <si>
    <t xml:space="preserve">evolutionbjjpetawawa@hotmail.com; 613-687-2833; Army Fitness Centre, 3 Festubert Blvd Bldg Q-103, Petawawa</t>
  </si>
  <si>
    <t xml:space="preserve">On CFB Petawawa, with a military athlete pool. About as close to Bancroft as Peterborough, via Barry's Bay. Competition: The base club page says the team 'participates in numerous provincial, national and international level competitions'.</t>
  </si>
  <si>
    <t xml:space="preserve">https://cfmws.ca/petawawa/evolution-jiu-jitsu-club</t>
  </si>
  <si>
    <t xml:space="preserve">Corcoran's Boxing Club &amp; Fitness Centre (BEL Boxing Club listed at same address)</t>
  </si>
  <si>
    <t xml:space="preserve">Peterborough / Selwyn Twp (~1h45 drive)</t>
  </si>
  <si>
    <t xml:space="preserve">Olympic-style amateur boxing, youth programs, fitness</t>
  </si>
  <si>
    <t xml:space="preserve">corcoranboxing@gmail.com; 705-872-1086 / 705-957-1142; 1625 Chemong Rd. BEL Boxing Club (same address): belboxing@gmail.com, 705-768-0340 (from its kawarthaNOW listing)</t>
  </si>
  <si>
    <t xml:space="preserve">https://corcoransboxingandfitness.com</t>
  </si>
  <si>
    <t xml:space="preserve">Boxing only, no MMA, but it runs its own amateur boxing shows. Check whether BEL Boxing is the same club rebranded. Competition: Ran a 12-bout Ontario Boxing-sanctioned amateur card, 'War in Ennismore: Revival' (Aug 2022), as a fundraiser for its youth program and competitive team.</t>
  </si>
  <si>
    <t xml:space="preserve">Kawartha Wrestling Club</t>
  </si>
  <si>
    <t xml:space="preserve">Peterborough (~1h45 drive)</t>
  </si>
  <si>
    <t xml:space="preserve">Amateur wrestling (OAWA member club)</t>
  </si>
  <si>
    <t xml:space="preserve">Club contact on the OAWA club listing (https://www.oawa.ca/oawa-club-listing); the listed email is a personal address, so it isn't copied here</t>
  </si>
  <si>
    <t xml:space="preserve">Wrestlers transitioning to MMA are good novice-card prospects. Competition: OAWA-registered competitive wrestling club.</t>
  </si>
  <si>
    <t xml:space="preserve">https://www.oawa.ca/oawa-club-listing</t>
  </si>
  <si>
    <t xml:space="preserve">Kingston Wrestling Club</t>
  </si>
  <si>
    <t xml:space="preserve">Marcus Niemann: kingstonwrestling@hotmail.com (OAWA club listing)</t>
  </si>
  <si>
    <t xml:space="preserve">Competition: OAWA-registered competitive club.</t>
  </si>
  <si>
    <t xml:space="preserve">Kingston Combat Wrestling Club</t>
  </si>
  <si>
    <t xml:space="preserve">Mariposa Wrestling Club</t>
  </si>
  <si>
    <t xml:space="preserve">Orillia (~2h15-2h30 drive)</t>
  </si>
  <si>
    <t xml:space="preserve">Ottawa Valley Boxing</t>
  </si>
  <si>
    <t xml:space="preserve">Boxing: competitive, recreational, women's and kids</t>
  </si>
  <si>
    <t xml:space="preserve">Nshangraw@ottawavalleysports.com; 1959 Petawawa Blvd Unit 3 (per a Town of Petawawa story)</t>
  </si>
  <si>
    <t xml:space="preserve">https://ottawavalleyboxing.com/</t>
  </si>
  <si>
    <t xml:space="preserve">Boxing only. Competition: 'REGISTERED COMPETITION CLUB WITH BOXING ONTARIO'; offers a Competitive Fighters program for ages 12+.</t>
  </si>
  <si>
    <t xml:space="preserve">Pinnacle Wrestling Club</t>
  </si>
  <si>
    <t xml:space="preserve">Nigel Yantha: pinnaclewrestling2025@gmail.com (OAWA club listing)</t>
  </si>
  <si>
    <t xml:space="preserve">Pinnacle Boxing Academy</t>
  </si>
  <si>
    <t xml:space="preserve">Belleville (~1h45 drive)</t>
  </si>
  <si>
    <t xml:space="preserve">Amateur boxing</t>
  </si>
  <si>
    <t xml:space="preserve">No official contact found. Ask Boxing Ontario or check the club's social pages.</t>
  </si>
  <si>
    <t xml:space="preserve">Boxing only. Runs its own boxing club shows. Competition: Hosted the Boxing Ontario 'Friday Night Fights' club show (Sept 12 2025); its boxers won provincial medals (inQuinte, Oct 2025). Low confidence: check the contact first.</t>
  </si>
  <si>
    <t xml:space="preserve">https://www.inquinte.ca/2025/10/local-boxers-fight-their-way-to-medals-at-provincial-championships/</t>
  </si>
  <si>
    <t xml:space="preserve">Big Country - Orillia</t>
  </si>
  <si>
    <t xml:space="preserve">BJJ, Muay Thai, kickboxing, boxing, judo, MMA (adult MMA class)</t>
  </si>
  <si>
    <t xml:space="preserve">unknown</t>
  </si>
  <si>
    <t xml:space="preserve">orilliabigcountry@gmail.com; 27 West St S, Orillia</t>
  </si>
  <si>
    <t xml:space="preserve">https://bigcountryorillia.gymdesk.com</t>
  </si>
  <si>
    <t xml:space="preserve">Competition: Part of the Big Country network (Joe Elliott teaches the MMA class). It runs in-house BJJ competitions, but its site names no MMA fight team.</t>
  </si>
  <si>
    <t xml:space="preserve">Big Country - Muskoka</t>
  </si>
  <si>
    <t xml:space="preserve">Bracebridge (~1h50-2h drive)</t>
  </si>
  <si>
    <t xml:space="preserve">BJJ (incl. no-gi), Muay Thai, kickboxing, boxing</t>
  </si>
  <si>
    <t xml:space="preserve">bigcountrymuskoka@gmail.com; 705-706-1631; 75 Manitoba St, Bracebridge</t>
  </si>
  <si>
    <t xml:space="preserve">https://bigcountrymuskoka.gymdesk.com/</t>
  </si>
  <si>
    <t xml:space="preserve">Competition: Same Big Country coaching group, but its site lists no MMA class or fight team.</t>
  </si>
  <si>
    <t xml:space="preserve">The Chop Shop MMA</t>
  </si>
  <si>
    <t xml:space="preserve">Haliburton (~1h drive)</t>
  </si>
  <si>
    <t xml:space="preserve">BJJ, fitness kickboxing, kids programs (head coach also trains Muay Thai)</t>
  </si>
  <si>
    <t xml:space="preserve">705-854-3773; 175 Industrial Park Rd Unit A, Haliburton; Facebook /TheChopShopHaliburton; Instagram @thechopshophaliburton</t>
  </si>
  <si>
    <t xml:space="preserve">https://www.thechopshop.ca/</t>
  </si>
  <si>
    <t xml:space="preserve">Closest gym to CCCL's Haliburton venue. Good for youth grappling bouts and as a local co-host. Competition: New gym, opened May 30 2026. The owners (Chris and Janet Wellstood) ran Hayabusa Academy in Kingston for over 10 years; Chris has produced six black belts and Janet won silver at the 2018 World Master Jiu-Jitsu Championships. There is no fight team yet; they're likely to supply youth/BJJ grapplers before MMA fighters.</t>
  </si>
  <si>
    <t xml:space="preserve">Kawartha Combat</t>
  </si>
  <si>
    <t xml:space="preserve">Muay Thai, kickboxing (incl. ladies and junior), BJJ, private coaching</t>
  </si>
  <si>
    <t xml:space="preserve">kawarthacombat@live.com (on its own site); 705-868-1119 (directory listing); 910 High St Unit 15</t>
  </si>
  <si>
    <t xml:space="preserve">https://www.kawarthacombat.com/</t>
  </si>
  <si>
    <t xml:space="preserve">Competition: Its site names no fight team. Head coach is Kevin Henry (named in a testimonial). A 2017 Examiner headline, 'Larger venue for Muay Thai', suggests it has hosted Muay Thai events.</t>
  </si>
  <si>
    <t xml:space="preserve">Eris Martial Arts / 10th Planet Jiu Jitsu Peterborough</t>
  </si>
  <si>
    <t xml:space="preserve">BJJ gi and no-gi (10th Planet), Muay Thai, competition training</t>
  </si>
  <si>
    <t xml:space="preserve">info@erismartialarts.com; 705-768-1514; 306 George St N, Peterborough</t>
  </si>
  <si>
    <t xml:space="preserve">http://erismartialarts.com/</t>
  </si>
  <si>
    <t xml:space="preserve">The 10th Planet listing gives an older address (910 High St Unit 15). Use the George St N address from Eris's own site. Competition: Its site says it is 'helping build strong competitors for the growing sport of BJJ' and offers 'sport grappling, and competition training'. The 10th Planet instructor has MMA coaching experience (Eris / New World MMA).</t>
  </si>
  <si>
    <t xml:space="preserve">Nomad Martial Arts &amp; Fitness</t>
  </si>
  <si>
    <t xml:space="preserve">No-gi BJJ, wrestling, kickboxing &amp; MMA, strength &amp; conditioning</t>
  </si>
  <si>
    <t xml:space="preserve">alimo@nomadma.net; 613-519-2588; The Bunker, 1300 Bath Rd, Kingston</t>
  </si>
  <si>
    <t xml:space="preserve">https://nomadma.net/</t>
  </si>
  <si>
    <t xml:space="preserve">Competition: Lists 'Kickboxing &amp; MMA' and wrestling programs; head coach Ali is a BJJ black belt. No fight team named.</t>
  </si>
  <si>
    <t xml:space="preserve">Infinite Martial Arts &amp; Fitness</t>
  </si>
  <si>
    <t xml:space="preserve">BJJ, Muay Thai, boxing (amateur boxing program), wrestling, women's kickboxing, kids Muay Thai/boxing, powerlifting</t>
  </si>
  <si>
    <t xml:space="preserve">Info@Infinite-MMA.com; (613) 969-7653; 315 Bell Blvd, Belleville</t>
  </si>
  <si>
    <t xml:space="preserve">https://infinite-mma.com/</t>
  </si>
  <si>
    <t xml:space="preserve">The best MMA-style gym found in the Quinte area. Contact it for any Marmora or Madoc show. Competition: Its site pitches its 'Muay Thai, Grappling &amp; Boxing programs' to people interested in MMA and runs 'a complete amateur boxing program'. Coach records include Nolan Brant ('12 MMA battles'), Jace Rennie-Millar ('4 fights') and Mario Gibbs (Muay Thai/K1). No named fight team.</t>
  </si>
  <si>
    <t xml:space="preserve">Limitless Martial Arts Trenton</t>
  </si>
  <si>
    <t xml:space="preserve">Trenton (Quinte West) (~2h drive)</t>
  </si>
  <si>
    <t xml:space="preserve">BJJ, Muay Thai kickboxing, wrestling, MMA grappling, women's kickboxing, kids</t>
  </si>
  <si>
    <t xml:space="preserve">limitlessbjjtrenton@gmail.com; (613) 827-7401 / 613-955-0343; 99 Dufferin Ave, Trenton</t>
  </si>
  <si>
    <t xml:space="preserve">https://www.limitlessbjjtrenton.com/</t>
  </si>
  <si>
    <t xml:space="preserve">Competition: Head coach Jordan Preisinger is described as an 'MMA champion'; the Muay Thai and wrestling coach has a pro MMA background. The site advertises 'Highly decorated competitors'.</t>
  </si>
  <si>
    <t xml:space="preserve">Mamute Martial Arts</t>
  </si>
  <si>
    <t xml:space="preserve">MMA, BJJ, Muay Thai, boxing, kids wrestling, strength &amp; conditioning</t>
  </si>
  <si>
    <t xml:space="preserve">info@mamutemaa.com; (647) 648-1662; 907 Simcoe St N, Oshawa</t>
  </si>
  <si>
    <t xml:space="preserve">https://mamutemaa.com/</t>
  </si>
  <si>
    <t xml:space="preserve">Competition: Offers a dedicated MMA program. The head instructor coaches MMA, Muay Thai, wrestling, boxing and BJJ (a reviewer says he is an ex-pro MMA fighter). There is an 'Achievements' page, but no team is named.</t>
  </si>
  <si>
    <t xml:space="preserve">Legacy Fight Club</t>
  </si>
  <si>
    <t xml:space="preserve">Barrie (~2h45 drive)</t>
  </si>
  <si>
    <t xml:space="preserve">Muay Thai, BJJ gi/no-gi, MMA, wrestling, boxing</t>
  </si>
  <si>
    <t xml:space="preserve">teamlegacy.assistance@gmail.com; text (249) 501-9937; 351 King St Unit 7, Barrie</t>
  </si>
  <si>
    <t xml:space="preserve">https://www.legacyfightclub.com/</t>
  </si>
  <si>
    <t xml:space="preserve">At the edge of the 3 h radius. Barrie has its own shows (MM-Eh lists 'Fight Night Barrie', Nov 20 2026). Competition: Its curriculum runs 'through to competitive athletes', and a member is preparing for a debut fight in Thailand. No named fight team.</t>
  </si>
  <si>
    <t xml:space="preserve">World Championship Martial Arts</t>
  </si>
  <si>
    <t xml:space="preserve">Muay Thai kickboxing, BJJ, MMA, karate, youth kickboxing</t>
  </si>
  <si>
    <t xml:space="preserve">705-304-9084; 'Email Us' link on its site (address masked); 871 Chemong Rd Unit 6 &amp; 7 (Brookdale Plaza)</t>
  </si>
  <si>
    <t xml:space="preserve">https://worldchampionship.ca/</t>
  </si>
  <si>
    <t xml:space="preserve">Competition: Its site lists MMA and youth BJJ/kickboxing but names no fight team.</t>
  </si>
  <si>
    <t xml:space="preserve">Hayabusa Academy</t>
  </si>
  <si>
    <t xml:space="preserve">BJJ, Muay Thai, fitness kickboxing, kids (billed as 'Mixed Martial Arts &amp; Fitness')</t>
  </si>
  <si>
    <t xml:space="preserve">info@Hayabusa-Academy.com; 613-484-5455; 677 Innovation Dr Unit 7, Kingston</t>
  </si>
  <si>
    <t xml:space="preserve">https://www.hayabusa-academy.com/</t>
  </si>
  <si>
    <t xml:space="preserve">Confirm the current owners and whether it is still operating. The Chop Shop's owners can introduce you. Competition: Was a 370-member gym that GSP trained at a few times (per The Highlander). Its founders moved to Haliburton in 2026, but the site still advertises a 2026 kids camp. No fight team is named.</t>
  </si>
  <si>
    <t xml:space="preserve">YGK Combatives Group</t>
  </si>
  <si>
    <t xml:space="preserve">BJJ (affiliated with Body of Four BJJ Toronto), Muay Thai, Krav Maga</t>
  </si>
  <si>
    <t xml:space="preserve">Contact page on its site (email masked); 613-389-7378 (directory listing); 745 Development Dr, Kingston</t>
  </si>
  <si>
    <t xml:space="preserve">https://www.ygkcombativesgroup.com/</t>
  </si>
  <si>
    <t xml:space="preserve">Competition: No fight team mentioned on its site.</t>
  </si>
  <si>
    <t xml:space="preserve">Jiu-Jitsu Kingston</t>
  </si>
  <si>
    <t xml:space="preserve">BJJ, Japanese jiu-jitsu, kickboxing, judo, kids</t>
  </si>
  <si>
    <t xml:space="preserve">Contact form on its site; (613) 449-8616 / 343-321-5852; 654 Norris Ct, Kingston</t>
  </si>
  <si>
    <t xml:space="preserve">https://jiu-jitsukingston.com/</t>
  </si>
  <si>
    <t xml:space="preserve">CORRECTION: earlier research listed 'Kingston Jiu Jitsu'. kingstonjiujitsu.com is a UK academy in Kingston upon Thames. The Kingston, Ontario gym is Jiu-Jitsu Kingston (jiu-jitsukingston.com). Competition: Teaches 'sport competition techniques'; no team named.</t>
  </si>
  <si>
    <t xml:space="preserve">United Brazilian Jiu-Jitsu &amp; Muay Thai</t>
  </si>
  <si>
    <t xml:space="preserve">Cobourg (~2h15 drive)</t>
  </si>
  <si>
    <t xml:space="preserve">BJJ, Muay Thai (kids, teens, adults)</t>
  </si>
  <si>
    <t xml:space="preserve">(905) 375-3113 (own site; email masked); 1040 Division St, Cobourg (directory)</t>
  </si>
  <si>
    <t xml:space="preserve">http://unitedbjj.ca/</t>
  </si>
  <si>
    <t xml:space="preserve">Competition: No team mentioned.</t>
  </si>
  <si>
    <t xml:space="preserve">Surge MMA</t>
  </si>
  <si>
    <t xml:space="preserve">Orléans (Ottawa) (~3h drive)</t>
  </si>
  <si>
    <t xml:space="preserve">BJJ, Muay Thai &amp; boxing, kids MMA, women's grappling</t>
  </si>
  <si>
    <t xml:space="preserve">SMS (343) 600-3066; email masked on site; 180 Vanguard Dr, Orléans</t>
  </si>
  <si>
    <t xml:space="preserve">https://www.surgemma.com/</t>
  </si>
  <si>
    <t xml:space="preserve">RUNS ITS OWN PROMOTION: - organizer of 'Next Wave Combat' (amateur MMA and Muay Thai in a cage, Lois Kemp Arena, Ottawa, Aug 1 2026). A competing promoter on the eastern edge of the range. Possible fighter-exchange partner, but expect it to prioritise its own cards. Competition: Its site lists 'Upcoming Competitions' under Events but names no fight team.</t>
  </si>
  <si>
    <t xml:space="preserve">https://www.eventbrite.ca/e/next-wave-combat-tickets-1990798629291</t>
  </si>
  <si>
    <t xml:space="preserve">Eastside Boxing &amp; Wellness</t>
  </si>
  <si>
    <t xml:space="preserve">Boxing, wellness/fitness, youth boxing</t>
  </si>
  <si>
    <t xml:space="preserve">311 George St N, Peterborough (no public email or phone found)</t>
  </si>
  <si>
    <t xml:space="preserve">Boxing only. Low value as a source of MMA fighters. Competition: Boxing Ontario says the club 'carries on the legacy of the Peterborough Boxing Club' (founded 1977) and has hosted provincial championships. It opened in its current form in Nov 2024, with a grand opening in Jul 2026; owner and head coach is Marsha Gaulton. Low confidence: check the contact first.</t>
  </si>
  <si>
    <t xml:space="preserve">https://www.ptbotoday.ca/?p=102471</t>
  </si>
  <si>
    <t xml:space="preserve">TRACK2 Brazilian Jiu-Jitsu</t>
  </si>
  <si>
    <t xml:space="preserve">BJJ</t>
  </si>
  <si>
    <t xml:space="preserve">hello@track2.ca (Let's Roll directory, not confirmed on the gym's site); 559 Bagot St, Kingston</t>
  </si>
  <si>
    <t xml:space="preserve">https://track2.ca/</t>
  </si>
  <si>
    <t xml:space="preserve">Competition: No information found on its own site. Low confidence: check the contact first.</t>
  </si>
  <si>
    <t xml:space="preserve">https://letsroll.co/gym/track2-brazilian-jiu-jitsu-kingston-on</t>
  </si>
  <si>
    <t xml:space="preserve">Four-Eleven Brazilian Jiu Jitsu</t>
  </si>
  <si>
    <t xml:space="preserve">Whitby (~2h45 drive)</t>
  </si>
  <si>
    <t xml:space="preserve">BJJ (kids, teens, adults, women's)</t>
  </si>
  <si>
    <t xml:space="preserve">info@fourelevenbjj.ca; 905-665-7998; 277 Michael Blvd Unit 6, Whitby (Let's Roll directory)</t>
  </si>
  <si>
    <t xml:space="preserve">https://fourelevenbjj.ca/</t>
  </si>
  <si>
    <t xml:space="preserve">Competition: No information found. Low confidence: check the contact first.</t>
  </si>
  <si>
    <t xml:space="preserve">https://letsroll.co/gym/four-eleven-brazilian-jiu-jitsu-whitby-on</t>
  </si>
  <si>
    <t xml:space="preserve">Team DNA BJJ</t>
  </si>
  <si>
    <t xml:space="preserve">BJJ, no-gi</t>
  </si>
  <si>
    <t xml:space="preserve">info@dnabjj.com; 416-988-6548; 2001 Thickson Rd S Unit 15, Whitby (Let's Roll directory)</t>
  </si>
  <si>
    <t xml:space="preserve">https://www.dnabjj.com/</t>
  </si>
  <si>
    <t xml:space="preserve">https://letsroll.co/gym/team-dna-bjj-whitby-on</t>
  </si>
  <si>
    <t xml:space="preserve">Empire Mixed Martial Arts &amp; Fitness</t>
  </si>
  <si>
    <t xml:space="preserve">Boxing, Muay Thai/kickboxing, BJJ</t>
  </si>
  <si>
    <t xml:space="preserve">info@empiremma.ca; 705-728-8885; 100 Caplan Ave Unit 8, Barrie (Let's Roll directory)</t>
  </si>
  <si>
    <t xml:space="preserve">https://empiremma.ca/</t>
  </si>
  <si>
    <t xml:space="preserve">https://letsroll.co/gym/empire-mixed-martial-arts-fitness-barrie-on</t>
  </si>
  <si>
    <t xml:space="preserve">FIGHTERS</t>
  </si>
  <si>
    <t xml:space="preserve">One row per fighter who applies. Medical: Yes/No only, never details. Under 18: first name and last initial, a parent's consent, and the parent signs the day-of forms. No personal phone numbers: contact fighters through their gym or coach. Anyone with pro fights or a prize worth $300+ isn't an amateur.</t>
  </si>
  <si>
    <t xml:space="preserve">Fighter (name on the card)</t>
  </si>
  <si>
    <t xml:space="preserve">Under 18?</t>
  </si>
  <si>
    <t xml:space="preserve">Gym / team</t>
  </si>
  <si>
    <t xml:space="preserve">Coach (first name)</t>
  </si>
  <si>
    <t xml:space="preserve">Contact via (gym email or page)</t>
  </si>
  <si>
    <t xml:space="preserve">Discipline</t>
  </si>
  <si>
    <t xml:space="preserve">Age division</t>
  </si>
  <si>
    <t xml:space="preserve">Fight weight (lb)</t>
  </si>
  <si>
    <t xml:space="preserve">MMA wins</t>
  </si>
  <si>
    <t xml:space="preserve">MMA losses</t>
  </si>
  <si>
    <t xml:space="preserve">Other amateur contests (any combat sport)</t>
  </si>
  <si>
    <t xml:space="preserve">Contests</t>
  </si>
  <si>
    <t xml:space="preserve">Experience class</t>
  </si>
  <si>
    <t xml:space="preserve">Grappling level</t>
  </si>
  <si>
    <t xml:space="preserve">Annual medical done</t>
  </si>
  <si>
    <t xml:space="preserve">Codes &amp; rules declaration signed</t>
  </si>
  <si>
    <t xml:space="preserve">CCCL waiver signed</t>
  </si>
  <si>
    <t xml:space="preserve">Parent consent (under 18)</t>
  </si>
  <si>
    <t xml:space="preserve">Concussion confirmation (Rowan's Law)</t>
  </si>
  <si>
    <t xml:space="preserve">Ready to fight?</t>
  </si>
  <si>
    <t xml:space="preserve">(Example) Jordan Smith</t>
  </si>
  <si>
    <t xml:space="preserve">No</t>
  </si>
  <si>
    <t xml:space="preserve">Big Country Lindsay</t>
  </si>
  <si>
    <t xml:space="preserve">Mike</t>
  </si>
  <si>
    <t xml:space="preserve">Through the gym's page</t>
  </si>
  <si>
    <t xml:space="preserve">Amateur MMA</t>
  </si>
  <si>
    <t xml:space="preserve">Senior (19+)</t>
  </si>
  <si>
    <t xml:space="preserve">Pending</t>
  </si>
  <si>
    <t xml:space="preserve">Yes</t>
  </si>
  <si>
    <t xml:space="preserve">N/A</t>
  </si>
  <si>
    <t xml:space="preserve">Available</t>
  </si>
  <si>
    <t xml:space="preserve">Example row. Replace it with a real fighter.</t>
  </si>
  <si>
    <t xml:space="preserve">BOUT CARD</t>
  </si>
  <si>
    <t xml:space="preserve">Pick both corners from the Fighters list, in the order the bouts will happen (main event last). It checks the Ontario weight-gap table, experience classes, age divisions, double bookings and paperwork. Flags are a prompt to look again: Cody and the officials decide. Results only once official.</t>
  </si>
  <si>
    <t xml:space="preserve">Bouts on the card</t>
  </si>
  <si>
    <t xml:space="preserve">Approved by Cody and the officials</t>
  </si>
  <si>
    <t xml:space="preserve">Bouts with a flag to look at</t>
  </si>
  <si>
    <t xml:space="preserve">Bout #</t>
  </si>
  <si>
    <t xml:space="preserve">Card position</t>
  </si>
  <si>
    <t xml:space="preserve">Red corner</t>
  </si>
  <si>
    <t xml:space="preserve">Blue corner</t>
  </si>
  <si>
    <t xml:space="preserve">Red weight</t>
  </si>
  <si>
    <t xml:space="preserve">Blue weight</t>
  </si>
  <si>
    <t xml:space="preserve">Weight gap (lb)</t>
  </si>
  <si>
    <t xml:space="preserve">Allowed gap (lb)</t>
  </si>
  <si>
    <t xml:space="preserve">Red class</t>
  </si>
  <si>
    <t xml:space="preserve">Blue class</t>
  </si>
  <si>
    <t xml:space="preserve">Both ready?</t>
  </si>
  <si>
    <t xml:space="preserve">Checks</t>
  </si>
  <si>
    <t xml:space="preserve">Cody approved</t>
  </si>
  <si>
    <t xml:space="preserve">Officials OK</t>
  </si>
  <si>
    <t xml:space="preserve">Winner</t>
  </si>
  <si>
    <t xml:space="preserve">Method</t>
  </si>
  <si>
    <t xml:space="preserve">Round</t>
  </si>
  <si>
    <t xml:space="preserve">Time</t>
  </si>
  <si>
    <t xml:space="preserve">Ontario amateur MMA: Senior (19+) 3 x 3-minute rounds; Youth A (16-18) 3 x 2; Youth B and C (12-15) 2 x 2; no head or face strikes for any youth level; no elbows, knees to the head, heel hooks, toe holds, neck cranks or stomps for any amateur. Opponents in different experience classes need the Commissioner's approval. Full list on the Rules tab.</t>
  </si>
  <si>
    <t xml:space="preserve">VOLUNTEERS &amp; ROLES</t>
  </si>
  <si>
    <t xml:space="preserve">Who does what on fight night. First names only. Everyone gets the briefing sheet the week before.</t>
  </si>
  <si>
    <t xml:space="preserve">Role</t>
  </si>
  <si>
    <t xml:space="preserve">What they do</t>
  </si>
  <si>
    <t xml:space="preserve">Needed</t>
  </si>
  <si>
    <t xml:space="preserve">Names (first names)</t>
  </si>
  <si>
    <t xml:space="preserve">Filled</t>
  </si>
  <si>
    <t xml:space="preserve">Shift</t>
  </si>
  <si>
    <t xml:space="preserve">Briefed?</t>
  </si>
  <si>
    <t xml:space="preserve">Door: tickets and scanning</t>
  </si>
  <si>
    <t xml:space="preserve">Scan Eventbrite tickets, sell walk-ups if allowed, count comps.</t>
  </si>
  <si>
    <t xml:space="preserve">Door: ID and wristbands</t>
  </si>
  <si>
    <t xml:space="preserve">19+ wristbands if there's a bar area. Check ID. No wristband, no bar.</t>
  </si>
  <si>
    <t xml:space="preserve">VIP host</t>
  </si>
  <si>
    <t xml:space="preserve">Seat VIP tables and sponsors, hand out sponsor tickets.</t>
  </si>
  <si>
    <t xml:space="preserve">Ushers and crowd</t>
  </si>
  <si>
    <t xml:space="preserve">Help people find seats, keep aisles and the cage area clear.</t>
  </si>
  <si>
    <t xml:space="preserve">Fighter runner</t>
  </si>
  <si>
    <t xml:space="preserve">Bring fighters and corners to the cage on time; keep the bout order.</t>
  </si>
  <si>
    <t xml:space="preserve">Dressing room monitors</t>
  </si>
  <si>
    <t xml:space="preserve">One per side. Only fighters, corners and officials in the room.</t>
  </si>
  <si>
    <t xml:space="preserve">Youth grappling parent liaison</t>
  </si>
  <si>
    <t xml:space="preserve">Meets parents, checks consent forms, keeps youth athletes with their coach.</t>
  </si>
  <si>
    <t xml:space="preserve">Cage crew</t>
  </si>
  <si>
    <t xml:space="preserve">Wipe the canvas between bouts, check padding, stools and buckets.</t>
  </si>
  <si>
    <t xml:space="preserve">Sponsor banners and photos</t>
  </si>
  <si>
    <t xml:space="preserve">Hang banners where promised, photograph each one with the crowd.</t>
  </si>
  <si>
    <t xml:space="preserve">Merch and 50/50 table</t>
  </si>
  <si>
    <t xml:space="preserve">Sell shirts; run any raffle only if properly licensed.</t>
  </si>
  <si>
    <t xml:space="preserve">Photo and video</t>
  </si>
  <si>
    <t xml:space="preserve">Clips for social and Kyle's highlight video. No youth without parent OK.</t>
  </si>
  <si>
    <t xml:space="preserve">Setup and teardown</t>
  </si>
  <si>
    <t xml:space="preserve">Chairs, tables, banners, cage help.</t>
  </si>
  <si>
    <t xml:space="preserve">Total</t>
  </si>
  <si>
    <t xml:space="preserve">Type names separated by commas; 'Filled' counts them. A role turns red until it's filled.</t>
  </si>
  <si>
    <t xml:space="preserve">PRODUCTION CHECKLIST</t>
  </si>
  <si>
    <t xml:space="preserve">Everything that has to physically be there. Costs here feed the Results &amp; Report tab.</t>
  </si>
  <si>
    <t xml:space="preserve">Item</t>
  </si>
  <si>
    <t xml:space="preserve">Supplier / who</t>
  </si>
  <si>
    <t xml:space="preserve">Cost ($)</t>
  </si>
  <si>
    <t xml:space="preserve">Booked?</t>
  </si>
  <si>
    <t xml:space="preserve">Confirmed show week?</t>
  </si>
  <si>
    <t xml:space="preserve">Cage on a platform raised 3-4 ft, padded, with canvas (Ontario rule): rental, delivery, build, teardown</t>
  </si>
  <si>
    <t xml:space="preserve">Cage</t>
  </si>
  <si>
    <t xml:space="preserve">Canvas cleaning supplies</t>
  </si>
  <si>
    <t xml:space="preserve">Corner stools, buckets, towels, ice</t>
  </si>
  <si>
    <t xml:space="preserve">Timekeeper bell or horn, clock</t>
  </si>
  <si>
    <t xml:space="preserve">Officials</t>
  </si>
  <si>
    <t xml:space="preserve">Judges' tables (3 sides), scorecards, pens; scorekeeper table</t>
  </si>
  <si>
    <t xml:space="preserve">Scale for weigh-ins</t>
  </si>
  <si>
    <t xml:space="preserve">Permit sign posted at the venue</t>
  </si>
  <si>
    <t xml:space="preserve">Open-hand MMA gloves, 6 oz or more, in each size (CCCL supplies; fighters can't bring their own)</t>
  </si>
  <si>
    <t xml:space="preserve">Hand wraps, tape and someone to wrap</t>
  </si>
  <si>
    <t xml:space="preserve">Spare soft neoprene shin guards (no straps or Velcro)</t>
  </si>
  <si>
    <t xml:space="preserve">Neutral cut-person (third second)</t>
  </si>
  <si>
    <t xml:space="preserve">Dressing rooms: two sides, chairs, water</t>
  </si>
  <si>
    <t xml:space="preserve">Medical room, physician and second medical person</t>
  </si>
  <si>
    <t xml:space="preserve">First-aid supplies; clear path for an ambulance if one is called</t>
  </si>
  <si>
    <t xml:space="preserve">Lights over the cage</t>
  </si>
  <si>
    <t xml:space="preserve">Sound system and microphones</t>
  </si>
  <si>
    <t xml:space="preserve">Announcer</t>
  </si>
  <si>
    <t xml:space="preserve">Walkout music (fighters send songs in advance)</t>
  </si>
  <si>
    <t xml:space="preserve">Livestream crew, cameras, internet, overlay with sponsor logos</t>
  </si>
  <si>
    <t xml:space="preserve">Livestream</t>
  </si>
  <si>
    <t xml:space="preserve">Recording of the show for the Commission (if filmed)</t>
  </si>
  <si>
    <t xml:space="preserve">Big screen or TV for the crowd (optional)</t>
  </si>
  <si>
    <t xml:space="preserve">Sponsor banners printed</t>
  </si>
  <si>
    <t xml:space="preserve">Event shirts with sponsor logos</t>
  </si>
  <si>
    <t xml:space="preserve">Ticket scanners (phones) and walk-up payment</t>
  </si>
  <si>
    <t xml:space="preserve">Front door</t>
  </si>
  <si>
    <t xml:space="preserve">Wristbands (19+ area)</t>
  </si>
  <si>
    <t xml:space="preserve">Radios for the crew</t>
  </si>
  <si>
    <t xml:space="preserve">Crew</t>
  </si>
  <si>
    <t xml:space="preserve">Security company</t>
  </si>
  <si>
    <t xml:space="preserve">Security</t>
  </si>
  <si>
    <t xml:space="preserve">Chairs, tables, VIP table setup</t>
  </si>
  <si>
    <t xml:space="preserve">Merch stock and card reader</t>
  </si>
  <si>
    <t xml:space="preserve">Merch</t>
  </si>
  <si>
    <t xml:space="preserve">Total production cost</t>
  </si>
  <si>
    <t xml:space="preserve">RUN OF SHOW</t>
  </si>
  <si>
    <t xml:space="preserve">Times follow Show Setup. Bout names come from the Bout Card, in bout-number order. Print it for the announcer, the timekeeper and the crew lead.</t>
  </si>
  <si>
    <t xml:space="preserve">What</t>
  </si>
  <si>
    <t xml:space="preserve">Who</t>
  </si>
  <si>
    <t xml:space="preserve">Where</t>
  </si>
  <si>
    <t xml:space="preserve">SHOW DAY</t>
  </si>
  <si>
    <t xml:space="preserve">Load-in: cage platform (3-4 ft high) and cage build, chairs, tables, VIP setup, permit sign posted</t>
  </si>
  <si>
    <t xml:space="preserve">Crew lead + volunteers</t>
  </si>
  <si>
    <t xml:space="preserve">Arena floor</t>
  </si>
  <si>
    <t xml:space="preserve">Lights, sound and livestream setup; internet test</t>
  </si>
  <si>
    <t xml:space="preserve">Production crew</t>
  </si>
  <si>
    <t xml:space="preserve">Officials and medical team arrive; walk the venue and the medical room</t>
  </si>
  <si>
    <t xml:space="preserve">Sponsor banners hung where each package promised; photo of each</t>
  </si>
  <si>
    <t xml:space="preserve">Printed banner list (from the Sponsorship Pipeline's Fulfilment tab).</t>
  </si>
  <si>
    <t xml:space="preserve">OFFICIAL WEIGH-INS (within 3 hours of the first bout)</t>
  </si>
  <si>
    <t xml:space="preserve">Commission / officials</t>
  </si>
  <si>
    <t xml:space="preserve">Weigh-in room</t>
  </si>
  <si>
    <t xml:space="preserve">Overweight: 1 hour to make weight, and out if they lose more than 1% in that hour. Weights onto the Fighters tab.</t>
  </si>
  <si>
    <t xml:space="preserve">Gloves, wraps and gear checked in the dressing rooms. The referee briefs each fighter there before their own bout (no group meeting)</t>
  </si>
  <si>
    <t xml:space="preserve">Referee + Cody</t>
  </si>
  <si>
    <t xml:space="preserve">Dressing rooms</t>
  </si>
  <si>
    <t xml:space="preserve">CCCL supplies gloves and wraps. Up to 3 corners per fighter.</t>
  </si>
  <si>
    <t xml:space="preserve">Fighter check-in after weigh-ins: ID, signed codes and rules declaration, no-suspension form (a parent signs for under-18s). Grappling weigh-ins close (at least 60 minutes before the event)</t>
  </si>
  <si>
    <t xml:space="preserve">Cody + officials</t>
  </si>
  <si>
    <t xml:space="preserve">Medical: confirm Yes/No only. Never write details. Parents may come with junior athletes.</t>
  </si>
  <si>
    <t xml:space="preserve">Pre-bout medicals start (each fighter no later than 1 hour before their bout)</t>
  </si>
  <si>
    <t xml:space="preserve">Physician</t>
  </si>
  <si>
    <t xml:space="preserve">Medical room</t>
  </si>
  <si>
    <t xml:space="preserve">Volunteer briefing: roles, radios, ID and wristband rules, emergency plan</t>
  </si>
  <si>
    <t xml:space="preserve">Front entrance</t>
  </si>
  <si>
    <t xml:space="preserve">Ticket scanners and VIP check-in ready</t>
  </si>
  <si>
    <t xml:space="preserve">Door team</t>
  </si>
  <si>
    <t xml:space="preserve">DOORS OPEN</t>
  </si>
  <si>
    <t xml:space="preserve">Livestream goes live (sponsor slide loop); recording for the Commission running</t>
  </si>
  <si>
    <t xml:space="preserve">Stream crew</t>
  </si>
  <si>
    <t xml:space="preserve">Welcome, rules for the crowd, Title Sponsor read</t>
  </si>
  <si>
    <t xml:space="preserve">Sponsor reads by level: see the announcer script template.</t>
  </si>
  <si>
    <t xml:space="preserve">THE CARD (from the Bout Card tab)</t>
  </si>
  <si>
    <t xml:space="preserve">Referee, judges, timekeeper</t>
  </si>
  <si>
    <t xml:space="preserve">Unused bout rows just say '(not set)'. Hide or delete them when you print.</t>
  </si>
  <si>
    <t xml:space="preserve">AFTER THE MAIN EVENT</t>
  </si>
  <si>
    <t xml:space="preserve">Thank-you from Cody; sponsor thank-you read (all levels); next show date</t>
  </si>
  <si>
    <t xml:space="preserve">Announcer + Cody</t>
  </si>
  <si>
    <t xml:space="preserve">Livestream ends (sponsor slide)</t>
  </si>
  <si>
    <t xml:space="preserve">Crowd out; post-bout medicals as the physician requires; record any suspensions in the amateur books</t>
  </si>
  <si>
    <t xml:space="preserve">Physician + Cody</t>
  </si>
  <si>
    <t xml:space="preserve">Teardown: cage, banners (return or store), chairs; venue walk-through</t>
  </si>
  <si>
    <t xml:space="preserve">PRESS LIST</t>
  </si>
  <si>
    <t xml:space="preserve">Local papers, news sites, radio, TV and combat-sports media, with each one's own way to send news. Three releases per show: announcement (about 14 weeks out), the card (4 weeks), results (the day after).</t>
  </si>
  <si>
    <t xml:space="preserve">Outlet</t>
  </si>
  <si>
    <t xml:space="preserve">Type</t>
  </si>
  <si>
    <t xml:space="preserve">How to send news</t>
  </si>
  <si>
    <t xml:space="preserve">Show announced (date)</t>
  </si>
  <si>
    <t xml:space="preserve">Card sent (date)</t>
  </si>
  <si>
    <t xml:space="preserve">Results sent (date)</t>
  </si>
  <si>
    <t xml:space="preserve">Ran a story?</t>
  </si>
  <si>
    <t xml:space="preserve">Bancroft This Week</t>
  </si>
  <si>
    <t xml:space="preserve">paper</t>
  </si>
  <si>
    <t xml:space="preserve">Bancroft / North Hastings</t>
  </si>
  <si>
    <t xml:space="preserve">Reporter Michael Riley: michael@haliburtonpress.com; letters to the editor: jenniferm@haliburtonpress.com (Jennifer McEathron, GM); office 613-332-2002; 254 Hastings St N, PO Box 1254, Bancroft K0L 1C0. Editor is listed with no name or email.</t>
  </si>
  <si>
    <t xml:space="preserve">Already covers CCCL: 'Bancroft Boxing expanding programs for all ages' (Bill Kilpatrick, Feb 18 2026) describes CCCL and the May 2 Haliburton show; 2019 'Purtell's first fight on home soil'. Owned by Haliburton Press (same group as the Haliburton Echo and Minden Times). Use for every Bancroft show.</t>
  </si>
  <si>
    <t xml:space="preserve">https://www.bancroftthisweek.com/contact-information</t>
  </si>
  <si>
    <t xml:space="preserve">My Bancroft Now / 97.7 Moose FM (CHMS-FM)</t>
  </si>
  <si>
    <t xml:space="preserve">radio</t>
  </si>
  <si>
    <t xml:space="preserve">News tip form: https://www.mybancroftnow.com/submit-news-tip/ (Department = 'News &amp; Media', tick 'Is this a news tip?', photos up to 20 MB). Community calendar: https://www.mybancroftnow.com/event-submission/ (image at least 800px wide; listed only after approval). Studio 613-332-1423.</t>
  </si>
  <si>
    <t xml:space="preserve">Vista Radio station. Its news site mybancroftnow.com ran stories on the NHCC arena renovation. The calendar is free and takes recurring and multi-day events.</t>
  </si>
  <si>
    <t xml:space="preserve">https://www.mybancroftnow.com/contact/</t>
  </si>
  <si>
    <t xml:space="preserve">The Highlander</t>
  </si>
  <si>
    <t xml:space="preserve">Haliburton County</t>
  </si>
  <si>
    <t xml:space="preserve">News, tips, photos: news@thehighlander.ca; editor Lisa Gervais: editor@thehighlander.ca; assistant editor Mike Baker: mike@thehighlander.ca; 705-457-2900.</t>
  </si>
  <si>
    <t xml:space="preserve">Best proven outlet. Mike Baker wrote 'Fight night coming to Haliburton County' (Mar 12 2026) previewing CCCL 1 and 'Bringing hi-yah to Haliburton' (May 21 2026) on The Chop Shop MMA. Send fight-week releases and results.</t>
  </si>
  <si>
    <t xml:space="preserve">https://thehighlander.ca/about/</t>
  </si>
  <si>
    <t xml:space="preserve">Haliburton County Echo</t>
  </si>
  <si>
    <t xml:space="preserve">Editor Emily Stonehouse: emily@haliburtonpress.com; main line 705-457-1037; 146 Highland St, PO Box 360, Haliburton K0M 1S0. Reporter Thomas Smith's address appears as thomas@haliburtonpress.com, but the link behind it goes to the editor's address, so check it first.</t>
  </si>
  <si>
    <t xml:space="preserve">Haliburton Press weekly. Shares its editor with the Minden Times.</t>
  </si>
  <si>
    <t xml:space="preserve">https://haliburtonecho.ca/contact-us/</t>
  </si>
  <si>
    <t xml:space="preserve">Minden Times</t>
  </si>
  <si>
    <t xml:space="preserve">Haliburton County (Minden Hills)</t>
  </si>
  <si>
    <t xml:space="preserve">Editor Emily Stonehouse: emily@haliburtonpress.com; reporter Thomas Smith: thomas@haliburtonpress.com; 705-286-1288.</t>
  </si>
  <si>
    <t xml:space="preserve">Sister paper of the Echo, so one release to the editor covers both. It also has a general contact form.</t>
  </si>
  <si>
    <t xml:space="preserve">https://mindentimes.ca/contact</t>
  </si>
  <si>
    <t xml:space="preserve">Canoe FM 100.9 (CKHA-FM)</t>
  </si>
  <si>
    <t xml:space="preserve">info@canoefm.com for Public Service Announcements and 'Highland Happenings'; station manager: manager@canoefm.com; 705-457-1009. Events calendar: https://canoefm.com/canoe-calendar/</t>
  </si>
  <si>
    <t xml:space="preserve">Community radio. Free PSAs are only for not-for-profits, clubs and local governments, and Highland Happenings only for not-for-profit events. A for-profit CCCL show may not qualify, but a youth grappling or charity tie-in might. Also try interview requests.</t>
  </si>
  <si>
    <t xml:space="preserve">https://canoefm.com/contact-us/services/</t>
  </si>
  <si>
    <t xml:space="preserve">My Haliburton Now / 93.5 Moose FM</t>
  </si>
  <si>
    <t xml:space="preserve">News tip form: https://www.myhaliburtonnow.com/submit-news-tip/ ; event form: https://www.myhaliburtonnow.com/event-submission/ ; studio 705-457-4855, office 705-457-3897.</t>
  </si>
  <si>
    <t xml:space="preserve">Vista Radio sister station of Moose FM Bancroft, with the same form system.</t>
  </si>
  <si>
    <t xml:space="preserve">https://www.myhaliburtonnow.com/contact/</t>
  </si>
  <si>
    <t xml:space="preserve">kawarthaNOW</t>
  </si>
  <si>
    <t xml:space="preserve">news site</t>
  </si>
  <si>
    <t xml:space="preserve">Peterborough &amp; the Kawarthas (also Kawartha Lakes, Northumberland, Haliburton, Hastings)</t>
  </si>
  <si>
    <t xml:space="preserve">Media releases and PSAs by email: editor@kawarthanow.com. Free event listings: https://kawarthanow.com/submit-an-event/ (takes at least 48 h to approve; no posters, ALL CAPS or emojis). News tips: https://kawarthanow.com/contact-us/feedback/</t>
  </si>
  <si>
    <t xml:space="preserve">The largest regional what's-on site. Its event coverage includes Haliburton County and Hastings County, so every CCCL show in the target towns qualifies.</t>
  </si>
  <si>
    <t xml:space="preserve">https://kawarthanow.com/contact/</t>
  </si>
  <si>
    <t xml:space="preserve">PTBOToday (My Broadcasting: 96.7 / FREQ 90.5)</t>
  </si>
  <si>
    <t xml:space="preserve">Peterborough</t>
  </si>
  <si>
    <t xml:space="preserve">News story form: https://www.ptbotoday.ca/submit-a-news-story/ (short, about 180 characters, so send a pitch, not a full release); events: https://www.ptbotoday.ca/submit-an-event/ ; office 705-876-7773.</t>
  </si>
  <si>
    <t xml:space="preserve">Covered OFSAA wrestling (2026) and the Eastside Boxing grand opening (Jul 2026). Its owner, My Broadcasting Corp, also runs local radio.</t>
  </si>
  <si>
    <t xml:space="preserve">https://www.ptbotoday.ca/contact/</t>
  </si>
  <si>
    <t xml:space="preserve">PTBOCanada</t>
  </si>
  <si>
    <t xml:space="preserve">Tips: tips@ptbocanada.com</t>
  </si>
  <si>
    <t xml:space="preserve">Covered Corcoran's 'War in Ennismore' amateur boxing card (2022) and OFSAA wrestling. Has an Upcoming Events section, but no submit form was found.</t>
  </si>
  <si>
    <t xml:space="preserve">https://www.ptbocanada.com/</t>
  </si>
  <si>
    <t xml:space="preserve">Global News Peterborough (CHEX-TV, Corus)</t>
  </si>
  <si>
    <t xml:space="preserve">TV</t>
  </si>
  <si>
    <t xml:space="preserve">Peterborough &amp; Kawarthas (also Corus radio in Peterborough)</t>
  </si>
  <si>
    <t xml:space="preserve">News tips: newswatch@chextv.com; viewer mail: viewermail@chextv.com; 705-742-8712.</t>
  </si>
  <si>
    <t xml:space="preserve">Local TV. Has run combat-gym features before (e.g., a 2018 video on a new Peterborough boxing gym). Pitch fighter profiles or open workouts as visuals.</t>
  </si>
  <si>
    <t xml:space="preserve">https://globalnews.ca/pages/contact-us/</t>
  </si>
  <si>
    <t xml:space="preserve">Peterborough Examiner (incl. former Peterborough This Week / myKawartha sections)</t>
  </si>
  <si>
    <t xml:space="preserve">Peterborough &amp; Kawarthas</t>
  </si>
  <si>
    <t xml:space="preserve">No contact verified. The site blocked automated access during this research. Get the newsroom or sports email from the outlet's own Contact Us page at https://www.thepeterboroughexaminer.com before sending.</t>
  </si>
  <si>
    <t xml:space="preserve">Regional daily (Torstar/Metroland). The Peterborough This Week and Kawartha Lakes This Week print editions ended in 2023, and their content now runs as sections of the Examiner site. Worth targeting, but confirm the address first. Low confidence: check first.</t>
  </si>
  <si>
    <t xml:space="preserve">https://en.wikipedia.org/wiki/Peterborough_This_Week</t>
  </si>
  <si>
    <t xml:space="preserve">The Lindsay Advocate</t>
  </si>
  <si>
    <t xml:space="preserve">Lindsay / Kawartha Lakes</t>
  </si>
  <si>
    <t xml:space="preserve">info@lindsayadvocate.ca; contact form with Inquiry Type 'Story idea'; 705-341-1496 (Mon-Fri 9-5).</t>
  </si>
  <si>
    <t xml:space="preserve">Independent local outlet. Big Country MMA in Lindsay supplied several CCCL 1 fighters, including main-event winner Jake Parsons, so pitch the local-fighter angle.</t>
  </si>
  <si>
    <t xml:space="preserve">https://lindsayadvocate.ca/contact/</t>
  </si>
  <si>
    <t xml:space="preserve">City of Kawartha Lakes events calendar</t>
  </si>
  <si>
    <t xml:space="preserve">community calendar</t>
  </si>
  <si>
    <t xml:space="preserve">Kawartha Lakes</t>
  </si>
  <si>
    <t xml:space="preserve">Create an account at https://calendar.kawarthalakes.ca/ and choose 'Submit an Event'. Allow at least a week for review.</t>
  </si>
  <si>
    <t xml:space="preserve">The Events calendar is limited to not-for-profit, municipal or community groups; for-profit organizers are not clearly eligible. 'Tourism Events' has broader rules. Only for events held inside Kawartha Lakes (e.g., a Lindsay show).</t>
  </si>
  <si>
    <t xml:space="preserve">https://www.kawarthalakes.ca/explore-play/events/how-to-submit-an-event-to-the-calendar/</t>
  </si>
  <si>
    <t xml:space="preserve">Quinte News (Quinte Broadcasting: Mix 97, CJBQ 800, Rock 107)</t>
  </si>
  <si>
    <t xml:space="preserve">Belleville / Quinte / Central Hastings (Marmora, Madoc)</t>
  </si>
  <si>
    <t xml:space="preserve">News Director Tim Durkin: timdurkin@cjbq.com; reporter John Spitters: johnspitters@rock107.ca; newsroom hotline 613-968-5803. Event calendar form: https://tockify.com/tkf2/submitEvent/579513778ae844df81ef37cb07368124 (linked from quintenews.com/events; reviewed before posting).</t>
  </si>
  <si>
    <t xml:space="preserve">The main radio newsroom for Quinte and Central Hastings. The events page sends commercial events to its sales team, so a ticketed show may be treated as advertising.</t>
  </si>
  <si>
    <t xml:space="preserve">https://www.quintenews.com/meet-the-news-team</t>
  </si>
  <si>
    <t xml:space="preserve">inQuinte.ca (affiliated with Cool 100 / Hits 95.5)</t>
  </si>
  <si>
    <t xml:space="preserve">Belleville / Quinte West / Hastings</t>
  </si>
  <si>
    <t xml:space="preserve">Story form: https://www.inquinte.ca/submit-a-story (categories include Sports; full contact info required). Community calendar form: https://www.inquinte.ca/community-calendar (poster under 2 MB).</t>
  </si>
  <si>
    <t xml:space="preserve">Its 2025 coverage of Pinnacle Boxing's provincial medals shows it covers combat sports.</t>
  </si>
  <si>
    <t xml:space="preserve">https://inquinte.ca/</t>
  </si>
  <si>
    <t xml:space="preserve">Belleville Intelligencer (Postmedia)</t>
  </si>
  <si>
    <t xml:space="preserve">Belleville / Quinte</t>
  </si>
  <si>
    <t xml:space="preserve">No contact verified. The site blocked automated access. Get the newsroom email from the outlet's own Contact Us page at https://www.intelligencer.ca/contact-us</t>
  </si>
  <si>
    <t xml:space="preserve">Daily for Belleville. Low confidence until the contact is checked by hand. Low confidence: check first.</t>
  </si>
  <si>
    <t xml:space="preserve">https://www.intelligencer.ca/contact-us</t>
  </si>
  <si>
    <t xml:space="preserve">Kingstonist</t>
  </si>
  <si>
    <t xml:space="preserve">Kingston</t>
  </si>
  <si>
    <t xml:space="preserve">Editor-in-Chief Tori Stafford: tori.stafford@kingstonist.com. Events: https://www.kingstonist.com/event/community/add (free login required). Calendar: https://www.kingstonist.com/calendar/</t>
  </si>
  <si>
    <t xml:space="preserve">Independent daily news site. The email is masked in the page body and was read from the page's meta description.</t>
  </si>
  <si>
    <t xml:space="preserve">https://www.kingstonist.com/contact-us/</t>
  </si>
  <si>
    <t xml:space="preserve">Global News Kingston (CKWS-TV, Corus)</t>
  </si>
  <si>
    <t xml:space="preserve">News tips: newswatch@corusent.com; 613-544-2340.</t>
  </si>
  <si>
    <t xml:space="preserve">Covers local MMA fighters (e.g., a video on a Kingston MMA fighter getting ready for a big fight in New York State). Kingston gyms Grizzly Gym and van Jango have active amateurs, which gives a local-fighter angle.</t>
  </si>
  <si>
    <t xml:space="preserve">Kingston Whig-Standard (Postmedia)</t>
  </si>
  <si>
    <t xml:space="preserve">No contact verified. The site blocked automated access. Get the newsroom email from the outlet's own Contact Us page at https://www.thewhig.com/contact-us</t>
  </si>
  <si>
    <t xml:space="preserve">Daily for Kingston. Low confidence until the contact is checked by hand. Low confidence: check first.</t>
  </si>
  <si>
    <t xml:space="preserve">https://www.thewhig.com/contact-us</t>
  </si>
  <si>
    <t xml:space="preserve">Global News Toronto (covers Durham/Oshawa)</t>
  </si>
  <si>
    <t xml:space="preserve">Oshawa / Durham</t>
  </si>
  <si>
    <t xml:space="preserve">News tips: newstips@globaltv.com; viewer contact: ViewerContactToronto@globalnews.ca; 416-446-5460.</t>
  </si>
  <si>
    <t xml:space="preserve">Global's contact page names no Durham bureau and sends Durham to the Toronto desk. It's a big market, so pitch only with a strong angle (local fighters, youth grappling, a first-ever Oshawa CCCL card).</t>
  </si>
  <si>
    <t xml:space="preserve">City of Oshawa events calendar</t>
  </si>
  <si>
    <t xml:space="preserve">Oshawa</t>
  </si>
  <si>
    <t xml:space="preserve">'Submit an Event' button on https://calendar.oshawa.ca (read the 'Calendar posting policy' linked there first); Service Oshawa 905-436-3311.</t>
  </si>
  <si>
    <t xml:space="preserve">Previously listed the 'Rise of the Phoenix MMA' card (Durham Fight Series, Tribute Communities Centre, Jun 2023), so MMA events have been accepted before.</t>
  </si>
  <si>
    <t xml:space="preserve">https://calendar.oshawa.ca</t>
  </si>
  <si>
    <t xml:space="preserve">Durham Tourism events calendar</t>
  </si>
  <si>
    <t xml:space="preserve">Durham Region</t>
  </si>
  <si>
    <t xml:space="preserve">Click 'Submit an Event' at DurhamTourism.ca/events (account required).</t>
  </si>
  <si>
    <t xml:space="preserve">Its policy excludes 'Competitions, fashion shows, pageants' and requires public events with their own landing page, so an MMA card may be refused. Low priority.</t>
  </si>
  <si>
    <t xml:space="preserve">https://media-003-ca.cdn.govstack.com/durham-ca/media/1zdcemqd/durham-tourism-event-calendar-submission-policy.pdf</t>
  </si>
  <si>
    <t xml:space="preserve">DurhamRegion.com (Metroland: Oshawa This Week etc.)</t>
  </si>
  <si>
    <t xml:space="preserve">No contact verified. The site blocked automated access. Get the newsroom email from the outlet's own contact page at https://www.durhamregion.com before sending.</t>
  </si>
  <si>
    <t xml:space="preserve">The main Durham community news site. Confirm the address by hand. Low confidence: check first.</t>
  </si>
  <si>
    <t xml:space="preserve">https://www.durhamregion.com/about/contact-us/</t>
  </si>
  <si>
    <t xml:space="preserve">Durham Radio News (KX94.7 / 107.7 Country / 94.9 The Rock)</t>
  </si>
  <si>
    <t xml:space="preserve">No contact verified. The site blocks automated access (robots.txt). Find the newsroom contact on durhamradionews.com's own contact page.</t>
  </si>
  <si>
    <t xml:space="preserve">Durham Radio Inc.'s local newsroom. Confirm the address by hand. Low confidence: check first.</t>
  </si>
  <si>
    <t xml:space="preserve">https://www.durhamradionews.com/</t>
  </si>
  <si>
    <t xml:space="preserve">MM-Eh (mm-eh.ca) and The MM-EH Show podcast</t>
  </si>
  <si>
    <t xml:space="preserve">combat media</t>
  </si>
  <si>
    <t xml:space="preserve">Canada-wide (strong Ontario regional coverage)</t>
  </si>
  <si>
    <t xml:space="preserve">Andy Cotterill: andy@mm-eh.ca (the email in the site header). Also @MMehAndy on X and Instagram.</t>
  </si>
  <si>
    <t xml:space="preserve">'Just Canadian MMA.' Lists CCCL 1 (02 May 2026) among completed events but not in its upcoming list, so send every 2027 date to get on its Upcoming Fights page. Publishes Ontario amateur results (BTC, BTC XXVII Bellevegas) and interviews regional fighters on The MM-EH Show (e.g., Big Country's James Clarke).</t>
  </si>
  <si>
    <t xml:space="preserve">https://mm-eh.ca/about/</t>
  </si>
  <si>
    <t xml:space="preserve">Sherdog Fight Finder</t>
  </si>
  <si>
    <t xml:space="preserve">Global records database</t>
  </si>
  <si>
    <t xml:space="preserve">Promoters send results by email to the Fight Finder team. The address is masked on the article page; the 'Official Sherdog Fight Finder Guide' linked from it gives the address and a results template.</t>
  </si>
  <si>
    <t xml:space="preserve">CCCL 1 results are already on Sherdog (event page /events/CCCL-1-Cottage-Country-Combat-League-112672). Keep submitting results after each show so fighters' records stay current, since gyms check records before booking.</t>
  </si>
  <si>
    <t xml:space="preserve">https://sherdog.com/news/articles/The-FFFiles-The-Dos-and-Donts-of-Fight-Finder-The-Dos-181585</t>
  </si>
  <si>
    <t xml:space="preserve">Cageside Press</t>
  </si>
  <si>
    <t xml:space="preserve">Ontario-founded (Welland), North America-wide</t>
  </si>
  <si>
    <t xml:space="preserve">No public email shown. Use the About/Contact page or the outlet's social accounts; a 'Write For Us' page also exists.</t>
  </si>
  <si>
    <t xml:space="preserve">Founded in Welland, Ontario, in 2017. Publishes full BTC results, including the amateur bouts (e.g., BTC 32, Sept 2025). Low confidence: check first.</t>
  </si>
  <si>
    <t xml:space="preserve">https://cagesidepress.com/about/</t>
  </si>
  <si>
    <t xml:space="preserve">MMASucka</t>
  </si>
  <si>
    <t xml:space="preserve">International (covers Ontario regional promotions)</t>
  </si>
  <si>
    <t xml:space="preserve">info@mmasucka.com (the only email on the site); contact page https://mmasucka.com/about/contact/</t>
  </si>
  <si>
    <t xml:space="preserve">Has covered Ontario regional MMA (e.g., Jamie Champion/PFC on the future of Ontario MMA). Location of the outlet is not stated.</t>
  </si>
  <si>
    <t xml:space="preserve">https://mmasucka.com/</t>
  </si>
  <si>
    <t xml:space="preserve">RESULTS &amp; REPORT</t>
  </si>
  <si>
    <t xml:space="preserve">Fill in within a week of the show. Budget = the venue's column on the Profit Predictor's Compare tab (expected crowd). The real numbers then go into the Predictor so the next forecast is better.</t>
  </si>
  <si>
    <t xml:space="preserve">Real</t>
  </si>
  <si>
    <t xml:space="preserve">Budget (Predictor)</t>
  </si>
  <si>
    <t xml:space="preserve">Difference</t>
  </si>
  <si>
    <t xml:space="preserve">Where the real number comes from</t>
  </si>
  <si>
    <t xml:space="preserve">PEOPLE</t>
  </si>
  <si>
    <t xml:space="preserve">People in the building</t>
  </si>
  <si>
    <t xml:space="preserve">Door count or scans plus comps</t>
  </si>
  <si>
    <t xml:space="preserve">Paid tickets</t>
  </si>
  <si>
    <t xml:space="preserve">Eventbrite sales report</t>
  </si>
  <si>
    <t xml:space="preserve">Free tickets (sponsors, fighters' teams, volunteers)</t>
  </si>
  <si>
    <t xml:space="preserve">Comp list</t>
  </si>
  <si>
    <t xml:space="preserve">Livestream viewers (peak or total)</t>
  </si>
  <si>
    <t xml:space="preserve">Streaming platform stats</t>
  </si>
  <si>
    <t xml:space="preserve">MONEY IN</t>
  </si>
  <si>
    <t xml:space="preserve">Ticket money after fees</t>
  </si>
  <si>
    <t xml:space="preserve">Eventbrite payout report</t>
  </si>
  <si>
    <t xml:space="preserve">Sponsorship actually paid</t>
  </si>
  <si>
    <t xml:space="preserve">Sponsorship Pipeline: 'Amount paid' for this show</t>
  </si>
  <si>
    <t xml:space="preserve">Bar share to CCCL</t>
  </si>
  <si>
    <t xml:space="preserve">Venue settlement</t>
  </si>
  <si>
    <t xml:space="preserve">Merch profit</t>
  </si>
  <si>
    <t xml:space="preserve">Merch table count</t>
  </si>
  <si>
    <t xml:space="preserve">Livestream income</t>
  </si>
  <si>
    <t xml:space="preserve">Platform payout</t>
  </si>
  <si>
    <t xml:space="preserve">TOTAL MONEY IN</t>
  </si>
  <si>
    <t xml:space="preserve">COSTS (same lines as the Predictor)</t>
  </si>
  <si>
    <t xml:space="preserve">Venue rent and staff</t>
  </si>
  <si>
    <t xml:space="preserve">Venue invoice</t>
  </si>
  <si>
    <t xml:space="preserve">Athletics Commission permit</t>
  </si>
  <si>
    <t xml:space="preserve">Commission receipt</t>
  </si>
  <si>
    <t xml:space="preserve">Invoice</t>
  </si>
  <si>
    <t xml:space="preserve">Invoices</t>
  </si>
  <si>
    <t xml:space="preserve">Insurance</t>
  </si>
  <si>
    <t xml:space="preserve">Policy</t>
  </si>
  <si>
    <t xml:space="preserve">Lights, sound, livestream</t>
  </si>
  <si>
    <t xml:space="preserve">Production tab total is a starting point</t>
  </si>
  <si>
    <t xml:space="preserve">Marketing, posters, ads</t>
  </si>
  <si>
    <t xml:space="preserve">Receipts</t>
  </si>
  <si>
    <t xml:space="preserve">Athlete costs: belts, medals, travel</t>
  </si>
  <si>
    <t xml:space="preserve">Chairs, tables, VIP setup</t>
  </si>
  <si>
    <t xml:space="preserve">Crew and volunteer food</t>
  </si>
  <si>
    <t xml:space="preserve">Shirts and banners</t>
  </si>
  <si>
    <t xml:space="preserve">Anything else</t>
  </si>
  <si>
    <t xml:space="preserve">TOTAL COST</t>
  </si>
  <si>
    <t xml:space="preserve">PROFIT / (LOSS)</t>
  </si>
  <si>
    <t xml:space="preserve">Before any money goes to the gym</t>
  </si>
  <si>
    <t xml:space="preserve">THE FIGHTS (from the Bout Card)</t>
  </si>
  <si>
    <t xml:space="preserve">Bouts that happened</t>
  </si>
  <si>
    <t xml:space="preserve">Finishes (KO, TKO, submission)</t>
  </si>
  <si>
    <t xml:space="preserve">Decisions</t>
  </si>
  <si>
    <t xml:space="preserve">WRAP-UP</t>
  </si>
  <si>
    <t xml:space="preserve">Post-event report sent to the Commission (date)</t>
  </si>
  <si>
    <t xml:space="preserve">Sponsor thank-yous sent (date)</t>
  </si>
  <si>
    <t xml:space="preserve">Real numbers copied into the Predictor (date)</t>
  </si>
  <si>
    <t xml:space="preserve">What worked</t>
  </si>
  <si>
    <t xml:space="preserve">What to change next time</t>
  </si>
  <si>
    <t xml:space="preserve">Fighter or coach feedback</t>
  </si>
  <si>
    <t xml:space="preserve">Sponsor feedback</t>
  </si>
  <si>
    <t xml:space="preserve">RULES THAT SHAPE FIGHT NIGHT (Ontario)</t>
  </si>
  <si>
    <t xml:space="preserve">A plain-English summary from official sources, for planning only. It isn't legal advice, and rules change: confirm everything with the Ontario Athletics Commission (AthleticsComm@ontario.ca, 416-326-0416) before each show.</t>
  </si>
  <si>
    <t xml:space="preserve">Ontario amateur MMA and youth grappling rules for CCCL (Bancroft, ON). Primary sources only. e-Laws currency date at time of reading: October 14, 2026. O. Reg. 507/24 has no amendments; O. Reg. 565/24 was last amended by O. Reg. 324/26 (professional rules). The MMA ruleset is v2.0, effective May 27, 2025.</t>
  </si>
  <si>
    <t xml:space="preserve">THE BIG ONES FOR CCCL</t>
  </si>
  <si>
    <t xml:space="preserve">One permit per show</t>
  </si>
  <si>
    <t xml:space="preserve">One $600 permit should cover the whole card (a 'contest' is one bout or several in a row). Confirm with the Commission.</t>
  </si>
  <si>
    <t xml:space="preserve">Weigh-ins</t>
  </si>
  <si>
    <t xml:space="preserve">Show day only, within 3 hours of the first bout. Overweight: 1 hour to make weight, out if they lose more than 1% in that hour.</t>
  </si>
  <si>
    <t xml:space="preserve">Weight gap (MMA)</t>
  </si>
  <si>
    <t xml:space="preserve">Max difference: 4 lb under 148, 9 lb at 148-165, 11 lb at 165-200, 24 lb at 200-265, no limit over 265.</t>
  </si>
  <si>
    <t xml:space="preserve">Experience classes</t>
  </si>
  <si>
    <t xml:space="preserve">Pre-Novice 0-5 amateur contests (any combat sport), Novice 6-10, Open 11+. Different classes need the Commissioner's OK.</t>
  </si>
  <si>
    <t xml:space="preserve">Ages and rounds</t>
  </si>
  <si>
    <t xml:space="preserve">Senior 19+: 3 x 3 min. Youth A 16-18: 3 x 2. Youth B 14-15 and Youth C 12-13: 2 x 2. No MMA under 12. No head or face strikes for any youth.</t>
  </si>
  <si>
    <t xml:space="preserve">Banned for all amateurs</t>
  </si>
  <si>
    <t xml:space="preserve">Elbows, knees to the head, heel hooks, toe holds, neck cranks, stomps. Pre-Novice also: ground strikes to the head, slams, up-kicks.</t>
  </si>
  <si>
    <t xml:space="preserve">Gear</t>
  </si>
  <si>
    <t xml:space="preserve">CCCL supplies open-hand gloves (6 oz+) and hand wraps; fighters can't bring their own gloves. Soft neoprene shin guards for everyone. Cup for men. No headgear or shoes.</t>
  </si>
  <si>
    <t xml:space="preserve">Officials and medical</t>
  </si>
  <si>
    <t xml:space="preserve">Every bout: referee, 3 judges, timekeeper, scorekeeper, ringside medical. A CPSO-licensed physician on site all night plus one more medical person.</t>
  </si>
  <si>
    <t xml:space="preserve">On a platform raised 3-4 ft. A floor-level cage would need an exemption asked for 120 days ahead.</t>
  </si>
  <si>
    <t xml:space="preserve">Amateur status</t>
  </si>
  <si>
    <t xml:space="preserve">A purse or prize worth $300 or more makes a fighter a pro. Belts, medals and trophies are fine.</t>
  </si>
  <si>
    <t xml:space="preserve">Youth grappling</t>
  </si>
  <si>
    <t xml:space="preserve">Regulated, not exempt: covered by the OAC permit or sanctioned by the Ontario Grappling Association. Rowan's Law concussion steps likely apply.</t>
  </si>
  <si>
    <t xml:space="preserve">After the show</t>
  </si>
  <si>
    <t xml:space="preserve">Post-event report within 14 days. Give the Commission the recording if the show was filmed. Keep the amateur books.</t>
  </si>
  <si>
    <t xml:space="preserve">EVERY RULE FOUND, WITH SOURCES</t>
  </si>
  <si>
    <t xml:space="preserve">Topic</t>
  </si>
  <si>
    <t xml:space="preserve">What it means for CCCL</t>
  </si>
  <si>
    <t xml:space="preserve">Confidence</t>
  </si>
  <si>
    <t xml:space="preserve">Ruleset version</t>
  </si>
  <si>
    <t xml:space="preserve">The current official Ontario amateur MMA ruleset is Version 2.0, effective May 27, 2025 (page last updated June 2, 2025). No newer version was found on 2026-10-17.</t>
  </si>
  <si>
    <t xml:space="preserve">https://www.ontario.ca/document/amateur-combative-sport-rules-mixed-martial-arts</t>
  </si>
  <si>
    <t xml:space="preserve">high</t>
  </si>
  <si>
    <t xml:space="preserve">Ruleset legal basis</t>
  </si>
  <si>
    <t xml:space="preserve">O. Reg. 565/24 s. 2(1) para 10 makes the published MMA amateur rules binding, 'as they may be amended from time to time'. The Act says these rules apply even to events that need no permit.</t>
  </si>
  <si>
    <t xml:space="preserve">https://www.ontario.ca/laws/regulation/240565</t>
  </si>
  <si>
    <t xml:space="preserve">Sanctioning</t>
  </si>
  <si>
    <t xml:space="preserve">Every amateur MMA event in Ontario must be sanctioned by the OAC. None of the 10 recognized provincial sport organizations covers MMA, so there is no PSO route.</t>
  </si>
  <si>
    <t xml:space="preserve">Age categories (MMA)</t>
  </si>
  <si>
    <t xml:space="preserve">Senior is 19+, Youth A is 16-18, Youth B is 14-15 and Youth C is 12-13. The ruleset has no MMA category for anyone under 12.</t>
  </si>
  <si>
    <t xml:space="preserve">https://www.ontario.ca/document/amateur-combative-sport-rules-mixed-martial-arts/part-i-general</t>
  </si>
  <si>
    <t xml:space="preserve">Youth MMA: no head strikes</t>
  </si>
  <si>
    <t xml:space="preserve">Under-18 amateur MMA is allowed, but only under youth rules: no strikes to the head or face at any youth level. Note that Youth A runs to age 18, so an 18-year-old cannot be struck in the head.</t>
  </si>
  <si>
    <t xml:space="preserve">https://www.ontario.ca/document/amateur-combative-sport-rules-mixed-martial-arts/part-iii-technical-sport-rules</t>
  </si>
  <si>
    <t xml:space="preserve">Pre-Novice means 5 or fewer verifiable amateur combat-sport contests (any combat sport). Novice means 6-10 and Open means 11 or more.</t>
  </si>
  <si>
    <t xml:space="preserve">Cross-class matching</t>
  </si>
  <si>
    <t xml:space="preserve">Opponents must be in the same experience class unless the Commissioner approves a cross-class bout.</t>
  </si>
  <si>
    <t xml:space="preserve">Competitive matchmaking attestation</t>
  </si>
  <si>
    <t xml:space="preserve">The permit application must attest that every bout is competitive and that matchmaking follows the prescribed rules.</t>
  </si>
  <si>
    <t xml:space="preserve">https://www.ontario.ca/laws/regulation/240507</t>
  </si>
  <si>
    <t xml:space="preserve">Amateur status: prize value</t>
  </si>
  <si>
    <t xml:space="preserve">A fighter becomes a professional if the purse, prize, ticket share or other consideration is or could be worth $300 or more. Belts, trophies, medals and reasonable travel and living expenses do not count. Keep any amateur prizes under $300.</t>
  </si>
  <si>
    <t xml:space="preserve">Amateur status: past pro activity</t>
  </si>
  <si>
    <t xml:space="preserve">A fighter who holds or held a pro licence, or who fought as a pro anywhere, is a professional unless the Commissioner reinstated them as an amateur. Reinstatement requires 3 or fewer pro bouts, no more than 1 win, no pro bout in the last 6 months, and is one-time only. An amateur who faces such a fighter becomes a professional contestant too.</t>
  </si>
  <si>
    <t xml:space="preserve">Weigh-in timing (single-bout club show)</t>
  </si>
  <si>
    <t xml:space="preserve">For a club show, fighters weigh in on the day of the bout, no more than 3 hours before the first bout. Day-before weigh-ins are not allowed.</t>
  </si>
  <si>
    <t xml:space="preserve">Weigh-in allowance</t>
  </si>
  <si>
    <t xml:space="preserve">An overweight fighter gets 1 hour to make the contracted weight. If they lose more than 1% of their weigh-in body weight during that hour, they cannot fight.</t>
  </si>
  <si>
    <t xml:space="preserve">Max weight difference between opponents (single bout)</t>
  </si>
  <si>
    <t xml:space="preserve">Maximum difference between opponents: 4 lb under 148 lb, 9 lb at 148-165 lb, 11 lb at 165-200 lb, 24 lb at 200-265 lb, and no limit over 265 lb. The bands overlap at exactly 165 and 200 lb.</t>
  </si>
  <si>
    <t xml:space="preserve">Weigh-in timing (tournament)</t>
  </si>
  <si>
    <t xml:space="preserve">At a tournament, fighters weigh in each competition day. Weigh-ins start no more than 4 hours before competition and finish at least 2 hours before.</t>
  </si>
  <si>
    <t xml:space="preserve">Tournament divisions and catch weights</t>
  </si>
  <si>
    <t xml:space="preserve">Fixed weight divisions (listed in weight_classes) apply to tournaments, and catch weights may be added. In the upper Youth B and C class, opponents may differ by no more than 11 lb.</t>
  </si>
  <si>
    <t xml:space="preserve">Weigh-in location in application</t>
  </si>
  <si>
    <t xml:space="preserve">The permit application must give the weigh-in location and time if they differ from the event date and time.</t>
  </si>
  <si>
    <t xml:space="preserve">Postponed bouts</t>
  </si>
  <si>
    <t xml:space="preserve">If a bout is postponed 24 hours or more, the fighters need a second weigh-in and a new pre-bout medical on the day of the contest.</t>
  </si>
  <si>
    <t xml:space="preserve">Rounds (Senior)</t>
  </si>
  <si>
    <t xml:space="preserve">Senior bouts are 3 rounds of 3 minutes with 1 minute of rest. The ruleset gives no different length for pre-novice or novice.</t>
  </si>
  <si>
    <t xml:space="preserve">Rounds (Youth)</t>
  </si>
  <si>
    <t xml:space="preserve">Youth A bouts are 3 rounds of 2 minutes with 1 minute of rest. Youth B and Youth C bouts are 2 rounds of 2 minutes.</t>
  </si>
  <si>
    <t xml:space="preserve">Gloves</t>
  </si>
  <si>
    <t xml:space="preserve">Gloves are at least 6 oz, open-handed with finger loops, and visibly bigger and rounder than pro gloves. The promoter supplies them, every fighter wears the same type, and tape goes over the Velcro.</t>
  </si>
  <si>
    <t xml:space="preserve">Gloves supplied by promoter</t>
  </si>
  <si>
    <t xml:space="preserve">Fighters may not bring their own gloves.</t>
  </si>
  <si>
    <t xml:space="preserve">Hand wraps</t>
  </si>
  <si>
    <t xml:space="preserve">Per hand: gauze up to 2 in wide and 30-60 ft long, and tape up to 1 in wide and 15-30 ft long. The promoter supplies the materials and the people who wrap. An official approves the wraps before gloves go on.</t>
  </si>
  <si>
    <t xml:space="preserve">Shin guards</t>
  </si>
  <si>
    <t xml:space="preserve">Shin guards are mandatory for every class. They must be soft neoprene, tight-fitting, and have no buckles, straps or exposed Velcro.</t>
  </si>
  <si>
    <t xml:space="preserve">Groin / chest protection</t>
  </si>
  <si>
    <t xml:space="preserve">Men must wear a foul-proof groin protector. Women may wear a groin or breast protector but are not required to.</t>
  </si>
  <si>
    <t xml:space="preserve">Headgear, shoes, gi prohibited</t>
  </si>
  <si>
    <t xml:space="preserve">Headgear is not allowed, and neither are shoes, martial arts uniforms, or tape and braces other than those the ruleset allows.</t>
  </si>
  <si>
    <t xml:space="preserve">Shorts and rash guards</t>
  </si>
  <si>
    <t xml:space="preserve">Shorts are MMA or compression shorts with no pockets, zips or fasteners and no external lace-up waistband. Rash guards are optional and must be short-sleeved, unless written permission is given for cultural or religious reasons.</t>
  </si>
  <si>
    <t xml:space="preserve">Mouthguard</t>
  </si>
  <si>
    <t xml:space="preserve">The apparel section does not list a mouthguard as mandatory. However, the ruleset assumes one: it covers dislodged mouthpieces, and dropping the mouthpiece counts as a timidity foul. Treat it as required and confirm with the OAC.</t>
  </si>
  <si>
    <t xml:space="preserve">medium</t>
  </si>
  <si>
    <t xml:space="preserve">Appearance</t>
  </si>
  <si>
    <t xml:space="preserve">Fighters must tie back hair, contain facial hair, trim nails, remove jewelry, dentures, glasses and hard contacts, and wear no cosmetics. A light coat of petroleum jelly is allowed only on the brows, under the eyes and on the nose.</t>
  </si>
  <si>
    <t xml:space="preserve">Banned techniques: elbows</t>
  </si>
  <si>
    <t xml:space="preserve">Elbow and forearm strikes are fouls for every class.</t>
  </si>
  <si>
    <t xml:space="preserve">Banned techniques: knees to head</t>
  </si>
  <si>
    <t xml:space="preserve">Knees to the head are banned for every class, as are knees or kicks to the head of a grounded opponent and stomps.</t>
  </si>
  <si>
    <t xml:space="preserve">Banned techniques: leg locks / cranks</t>
  </si>
  <si>
    <t xml:space="preserve">Twisting leg locks such as heel hooks and toe holds are banned, while straight kneebars and straight ankle locks are allowed. Also banned: neck cranks, spine locks, small-joint manipulation, linear thrusting kicks to the front of the knee, pile-drivers and strikes to the spine or back of the head.</t>
  </si>
  <si>
    <t xml:space="preserve">Pre-Novice extra fouls</t>
  </si>
  <si>
    <t xml:space="preserve">Pre-Novice also bans strikes to the head of a grounded opponent, suplexes, elevated or shoulder throws, slams, up-kicks from the ground and foot stomps.</t>
  </si>
  <si>
    <t xml:space="preserve">Novice extra foul</t>
  </si>
  <si>
    <t xml:space="preserve">Novice also bans strikes to the head of a grounded opponent. Open class has no extra restrictions.</t>
  </si>
  <si>
    <t xml:space="preserve">Youth extra fouls</t>
  </si>
  <si>
    <t xml:space="preserve">All youth levels ban knee strikes, bicep and calf crushes, wristlocks, slams and up-kicks. Youth B and C also ban all ground strikes and the omoplata. Youth C bans all leg submissions and all guillotines. Youth A and B allow only arm-in guillotines finished on the ground.</t>
  </si>
  <si>
    <t xml:space="preserve">Annual medical (ruleset)</t>
  </si>
  <si>
    <t xml:space="preserve">Each fighter needs a physical exam by an Ontario-licensed physician covering the competitive calendar year.</t>
  </si>
  <si>
    <t xml:space="preserve">Annual medical (regulation)</t>
  </si>
  <si>
    <t xml:space="preserve">When the rules allow full-contact head strikes, as MMA does, each fighter must give the permit holder proof of a medical exam done no more than 1 year before the event that says they are fit to compete.</t>
  </si>
  <si>
    <t xml:space="preserve">Pre-bout medical</t>
  </si>
  <si>
    <t xml:space="preserve">An Ontario-licensed physician must examine each fighter no later than 1 hour before their bout.</t>
  </si>
  <si>
    <t xml:space="preserve">Other medical tests</t>
  </si>
  <si>
    <t xml:space="preserve">Bloodwork (HIV, hepatitis, syphilis), a dilated eye exam, an ECG and brain imaging are required only for professional licence applicants. Nothing equivalent was found for amateurs in the regulation or the MMA ruleset.</t>
  </si>
  <si>
    <t xml:space="preserve">Signed codes</t>
  </si>
  <si>
    <t xml:space="preserve">Each fighter must sign the Athlete Code of Conduct, the Concussion Code of Conduct and a rules declaration.</t>
  </si>
  <si>
    <t xml:space="preserve">Concussion awareness</t>
  </si>
  <si>
    <t xml:space="preserve">The promoter must attest that every fighter has reviewed concussion awareness resources and that a removal-from-sport and return-to-play protocol is followed.</t>
  </si>
  <si>
    <t xml:space="preserve">Licences not required for amateurs</t>
  </si>
  <si>
    <t xml:space="preserve">Under the Act, licences are only needed for professional promoters, contestants, managers, matchmakers, seconds and officials. Amateur fighters and corners need no OAC licence; the promoter needs an event permit instead.</t>
  </si>
  <si>
    <t xml:space="preserve">https://www.ontario.ca/laws/statute/19c07b</t>
  </si>
  <si>
    <t xml:space="preserve">Contestant ID</t>
  </si>
  <si>
    <t xml:space="preserve">No contestant photo-ID rule was found for amateurs; photo ID is required only from the permit applicant. Age categories still mean ages must be verified.</t>
  </si>
  <si>
    <t xml:space="preserve">Day-of suspension attestation</t>
  </si>
  <si>
    <t xml:space="preserve">On the event date, every fighter completes a Commissioner-approved attestation that they have no suspension, prohibition or limitation from any other combat-sport organization.</t>
  </si>
  <si>
    <t xml:space="preserve">Minors: parent/guardian attestation</t>
  </si>
  <si>
    <t xml:space="preserve">For a fighter under 18, a parent or guardian completes the day-of suspension attestation.</t>
  </si>
  <si>
    <t xml:space="preserve">Amateur books</t>
  </si>
  <si>
    <t xml:space="preserve">The permit holder must keep 'amateur books' for every fighter, recording suspensions, injuries, results and limitations from its own event and from other organizations.</t>
  </si>
  <si>
    <t xml:space="preserve">No suspended fighters</t>
  </si>
  <si>
    <t xml:space="preserve">The permit holder must check each fighter's amateur book and must not let a suspended fighter compete.</t>
  </si>
  <si>
    <t xml:space="preserve">Medical suspension length (pro benchmark only)</t>
  </si>
  <si>
    <t xml:space="preserve">No amateur KO/TKO suspension periods are published. For licensed pros, a fighter cannot compete within 60 days of any KO or TKO, or after 2 head KOs/TKOs in 6 months or 3 in 1 year. These periods could serve as a conservative benchmark for amateurs.</t>
  </si>
  <si>
    <t xml:space="preserve">Official record / registry</t>
  </si>
  <si>
    <t xml:space="preserve">No official amateur registry was found. The regulation names an ABC-recognized record keeper only for professional results and suspensions. Sherdog and Tapology are not official. For amateurs, checks rely on the fighter's attestation, the amateur books and inquiries to other organizations.</t>
  </si>
  <si>
    <t xml:space="preserve">Officials required per bout</t>
  </si>
  <si>
    <t xml:space="preserve">No bout may start without a referee, a ringside medical practitioner seated near the steps, 3 judges on separate sides, a timekeeper and a scorekeeper.</t>
  </si>
  <si>
    <t xml:space="preserve">Judging</t>
  </si>
  <si>
    <t xml:space="preserve">Three judges score every round on the 10-point must system, with no fractions; an even round is 10-10.</t>
  </si>
  <si>
    <t xml:space="preserve">Timekeeper kit</t>
  </si>
  <si>
    <t xml:space="preserve">The timekeeper needs 2 stopwatches, a horn, a wooden clapper (10-second warning in rounds) and a whistle (10-second warning in rest periods).</t>
  </si>
  <si>
    <t xml:space="preserve">Pre-bout equipment inspection</t>
  </si>
  <si>
    <t xml:space="preserve">An official inspects each fighter's appearance, apparel and equipment just before they enter the cage or ring.</t>
  </si>
  <si>
    <t xml:space="preserve">Rules briefing</t>
  </si>
  <si>
    <t xml:space="preserve">Before each bout, the referee briefs each fighter and their corner in the dressing room and identifies the lead second. No separate event-wide rules meeting was found.</t>
  </si>
  <si>
    <t xml:space="preserve">Seconds (corners)</t>
  </si>
  <si>
    <t xml:space="preserve">A fighter may have up to 3 seconds, or 4 for a championship bout. Two may enter between rounds, and the promoter supplies a neutral third second for cuts. Seconds stay seated during rounds and leave at the 10-second whistle.</t>
  </si>
  <si>
    <t xml:space="preserve">Corner materials</t>
  </si>
  <si>
    <t xml:space="preserve">Only these items are allowed in the corner: petroleum jelly, enswells, cotton swabs, gauze pads, bottled water, a clear water bottle, a clear spray bottle, bagged ice and a bucket, towels, sponges, athletic tape and bandage scissors.</t>
  </si>
  <si>
    <t xml:space="preserve">Corner stoppage</t>
  </si>
  <si>
    <t xml:space="preserve">If the lead second asks the referee to stop the bout, their fighter loses by TKO.</t>
  </si>
  <si>
    <t xml:space="preserve">The promoter must provide suitable dressing rooms for fighters and officials, plus a separate room for post-bout medical exams.</t>
  </si>
  <si>
    <t xml:space="preserve">Post-bout medical</t>
  </si>
  <si>
    <t xml:space="preserve">After the result is announced, the fighter and at least one second go promptly to the post-bout exam room.</t>
  </si>
  <si>
    <t xml:space="preserve">Physician present</t>
  </si>
  <si>
    <t xml:space="preserve">Because MMA allows full-contact head strikes, a CPSO-licensed physician must be on site for the entire event.</t>
  </si>
  <si>
    <t xml:space="preserve">Onsite medical team</t>
  </si>
  <si>
    <t xml:space="preserve">At least 2 onsite medical personnel must be present for the whole event. One must be a physician or nurse practitioner (for MMA, a physician). The other can be a physician, NP, RN, paramedic, EMS paramedic, CATA athletic therapist or WSIB-recognized first aider.</t>
  </si>
  <si>
    <t xml:space="preserve">Simultaneous bouts</t>
  </si>
  <si>
    <t xml:space="preserve">If bouts run at the same time, such as grappling mats beside the cage, each one needs at least one medical person close by.</t>
  </si>
  <si>
    <t xml:space="preserve">Ambulance</t>
  </si>
  <si>
    <t xml:space="preserve">The dedicated ambulance with 2 paramedics is a term of professional permits only. The amateur regulation requires onsite medical personnel and an emergency plan, not an ambulance, though the Commissioner can add permit conditions.</t>
  </si>
  <si>
    <t xml:space="preserve">Commissioner can add conditions</t>
  </si>
  <si>
    <t xml:space="preserve">The OAC can attach extra conditions to any permit, so read the permit letter itself.</t>
  </si>
  <si>
    <t xml:space="preserve">Cage size</t>
  </si>
  <si>
    <t xml:space="preserve">The cage must be round or have at least 6 equal sides and be 18-32 ft wide. It needs at least 6 padded metal posts, a vinyl-coated fence (or similar), steps at 2 opposite entrances, and padding over all metal.</t>
  </si>
  <si>
    <t xml:space="preserve">https://www.ontario.ca/document/amateur-combative-sport-rules-mixed-martial-arts/part-ii-competition-area</t>
  </si>
  <si>
    <t xml:space="preserve">Cage/ring platform height</t>
  </si>
  <si>
    <t xml:space="preserve">The cage or ring platform must be raised 3 to 4 ft above the floor, with at least 1 in of padding and a taut canvas or vinyl cover. A floor-level cage would not meet this.</t>
  </si>
  <si>
    <t xml:space="preserve">Ring option</t>
  </si>
  <si>
    <t xml:space="preserve">A ring is the alternative: 18-24 ft square inside the ropes, a 2 ft apron, 5 padded ropes, and a canvas cover (not vinyl).</t>
  </si>
  <si>
    <t xml:space="preserve">Venue layout</t>
  </si>
  <si>
    <t xml:space="preserve">Lights must be mounted at least 14 ft up, with nothing within 14 ft above the competition area. Officials sit at least 6 ft from spectators, and the area is secured from the crowd.</t>
  </si>
  <si>
    <t xml:space="preserve">Promoter-supplied equipment</t>
  </si>
  <si>
    <t xml:space="preserve">The promoter provides a stool, seconds' chairs and a clean bucket for each corner; stools for judges; tables for medical, timekeeper and scorekeeper; a horn or bell; and bottled water. It also needs an attendant on hand for repairs and attendants to close cage doors and clean after each bout.</t>
  </si>
  <si>
    <t xml:space="preserve">Bout result types</t>
  </si>
  <si>
    <t xml:space="preserve">Recognized results: submission (tap, verbal tap, technical), KO, TKO, unanimous/split/majority decision, unanimous/majority/split draw, technical decision, technical draw, no contest and DQ.</t>
  </si>
  <si>
    <t xml:space="preserve">Video recording</t>
  </si>
  <si>
    <t xml:space="preserve">If the promoter records the event, the application must include an agreement to give the Commissioner an electronic recording.</t>
  </si>
  <si>
    <t xml:space="preserve">Permit signage</t>
  </si>
  <si>
    <t xml:space="preserve">Post the Commissioner-provided permit sign at the main entrance or another conspicuous spot.</t>
  </si>
  <si>
    <t xml:space="preserve">Post-event report</t>
  </si>
  <si>
    <t xml:space="preserve">Within 14 days, file the post-event report (form ON00735) with total contestants, total bouts, anonymized injury data, a list of officials and anything else the Commissioner requires.</t>
  </si>
  <si>
    <t xml:space="preserve">Inspections</t>
  </si>
  <si>
    <t xml:space="preserve">OAC inspectors may enter any amateur event without a warrant and examine records. Violations can lead to compliance orders and administrative penalties of up to $10,000, or more where there was an economic benefit.</t>
  </si>
  <si>
    <t xml:space="preserve">Offences</t>
  </si>
  <si>
    <t xml:space="preserve">Breaking the Act or the regulations is an offence: up to $10,000 and/or 2 years for an individual, or up to $100,000 for a corporation.</t>
  </si>
  <si>
    <t xml:space="preserve">Youth grappling: regulated, not exempt</t>
  </si>
  <si>
    <t xml:space="preserve">The Act defines combative sport to include grappling and submissions, and Ontario's grappling ruleset rates grappling 'Full contact'. The light-contact exemption therefore does not apply. Youth grappling needs either OAC permit coverage or sanction or permission from the Ontario Grappling Association.</t>
  </si>
  <si>
    <t xml:space="preserve">https://www.ontario.ca/document/amateur-combative-sport-rules-grappling/part-i-overview</t>
  </si>
  <si>
    <t xml:space="preserve">Grappling sanctioning</t>
  </si>
  <si>
    <t xml:space="preserve">Amateur grappling must be sanctioned by the OAC or by the Ontario Grappling Association, the recognized PSO.</t>
  </si>
  <si>
    <t xml:space="preserve">https://www.ontario.ca/document/amateur-combative-sport-rules-grappling</t>
  </si>
  <si>
    <t xml:space="preserve">PSO exemption</t>
  </si>
  <si>
    <t xml:space="preserve">No OAC permit is needed if a recognized PSO holds the event or gives permission for it, for example the OGA for grappling. The prescribed rules still apply.</t>
  </si>
  <si>
    <t xml:space="preserve">Grappling ages and allowed moves</t>
  </si>
  <si>
    <t xml:space="preserve">The grappling ruleset has kids divisions from age 4. Allowed submissions by age: straight armbar from 7, kimura/americana from 9, RNC (and no-gi triangle) from 11, most chokes and foot locks from 16. Heel hooks, neck cranks, slams and all striking are never allowed.</t>
  </si>
  <si>
    <t xml:space="preserve">https://www.ontario.ca/document/amateur-combative-sport-rules-grappling/part-v-participants</t>
  </si>
  <si>
    <t xml:space="preserve">Grappling weigh-ins</t>
  </si>
  <si>
    <t xml:space="preserve">At a single-bout event, grappling weigh-ins start no more than 3 hours before the event and close at least 60 minutes before. Parents or guardians may accompany junior athletes.</t>
  </si>
  <si>
    <t xml:space="preserve">https://www.ontario.ca/document/amateur-combative-sport-rules-grappling/part-iii-pre-competition-requirements</t>
  </si>
  <si>
    <t xml:space="preserve">Grappling weight classes</t>
  </si>
  <si>
    <t xml:space="preserve">Grappling has its own weight classes from 40 lb to over 265 lb, each with a 2 lb allowance.</t>
  </si>
  <si>
    <t xml:space="preserve">Grappling match length</t>
  </si>
  <si>
    <t xml:space="preserve">Regulation bouts are 3 rounds of 3 minutes with 1 minute of rest. Non-championship matches for qualifying or skill-building may be a single match of 2-10 minutes.</t>
  </si>
  <si>
    <t xml:space="preserve">https://www.ontario.ca/document/amateur-combative-sport-rules-grappling/part-iv-competition-requirements</t>
  </si>
  <si>
    <t xml:space="preserve">Grappling matchmaking</t>
  </si>
  <si>
    <t xml:space="preserve">Match by experience and number of matches: beginner under 1 year, intermediate 1-3 years, advanced 3+ years.</t>
  </si>
  <si>
    <t xml:space="preserve">Grappling attire</t>
  </si>
  <si>
    <t xml:space="preserve">No-gi athletes wear rash guards, shorts or spats and may wear mouth guards; cups are not permitted. Gis must be one colour (white, royal blue, black or red).</t>
  </si>
  <si>
    <t xml:space="preserve">Rowan's Law (grappling and youth)</t>
  </si>
  <si>
    <t xml:space="preserve">Rowan's Law lists grappling, jiu-jitsu, wrestling, boxing and kickboxing as amateur competitive sports; MMA is not listed. An organizer running grappling competitions with anyone under 26 likely counts as a 'sport organization'.</t>
  </si>
  <si>
    <t xml:space="preserve">https://www.ontario.ca/laws/regulation/190161</t>
  </si>
  <si>
    <t xml:space="preserve">Rowan's Law duties</t>
  </si>
  <si>
    <t xml:space="preserve">A sport organization must collect confirmations that athletes reviewed concussion resources (parents too for under-18s), with confirmations also from coaches and officials. It must also have a concussion code of conduct and removal-from-sport and return-to-sport protocols.</t>
  </si>
  <si>
    <t xml:space="preserve">https://www.ontario.ca/laws/statute/18r01</t>
  </si>
  <si>
    <t xml:space="preserve">Rowan's Law removal</t>
  </si>
  <si>
    <t xml:space="preserve">An athlete suspected of a concussion is removed immediately and returns only through the return-to-sport protocol.</t>
  </si>
  <si>
    <t xml:space="preserve">Permit required</t>
  </si>
  <si>
    <t xml:space="preserve">Holding an amateur combat-sport event without a valid event permit is illegal unless an exemption applies (light contact only, PSO-held or PSO-permitted, or school wrestling).</t>
  </si>
  <si>
    <t xml:space="preserve">Venue owner duty</t>
  </si>
  <si>
    <t xml:space="preserve">The venue owner or operator must not allow the event unless the OAC has issued a permit for that venue.</t>
  </si>
  <si>
    <t xml:space="preserve">Criminal Code link</t>
  </si>
  <si>
    <t xml:space="preserve">The OAC permit is what makes an amateur event count as permitted by the Lieutenant Governor in Council under Criminal Code s. 83 (prize fights).</t>
  </si>
  <si>
    <t xml:space="preserve">Permit timing</t>
  </si>
  <si>
    <t xml:space="preserve">Confirmed: apply at least 30 days before a single or tournament event. With a multi-event permit, file 30 days before each event.</t>
  </si>
  <si>
    <t xml:space="preserve">Late applications</t>
  </si>
  <si>
    <t xml:space="preserve">The Commissioner may still consider an application filed 14-29 days before the event, at their discretion.</t>
  </si>
  <si>
    <t xml:space="preserve">Permit fees</t>
  </si>
  <si>
    <t xml:space="preserve">Confirmed and non-refundable: $600 for a single contest or exhibition, $1,600 for a tournament-style event, $3,000 for up to eight single contests or exhibitions.</t>
  </si>
  <si>
    <t xml:space="preserve">What 'contest' means (one card)</t>
  </si>
  <si>
    <t xml:space="preserve">A 'contest or exhibition' is the whole event: one bout or several consecutive bouts, in one or more sports. So one $600 permit should cover a full card of 8-12 MMA bouts plus youth grappling. The 'eight' in the $3,000 permit means 8 events, not 8 bouts.</t>
  </si>
  <si>
    <t xml:space="preserve">Multi-event permit (more than 8)</t>
  </si>
  <si>
    <t xml:space="preserve">A multi-event permit covers at most 8 events and expires 1 year after issue or at the last event, whichever is first. A 9th event, or any after expiry, needs a new permit. Before each event, file a 30-day notice with the date, venue, emergency plan, medical list, code of conduct, officials, venue letter and insurance.</t>
  </si>
  <si>
    <t xml:space="preserve">Ruleset changes: 120 days</t>
  </si>
  <si>
    <t xml:space="preserve">Confirmed: requests to modify or be exempted from the prescribed rules, and new-sport rulesets, go to the Minister at least 120 days before the event (via AthleticsComm@ontario.ca).</t>
  </si>
  <si>
    <t xml:space="preserve">Application: officials</t>
  </si>
  <si>
    <t xml:space="preserve">The application must include officials' qualification and selection policies and name each official, with the number and type of events each has worked in the last 24 months.</t>
  </si>
  <si>
    <t xml:space="preserve">Application: emergency plan</t>
  </si>
  <si>
    <t xml:space="preserve">The emergency plan must name the person who coordinates emergencies and include an infectious disease and blood policy, an injury assessment and removal-from-play plan, an attestation that emergency contacts are collected, and a medical kit list.</t>
  </si>
  <si>
    <t xml:space="preserve">Application: code of conduct</t>
  </si>
  <si>
    <t xml:space="preserve">Submit a code of conduct covering athletes, officials and spectators, including consequences for misconduct and a dispute process.</t>
  </si>
  <si>
    <t xml:space="preserve">Insurance certificate</t>
  </si>
  <si>
    <t xml:space="preserve">The application needs a commercial general liability certificate of at least $2,000,000 per occurrence, extended to cover referees, judges, officials and the Commissioner.</t>
  </si>
  <si>
    <t xml:space="preserve">Application form</t>
  </si>
  <si>
    <t xml:space="preserve">The permit application is form ON00734 (version ON00734E 2026/08). OAC contact: AthleticsComm@ontario.ca, 416-326-0416.</t>
  </si>
  <si>
    <t xml:space="preserve">https://www.sus.gov.on.ca/lc/content/mgcs/profiles/default.html?contentRoot=repository:///Applications/ON00734/1.0/Assets&amp;template=ON00734E.xdp&amp;submitUrl=https://localhost:12443/rest/services/ON00734/Processes/HTML/SubmitForm&amp;lang=E&amp;submitServiceProxy=https://www.sus.gov.on.ca/sub-proxy/all</t>
  </si>
  <si>
    <t xml:space="preserve">Purses</t>
  </si>
  <si>
    <t xml:space="preserve">Purses are not allowed for amateurs. Any purse, prize or ticket share worth $300 or more turns the fighter into a professional; trophies, belts and medals are fine.</t>
  </si>
  <si>
    <t xml:space="preserve">Ticket / attendance reporting</t>
  </si>
  <si>
    <t xml:space="preserve">No ticket or attendance reporting rule was found for amateur permits. The post-event report covers contestants, bouts, injuries and officials. Only professional permit applications ask for venue seating capacity.</t>
  </si>
  <si>
    <t xml:space="preserve">Alcohol</t>
  </si>
  <si>
    <t xml:space="preserve">The combative-sports Act and regulations have no alcohol rule. Under AGCO rules, alcohol sold or served outside a licensed establishment needs a Special Occasion Permit; indoor public events must apply at least 30 days ahead.</t>
  </si>
  <si>
    <t xml:space="preserve">https://www.agco.ca/en/alcohol/guides/special-occasion-permit-guide/section-1-special-occasion-permits</t>
  </si>
  <si>
    <t xml:space="preserve">ASK THE COMMISSION</t>
  </si>
  <si>
    <t xml:space="preserve">•  Club shows have no fixed weight classes, only the weight-difference table. Ask the OAC which band applies at exactly 165 lb and 200 lb, since the published bands overlap, and whether contracted catch weights are fine for single bouts.</t>
  </si>
  <si>
    <t xml:space="preserve">•  The kg values in weight_classes are conversions we computed. The ruleset publishes pounds only.</t>
  </si>
  <si>
    <t xml:space="preserve">•  Mouthguard: the MMA apparel section does not list it as mandatory, but other rules assume one. Confirm it is required.</t>
  </si>
  <si>
    <t xml:space="preserve">•  Medical timing: the ruleset asks for a physical 'for the competitive calendar year', while O. Reg. 507/24 s. 41 asks for one 'no more than one year before' the event. Ask which wins when they differ, and whether the OAC has an approved medical form.</t>
  </si>
  <si>
    <t xml:space="preserve">•  Amateur KO/TKO medical suspensions: no durations are published for amateurs. Ask who sets them (ringside physician?), how to record them in the amateur books, and whether the OAC wants them reported. Also whether it shares suspensions with other bodies or keeps any amateur registry.</t>
  </si>
  <si>
    <t xml:space="preserve">•  What evidence counts as 'verifiable amateur combative sport contests' for the Pre-Novice/Novice/Open classes? Sherdog and Tapology are not official.</t>
  </si>
  <si>
    <t xml:space="preserve">•  Can an 18-year-old (Youth A, no head strikes) face a 19-year-old Senior? Can a Senior fight under Youth A rules? The ruleset does not say how cross-age bouts work.</t>
  </si>
  <si>
    <t xml:space="preserve">•  Weigh-ins: the MMA ruleset does not set scale certification, attire or whether a physician must attend. Confirm the OAC's expectations.</t>
  </si>
  <si>
    <t xml:space="preserve">•  Contestant ID / proof of age: no explicit amateur requirement was found. Confirm what ID the OAC expects at weigh-ins.</t>
  </si>
  <si>
    <t xml:space="preserve">•  Do the Athlete Code of Conduct, Concussion Code of Conduct and rules declaration come as OAC-supplied templates, or does the promoter write them? Same for the 'form approved by the Commissioner' for the day-of suspension attestation and the permit signage.</t>
  </si>
  <si>
    <t xml:space="preserve">•  Could not read the forms: ON00734 (permit application) runs as a multi-step online form, and only its first section was viewed. The ON00735 post-event report PDF did not open. Get both from the OAC to see any fields beyond the regulation.</t>
  </si>
  <si>
    <t xml:space="preserve">•  Fee category: confirm that a card mixing 8-12 MMA bouts with youth grappling matches is a 'single contest or exhibition' ($600) and not 'tournament-style' ($1,600). Also confirm the grappling ruleset just needs to be listed in the same application.</t>
  </si>
  <si>
    <t xml:space="preserve">•  Youth grappling: confirm with the OAC (or the Ontario Grappling Association) that youth grappling on the card is covered by the CCCL permit. Also confirm which grappling age divisions and move restrictions they expect, and whether parental consent forms beyond the s. 39(2) attestation are required.</t>
  </si>
  <si>
    <t xml:space="preserve">•  Rowan's Law: confirm whether CCCL counts as a 'sport organization' because of youth grappling (grappling is in the O. Reg. 161/19 schedule; MMA is not). If it does, it must collect annual concussion-resource confirmations and keep a code of conduct and removal/return-to-sport protocols.</t>
  </si>
  <si>
    <t xml:space="preserve">•  Cage platform: the ruleset requires a platform raised 3-4 ft. If CCCL uses a floor-level cage, confirm acceptability. A rules exemption must be requested 120 days ahead.</t>
  </si>
  <si>
    <t xml:space="preserve">•  Ambulance: the amateur regulation does not require one, but confirm whether the OAC expects one, or adds it as a permit condition, for MMA with head strikes.</t>
  </si>
  <si>
    <t xml:space="preserve">•  Officials: amateur officials need no OAC licence, but confirm the OAC will accept CCCL's officials list and qualifications, and whether it assigns an inspector or a Commissioner's delegate to the show.</t>
  </si>
  <si>
    <t xml:space="preserve">•  No cap on bouts per event was found. Confirm there isn't one, and whether a published bout list must be filed ahead of time (professional events must file one).</t>
  </si>
  <si>
    <t xml:space="preserve">•  No event-wide rules meeting is mandated in the documents read; only the referee's dressing-room instructions are. Confirm whether the OAC expects one.</t>
  </si>
  <si>
    <t xml:space="preserve">•  Alcohol: confirm whether the venue's liquor licence covers the event or an AGCO Special Occasion Permit is needed. Also whether the OAC sets conditions on alcohol near the competition area.</t>
  </si>
  <si>
    <t xml:space="preserve">Gym stage</t>
  </si>
  <si>
    <t xml:space="preserve">From (lb, lighter fighter)</t>
  </si>
  <si>
    <t xml:space="preserve">Max difference (lb)</t>
  </si>
  <si>
    <t xml:space="preserve">Beginner (under 1 year)</t>
  </si>
  <si>
    <t xml:space="preserve">Applied</t>
  </si>
  <si>
    <t xml:space="preserve">Main event</t>
  </si>
  <si>
    <t xml:space="preserve">Amateur MMA (Senior)</t>
  </si>
  <si>
    <t xml:space="preserve">Decision (unanimous)</t>
  </si>
  <si>
    <t xml:space="preserve">Youth A (16-18)</t>
  </si>
  <si>
    <t xml:space="preserve">Intermediate (1-3 years)</t>
  </si>
  <si>
    <t xml:space="preserve">Contacted</t>
  </si>
  <si>
    <t xml:space="preserve">Co-main</t>
  </si>
  <si>
    <t xml:space="preserve">Amateur MMA (Youth)</t>
  </si>
  <si>
    <t xml:space="preserve">Decision (split)</t>
  </si>
  <si>
    <t xml:space="preserve">Adult grappling</t>
  </si>
  <si>
    <t xml:space="preserve">Youth B (14-15)</t>
  </si>
  <si>
    <t xml:space="preserve">Advanced (3+ years)</t>
  </si>
  <si>
    <t xml:space="preserve">Main card</t>
  </si>
  <si>
    <t xml:space="preserve">Interested</t>
  </si>
  <si>
    <t xml:space="preserve">Decision (majority)</t>
  </si>
  <si>
    <t xml:space="preserve">Youth C (12-13)</t>
  </si>
  <si>
    <t xml:space="preserve">Matched</t>
  </si>
  <si>
    <t xml:space="preserve">Prelim</t>
  </si>
  <si>
    <t xml:space="preserve">Sending fighters</t>
  </si>
  <si>
    <t xml:space="preserve">KO</t>
  </si>
  <si>
    <t xml:space="preserve">Under 12 (grappling only)</t>
  </si>
  <si>
    <t xml:space="preserve">Confirmed</t>
  </si>
  <si>
    <t xml:space="preserve">Youth</t>
  </si>
  <si>
    <t xml:space="preserve">Not this time</t>
  </si>
  <si>
    <t xml:space="preserve">TKO</t>
  </si>
  <si>
    <t xml:space="preserve">Withdrawn</t>
  </si>
  <si>
    <t xml:space="preserve">Submission</t>
  </si>
  <si>
    <t xml:space="preserve">Doctor stoppage</t>
  </si>
  <si>
    <t xml:space="preserve">Ontario amateur MMA ruleset v2.0: maximum weight difference for single bouts. Uses the lighter fighter's weight; at exactly 165 and 200 lb the published bands overlap, so the smaller allowance is used (ask the Commission).</t>
  </si>
  <si>
    <t xml:space="preserve">999 = no limit (over 265 lb).</t>
  </si>
  <si>
    <t xml:space="preserve">Disqualification</t>
  </si>
  <si>
    <t xml:space="preserve">Draw</t>
  </si>
  <si>
    <t xml:space="preserve">No contest</t>
  </si>
</sst>
</file>

<file path=xl/styles.xml><?xml version="1.0" encoding="utf-8"?>
<styleSheet xmlns="http://schemas.openxmlformats.org/spreadsheetml/2006/main">
  <numFmts count="9">
    <numFmt numFmtId="164" formatCode="General"/>
    <numFmt numFmtId="165" formatCode="ddd\ mmm\ d&quot;, &quot;yyyy"/>
    <numFmt numFmtId="166" formatCode="h:mm\ AM/PM"/>
    <numFmt numFmtId="167" formatCode="0"/>
    <numFmt numFmtId="168" formatCode="mmm\ d"/>
    <numFmt numFmtId="169" formatCode="General"/>
    <numFmt numFmtId="170" formatCode="\$#,##0;&quot;($&quot;#,##0\);\-"/>
    <numFmt numFmtId="171" formatCode="#,##0;\(#,##0\);\-"/>
    <numFmt numFmtId="172" formatCode="mmm\ d&quot;, &quot;yyyy"/>
  </numFmts>
  <fonts count="17">
    <font>
      <sz val="11"/>
      <color theme="1"/>
      <name val="Calibri"/>
      <family val="2"/>
      <charset val="1"/>
    </font>
    <font>
      <sz val="10"/>
      <name val="Arial"/>
      <family val="0"/>
    </font>
    <font>
      <sz val="10"/>
      <name val="Arial"/>
      <family val="0"/>
    </font>
    <font>
      <sz val="10"/>
      <name val="Arial"/>
      <family val="0"/>
    </font>
    <font>
      <b val="true"/>
      <sz val="16"/>
      <color rgb="FFF2ECDC"/>
      <name val="Arial"/>
      <family val="0"/>
      <charset val="1"/>
    </font>
    <font>
      <sz val="10"/>
      <color rgb="FFD9D5C8"/>
      <name val="Arial"/>
      <family val="0"/>
      <charset val="1"/>
    </font>
    <font>
      <b val="true"/>
      <sz val="11"/>
      <color rgb="FF354940"/>
      <name val="Arial"/>
      <family val="0"/>
      <charset val="1"/>
    </font>
    <font>
      <b val="true"/>
      <sz val="12"/>
      <color rgb="FFAE2221"/>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9"/>
      <color rgb="FF555555"/>
      <name val="Arial"/>
      <family val="0"/>
      <charset val="1"/>
    </font>
    <font>
      <sz val="10"/>
      <color rgb="FF000000"/>
      <name val="Arial"/>
      <family val="0"/>
      <charset val="1"/>
    </font>
    <font>
      <b val="true"/>
      <sz val="10"/>
      <color rgb="FFC00000"/>
      <name val="Arial"/>
      <family val="0"/>
      <charset val="1"/>
    </font>
    <font>
      <b val="true"/>
      <sz val="14"/>
      <color rgb="FF354940"/>
      <name val="Arial"/>
      <family val="0"/>
      <charset val="1"/>
    </font>
    <font>
      <sz val="10"/>
      <color rgb="FF008000"/>
      <name val="Arial"/>
      <family val="0"/>
      <charset val="1"/>
    </font>
  </fonts>
  <fills count="6">
    <fill>
      <patternFill patternType="none"/>
    </fill>
    <fill>
      <patternFill patternType="gray125"/>
    </fill>
    <fill>
      <patternFill patternType="solid">
        <fgColor rgb="FF151C19"/>
        <bgColor rgb="FF333300"/>
      </patternFill>
    </fill>
    <fill>
      <patternFill patternType="solid">
        <fgColor rgb="FF354940"/>
        <bgColor rgb="FF555555"/>
      </patternFill>
    </fill>
    <fill>
      <patternFill patternType="solid">
        <fgColor rgb="FFFFFF00"/>
        <bgColor rgb="FFFFFF00"/>
      </patternFill>
    </fill>
    <fill>
      <patternFill patternType="solid">
        <fgColor rgb="FFE6EEE9"/>
        <bgColor rgb="FFF2ECD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5" fontId="11" fillId="4" borderId="1" xfId="0" applyFont="true" applyBorder="true" applyAlignment="true" applyProtection="false">
      <alignment horizontal="general" vertical="center" textRotation="0" wrapText="true" indent="0" shrinkToFit="false"/>
      <protection locked="true" hidden="false"/>
    </xf>
    <xf numFmtId="166" fontId="11" fillId="4"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64" fontId="0" fillId="3" borderId="0" xfId="0" applyFont="false" applyBorder="false" applyAlignment="true" applyProtection="false">
      <alignment horizontal="general" vertical="center" textRotation="0" wrapText="true" indent="0" shrinkToFit="false"/>
      <protection locked="true" hidden="false"/>
    </xf>
    <xf numFmtId="167" fontId="11" fillId="4"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7" fontId="11" fillId="4"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5" fontId="13"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left"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11" fillId="4" borderId="1" xfId="0" applyFont="true" applyBorder="true" applyAlignment="true" applyProtection="false">
      <alignment horizontal="general" vertical="top" textRotation="0" wrapText="tru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6" fontId="13" fillId="0" borderId="1" xfId="0" applyFont="true" applyBorder="true" applyAlignment="true" applyProtection="false">
      <alignment horizontal="general" vertical="top" textRotation="0" wrapText="true" indent="0" shrinkToFit="false"/>
      <protection locked="true" hidden="false"/>
    </xf>
    <xf numFmtId="166" fontId="13"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1" fontId="11" fillId="4" borderId="1" xfId="0" applyFont="true" applyBorder="true" applyAlignment="false" applyProtection="false">
      <alignment horizontal="general" vertical="bottom" textRotation="0" wrapText="false" indent="0" shrinkToFit="false"/>
      <protection locked="true" hidden="false"/>
    </xf>
    <xf numFmtId="171" fontId="13"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70" fontId="13" fillId="5" borderId="1" xfId="0" applyFont="true" applyBorder="true" applyAlignment="false" applyProtection="false">
      <alignment horizontal="general" vertical="bottom" textRotation="0" wrapText="false" indent="0" shrinkToFit="false"/>
      <protection locked="true" hidden="false"/>
    </xf>
    <xf numFmtId="169" fontId="16" fillId="0" borderId="1" xfId="0" applyFont="true" applyBorder="true" applyAlignment="false" applyProtection="false">
      <alignment horizontal="general" vertical="bottom" textRotation="0" wrapText="false" indent="0" shrinkToFit="false"/>
      <protection locked="true" hidden="false"/>
    </xf>
    <xf numFmtId="172" fontId="11"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bgColor rgb="FFC6EFCE"/>
        </patternFill>
      </fill>
    </dxf>
    <dxf>
      <fill>
        <patternFill>
          <bgColor rgb="FFF8CBAD"/>
        </patternFill>
      </fill>
    </dxf>
    <dxf>
      <fill>
        <patternFill>
          <bgColor rgb="FFFFEB9C"/>
        </patternFill>
      </fill>
    </dxf>
    <dxf>
      <fill>
        <patternFill patternType="solid">
          <fgColor rgb="FF354940"/>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C00000"/>
          <bgColor rgb="FF000000"/>
        </patternFill>
      </fill>
    </dxf>
    <dxf>
      <fill>
        <patternFill patternType="solid">
          <fgColor rgb="FF000000"/>
          <bgColor rgb="FF000000"/>
        </patternFill>
      </fill>
    </dxf>
    <dxf>
      <fill>
        <patternFill patternType="solid">
          <fgColor rgb="FFFFEB9C"/>
          <bgColor rgb="FF000000"/>
        </patternFill>
      </fill>
    </dxf>
    <dxf>
      <font>
        <name val="Arial"/>
        <charset val="1"/>
        <family val="0"/>
        <b val="1"/>
        <color rgb="FFC00000"/>
        <sz val="10"/>
      </font>
      <fill>
        <patternFill>
          <bgColor rgb="FFF8CBAD"/>
        </patternFill>
      </fill>
    </dxf>
    <dxf>
      <font>
        <name val="Arial"/>
        <charset val="1"/>
        <family val="0"/>
        <b val="1"/>
        <color rgb="FFC00000"/>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ECDC"/>
      <rgbColor rgb="FFE6EEE9"/>
      <rgbColor rgb="FF660066"/>
      <rgbColor rgb="FFFF8080"/>
      <rgbColor rgb="FF0066CC"/>
      <rgbColor rgb="FFD9D5C8"/>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151C19"/>
      <rgbColor rgb="FF333300"/>
      <rgbColor rgb="FFAE2221"/>
      <rgbColor rgb="FF993366"/>
      <rgbColor rgb="FF333399"/>
      <rgbColor rgb="FF3549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E2221"/>
    <pageSetUpPr fitToPage="true"/>
  </sheetPr>
  <dimension ref="A1:C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96"/>
  </cols>
  <sheetData>
    <row r="1" customFormat="false" ht="30" hidden="false" customHeight="true" outlineLevel="0" collapsed="false">
      <c r="A1" s="1" t="s">
        <v>0</v>
      </c>
      <c r="B1" s="1"/>
      <c r="C1" s="1"/>
    </row>
    <row r="2" customFormat="false" ht="33.75" hidden="false" customHeight="true" outlineLevel="0" collapsed="false">
      <c r="A2" s="2" t="s">
        <v>1</v>
      </c>
      <c r="B2" s="2"/>
      <c r="C2" s="2"/>
    </row>
    <row r="4" customFormat="false" ht="15" hidden="false" customHeight="false" outlineLevel="0" collapsed="false">
      <c r="B4" s="3" t="s">
        <v>2</v>
      </c>
    </row>
    <row r="5" customFormat="false" ht="15" hidden="false" customHeight="false" outlineLevel="0" collapsed="false">
      <c r="A5" s="4" t="s">
        <v>3</v>
      </c>
      <c r="B5" s="5" t="s">
        <v>4</v>
      </c>
      <c r="C5" s="6" t="s">
        <v>5</v>
      </c>
    </row>
    <row r="6" customFormat="false" ht="27.75" hidden="false" customHeight="true" outlineLevel="0" collapsed="false">
      <c r="A6" s="4" t="s">
        <v>6</v>
      </c>
      <c r="B6" s="5" t="s">
        <v>7</v>
      </c>
      <c r="C6" s="6" t="s">
        <v>8</v>
      </c>
    </row>
    <row r="7" customFormat="false" ht="27.75" hidden="false" customHeight="true" outlineLevel="0" collapsed="false">
      <c r="A7" s="4" t="s">
        <v>9</v>
      </c>
      <c r="B7" s="5" t="s">
        <v>10</v>
      </c>
      <c r="C7" s="6" t="s">
        <v>11</v>
      </c>
    </row>
    <row r="8" customFormat="false" ht="27.75" hidden="false" customHeight="true" outlineLevel="0" collapsed="false">
      <c r="A8" s="4" t="s">
        <v>12</v>
      </c>
      <c r="B8" s="5" t="s">
        <v>13</v>
      </c>
      <c r="C8" s="6" t="s">
        <v>14</v>
      </c>
    </row>
    <row r="9" customFormat="false" ht="27.75" hidden="false" customHeight="true" outlineLevel="0" collapsed="false">
      <c r="A9" s="4" t="s">
        <v>15</v>
      </c>
      <c r="B9" s="5" t="s">
        <v>16</v>
      </c>
      <c r="C9" s="6" t="s">
        <v>17</v>
      </c>
    </row>
    <row r="10" customFormat="false" ht="15" hidden="false" customHeight="false" outlineLevel="0" collapsed="false">
      <c r="A10" s="4" t="s">
        <v>18</v>
      </c>
      <c r="B10" s="5" t="s">
        <v>19</v>
      </c>
      <c r="C10" s="6" t="s">
        <v>20</v>
      </c>
    </row>
    <row r="11" customFormat="false" ht="15" hidden="false" customHeight="false" outlineLevel="0" collapsed="false">
      <c r="A11" s="4" t="s">
        <v>21</v>
      </c>
      <c r="B11" s="5" t="s">
        <v>22</v>
      </c>
      <c r="C11" s="6" t="s">
        <v>23</v>
      </c>
    </row>
    <row r="12" customFormat="false" ht="15" hidden="false" customHeight="false" outlineLevel="0" collapsed="false">
      <c r="A12" s="4" t="s">
        <v>24</v>
      </c>
      <c r="B12" s="5" t="s">
        <v>25</v>
      </c>
      <c r="C12" s="6" t="s">
        <v>26</v>
      </c>
    </row>
    <row r="13" customFormat="false" ht="15" hidden="false" customHeight="false" outlineLevel="0" collapsed="false">
      <c r="A13" s="4" t="s">
        <v>27</v>
      </c>
      <c r="B13" s="5" t="s">
        <v>28</v>
      </c>
      <c r="C13" s="6" t="s">
        <v>29</v>
      </c>
    </row>
    <row r="14" customFormat="false" ht="15" hidden="false" customHeight="false" outlineLevel="0" collapsed="false">
      <c r="A14" s="4" t="s">
        <v>30</v>
      </c>
      <c r="B14" s="5" t="s">
        <v>31</v>
      </c>
      <c r="C14" s="6" t="s">
        <v>32</v>
      </c>
    </row>
    <row r="15" customFormat="false" ht="15" hidden="false" customHeight="false" outlineLevel="0" collapsed="false">
      <c r="A15" s="4" t="s">
        <v>33</v>
      </c>
      <c r="B15" s="5" t="s">
        <v>34</v>
      </c>
      <c r="C15" s="6" t="s">
        <v>35</v>
      </c>
    </row>
    <row r="17" customFormat="false" ht="15" hidden="false" customHeight="false" outlineLevel="0" collapsed="false">
      <c r="B17" s="3" t="s">
        <v>36</v>
      </c>
    </row>
    <row r="18" customFormat="false" ht="27.75" hidden="false" customHeight="true" outlineLevel="0" collapsed="false">
      <c r="B18" s="5" t="s">
        <v>37</v>
      </c>
      <c r="C18" s="6" t="s">
        <v>38</v>
      </c>
    </row>
    <row r="19" customFormat="false" ht="15" hidden="false" customHeight="false" outlineLevel="0" collapsed="false">
      <c r="B19" s="5" t="s">
        <v>39</v>
      </c>
      <c r="C19" s="6" t="s">
        <v>40</v>
      </c>
    </row>
    <row r="20" customFormat="false" ht="27.75" hidden="false" customHeight="true" outlineLevel="0" collapsed="false">
      <c r="B20" s="5" t="s">
        <v>41</v>
      </c>
      <c r="C20" s="6" t="s">
        <v>42</v>
      </c>
    </row>
    <row r="21" customFormat="false" ht="15" hidden="false" customHeight="false" outlineLevel="0" collapsed="false">
      <c r="B21" s="5" t="s">
        <v>43</v>
      </c>
      <c r="C21" s="6" t="s">
        <v>44</v>
      </c>
    </row>
    <row r="22" customFormat="false" ht="27.75" hidden="false" customHeight="true" outlineLevel="0" collapsed="false">
      <c r="B22" s="5" t="s">
        <v>45</v>
      </c>
      <c r="C22" s="6" t="s">
        <v>46</v>
      </c>
    </row>
    <row r="24" customFormat="false" ht="15" hidden="false" customHeight="false" outlineLevel="0" collapsed="false">
      <c r="B24" s="3" t="s">
        <v>47</v>
      </c>
    </row>
    <row r="25" customFormat="false" ht="15" hidden="false" customHeight="false" outlineLevel="0" collapsed="false">
      <c r="B25" s="5" t="s">
        <v>48</v>
      </c>
      <c r="C25" s="6" t="s">
        <v>49</v>
      </c>
    </row>
    <row r="26" customFormat="false" ht="15" hidden="false" customHeight="false" outlineLevel="0" collapsed="false">
      <c r="B26" s="5" t="s">
        <v>50</v>
      </c>
      <c r="C26" s="6" t="s">
        <v>51</v>
      </c>
    </row>
    <row r="27" customFormat="false" ht="27.75" hidden="false" customHeight="true" outlineLevel="0" collapsed="false">
      <c r="B27" s="5" t="s">
        <v>52</v>
      </c>
      <c r="C27" s="6" t="s">
        <v>53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3" min="3" style="0" width="4"/>
    <col collapsed="false" customWidth="true" hidden="false" outlineLevel="0" max="4" min="4" style="0" width="70"/>
  </cols>
  <sheetData>
    <row r="1" customFormat="false" ht="30" hidden="false" customHeight="true" outlineLevel="0" collapsed="false">
      <c r="A1" s="1" t="s">
        <v>54</v>
      </c>
      <c r="B1" s="1"/>
      <c r="C1" s="1"/>
      <c r="D1" s="1"/>
    </row>
    <row r="2" customFormat="false" ht="33.75" hidden="false" customHeight="true" outlineLevel="0" collapsed="false">
      <c r="A2" s="2" t="s">
        <v>55</v>
      </c>
      <c r="B2" s="2"/>
      <c r="C2" s="2"/>
      <c r="D2" s="2"/>
    </row>
    <row r="4" customFormat="false" ht="19.5" hidden="false" customHeight="true" outlineLevel="0" collapsed="false">
      <c r="A4" s="7" t="s">
        <v>56</v>
      </c>
      <c r="B4" s="8"/>
      <c r="C4" s="8"/>
      <c r="D4" s="8"/>
    </row>
    <row r="5" customFormat="false" ht="24" hidden="false" customHeight="true" outlineLevel="0" collapsed="false">
      <c r="A5" s="9" t="s">
        <v>57</v>
      </c>
      <c r="B5" s="10" t="s">
        <v>58</v>
      </c>
      <c r="D5" s="11" t="s">
        <v>59</v>
      </c>
    </row>
    <row r="6" customFormat="false" ht="24" hidden="false" customHeight="true" outlineLevel="0" collapsed="false">
      <c r="A6" s="9" t="s">
        <v>60</v>
      </c>
      <c r="B6" s="10"/>
      <c r="D6" s="11" t="s">
        <v>61</v>
      </c>
    </row>
    <row r="7" customFormat="false" ht="24" hidden="false" customHeight="true" outlineLevel="0" collapsed="false">
      <c r="A7" s="9" t="s">
        <v>62</v>
      </c>
      <c r="B7" s="10"/>
      <c r="D7" s="12"/>
    </row>
    <row r="8" customFormat="false" ht="24" hidden="false" customHeight="true" outlineLevel="0" collapsed="false">
      <c r="A8" s="9" t="s">
        <v>63</v>
      </c>
      <c r="B8" s="13"/>
      <c r="D8" s="11" t="s">
        <v>64</v>
      </c>
    </row>
    <row r="9" customFormat="false" ht="24" hidden="false" customHeight="true" outlineLevel="0" collapsed="false">
      <c r="A9" s="9" t="s">
        <v>65</v>
      </c>
      <c r="B9" s="14" t="n">
        <v>0.416666666666667</v>
      </c>
      <c r="D9" s="11" t="s">
        <v>66</v>
      </c>
    </row>
    <row r="10" customFormat="false" ht="24" hidden="false" customHeight="true" outlineLevel="0" collapsed="false">
      <c r="A10" s="9" t="s">
        <v>67</v>
      </c>
      <c r="B10" s="14" t="n">
        <v>0.677083333333333</v>
      </c>
      <c r="D10" s="11" t="s">
        <v>68</v>
      </c>
    </row>
    <row r="11" customFormat="false" ht="24" hidden="false" customHeight="true" outlineLevel="0" collapsed="false">
      <c r="A11" s="9" t="s">
        <v>69</v>
      </c>
      <c r="B11" s="14" t="n">
        <v>0.75</v>
      </c>
      <c r="D11" s="12"/>
    </row>
    <row r="12" customFormat="false" ht="24" hidden="false" customHeight="true" outlineLevel="0" collapsed="false">
      <c r="A12" s="9" t="s">
        <v>70</v>
      </c>
      <c r="B12" s="14" t="n">
        <v>0.791666666666667</v>
      </c>
      <c r="D12" s="12"/>
    </row>
    <row r="13" customFormat="false" ht="24" hidden="false" customHeight="true" outlineLevel="0" collapsed="false">
      <c r="A13" s="15" t="s">
        <v>71</v>
      </c>
      <c r="B13" s="16" t="str">
        <f aca="false">IF(AND('Show Setup'!$B$12-'Show Setup'!$B$10&lt;=3/24+0.00001,'Show Setup'!$B$12&gt;'Show Setup'!$B$10),"OK","TOO EARLY: within 3 hours of the first bout")</f>
        <v>OK</v>
      </c>
      <c r="D13" s="12"/>
    </row>
    <row r="14" customFormat="false" ht="24" hidden="false" customHeight="true" outlineLevel="0" collapsed="false">
      <c r="A14" s="12"/>
      <c r="B14" s="12"/>
      <c r="D14" s="12"/>
    </row>
    <row r="15" customFormat="false" ht="24" hidden="false" customHeight="true" outlineLevel="0" collapsed="false">
      <c r="A15" s="17" t="s">
        <v>72</v>
      </c>
      <c r="B15" s="18"/>
      <c r="C15" s="8"/>
      <c r="D15" s="18"/>
    </row>
    <row r="16" customFormat="false" ht="24" hidden="false" customHeight="true" outlineLevel="0" collapsed="false">
      <c r="A16" s="9" t="s">
        <v>73</v>
      </c>
      <c r="B16" s="19" t="n">
        <v>20</v>
      </c>
      <c r="D16" s="11" t="s">
        <v>74</v>
      </c>
    </row>
    <row r="17" customFormat="false" ht="24" hidden="false" customHeight="true" outlineLevel="0" collapsed="false">
      <c r="A17" s="9" t="s">
        <v>75</v>
      </c>
      <c r="B17" s="19" t="n">
        <v>10</v>
      </c>
      <c r="D17" s="11" t="s">
        <v>76</v>
      </c>
    </row>
    <row r="18" customFormat="false" ht="24" hidden="false" customHeight="true" outlineLevel="0" collapsed="false">
      <c r="A18" s="9" t="s">
        <v>77</v>
      </c>
      <c r="B18" s="19" t="n">
        <v>5</v>
      </c>
      <c r="D18" s="11" t="s">
        <v>78</v>
      </c>
    </row>
    <row r="19" customFormat="false" ht="24" hidden="false" customHeight="true" outlineLevel="0" collapsed="false">
      <c r="A19" s="9" t="s">
        <v>79</v>
      </c>
      <c r="B19" s="19" t="n">
        <v>20</v>
      </c>
      <c r="D19" s="11"/>
    </row>
    <row r="20" customFormat="false" ht="24" hidden="false" customHeight="true" outlineLevel="0" collapsed="false">
      <c r="A20" s="12"/>
      <c r="B20" s="12"/>
      <c r="D20" s="12"/>
    </row>
    <row r="21" customFormat="false" ht="24" hidden="false" customHeight="true" outlineLevel="0" collapsed="false">
      <c r="A21" s="17" t="s">
        <v>80</v>
      </c>
      <c r="B21" s="18"/>
      <c r="C21" s="8"/>
      <c r="D21" s="18"/>
    </row>
    <row r="22" customFormat="false" ht="24" hidden="false" customHeight="true" outlineLevel="0" collapsed="false">
      <c r="A22" s="9" t="s">
        <v>81</v>
      </c>
      <c r="B22" s="20" t="s">
        <v>82</v>
      </c>
      <c r="D22" s="11" t="s">
        <v>83</v>
      </c>
    </row>
    <row r="23" customFormat="false" ht="24" hidden="false" customHeight="true" outlineLevel="0" collapsed="false">
      <c r="A23" s="9" t="s">
        <v>84</v>
      </c>
      <c r="B23" s="19" t="n">
        <v>10</v>
      </c>
      <c r="D23" s="11" t="s">
        <v>85</v>
      </c>
    </row>
  </sheetData>
  <mergeCells count="2">
    <mergeCell ref="A1:D1"/>
    <mergeCell ref="A2:D2"/>
  </mergeCells>
  <conditionalFormatting sqref="B13">
    <cfRule type="cellIs" priority="2" operator="equal" aboveAverage="0" equalAverage="0" bottom="0" percent="0" rank="0" text="" dxfId="0">
      <formula>"OK"</formula>
    </cfRule>
    <cfRule type="cellIs" priority="3" operator="notEqual" aboveAverage="0" equalAverage="0" bottom="0" percent="0" rank="0" text="" dxfId="1">
      <formula>"OK"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3" min="3" style="0" width="12"/>
    <col collapsed="false" customWidth="true" hidden="false" outlineLevel="0" max="4" min="4" style="0" width="10"/>
    <col collapsed="false" customWidth="true" hidden="false" outlineLevel="0" max="5" min="5" style="0" width="15"/>
    <col collapsed="false" customWidth="true" hidden="false" outlineLevel="0" max="6" min="6" style="0" width="8"/>
    <col collapsed="false" customWidth="true" hidden="false" outlineLevel="0" max="7" min="7" style="0" width="11"/>
    <col collapsed="false" customWidth="true" hidden="false" outlineLevel="0" max="8" min="8" style="0" width="34"/>
  </cols>
  <sheetData>
    <row r="1" customFormat="false" ht="30" hidden="false" customHeight="true" outlineLevel="0" collapsed="false">
      <c r="A1" s="1" t="s">
        <v>86</v>
      </c>
      <c r="B1" s="1"/>
      <c r="C1" s="1"/>
      <c r="D1" s="1"/>
      <c r="E1" s="1"/>
      <c r="F1" s="1"/>
      <c r="G1" s="1"/>
      <c r="H1" s="1"/>
    </row>
    <row r="2" customFormat="false" ht="33.75" hidden="false" customHeight="true" outlineLevel="0" collapsed="false">
      <c r="A2" s="2" t="s">
        <v>87</v>
      </c>
      <c r="B2" s="2"/>
      <c r="C2" s="2"/>
      <c r="D2" s="2"/>
      <c r="E2" s="2"/>
      <c r="F2" s="2"/>
      <c r="G2" s="2"/>
      <c r="H2" s="2"/>
    </row>
    <row r="4" customFormat="false" ht="33.75" hidden="false" customHeight="true" outlineLevel="0" collapsed="false">
      <c r="A4" s="21" t="s">
        <v>88</v>
      </c>
      <c r="B4" s="21" t="s">
        <v>89</v>
      </c>
      <c r="C4" s="21" t="s">
        <v>90</v>
      </c>
      <c r="D4" s="21" t="s">
        <v>91</v>
      </c>
      <c r="E4" s="21" t="s">
        <v>92</v>
      </c>
      <c r="F4" s="21" t="s">
        <v>93</v>
      </c>
      <c r="G4" s="21" t="s">
        <v>94</v>
      </c>
      <c r="H4" s="21" t="s">
        <v>95</v>
      </c>
    </row>
    <row r="5" customFormat="false" ht="30" hidden="false" customHeight="true" outlineLevel="0" collapsed="false">
      <c r="A5" s="22" t="n">
        <v>26</v>
      </c>
      <c r="B5" s="23" t="s">
        <v>96</v>
      </c>
      <c r="C5" s="23" t="s">
        <v>62</v>
      </c>
      <c r="D5" s="24" t="s">
        <v>97</v>
      </c>
      <c r="E5" s="25" t="str">
        <f aca="false">IF('Show Setup'!$B$8="","",IF(A5&gt;=0,'Show Setup'!$B$8-A5*7,'Show Setup'!$B$8-A5))</f>
        <v/>
      </c>
      <c r="F5" s="24"/>
      <c r="G5" s="26" t="str">
        <f aca="true">IF(F5="Yes","DONE",IF(E5="","No date yet",IF(E5&lt;TODAY(),"OVERDUE",IF(E5&lt;=TODAY()+7,"This week","Upcoming"))))</f>
        <v>No date yet</v>
      </c>
      <c r="H5" s="24"/>
    </row>
    <row r="6" customFormat="false" ht="30" hidden="false" customHeight="true" outlineLevel="0" collapsed="false">
      <c r="A6" s="22" t="n">
        <v>26</v>
      </c>
      <c r="B6" s="23" t="s">
        <v>98</v>
      </c>
      <c r="C6" s="23" t="s">
        <v>62</v>
      </c>
      <c r="D6" s="24" t="s">
        <v>97</v>
      </c>
      <c r="E6" s="25" t="str">
        <f aca="false">IF('Show Setup'!$B$8="","",IF(A6&gt;=0,'Show Setup'!$B$8-A6*7,'Show Setup'!$B$8-A6))</f>
        <v/>
      </c>
      <c r="F6" s="24"/>
      <c r="G6" s="26" t="str">
        <f aca="true">IF(F6="Yes","DONE",IF(E6="","No date yet",IF(E6&lt;TODAY(),"OVERDUE",IF(E6&lt;=TODAY()+7,"This week","Upcoming"))))</f>
        <v>No date yet</v>
      </c>
      <c r="H6" s="24"/>
    </row>
    <row r="7" customFormat="false" ht="30" hidden="false" customHeight="true" outlineLevel="0" collapsed="false">
      <c r="A7" s="22" t="n">
        <v>24</v>
      </c>
      <c r="B7" s="23" t="s">
        <v>99</v>
      </c>
      <c r="C7" s="23" t="s">
        <v>100</v>
      </c>
      <c r="D7" s="24" t="s">
        <v>97</v>
      </c>
      <c r="E7" s="25" t="str">
        <f aca="false">IF('Show Setup'!$B$8="","",IF(A7&gt;=0,'Show Setup'!$B$8-A7*7,'Show Setup'!$B$8-A7))</f>
        <v/>
      </c>
      <c r="F7" s="24"/>
      <c r="G7" s="26" t="str">
        <f aca="true">IF(F7="Yes","DONE",IF(E7="","No date yet",IF(E7&lt;TODAY(),"OVERDUE",IF(E7&lt;=TODAY()+7,"This week","Upcoming"))))</f>
        <v>No date yet</v>
      </c>
      <c r="H7" s="24"/>
    </row>
    <row r="8" customFormat="false" ht="30" hidden="false" customHeight="true" outlineLevel="0" collapsed="false">
      <c r="A8" s="22" t="n">
        <v>22</v>
      </c>
      <c r="B8" s="23" t="s">
        <v>101</v>
      </c>
      <c r="C8" s="23" t="s">
        <v>62</v>
      </c>
      <c r="D8" s="24" t="s">
        <v>97</v>
      </c>
      <c r="E8" s="25" t="str">
        <f aca="false">IF('Show Setup'!$B$8="","",IF(A8&gt;=0,'Show Setup'!$B$8-A8*7,'Show Setup'!$B$8-A8))</f>
        <v/>
      </c>
      <c r="F8" s="24"/>
      <c r="G8" s="26" t="str">
        <f aca="true">IF(F8="Yes","DONE",IF(E8="","No date yet",IF(E8&lt;TODAY(),"OVERDUE",IF(E8&lt;=TODAY()+7,"This week","Upcoming"))))</f>
        <v>No date yet</v>
      </c>
      <c r="H8" s="24"/>
    </row>
    <row r="9" customFormat="false" ht="30" hidden="false" customHeight="true" outlineLevel="0" collapsed="false">
      <c r="A9" s="22" t="n">
        <v>20</v>
      </c>
      <c r="B9" s="23" t="s">
        <v>102</v>
      </c>
      <c r="C9" s="23" t="s">
        <v>103</v>
      </c>
      <c r="D9" s="24" t="s">
        <v>97</v>
      </c>
      <c r="E9" s="25" t="str">
        <f aca="false">IF('Show Setup'!$B$8="","",IF(A9&gt;=0,'Show Setup'!$B$8-A9*7,'Show Setup'!$B$8-A9))</f>
        <v/>
      </c>
      <c r="F9" s="24"/>
      <c r="G9" s="26" t="str">
        <f aca="true">IF(F9="Yes","DONE",IF(E9="","No date yet",IF(E9&lt;TODAY(),"OVERDUE",IF(E9&lt;=TODAY()+7,"This week","Upcoming"))))</f>
        <v>No date yet</v>
      </c>
      <c r="H9" s="24"/>
    </row>
    <row r="10" customFormat="false" ht="30" hidden="false" customHeight="true" outlineLevel="0" collapsed="false">
      <c r="A10" s="22" t="n">
        <v>18</v>
      </c>
      <c r="B10" s="23" t="s">
        <v>104</v>
      </c>
      <c r="C10" s="23" t="s">
        <v>105</v>
      </c>
      <c r="D10" s="24" t="s">
        <v>97</v>
      </c>
      <c r="E10" s="25" t="str">
        <f aca="false">IF('Show Setup'!$B$8="","",IF(A10&gt;=0,'Show Setup'!$B$8-A10*7,'Show Setup'!$B$8-A10))</f>
        <v/>
      </c>
      <c r="F10" s="24"/>
      <c r="G10" s="26" t="str">
        <f aca="true">IF(F10="Yes","DONE",IF(E10="","No date yet",IF(E10&lt;TODAY(),"OVERDUE",IF(E10&lt;=TODAY()+7,"This week","Upcoming"))))</f>
        <v>No date yet</v>
      </c>
      <c r="H10" s="24"/>
    </row>
    <row r="11" customFormat="false" ht="30" hidden="false" customHeight="true" outlineLevel="0" collapsed="false">
      <c r="A11" s="22" t="n">
        <v>18</v>
      </c>
      <c r="B11" s="23" t="s">
        <v>106</v>
      </c>
      <c r="C11" s="23" t="s">
        <v>105</v>
      </c>
      <c r="D11" s="24" t="s">
        <v>97</v>
      </c>
      <c r="E11" s="25" t="str">
        <f aca="false">IF('Show Setup'!$B$8="","",IF(A11&gt;=0,'Show Setup'!$B$8-A11*7,'Show Setup'!$B$8-A11))</f>
        <v/>
      </c>
      <c r="F11" s="24"/>
      <c r="G11" s="26" t="str">
        <f aca="true">IF(F11="Yes","DONE",IF(E11="","No date yet",IF(E11&lt;TODAY(),"OVERDUE",IF(E11&lt;=TODAY()+7,"This week","Upcoming"))))</f>
        <v>No date yet</v>
      </c>
      <c r="H11" s="24"/>
    </row>
    <row r="12" customFormat="false" ht="30" hidden="false" customHeight="true" outlineLevel="0" collapsed="false">
      <c r="A12" s="22" t="n">
        <v>18</v>
      </c>
      <c r="B12" s="23" t="s">
        <v>107</v>
      </c>
      <c r="C12" s="23" t="s">
        <v>39</v>
      </c>
      <c r="D12" s="24" t="s">
        <v>97</v>
      </c>
      <c r="E12" s="25" t="str">
        <f aca="false">IF('Show Setup'!$B$8="","",IF(A12&gt;=0,'Show Setup'!$B$8-A12*7,'Show Setup'!$B$8-A12))</f>
        <v/>
      </c>
      <c r="F12" s="24"/>
      <c r="G12" s="26" t="str">
        <f aca="true">IF(F12="Yes","DONE",IF(E12="","No date yet",IF(E12&lt;TODAY(),"OVERDUE",IF(E12&lt;=TODAY()+7,"This week","Upcoming"))))</f>
        <v>No date yet</v>
      </c>
      <c r="H12" s="24"/>
    </row>
    <row r="13" customFormat="false" ht="30" hidden="false" customHeight="true" outlineLevel="0" collapsed="false">
      <c r="A13" s="22" t="n">
        <v>16</v>
      </c>
      <c r="B13" s="23" t="s">
        <v>108</v>
      </c>
      <c r="C13" s="23" t="s">
        <v>105</v>
      </c>
      <c r="D13" s="24" t="s">
        <v>97</v>
      </c>
      <c r="E13" s="25" t="str">
        <f aca="false">IF('Show Setup'!$B$8="","",IF(A13&gt;=0,'Show Setup'!$B$8-A13*7,'Show Setup'!$B$8-A13))</f>
        <v/>
      </c>
      <c r="F13" s="24"/>
      <c r="G13" s="26" t="str">
        <f aca="true">IF(F13="Yes","DONE",IF(E13="","No date yet",IF(E13&lt;TODAY(),"OVERDUE",IF(E13&lt;=TODAY()+7,"This week","Upcoming"))))</f>
        <v>No date yet</v>
      </c>
      <c r="H13" s="24"/>
    </row>
    <row r="14" customFormat="false" ht="30" hidden="false" customHeight="true" outlineLevel="0" collapsed="false">
      <c r="A14" s="22" t="n">
        <v>16</v>
      </c>
      <c r="B14" s="23" t="s">
        <v>109</v>
      </c>
      <c r="C14" s="23" t="s">
        <v>22</v>
      </c>
      <c r="D14" s="24" t="s">
        <v>97</v>
      </c>
      <c r="E14" s="25" t="str">
        <f aca="false">IF('Show Setup'!$B$8="","",IF(A14&gt;=0,'Show Setup'!$B$8-A14*7,'Show Setup'!$B$8-A14))</f>
        <v/>
      </c>
      <c r="F14" s="24"/>
      <c r="G14" s="26" t="str">
        <f aca="true">IF(F14="Yes","DONE",IF(E14="","No date yet",IF(E14&lt;TODAY(),"OVERDUE",IF(E14&lt;=TODAY()+7,"This week","Upcoming"))))</f>
        <v>No date yet</v>
      </c>
      <c r="H14" s="24"/>
    </row>
    <row r="15" customFormat="false" ht="30" hidden="false" customHeight="true" outlineLevel="0" collapsed="false">
      <c r="A15" s="22" t="n">
        <v>16</v>
      </c>
      <c r="B15" s="23" t="s">
        <v>110</v>
      </c>
      <c r="C15" s="23" t="s">
        <v>105</v>
      </c>
      <c r="D15" s="24" t="s">
        <v>97</v>
      </c>
      <c r="E15" s="25" t="str">
        <f aca="false">IF('Show Setup'!$B$8="","",IF(A15&gt;=0,'Show Setup'!$B$8-A15*7,'Show Setup'!$B$8-A15))</f>
        <v/>
      </c>
      <c r="F15" s="24"/>
      <c r="G15" s="26" t="str">
        <f aca="true">IF(F15="Yes","DONE",IF(E15="","No date yet",IF(E15&lt;TODAY(),"OVERDUE",IF(E15&lt;=TODAY()+7,"This week","Upcoming"))))</f>
        <v>No date yet</v>
      </c>
      <c r="H15" s="24"/>
    </row>
    <row r="16" customFormat="false" ht="30" hidden="false" customHeight="true" outlineLevel="0" collapsed="false">
      <c r="A16" s="22" t="n">
        <v>14</v>
      </c>
      <c r="B16" s="23" t="s">
        <v>111</v>
      </c>
      <c r="C16" s="23" t="s">
        <v>112</v>
      </c>
      <c r="D16" s="24" t="s">
        <v>113</v>
      </c>
      <c r="E16" s="25" t="str">
        <f aca="false">IF('Show Setup'!$B$8="","",IF(A16&gt;=0,'Show Setup'!$B$8-A16*7,'Show Setup'!$B$8-A16))</f>
        <v/>
      </c>
      <c r="F16" s="24"/>
      <c r="G16" s="26" t="str">
        <f aca="true">IF(F16="Yes","DONE",IF(E16="","No date yet",IF(E16&lt;TODAY(),"OVERDUE",IF(E16&lt;=TODAY()+7,"This week","Upcoming"))))</f>
        <v>No date yet</v>
      </c>
      <c r="H16" s="24"/>
    </row>
    <row r="17" customFormat="false" ht="30" hidden="false" customHeight="true" outlineLevel="0" collapsed="false">
      <c r="A17" s="22" t="n">
        <v>14</v>
      </c>
      <c r="B17" s="23" t="s">
        <v>114</v>
      </c>
      <c r="C17" s="23" t="s">
        <v>28</v>
      </c>
      <c r="D17" s="24" t="s">
        <v>113</v>
      </c>
      <c r="E17" s="25" t="str">
        <f aca="false">IF('Show Setup'!$B$8="","",IF(A17&gt;=0,'Show Setup'!$B$8-A17*7,'Show Setup'!$B$8-A17))</f>
        <v/>
      </c>
      <c r="F17" s="24"/>
      <c r="G17" s="26" t="str">
        <f aca="true">IF(F17="Yes","DONE",IF(E17="","No date yet",IF(E17&lt;TODAY(),"OVERDUE",IF(E17&lt;=TODAY()+7,"This week","Upcoming"))))</f>
        <v>No date yet</v>
      </c>
      <c r="H17" s="24"/>
    </row>
    <row r="18" customFormat="false" ht="30" hidden="false" customHeight="true" outlineLevel="0" collapsed="false">
      <c r="A18" s="22" t="n">
        <v>12</v>
      </c>
      <c r="B18" s="23" t="s">
        <v>115</v>
      </c>
      <c r="C18" s="23" t="s">
        <v>13</v>
      </c>
      <c r="D18" s="24" t="s">
        <v>97</v>
      </c>
      <c r="E18" s="25" t="str">
        <f aca="false">IF('Show Setup'!$B$8="","",IF(A18&gt;=0,'Show Setup'!$B$8-A18*7,'Show Setup'!$B$8-A18))</f>
        <v/>
      </c>
      <c r="F18" s="24"/>
      <c r="G18" s="26" t="str">
        <f aca="true">IF(F18="Yes","DONE",IF(E18="","No date yet",IF(E18&lt;TODAY(),"OVERDUE",IF(E18&lt;=TODAY()+7,"This week","Upcoming"))))</f>
        <v>No date yet</v>
      </c>
      <c r="H18" s="24"/>
    </row>
    <row r="19" customFormat="false" ht="30" hidden="false" customHeight="true" outlineLevel="0" collapsed="false">
      <c r="A19" s="22" t="n">
        <v>12</v>
      </c>
      <c r="B19" s="23" t="s">
        <v>116</v>
      </c>
      <c r="C19" s="23" t="s">
        <v>22</v>
      </c>
      <c r="D19" s="24" t="s">
        <v>97</v>
      </c>
      <c r="E19" s="25" t="str">
        <f aca="false">IF('Show Setup'!$B$8="","",IF(A19&gt;=0,'Show Setup'!$B$8-A19*7,'Show Setup'!$B$8-A19))</f>
        <v/>
      </c>
      <c r="F19" s="24"/>
      <c r="G19" s="26" t="str">
        <f aca="true">IF(F19="Yes","DONE",IF(E19="","No date yet",IF(E19&lt;TODAY(),"OVERDUE",IF(E19&lt;=TODAY()+7,"This week","Upcoming"))))</f>
        <v>No date yet</v>
      </c>
      <c r="H19" s="24"/>
    </row>
    <row r="20" customFormat="false" ht="30" hidden="false" customHeight="true" outlineLevel="0" collapsed="false">
      <c r="A20" s="22" t="n">
        <v>10</v>
      </c>
      <c r="B20" s="23" t="s">
        <v>117</v>
      </c>
      <c r="C20" s="23" t="s">
        <v>22</v>
      </c>
      <c r="D20" s="24" t="s">
        <v>97</v>
      </c>
      <c r="E20" s="25" t="str">
        <f aca="false">IF('Show Setup'!$B$8="","",IF(A20&gt;=0,'Show Setup'!$B$8-A20*7,'Show Setup'!$B$8-A20))</f>
        <v/>
      </c>
      <c r="F20" s="24"/>
      <c r="G20" s="26" t="str">
        <f aca="true">IF(F20="Yes","DONE",IF(E20="","No date yet",IF(E20&lt;TODAY(),"OVERDUE",IF(E20&lt;=TODAY()+7,"This week","Upcoming"))))</f>
        <v>No date yet</v>
      </c>
      <c r="H20" s="24"/>
    </row>
    <row r="21" customFormat="false" ht="30" hidden="false" customHeight="true" outlineLevel="0" collapsed="false">
      <c r="A21" s="22" t="n">
        <v>10</v>
      </c>
      <c r="B21" s="23" t="s">
        <v>118</v>
      </c>
      <c r="C21" s="23" t="s">
        <v>28</v>
      </c>
      <c r="D21" s="24" t="s">
        <v>113</v>
      </c>
      <c r="E21" s="25" t="str">
        <f aca="false">IF('Show Setup'!$B$8="","",IF(A21&gt;=0,'Show Setup'!$B$8-A21*7,'Show Setup'!$B$8-A21))</f>
        <v/>
      </c>
      <c r="F21" s="24"/>
      <c r="G21" s="26" t="str">
        <f aca="true">IF(F21="Yes","DONE",IF(E21="","No date yet",IF(E21&lt;TODAY(),"OVERDUE",IF(E21&lt;=TODAY()+7,"This week","Upcoming"))))</f>
        <v>No date yet</v>
      </c>
      <c r="H21" s="24"/>
    </row>
    <row r="22" customFormat="false" ht="30" hidden="false" customHeight="true" outlineLevel="0" collapsed="false">
      <c r="A22" s="22" t="n">
        <v>8</v>
      </c>
      <c r="B22" s="23" t="s">
        <v>119</v>
      </c>
      <c r="C22" s="23" t="s">
        <v>19</v>
      </c>
      <c r="D22" s="24" t="s">
        <v>97</v>
      </c>
      <c r="E22" s="25" t="str">
        <f aca="false">IF('Show Setup'!$B$8="","",IF(A22&gt;=0,'Show Setup'!$B$8-A22*7,'Show Setup'!$B$8-A22))</f>
        <v/>
      </c>
      <c r="F22" s="24"/>
      <c r="G22" s="26" t="str">
        <f aca="true">IF(F22="Yes","DONE",IF(E22="","No date yet",IF(E22&lt;TODAY(),"OVERDUE",IF(E22&lt;=TODAY()+7,"This week","Upcoming"))))</f>
        <v>No date yet</v>
      </c>
      <c r="H22" s="24"/>
    </row>
    <row r="23" customFormat="false" ht="30" hidden="false" customHeight="true" outlineLevel="0" collapsed="false">
      <c r="A23" s="22" t="n">
        <v>8</v>
      </c>
      <c r="B23" s="23" t="s">
        <v>120</v>
      </c>
      <c r="C23" s="23" t="s">
        <v>103</v>
      </c>
      <c r="D23" s="24" t="s">
        <v>97</v>
      </c>
      <c r="E23" s="25" t="str">
        <f aca="false">IF('Show Setup'!$B$8="","",IF(A23&gt;=0,'Show Setup'!$B$8-A23*7,'Show Setup'!$B$8-A23))</f>
        <v/>
      </c>
      <c r="F23" s="24"/>
      <c r="G23" s="26" t="str">
        <f aca="true">IF(F23="Yes","DONE",IF(E23="","No date yet",IF(E23&lt;TODAY(),"OVERDUE",IF(E23&lt;=TODAY()+7,"This week","Upcoming"))))</f>
        <v>No date yet</v>
      </c>
      <c r="H23" s="24"/>
    </row>
    <row r="24" customFormat="false" ht="30" hidden="false" customHeight="true" outlineLevel="0" collapsed="false">
      <c r="A24" s="22" t="n">
        <v>8</v>
      </c>
      <c r="B24" s="23" t="s">
        <v>121</v>
      </c>
      <c r="C24" s="23" t="s">
        <v>13</v>
      </c>
      <c r="D24" s="24" t="s">
        <v>97</v>
      </c>
      <c r="E24" s="25" t="str">
        <f aca="false">IF('Show Setup'!$B$8="","",IF(A24&gt;=0,'Show Setup'!$B$8-A24*7,'Show Setup'!$B$8-A24))</f>
        <v/>
      </c>
      <c r="F24" s="24"/>
      <c r="G24" s="26" t="str">
        <f aca="true">IF(F24="Yes","DONE",IF(E24="","No date yet",IF(E24&lt;TODAY(),"OVERDUE",IF(E24&lt;=TODAY()+7,"This week","Upcoming"))))</f>
        <v>No date yet</v>
      </c>
      <c r="H24" s="24"/>
    </row>
    <row r="25" customFormat="false" ht="30" hidden="false" customHeight="true" outlineLevel="0" collapsed="false">
      <c r="A25" s="22" t="n">
        <v>6</v>
      </c>
      <c r="B25" s="23" t="s">
        <v>122</v>
      </c>
      <c r="C25" s="23" t="s">
        <v>13</v>
      </c>
      <c r="D25" s="24" t="s">
        <v>97</v>
      </c>
      <c r="E25" s="25" t="str">
        <f aca="false">IF('Show Setup'!$B$8="","",IF(A25&gt;=0,'Show Setup'!$B$8-A25*7,'Show Setup'!$B$8-A25))</f>
        <v/>
      </c>
      <c r="F25" s="24"/>
      <c r="G25" s="26" t="str">
        <f aca="true">IF(F25="Yes","DONE",IF(E25="","No date yet",IF(E25&lt;TODAY(),"OVERDUE",IF(E25&lt;=TODAY()+7,"This week","Upcoming"))))</f>
        <v>No date yet</v>
      </c>
      <c r="H25" s="24"/>
    </row>
    <row r="26" customFormat="false" ht="30" hidden="false" customHeight="true" outlineLevel="0" collapsed="false">
      <c r="A26" s="22" t="n">
        <v>5</v>
      </c>
      <c r="B26" s="23" t="s">
        <v>123</v>
      </c>
      <c r="C26" s="23" t="s">
        <v>13</v>
      </c>
      <c r="D26" s="24" t="s">
        <v>97</v>
      </c>
      <c r="E26" s="25" t="str">
        <f aca="false">IF('Show Setup'!$B$8="","",IF(A26&gt;=0,'Show Setup'!$B$8-A26*7,'Show Setup'!$B$8-A26))</f>
        <v/>
      </c>
      <c r="F26" s="24"/>
      <c r="G26" s="26" t="str">
        <f aca="true">IF(F26="Yes","DONE",IF(E26="","No date yet",IF(E26&lt;TODAY(),"OVERDUE",IF(E26&lt;=TODAY()+7,"This week","Upcoming"))))</f>
        <v>No date yet</v>
      </c>
      <c r="H26" s="24"/>
    </row>
    <row r="27" customFormat="false" ht="30" hidden="false" customHeight="true" outlineLevel="0" collapsed="false">
      <c r="A27" s="22" t="n">
        <v>4</v>
      </c>
      <c r="B27" s="23" t="s">
        <v>124</v>
      </c>
      <c r="C27" s="23" t="s">
        <v>105</v>
      </c>
      <c r="D27" s="24" t="s">
        <v>97</v>
      </c>
      <c r="E27" s="25" t="str">
        <f aca="false">IF('Show Setup'!$B$8="","",IF(A27&gt;=0,'Show Setup'!$B$8-A27*7,'Show Setup'!$B$8-A27))</f>
        <v/>
      </c>
      <c r="F27" s="24"/>
      <c r="G27" s="26" t="str">
        <f aca="true">IF(F27="Yes","DONE",IF(E27="","No date yet",IF(E27&lt;TODAY(),"OVERDUE",IF(E27&lt;=TODAY()+7,"This week","Upcoming"))))</f>
        <v>No date yet</v>
      </c>
      <c r="H27" s="24"/>
    </row>
    <row r="28" customFormat="false" ht="30" hidden="false" customHeight="true" outlineLevel="0" collapsed="false">
      <c r="A28" s="22" t="n">
        <v>4</v>
      </c>
      <c r="B28" s="23" t="s">
        <v>125</v>
      </c>
      <c r="C28" s="23" t="s">
        <v>28</v>
      </c>
      <c r="D28" s="24" t="s">
        <v>113</v>
      </c>
      <c r="E28" s="25" t="str">
        <f aca="false">IF('Show Setup'!$B$8="","",IF(A28&gt;=0,'Show Setup'!$B$8-A28*7,'Show Setup'!$B$8-A28))</f>
        <v/>
      </c>
      <c r="F28" s="24"/>
      <c r="G28" s="26" t="str">
        <f aca="true">IF(F28="Yes","DONE",IF(E28="","No date yet",IF(E28&lt;TODAY(),"OVERDUE",IF(E28&lt;=TODAY()+7,"This week","Upcoming"))))</f>
        <v>No date yet</v>
      </c>
      <c r="H28" s="24"/>
    </row>
    <row r="29" customFormat="false" ht="30" hidden="false" customHeight="true" outlineLevel="0" collapsed="false">
      <c r="A29" s="22" t="n">
        <v>4</v>
      </c>
      <c r="B29" s="23" t="s">
        <v>126</v>
      </c>
      <c r="C29" s="23" t="s">
        <v>103</v>
      </c>
      <c r="D29" s="24" t="s">
        <v>97</v>
      </c>
      <c r="E29" s="25" t="str">
        <f aca="false">IF('Show Setup'!$B$8="","",IF(A29&gt;=0,'Show Setup'!$B$8-A29*7,'Show Setup'!$B$8-A29))</f>
        <v/>
      </c>
      <c r="F29" s="24"/>
      <c r="G29" s="26" t="str">
        <f aca="true">IF(F29="Yes","DONE",IF(E29="","No date yet",IF(E29&lt;TODAY(),"OVERDUE",IF(E29&lt;=TODAY()+7,"This week","Upcoming"))))</f>
        <v>No date yet</v>
      </c>
      <c r="H29" s="24"/>
    </row>
    <row r="30" customFormat="false" ht="30" hidden="false" customHeight="true" outlineLevel="0" collapsed="false">
      <c r="A30" s="22" t="n">
        <v>3</v>
      </c>
      <c r="B30" s="23" t="s">
        <v>127</v>
      </c>
      <c r="C30" s="23" t="s">
        <v>105</v>
      </c>
      <c r="D30" s="24" t="s">
        <v>97</v>
      </c>
      <c r="E30" s="25" t="str">
        <f aca="false">IF('Show Setup'!$B$8="","",IF(A30&gt;=0,'Show Setup'!$B$8-A30*7,'Show Setup'!$B$8-A30))</f>
        <v/>
      </c>
      <c r="F30" s="24"/>
      <c r="G30" s="26" t="str">
        <f aca="true">IF(F30="Yes","DONE",IF(E30="","No date yet",IF(E30&lt;TODAY(),"OVERDUE",IF(E30&lt;=TODAY()+7,"This week","Upcoming"))))</f>
        <v>No date yet</v>
      </c>
      <c r="H30" s="24"/>
    </row>
    <row r="31" customFormat="false" ht="30" hidden="false" customHeight="true" outlineLevel="0" collapsed="false">
      <c r="A31" s="22" t="n">
        <v>3</v>
      </c>
      <c r="B31" s="23" t="s">
        <v>128</v>
      </c>
      <c r="C31" s="23" t="s">
        <v>13</v>
      </c>
      <c r="D31" s="24" t="s">
        <v>97</v>
      </c>
      <c r="E31" s="25" t="str">
        <f aca="false">IF('Show Setup'!$B$8="","",IF(A31&gt;=0,'Show Setup'!$B$8-A31*7,'Show Setup'!$B$8-A31))</f>
        <v/>
      </c>
      <c r="F31" s="24"/>
      <c r="G31" s="26" t="str">
        <f aca="true">IF(F31="Yes","DONE",IF(E31="","No date yet",IF(E31&lt;TODAY(),"OVERDUE",IF(E31&lt;=TODAY()+7,"This week","Upcoming"))))</f>
        <v>No date yet</v>
      </c>
      <c r="H31" s="24"/>
    </row>
    <row r="32" customFormat="false" ht="30" hidden="false" customHeight="true" outlineLevel="0" collapsed="false">
      <c r="A32" s="22" t="n">
        <v>2</v>
      </c>
      <c r="B32" s="23" t="s">
        <v>129</v>
      </c>
      <c r="C32" s="23" t="s">
        <v>22</v>
      </c>
      <c r="D32" s="24" t="s">
        <v>97</v>
      </c>
      <c r="E32" s="25" t="str">
        <f aca="false">IF('Show Setup'!$B$8="","",IF(A32&gt;=0,'Show Setup'!$B$8-A32*7,'Show Setup'!$B$8-A32))</f>
        <v/>
      </c>
      <c r="F32" s="24"/>
      <c r="G32" s="26" t="str">
        <f aca="true">IF(F32="Yes","DONE",IF(E32="","No date yet",IF(E32&lt;TODAY(),"OVERDUE",IF(E32&lt;=TODAY()+7,"This week","Upcoming"))))</f>
        <v>No date yet</v>
      </c>
      <c r="H32" s="24"/>
    </row>
    <row r="33" customFormat="false" ht="30" hidden="false" customHeight="true" outlineLevel="0" collapsed="false">
      <c r="A33" s="22" t="n">
        <v>2</v>
      </c>
      <c r="B33" s="23" t="s">
        <v>130</v>
      </c>
      <c r="C33" s="23" t="s">
        <v>22</v>
      </c>
      <c r="D33" s="24" t="s">
        <v>113</v>
      </c>
      <c r="E33" s="25" t="str">
        <f aca="false">IF('Show Setup'!$B$8="","",IF(A33&gt;=0,'Show Setup'!$B$8-A33*7,'Show Setup'!$B$8-A33))</f>
        <v/>
      </c>
      <c r="F33" s="24"/>
      <c r="G33" s="26" t="str">
        <f aca="true">IF(F33="Yes","DONE",IF(E33="","No date yet",IF(E33&lt;TODAY(),"OVERDUE",IF(E33&lt;=TODAY()+7,"This week","Upcoming"))))</f>
        <v>No date yet</v>
      </c>
      <c r="H33" s="24"/>
    </row>
    <row r="34" customFormat="false" ht="30" hidden="false" customHeight="true" outlineLevel="0" collapsed="false">
      <c r="A34" s="22" t="n">
        <v>2</v>
      </c>
      <c r="B34" s="23" t="s">
        <v>131</v>
      </c>
      <c r="C34" s="23" t="s">
        <v>22</v>
      </c>
      <c r="D34" s="24" t="s">
        <v>113</v>
      </c>
      <c r="E34" s="25" t="str">
        <f aca="false">IF('Show Setup'!$B$8="","",IF(A34&gt;=0,'Show Setup'!$B$8-A34*7,'Show Setup'!$B$8-A34))</f>
        <v/>
      </c>
      <c r="F34" s="24"/>
      <c r="G34" s="26" t="str">
        <f aca="true">IF(F34="Yes","DONE",IF(E34="","No date yet",IF(E34&lt;TODAY(),"OVERDUE",IF(E34&lt;=TODAY()+7,"This week","Upcoming"))))</f>
        <v>No date yet</v>
      </c>
      <c r="H34" s="24"/>
    </row>
    <row r="35" customFormat="false" ht="30" hidden="false" customHeight="true" outlineLevel="0" collapsed="false">
      <c r="A35" s="22" t="n">
        <v>1</v>
      </c>
      <c r="B35" s="23" t="s">
        <v>132</v>
      </c>
      <c r="C35" s="23" t="s">
        <v>19</v>
      </c>
      <c r="D35" s="24" t="s">
        <v>97</v>
      </c>
      <c r="E35" s="25" t="str">
        <f aca="false">IF('Show Setup'!$B$8="","",IF(A35&gt;=0,'Show Setup'!$B$8-A35*7,'Show Setup'!$B$8-A35))</f>
        <v/>
      </c>
      <c r="F35" s="24"/>
      <c r="G35" s="26" t="str">
        <f aca="true">IF(F35="Yes","DONE",IF(E35="","No date yet",IF(E35&lt;TODAY(),"OVERDUE",IF(E35&lt;=TODAY()+7,"This week","Upcoming"))))</f>
        <v>No date yet</v>
      </c>
      <c r="H35" s="24"/>
    </row>
    <row r="36" customFormat="false" ht="30" hidden="false" customHeight="true" outlineLevel="0" collapsed="false">
      <c r="A36" s="22" t="n">
        <v>0</v>
      </c>
      <c r="B36" s="23" t="s">
        <v>133</v>
      </c>
      <c r="C36" s="23" t="s">
        <v>134</v>
      </c>
      <c r="D36" s="24" t="s">
        <v>135</v>
      </c>
      <c r="E36" s="25" t="str">
        <f aca="false">IF('Show Setup'!$B$8="","",IF(A36&gt;=0,'Show Setup'!$B$8-A36*7,'Show Setup'!$B$8-A36))</f>
        <v/>
      </c>
      <c r="F36" s="24"/>
      <c r="G36" s="26" t="str">
        <f aca="true">IF(F36="Yes","DONE",IF(E36="","No date yet",IF(E36&lt;TODAY(),"OVERDUE",IF(E36&lt;=TODAY()+7,"This week","Upcoming"))))</f>
        <v>No date yet</v>
      </c>
      <c r="H36" s="24"/>
    </row>
    <row r="37" customFormat="false" ht="30" hidden="false" customHeight="true" outlineLevel="0" collapsed="false">
      <c r="A37" s="22" t="n">
        <v>-1</v>
      </c>
      <c r="B37" s="23" t="s">
        <v>136</v>
      </c>
      <c r="C37" s="23" t="s">
        <v>28</v>
      </c>
      <c r="D37" s="24" t="s">
        <v>113</v>
      </c>
      <c r="E37" s="25" t="str">
        <f aca="false">IF('Show Setup'!$B$8="","",IF(A37&gt;=0,'Show Setup'!$B$8-A37*7,'Show Setup'!$B$8-A37))</f>
        <v/>
      </c>
      <c r="F37" s="24"/>
      <c r="G37" s="26" t="str">
        <f aca="true">IF(F37="Yes","DONE",IF(E37="","No date yet",IF(E37&lt;TODAY(),"OVERDUE",IF(E37&lt;=TODAY()+7,"This week","Upcoming"))))</f>
        <v>No date yet</v>
      </c>
      <c r="H37" s="24"/>
    </row>
    <row r="38" customFormat="false" ht="30" hidden="false" customHeight="true" outlineLevel="0" collapsed="false">
      <c r="A38" s="22" t="n">
        <v>-1</v>
      </c>
      <c r="B38" s="23" t="s">
        <v>137</v>
      </c>
      <c r="C38" s="23" t="s">
        <v>28</v>
      </c>
      <c r="D38" s="24" t="s">
        <v>113</v>
      </c>
      <c r="E38" s="25" t="str">
        <f aca="false">IF('Show Setup'!$B$8="","",IF(A38&gt;=0,'Show Setup'!$B$8-A38*7,'Show Setup'!$B$8-A38))</f>
        <v/>
      </c>
      <c r="F38" s="24"/>
      <c r="G38" s="26" t="str">
        <f aca="true">IF(F38="Yes","DONE",IF(E38="","No date yet",IF(E38&lt;TODAY(),"OVERDUE",IF(E38&lt;=TODAY()+7,"This week","Upcoming"))))</f>
        <v>No date yet</v>
      </c>
      <c r="H38" s="24"/>
    </row>
    <row r="39" customFormat="false" ht="30" hidden="false" customHeight="true" outlineLevel="0" collapsed="false">
      <c r="A39" s="22" t="n">
        <v>-3</v>
      </c>
      <c r="B39" s="23" t="s">
        <v>138</v>
      </c>
      <c r="C39" s="23" t="s">
        <v>103</v>
      </c>
      <c r="D39" s="24" t="s">
        <v>97</v>
      </c>
      <c r="E39" s="25" t="str">
        <f aca="false">IF('Show Setup'!$B$8="","",IF(A39&gt;=0,'Show Setup'!$B$8-A39*7,'Show Setup'!$B$8-A39))</f>
        <v/>
      </c>
      <c r="F39" s="24"/>
      <c r="G39" s="26" t="str">
        <f aca="true">IF(F39="Yes","DONE",IF(E39="","No date yet",IF(E39&lt;TODAY(),"OVERDUE",IF(E39&lt;=TODAY()+7,"This week","Upcoming"))))</f>
        <v>No date yet</v>
      </c>
      <c r="H39" s="24"/>
    </row>
    <row r="40" customFormat="false" ht="30" hidden="false" customHeight="true" outlineLevel="0" collapsed="false">
      <c r="A40" s="22" t="n">
        <v>-3</v>
      </c>
      <c r="B40" s="23" t="s">
        <v>139</v>
      </c>
      <c r="C40" s="23" t="s">
        <v>105</v>
      </c>
      <c r="D40" s="24" t="s">
        <v>97</v>
      </c>
      <c r="E40" s="25" t="str">
        <f aca="false">IF('Show Setup'!$B$8="","",IF(A40&gt;=0,'Show Setup'!$B$8-A40*7,'Show Setup'!$B$8-A40))</f>
        <v/>
      </c>
      <c r="F40" s="24"/>
      <c r="G40" s="26" t="str">
        <f aca="true">IF(F40="Yes","DONE",IF(E40="","No date yet",IF(E40&lt;TODAY(),"OVERDUE",IF(E40&lt;=TODAY()+7,"This week","Upcoming"))))</f>
        <v>No date yet</v>
      </c>
      <c r="H40" s="24"/>
    </row>
    <row r="41" customFormat="false" ht="30" hidden="false" customHeight="true" outlineLevel="0" collapsed="false">
      <c r="A41" s="22" t="n">
        <v>-7</v>
      </c>
      <c r="B41" s="23" t="s">
        <v>140</v>
      </c>
      <c r="C41" s="23" t="s">
        <v>100</v>
      </c>
      <c r="D41" s="24" t="s">
        <v>113</v>
      </c>
      <c r="E41" s="25" t="str">
        <f aca="false">IF('Show Setup'!$B$8="","",IF(A41&gt;=0,'Show Setup'!$B$8-A41*7,'Show Setup'!$B$8-A41))</f>
        <v/>
      </c>
      <c r="F41" s="24"/>
      <c r="G41" s="26" t="str">
        <f aca="true">IF(F41="Yes","DONE",IF(E41="","No date yet",IF(E41&lt;TODAY(),"OVERDUE",IF(E41&lt;=TODAY()+7,"This week","Upcoming"))))</f>
        <v>No date yet</v>
      </c>
      <c r="H41" s="24"/>
    </row>
    <row r="42" customFormat="false" ht="30" hidden="false" customHeight="true" outlineLevel="0" collapsed="false">
      <c r="A42" s="22" t="n">
        <v>-14</v>
      </c>
      <c r="B42" s="23" t="s">
        <v>141</v>
      </c>
      <c r="C42" s="23" t="s">
        <v>105</v>
      </c>
      <c r="D42" s="24" t="s">
        <v>113</v>
      </c>
      <c r="E42" s="25" t="str">
        <f aca="false">IF('Show Setup'!$B$8="","",IF(A42&gt;=0,'Show Setup'!$B$8-A42*7,'Show Setup'!$B$8-A42))</f>
        <v/>
      </c>
      <c r="F42" s="24"/>
      <c r="G42" s="26" t="str">
        <f aca="true">IF(F42="Yes","DONE",IF(E42="","No date yet",IF(E42&lt;TODAY(),"OVERDUE",IF(E42&lt;=TODAY()+7,"This week","Upcoming"))))</f>
        <v>No date yet</v>
      </c>
      <c r="H42" s="24"/>
    </row>
    <row r="43" customFormat="false" ht="30" hidden="false" customHeight="true" outlineLevel="0" collapsed="false">
      <c r="A43" s="22" t="n">
        <v>-14</v>
      </c>
      <c r="B43" s="23" t="s">
        <v>142</v>
      </c>
      <c r="C43" s="23" t="s">
        <v>105</v>
      </c>
      <c r="D43" s="24" t="s">
        <v>97</v>
      </c>
      <c r="E43" s="25" t="str">
        <f aca="false">IF('Show Setup'!$B$8="","",IF(A43&gt;=0,'Show Setup'!$B$8-A43*7,'Show Setup'!$B$8-A43))</f>
        <v/>
      </c>
      <c r="F43" s="24"/>
      <c r="G43" s="26" t="str">
        <f aca="true">IF(F43="Yes","DONE",IF(E43="","No date yet",IF(E43&lt;TODAY(),"OVERDUE",IF(E43&lt;=TODAY()+7,"This week","Upcoming"))))</f>
        <v>No date yet</v>
      </c>
      <c r="H43" s="24"/>
    </row>
    <row r="44" customFormat="false" ht="15" hidden="false" customHeight="false" outlineLevel="0" collapsed="false">
      <c r="A44" s="27"/>
      <c r="B44" s="27"/>
      <c r="C44" s="27"/>
      <c r="D44" s="27"/>
      <c r="E44" s="28" t="str">
        <f aca="false">IF(OR(B44="",'Show Setup'!$B$8=""),"",IF(A44&gt;=0,'Show Setup'!$B$8-A44*7,'Show Setup'!$B$8-A44))</f>
        <v/>
      </c>
      <c r="F44" s="27"/>
      <c r="G44" s="29" t="str">
        <f aca="true">IF(B44="","",IF(F44="Yes","DONE",IF(E44="","No date yet",IF(E44&lt;TODAY(),"OVERDUE",IF(E44&lt;=TODAY()+7,"This week","Upcoming")))))</f>
        <v/>
      </c>
      <c r="H44" s="27"/>
    </row>
    <row r="45" customFormat="false" ht="15" hidden="false" customHeight="false" outlineLevel="0" collapsed="false">
      <c r="A45" s="27"/>
      <c r="B45" s="27"/>
      <c r="C45" s="27"/>
      <c r="D45" s="27"/>
      <c r="E45" s="28" t="str">
        <f aca="false">IF(OR(B45="",'Show Setup'!$B$8=""),"",IF(A45&gt;=0,'Show Setup'!$B$8-A45*7,'Show Setup'!$B$8-A45))</f>
        <v/>
      </c>
      <c r="F45" s="27"/>
      <c r="G45" s="29" t="str">
        <f aca="true">IF(B45="","",IF(F45="Yes","DONE",IF(E45="","No date yet",IF(E45&lt;TODAY(),"OVERDUE",IF(E45&lt;=TODAY()+7,"This week","Upcoming")))))</f>
        <v/>
      </c>
      <c r="H45" s="27"/>
    </row>
    <row r="46" customFormat="false" ht="15" hidden="false" customHeight="false" outlineLevel="0" collapsed="false">
      <c r="A46" s="27"/>
      <c r="B46" s="27"/>
      <c r="C46" s="27"/>
      <c r="D46" s="27"/>
      <c r="E46" s="28" t="str">
        <f aca="false">IF(OR(B46="",'Show Setup'!$B$8=""),"",IF(A46&gt;=0,'Show Setup'!$B$8-A46*7,'Show Setup'!$B$8-A46))</f>
        <v/>
      </c>
      <c r="F46" s="27"/>
      <c r="G46" s="29" t="str">
        <f aca="true">IF(B46="","",IF(F46="Yes","DONE",IF(E46="","No date yet",IF(E46&lt;TODAY(),"OVERDUE",IF(E46&lt;=TODAY()+7,"This week","Upcoming")))))</f>
        <v/>
      </c>
      <c r="H46" s="27"/>
    </row>
    <row r="47" customFormat="false" ht="15" hidden="false" customHeight="false" outlineLevel="0" collapsed="false">
      <c r="A47" s="27"/>
      <c r="B47" s="27"/>
      <c r="C47" s="27"/>
      <c r="D47" s="27"/>
      <c r="E47" s="28" t="str">
        <f aca="false">IF(OR(B47="",'Show Setup'!$B$8=""),"",IF(A47&gt;=0,'Show Setup'!$B$8-A47*7,'Show Setup'!$B$8-A47))</f>
        <v/>
      </c>
      <c r="F47" s="27"/>
      <c r="G47" s="29" t="str">
        <f aca="true">IF(B47="","",IF(F47="Yes","DONE",IF(E47="","No date yet",IF(E47&lt;TODAY(),"OVERDUE",IF(E47&lt;=TODAY()+7,"This week","Upcoming")))))</f>
        <v/>
      </c>
      <c r="H47" s="27"/>
    </row>
    <row r="48" customFormat="false" ht="15" hidden="false" customHeight="false" outlineLevel="0" collapsed="false">
      <c r="A48" s="27"/>
      <c r="B48" s="27"/>
      <c r="C48" s="27"/>
      <c r="D48" s="27"/>
      <c r="E48" s="28" t="str">
        <f aca="false">IF(OR(B48="",'Show Setup'!$B$8=""),"",IF(A48&gt;=0,'Show Setup'!$B$8-A48*7,'Show Setup'!$B$8-A48))</f>
        <v/>
      </c>
      <c r="F48" s="27"/>
      <c r="G48" s="29" t="str">
        <f aca="true">IF(B48="","",IF(F48="Yes","DONE",IF(E48="","No date yet",IF(E48&lt;TODAY(),"OVERDUE",IF(E48&lt;=TODAY()+7,"This week","Upcoming")))))</f>
        <v/>
      </c>
      <c r="H48" s="27"/>
    </row>
    <row r="49" customFormat="false" ht="15" hidden="false" customHeight="false" outlineLevel="0" collapsed="false">
      <c r="A49" s="27"/>
      <c r="B49" s="27"/>
      <c r="C49" s="27"/>
      <c r="D49" s="27"/>
      <c r="E49" s="28" t="str">
        <f aca="false">IF(OR(B49="",'Show Setup'!$B$8=""),"",IF(A49&gt;=0,'Show Setup'!$B$8-A49*7,'Show Setup'!$B$8-A49))</f>
        <v/>
      </c>
      <c r="F49" s="27"/>
      <c r="G49" s="29" t="str">
        <f aca="true">IF(B49="","",IF(F49="Yes","DONE",IF(E49="","No date yet",IF(E49&lt;TODAY(),"OVERDUE",IF(E49&lt;=TODAY()+7,"This week","Upcoming")))))</f>
        <v/>
      </c>
      <c r="H49" s="27"/>
    </row>
    <row r="50" customFormat="false" ht="15" hidden="false" customHeight="false" outlineLevel="0" collapsed="false">
      <c r="A50" s="27"/>
      <c r="B50" s="27"/>
      <c r="C50" s="27"/>
      <c r="D50" s="27"/>
      <c r="E50" s="28" t="str">
        <f aca="false">IF(OR(B50="",'Show Setup'!$B$8=""),"",IF(A50&gt;=0,'Show Setup'!$B$8-A50*7,'Show Setup'!$B$8-A50))</f>
        <v/>
      </c>
      <c r="F50" s="27"/>
      <c r="G50" s="29" t="str">
        <f aca="true">IF(B50="","",IF(F50="Yes","DONE",IF(E50="","No date yet",IF(E50&lt;TODAY(),"OVERDUE",IF(E50&lt;=TODAY()+7,"This week","Upcoming")))))</f>
        <v/>
      </c>
      <c r="H50" s="27"/>
    </row>
    <row r="51" customFormat="false" ht="15" hidden="false" customHeight="false" outlineLevel="0" collapsed="false">
      <c r="A51" s="27"/>
      <c r="B51" s="27"/>
      <c r="C51" s="27"/>
      <c r="D51" s="27"/>
      <c r="E51" s="28" t="str">
        <f aca="false">IF(OR(B51="",'Show Setup'!$B$8=""),"",IF(A51&gt;=0,'Show Setup'!$B$8-A51*7,'Show Setup'!$B$8-A51))</f>
        <v/>
      </c>
      <c r="F51" s="27"/>
      <c r="G51" s="29" t="str">
        <f aca="true">IF(B51="","",IF(F51="Yes","DONE",IF(E51="","No date yet",IF(E51&lt;TODAY(),"OVERDUE",IF(E51&lt;=TODAY()+7,"This week","Upcoming")))))</f>
        <v/>
      </c>
      <c r="H51" s="27"/>
    </row>
    <row r="52" customFormat="false" ht="15" hidden="false" customHeight="false" outlineLevel="0" collapsed="false">
      <c r="A52" s="27"/>
      <c r="B52" s="27"/>
      <c r="C52" s="27"/>
      <c r="D52" s="27"/>
      <c r="E52" s="28" t="str">
        <f aca="false">IF(OR(B52="",'Show Setup'!$B$8=""),"",IF(A52&gt;=0,'Show Setup'!$B$8-A52*7,'Show Setup'!$B$8-A52))</f>
        <v/>
      </c>
      <c r="F52" s="27"/>
      <c r="G52" s="29" t="str">
        <f aca="true">IF(B52="","",IF(F52="Yes","DONE",IF(E52="","No date yet",IF(E52&lt;TODAY(),"OVERDUE",IF(E52&lt;=TODAY()+7,"This week","Upcoming")))))</f>
        <v/>
      </c>
      <c r="H52" s="27"/>
    </row>
    <row r="53" customFormat="false" ht="15" hidden="false" customHeight="false" outlineLevel="0" collapsed="false">
      <c r="A53" s="27"/>
      <c r="B53" s="27"/>
      <c r="C53" s="27"/>
      <c r="D53" s="27"/>
      <c r="E53" s="28" t="str">
        <f aca="false">IF(OR(B53="",'Show Setup'!$B$8=""),"",IF(A53&gt;=0,'Show Setup'!$B$8-A53*7,'Show Setup'!$B$8-A53))</f>
        <v/>
      </c>
      <c r="F53" s="27"/>
      <c r="G53" s="29" t="str">
        <f aca="true">IF(B53="","",IF(F53="Yes","DONE",IF(E53="","No date yet",IF(E53&lt;TODAY(),"OVERDUE",IF(E53&lt;=TODAY()+7,"This week","Upcoming")))))</f>
        <v/>
      </c>
      <c r="H53" s="27"/>
    </row>
    <row r="54" customFormat="false" ht="15" hidden="false" customHeight="false" outlineLevel="0" collapsed="false">
      <c r="A54" s="27"/>
      <c r="B54" s="27"/>
      <c r="C54" s="27"/>
      <c r="D54" s="27"/>
      <c r="E54" s="28" t="str">
        <f aca="false">IF(OR(B54="",'Show Setup'!$B$8=""),"",IF(A54&gt;=0,'Show Setup'!$B$8-A54*7,'Show Setup'!$B$8-A54))</f>
        <v/>
      </c>
      <c r="F54" s="27"/>
      <c r="G54" s="29" t="str">
        <f aca="true">IF(B54="","",IF(F54="Yes","DONE",IF(E54="","No date yet",IF(E54&lt;TODAY(),"OVERDUE",IF(E54&lt;=TODAY()+7,"This week","Upcoming")))))</f>
        <v/>
      </c>
      <c r="H54" s="27"/>
    </row>
    <row r="55" customFormat="false" ht="15" hidden="false" customHeight="false" outlineLevel="0" collapsed="false">
      <c r="A55" s="27"/>
      <c r="B55" s="27"/>
      <c r="C55" s="27"/>
      <c r="D55" s="27"/>
      <c r="E55" s="28" t="str">
        <f aca="false">IF(OR(B55="",'Show Setup'!$B$8=""),"",IF(A55&gt;=0,'Show Setup'!$B$8-A55*7,'Show Setup'!$B$8-A55))</f>
        <v/>
      </c>
      <c r="F55" s="27"/>
      <c r="G55" s="29" t="str">
        <f aca="true">IF(B55="","",IF(F55="Yes","DONE",IF(E55="","No date yet",IF(E55&lt;TODAY(),"OVERDUE",IF(E55&lt;=TODAY()+7,"This week","Upcoming")))))</f>
        <v/>
      </c>
      <c r="H55" s="27"/>
    </row>
    <row r="56" customFormat="false" ht="15" hidden="false" customHeight="false" outlineLevel="0" collapsed="false">
      <c r="A56" s="27"/>
      <c r="B56" s="27"/>
      <c r="C56" s="27"/>
      <c r="D56" s="27"/>
      <c r="E56" s="28" t="str">
        <f aca="false">IF(OR(B56="",'Show Setup'!$B$8=""),"",IF(A56&gt;=0,'Show Setup'!$B$8-A56*7,'Show Setup'!$B$8-A56))</f>
        <v/>
      </c>
      <c r="F56" s="27"/>
      <c r="G56" s="29" t="str">
        <f aca="true">IF(B56="","",IF(F56="Yes","DONE",IF(E56="","No date yet",IF(E56&lt;TODAY(),"OVERDUE",IF(E56&lt;=TODAY()+7,"This week","Upcoming")))))</f>
        <v/>
      </c>
      <c r="H56" s="27"/>
    </row>
    <row r="57" customFormat="false" ht="15" hidden="false" customHeight="false" outlineLevel="0" collapsed="false">
      <c r="A57" s="27"/>
      <c r="B57" s="27"/>
      <c r="C57" s="27"/>
      <c r="D57" s="27"/>
      <c r="E57" s="28" t="str">
        <f aca="false">IF(OR(B57="",'Show Setup'!$B$8=""),"",IF(A57&gt;=0,'Show Setup'!$B$8-A57*7,'Show Setup'!$B$8-A57))</f>
        <v/>
      </c>
      <c r="F57" s="27"/>
      <c r="G57" s="29" t="str">
        <f aca="true">IF(B57="","",IF(F57="Yes","DONE",IF(E57="","No date yet",IF(E57&lt;TODAY(),"OVERDUE",IF(E57&lt;=TODAY()+7,"This week","Upcoming")))))</f>
        <v/>
      </c>
      <c r="H57" s="27"/>
    </row>
    <row r="58" customFormat="false" ht="15" hidden="false" customHeight="false" outlineLevel="0" collapsed="false">
      <c r="A58" s="27"/>
      <c r="B58" s="27"/>
      <c r="C58" s="27"/>
      <c r="D58" s="27"/>
      <c r="E58" s="28" t="str">
        <f aca="false">IF(OR(B58="",'Show Setup'!$B$8=""),"",IF(A58&gt;=0,'Show Setup'!$B$8-A58*7,'Show Setup'!$B$8-A58))</f>
        <v/>
      </c>
      <c r="F58" s="27"/>
      <c r="G58" s="29" t="str">
        <f aca="true">IF(B58="","",IF(F58="Yes","DONE",IF(E58="","No date yet",IF(E58&lt;TODAY(),"OVERDUE",IF(E58&lt;=TODAY()+7,"This week","Upcoming")))))</f>
        <v/>
      </c>
      <c r="H58" s="27"/>
    </row>
  </sheetData>
  <mergeCells count="2">
    <mergeCell ref="A1:H1"/>
    <mergeCell ref="A2:H2"/>
  </mergeCells>
  <conditionalFormatting sqref="G5:G58">
    <cfRule type="cellIs" priority="2" operator="equal" aboveAverage="0" equalAverage="0" bottom="0" percent="0" rank="0" text="" dxfId="0">
      <formula>"DONE"</formula>
    </cfRule>
    <cfRule type="cellIs" priority="3" operator="equal" aboveAverage="0" equalAverage="0" bottom="0" percent="0" rank="0" text="" dxfId="1">
      <formula>"OVERDUE"</formula>
    </cfRule>
    <cfRule type="cellIs" priority="4" operator="equal" aboveAverage="0" equalAverage="0" bottom="0" percent="0" rank="0" text="" dxfId="2">
      <formula>"This week"</formula>
    </cfRule>
  </conditionalFormatting>
  <dataValidations count="1">
    <dataValidation allowBlank="true" errorStyle="stop" operator="between" showDropDown="false" showErrorMessage="false" showInputMessage="false" sqref="F5:F58"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M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26"/>
    <col collapsed="false" customWidth="true" hidden="false" outlineLevel="0" max="4" min="4" style="0" width="11"/>
    <col collapsed="false" customWidth="true" hidden="false" outlineLevel="0" max="5" min="5" style="0" width="30"/>
    <col collapsed="false" customWidth="true" hidden="false" outlineLevel="0" max="6" min="6" style="0" width="28"/>
    <col collapsed="false" customWidth="true" hidden="false" outlineLevel="0" max="7" min="7" style="0" width="14"/>
    <col collapsed="false" customWidth="true" hidden="false" outlineLevel="0" max="8" min="8" style="0" width="9"/>
    <col collapsed="false" customWidth="true" hidden="false" outlineLevel="0" max="10" min="9" style="0" width="11"/>
    <col collapsed="false" customWidth="true" hidden="false" outlineLevel="0" max="11" min="11" style="0" width="9"/>
    <col collapsed="false" customWidth="true" hidden="false" outlineLevel="0" max="12" min="12" style="0" width="50"/>
    <col collapsed="false" customWidth="true" hidden="false" outlineLevel="0" max="13" min="13" style="0" width="28"/>
  </cols>
  <sheetData>
    <row r="1" customFormat="false" ht="30" hidden="false" customHeight="true" outlineLevel="0" collapsed="false">
      <c r="A1" s="1" t="s">
        <v>143</v>
      </c>
      <c r="B1" s="1"/>
      <c r="C1" s="1"/>
      <c r="D1" s="1"/>
      <c r="E1" s="1"/>
      <c r="F1" s="1"/>
      <c r="G1" s="1"/>
      <c r="H1" s="1"/>
      <c r="I1" s="1"/>
      <c r="J1" s="1"/>
      <c r="K1" s="1"/>
      <c r="L1" s="1"/>
      <c r="M1" s="1"/>
    </row>
    <row r="2" customFormat="false" ht="33.75" hidden="false" customHeight="true" outlineLevel="0" collapsed="false">
      <c r="A2" s="2" t="s">
        <v>144</v>
      </c>
      <c r="B2" s="2"/>
      <c r="C2" s="2"/>
      <c r="D2" s="2"/>
      <c r="E2" s="2"/>
      <c r="F2" s="2"/>
      <c r="G2" s="2"/>
      <c r="H2" s="2"/>
      <c r="I2" s="2"/>
      <c r="J2" s="2"/>
      <c r="K2" s="2"/>
      <c r="L2" s="2"/>
      <c r="M2" s="2"/>
    </row>
    <row r="4" customFormat="false" ht="33.75" hidden="false" customHeight="true" outlineLevel="0" collapsed="false">
      <c r="A4" s="21" t="s">
        <v>145</v>
      </c>
      <c r="B4" s="21" t="s">
        <v>60</v>
      </c>
      <c r="C4" s="21" t="s">
        <v>146</v>
      </c>
      <c r="D4" s="21" t="s">
        <v>147</v>
      </c>
      <c r="E4" s="21" t="s">
        <v>148</v>
      </c>
      <c r="F4" s="21" t="s">
        <v>149</v>
      </c>
      <c r="G4" s="21" t="s">
        <v>150</v>
      </c>
      <c r="H4" s="21" t="s">
        <v>151</v>
      </c>
      <c r="I4" s="21" t="s">
        <v>152</v>
      </c>
      <c r="J4" s="21" t="s">
        <v>153</v>
      </c>
      <c r="K4" s="21" t="s">
        <v>154</v>
      </c>
      <c r="L4" s="21" t="s">
        <v>95</v>
      </c>
      <c r="M4" s="21" t="s">
        <v>155</v>
      </c>
    </row>
    <row r="5" customFormat="false" ht="129.75" hidden="false" customHeight="true" outlineLevel="0" collapsed="false">
      <c r="A5" s="23" t="s">
        <v>156</v>
      </c>
      <c r="B5" s="23" t="s">
        <v>157</v>
      </c>
      <c r="C5" s="23" t="s">
        <v>158</v>
      </c>
      <c r="D5" s="23" t="s">
        <v>159</v>
      </c>
      <c r="E5" s="23" t="s">
        <v>160</v>
      </c>
      <c r="F5" s="23" t="s">
        <v>161</v>
      </c>
      <c r="G5" s="24" t="s">
        <v>162</v>
      </c>
      <c r="H5" s="24"/>
      <c r="I5" s="30"/>
      <c r="J5" s="30"/>
      <c r="K5" s="31" t="str">
        <f aca="true">IF(OR(A5="",J5="",G5="Sending fighters",G5="Not this time"),"",IF(J5&lt;=TODAY(),"DUE",""))</f>
        <v/>
      </c>
      <c r="L5" s="24" t="s">
        <v>163</v>
      </c>
      <c r="M5" s="23" t="s">
        <v>164</v>
      </c>
    </row>
    <row r="6" customFormat="false" ht="78" hidden="false" customHeight="true" outlineLevel="0" collapsed="false">
      <c r="A6" s="23" t="s">
        <v>165</v>
      </c>
      <c r="B6" s="23" t="s">
        <v>166</v>
      </c>
      <c r="C6" s="23" t="s">
        <v>167</v>
      </c>
      <c r="D6" s="23" t="s">
        <v>159</v>
      </c>
      <c r="E6" s="23" t="s">
        <v>168</v>
      </c>
      <c r="F6" s="23" t="s">
        <v>169</v>
      </c>
      <c r="G6" s="24" t="s">
        <v>162</v>
      </c>
      <c r="H6" s="24"/>
      <c r="I6" s="30"/>
      <c r="J6" s="30"/>
      <c r="K6" s="31" t="str">
        <f aca="true">IF(OR(A6="",J6="",G6="Sending fighters",G6="Not this time"),"",IF(J6&lt;=TODAY(),"DUE",""))</f>
        <v/>
      </c>
      <c r="L6" s="24" t="s">
        <v>170</v>
      </c>
      <c r="M6" s="23" t="s">
        <v>171</v>
      </c>
    </row>
    <row r="7" customFormat="false" ht="64.5" hidden="false" customHeight="true" outlineLevel="0" collapsed="false">
      <c r="A7" s="23" t="s">
        <v>172</v>
      </c>
      <c r="B7" s="23" t="s">
        <v>166</v>
      </c>
      <c r="C7" s="23" t="s">
        <v>173</v>
      </c>
      <c r="D7" s="23" t="s">
        <v>159</v>
      </c>
      <c r="E7" s="23" t="s">
        <v>174</v>
      </c>
      <c r="F7" s="23" t="s">
        <v>175</v>
      </c>
      <c r="G7" s="24" t="s">
        <v>162</v>
      </c>
      <c r="H7" s="24"/>
      <c r="I7" s="30"/>
      <c r="J7" s="30"/>
      <c r="K7" s="31" t="str">
        <f aca="true">IF(OR(A7="",J7="",G7="Sending fighters",G7="Not this time"),"",IF(J7&lt;=TODAY(),"DUE",""))</f>
        <v/>
      </c>
      <c r="L7" s="24" t="s">
        <v>176</v>
      </c>
      <c r="M7" s="23" t="s">
        <v>177</v>
      </c>
    </row>
    <row r="8" customFormat="false" ht="78" hidden="false" customHeight="true" outlineLevel="0" collapsed="false">
      <c r="A8" s="23" t="s">
        <v>178</v>
      </c>
      <c r="B8" s="23" t="s">
        <v>179</v>
      </c>
      <c r="C8" s="23" t="s">
        <v>180</v>
      </c>
      <c r="D8" s="23" t="s">
        <v>159</v>
      </c>
      <c r="E8" s="23" t="s">
        <v>181</v>
      </c>
      <c r="F8" s="23" t="s">
        <v>182</v>
      </c>
      <c r="G8" s="24" t="s">
        <v>162</v>
      </c>
      <c r="H8" s="24"/>
      <c r="I8" s="30"/>
      <c r="J8" s="30"/>
      <c r="K8" s="31" t="str">
        <f aca="true">IF(OR(A8="",J8="",G8="Sending fighters",G8="Not this time"),"",IF(J8&lt;=TODAY(),"DUE",""))</f>
        <v/>
      </c>
      <c r="L8" s="24" t="s">
        <v>183</v>
      </c>
      <c r="M8" s="23" t="s">
        <v>182</v>
      </c>
    </row>
    <row r="9" customFormat="false" ht="64.5" hidden="false" customHeight="true" outlineLevel="0" collapsed="false">
      <c r="A9" s="23" t="s">
        <v>184</v>
      </c>
      <c r="B9" s="23" t="s">
        <v>185</v>
      </c>
      <c r="C9" s="23" t="s">
        <v>186</v>
      </c>
      <c r="D9" s="23" t="s">
        <v>159</v>
      </c>
      <c r="E9" s="23" t="s">
        <v>187</v>
      </c>
      <c r="F9" s="23"/>
      <c r="G9" s="24" t="s">
        <v>162</v>
      </c>
      <c r="H9" s="24"/>
      <c r="I9" s="30"/>
      <c r="J9" s="30"/>
      <c r="K9" s="31" t="str">
        <f aca="true">IF(OR(A9="",J9="",G9="Sending fighters",G9="Not this time"),"",IF(J9&lt;=TODAY(),"DUE",""))</f>
        <v/>
      </c>
      <c r="L9" s="24" t="s">
        <v>188</v>
      </c>
      <c r="M9" s="23" t="s">
        <v>189</v>
      </c>
    </row>
    <row r="10" customFormat="false" ht="78" hidden="false" customHeight="true" outlineLevel="0" collapsed="false">
      <c r="A10" s="23" t="s">
        <v>190</v>
      </c>
      <c r="B10" s="23" t="s">
        <v>191</v>
      </c>
      <c r="C10" s="23" t="s">
        <v>192</v>
      </c>
      <c r="D10" s="23" t="s">
        <v>159</v>
      </c>
      <c r="E10" s="23" t="s">
        <v>193</v>
      </c>
      <c r="F10" s="23" t="s">
        <v>194</v>
      </c>
      <c r="G10" s="24" t="s">
        <v>162</v>
      </c>
      <c r="H10" s="24"/>
      <c r="I10" s="30"/>
      <c r="J10" s="30"/>
      <c r="K10" s="31" t="str">
        <f aca="true">IF(OR(A10="",J10="",G10="Sending fighters",G10="Not this time"),"",IF(J10&lt;=TODAY(),"DUE",""))</f>
        <v/>
      </c>
      <c r="L10" s="24" t="s">
        <v>195</v>
      </c>
      <c r="M10" s="23" t="s">
        <v>194</v>
      </c>
    </row>
    <row r="11" customFormat="false" ht="42" hidden="false" customHeight="true" outlineLevel="0" collapsed="false">
      <c r="A11" s="23" t="s">
        <v>196</v>
      </c>
      <c r="B11" s="23" t="s">
        <v>197</v>
      </c>
      <c r="C11" s="23" t="s">
        <v>198</v>
      </c>
      <c r="D11" s="23" t="s">
        <v>159</v>
      </c>
      <c r="E11" s="23" t="s">
        <v>199</v>
      </c>
      <c r="F11" s="23"/>
      <c r="G11" s="24" t="s">
        <v>162</v>
      </c>
      <c r="H11" s="24"/>
      <c r="I11" s="30"/>
      <c r="J11" s="30"/>
      <c r="K11" s="31" t="str">
        <f aca="true">IF(OR(A11="",J11="",G11="Sending fighters",G11="Not this time"),"",IF(J11&lt;=TODAY(),"DUE",""))</f>
        <v/>
      </c>
      <c r="L11" s="24" t="s">
        <v>200</v>
      </c>
      <c r="M11" s="23" t="s">
        <v>201</v>
      </c>
    </row>
    <row r="12" customFormat="false" ht="42" hidden="false" customHeight="true" outlineLevel="0" collapsed="false">
      <c r="A12" s="23" t="s">
        <v>202</v>
      </c>
      <c r="B12" s="23" t="s">
        <v>166</v>
      </c>
      <c r="C12" s="23" t="s">
        <v>198</v>
      </c>
      <c r="D12" s="23" t="s">
        <v>159</v>
      </c>
      <c r="E12" s="23" t="s">
        <v>203</v>
      </c>
      <c r="F12" s="23"/>
      <c r="G12" s="24" t="s">
        <v>162</v>
      </c>
      <c r="H12" s="24"/>
      <c r="I12" s="30"/>
      <c r="J12" s="30"/>
      <c r="K12" s="31" t="str">
        <f aca="true">IF(OR(A12="",J12="",G12="Sending fighters",G12="Not this time"),"",IF(J12&lt;=TODAY(),"DUE",""))</f>
        <v/>
      </c>
      <c r="L12" s="24" t="s">
        <v>204</v>
      </c>
      <c r="M12" s="23" t="s">
        <v>201</v>
      </c>
    </row>
    <row r="13" customFormat="false" ht="42" hidden="false" customHeight="true" outlineLevel="0" collapsed="false">
      <c r="A13" s="23" t="s">
        <v>205</v>
      </c>
      <c r="B13" s="23" t="s">
        <v>166</v>
      </c>
      <c r="C13" s="23" t="s">
        <v>198</v>
      </c>
      <c r="D13" s="23" t="s">
        <v>159</v>
      </c>
      <c r="E13" s="23" t="s">
        <v>199</v>
      </c>
      <c r="F13" s="23"/>
      <c r="G13" s="24" t="s">
        <v>162</v>
      </c>
      <c r="H13" s="24"/>
      <c r="I13" s="30"/>
      <c r="J13" s="30"/>
      <c r="K13" s="31" t="str">
        <f aca="true">IF(OR(A13="",J13="",G13="Sending fighters",G13="Not this time"),"",IF(J13&lt;=TODAY(),"DUE",""))</f>
        <v/>
      </c>
      <c r="L13" s="24" t="s">
        <v>204</v>
      </c>
      <c r="M13" s="23" t="s">
        <v>201</v>
      </c>
    </row>
    <row r="14" customFormat="false" ht="42" hidden="false" customHeight="true" outlineLevel="0" collapsed="false">
      <c r="A14" s="23" t="s">
        <v>206</v>
      </c>
      <c r="B14" s="23" t="s">
        <v>207</v>
      </c>
      <c r="C14" s="23" t="s">
        <v>198</v>
      </c>
      <c r="D14" s="23" t="s">
        <v>159</v>
      </c>
      <c r="E14" s="23" t="s">
        <v>199</v>
      </c>
      <c r="F14" s="23"/>
      <c r="G14" s="24" t="s">
        <v>162</v>
      </c>
      <c r="H14" s="24"/>
      <c r="I14" s="30"/>
      <c r="J14" s="30"/>
      <c r="K14" s="31" t="str">
        <f aca="true">IF(OR(A14="",J14="",G14="Sending fighters",G14="Not this time"),"",IF(J14&lt;=TODAY(),"DUE",""))</f>
        <v/>
      </c>
      <c r="L14" s="24" t="s">
        <v>204</v>
      </c>
      <c r="M14" s="23" t="s">
        <v>201</v>
      </c>
    </row>
    <row r="15" customFormat="false" ht="42" hidden="false" customHeight="true" outlineLevel="0" collapsed="false">
      <c r="A15" s="23" t="s">
        <v>208</v>
      </c>
      <c r="B15" s="23" t="s">
        <v>185</v>
      </c>
      <c r="C15" s="23" t="s">
        <v>209</v>
      </c>
      <c r="D15" s="23" t="s">
        <v>159</v>
      </c>
      <c r="E15" s="23" t="s">
        <v>210</v>
      </c>
      <c r="F15" s="23" t="s">
        <v>211</v>
      </c>
      <c r="G15" s="24" t="s">
        <v>162</v>
      </c>
      <c r="H15" s="24"/>
      <c r="I15" s="30"/>
      <c r="J15" s="30"/>
      <c r="K15" s="31" t="str">
        <f aca="true">IF(OR(A15="",J15="",G15="Sending fighters",G15="Not this time"),"",IF(J15&lt;=TODAY(),"DUE",""))</f>
        <v/>
      </c>
      <c r="L15" s="24" t="s">
        <v>212</v>
      </c>
      <c r="M15" s="23" t="s">
        <v>211</v>
      </c>
    </row>
    <row r="16" customFormat="false" ht="42" hidden="false" customHeight="true" outlineLevel="0" collapsed="false">
      <c r="A16" s="23" t="s">
        <v>213</v>
      </c>
      <c r="B16" s="23" t="s">
        <v>185</v>
      </c>
      <c r="C16" s="23" t="s">
        <v>198</v>
      </c>
      <c r="D16" s="23" t="s">
        <v>159</v>
      </c>
      <c r="E16" s="23" t="s">
        <v>214</v>
      </c>
      <c r="F16" s="23"/>
      <c r="G16" s="24" t="s">
        <v>162</v>
      </c>
      <c r="H16" s="24"/>
      <c r="I16" s="30"/>
      <c r="J16" s="30"/>
      <c r="K16" s="31" t="str">
        <f aca="true">IF(OR(A16="",J16="",G16="Sending fighters",G16="Not this time"),"",IF(J16&lt;=TODAY(),"DUE",""))</f>
        <v/>
      </c>
      <c r="L16" s="24" t="s">
        <v>204</v>
      </c>
      <c r="M16" s="23" t="s">
        <v>201</v>
      </c>
    </row>
    <row r="17" customFormat="false" ht="64.5" hidden="false" customHeight="true" outlineLevel="0" collapsed="false">
      <c r="A17" s="23" t="s">
        <v>215</v>
      </c>
      <c r="B17" s="23" t="s">
        <v>216</v>
      </c>
      <c r="C17" s="23" t="s">
        <v>217</v>
      </c>
      <c r="D17" s="23" t="s">
        <v>159</v>
      </c>
      <c r="E17" s="23" t="s">
        <v>218</v>
      </c>
      <c r="F17" s="23"/>
      <c r="G17" s="24" t="s">
        <v>162</v>
      </c>
      <c r="H17" s="24"/>
      <c r="I17" s="30"/>
      <c r="J17" s="30"/>
      <c r="K17" s="31" t="str">
        <f aca="true">IF(OR(A17="",J17="",G17="Sending fighters",G17="Not this time"),"",IF(J17&lt;=TODAY(),"DUE",""))</f>
        <v/>
      </c>
      <c r="L17" s="24" t="s">
        <v>219</v>
      </c>
      <c r="M17" s="23" t="s">
        <v>220</v>
      </c>
    </row>
    <row r="18" customFormat="false" ht="42" hidden="false" customHeight="true" outlineLevel="0" collapsed="false">
      <c r="A18" s="23" t="s">
        <v>221</v>
      </c>
      <c r="B18" s="23" t="s">
        <v>207</v>
      </c>
      <c r="C18" s="23" t="s">
        <v>222</v>
      </c>
      <c r="D18" s="23" t="s">
        <v>223</v>
      </c>
      <c r="E18" s="23" t="s">
        <v>224</v>
      </c>
      <c r="F18" s="23" t="s">
        <v>225</v>
      </c>
      <c r="G18" s="24" t="s">
        <v>162</v>
      </c>
      <c r="H18" s="24"/>
      <c r="I18" s="30"/>
      <c r="J18" s="30"/>
      <c r="K18" s="31" t="str">
        <f aca="true">IF(OR(A18="",J18="",G18="Sending fighters",G18="Not this time"),"",IF(J18&lt;=TODAY(),"DUE",""))</f>
        <v/>
      </c>
      <c r="L18" s="24" t="s">
        <v>226</v>
      </c>
      <c r="M18" s="23" t="s">
        <v>225</v>
      </c>
    </row>
    <row r="19" customFormat="false" ht="42" hidden="false" customHeight="true" outlineLevel="0" collapsed="false">
      <c r="A19" s="23" t="s">
        <v>227</v>
      </c>
      <c r="B19" s="23" t="s">
        <v>228</v>
      </c>
      <c r="C19" s="23" t="s">
        <v>229</v>
      </c>
      <c r="D19" s="23" t="s">
        <v>223</v>
      </c>
      <c r="E19" s="23" t="s">
        <v>230</v>
      </c>
      <c r="F19" s="23" t="s">
        <v>231</v>
      </c>
      <c r="G19" s="24" t="s">
        <v>162</v>
      </c>
      <c r="H19" s="24"/>
      <c r="I19" s="30"/>
      <c r="J19" s="30"/>
      <c r="K19" s="31" t="str">
        <f aca="true">IF(OR(A19="",J19="",G19="Sending fighters",G19="Not this time"),"",IF(J19&lt;=TODAY(),"DUE",""))</f>
        <v/>
      </c>
      <c r="L19" s="24" t="s">
        <v>232</v>
      </c>
      <c r="M19" s="23" t="s">
        <v>231</v>
      </c>
    </row>
    <row r="20" customFormat="false" ht="103.5" hidden="false" customHeight="true" outlineLevel="0" collapsed="false">
      <c r="A20" s="23" t="s">
        <v>233</v>
      </c>
      <c r="B20" s="23" t="s">
        <v>234</v>
      </c>
      <c r="C20" s="23" t="s">
        <v>235</v>
      </c>
      <c r="D20" s="23" t="s">
        <v>223</v>
      </c>
      <c r="E20" s="23" t="s">
        <v>236</v>
      </c>
      <c r="F20" s="23" t="s">
        <v>237</v>
      </c>
      <c r="G20" s="24" t="s">
        <v>162</v>
      </c>
      <c r="H20" s="24"/>
      <c r="I20" s="30"/>
      <c r="J20" s="30"/>
      <c r="K20" s="31" t="str">
        <f aca="true">IF(OR(A20="",J20="",G20="Sending fighters",G20="Not this time"),"",IF(J20&lt;=TODAY(),"DUE",""))</f>
        <v/>
      </c>
      <c r="L20" s="24" t="s">
        <v>238</v>
      </c>
      <c r="M20" s="23" t="s">
        <v>237</v>
      </c>
    </row>
    <row r="21" customFormat="false" ht="51.75" hidden="false" customHeight="true" outlineLevel="0" collapsed="false">
      <c r="A21" s="23" t="s">
        <v>239</v>
      </c>
      <c r="B21" s="23" t="s">
        <v>197</v>
      </c>
      <c r="C21" s="23" t="s">
        <v>240</v>
      </c>
      <c r="D21" s="23" t="s">
        <v>223</v>
      </c>
      <c r="E21" s="23" t="s">
        <v>241</v>
      </c>
      <c r="F21" s="23" t="s">
        <v>242</v>
      </c>
      <c r="G21" s="24" t="s">
        <v>162</v>
      </c>
      <c r="H21" s="24"/>
      <c r="I21" s="30"/>
      <c r="J21" s="30"/>
      <c r="K21" s="31" t="str">
        <f aca="true">IF(OR(A21="",J21="",G21="Sending fighters",G21="Not this time"),"",IF(J21&lt;=TODAY(),"DUE",""))</f>
        <v/>
      </c>
      <c r="L21" s="24" t="s">
        <v>243</v>
      </c>
      <c r="M21" s="23" t="s">
        <v>242</v>
      </c>
    </row>
    <row r="22" customFormat="false" ht="90.75" hidden="false" customHeight="true" outlineLevel="0" collapsed="false">
      <c r="A22" s="23" t="s">
        <v>244</v>
      </c>
      <c r="B22" s="23" t="s">
        <v>197</v>
      </c>
      <c r="C22" s="23" t="s">
        <v>245</v>
      </c>
      <c r="D22" s="23" t="s">
        <v>223</v>
      </c>
      <c r="E22" s="23" t="s">
        <v>246</v>
      </c>
      <c r="F22" s="23" t="s">
        <v>247</v>
      </c>
      <c r="G22" s="24" t="s">
        <v>162</v>
      </c>
      <c r="H22" s="24"/>
      <c r="I22" s="30"/>
      <c r="J22" s="30"/>
      <c r="K22" s="31" t="str">
        <f aca="true">IF(OR(A22="",J22="",G22="Sending fighters",G22="Not this time"),"",IF(J22&lt;=TODAY(),"DUE",""))</f>
        <v/>
      </c>
      <c r="L22" s="24" t="s">
        <v>248</v>
      </c>
      <c r="M22" s="23" t="s">
        <v>247</v>
      </c>
    </row>
    <row r="23" customFormat="false" ht="42" hidden="false" customHeight="true" outlineLevel="0" collapsed="false">
      <c r="A23" s="23" t="s">
        <v>249</v>
      </c>
      <c r="B23" s="23" t="s">
        <v>166</v>
      </c>
      <c r="C23" s="23" t="s">
        <v>250</v>
      </c>
      <c r="D23" s="23" t="s">
        <v>223</v>
      </c>
      <c r="E23" s="23" t="s">
        <v>251</v>
      </c>
      <c r="F23" s="23" t="s">
        <v>252</v>
      </c>
      <c r="G23" s="24" t="s">
        <v>162</v>
      </c>
      <c r="H23" s="24"/>
      <c r="I23" s="30"/>
      <c r="J23" s="30"/>
      <c r="K23" s="31" t="str">
        <f aca="true">IF(OR(A23="",J23="",G23="Sending fighters",G23="Not this time"),"",IF(J23&lt;=TODAY(),"DUE",""))</f>
        <v/>
      </c>
      <c r="L23" s="24" t="s">
        <v>253</v>
      </c>
      <c r="M23" s="23" t="s">
        <v>252</v>
      </c>
    </row>
    <row r="24" customFormat="false" ht="90.75" hidden="false" customHeight="true" outlineLevel="0" collapsed="false">
      <c r="A24" s="23" t="s">
        <v>254</v>
      </c>
      <c r="B24" s="23" t="s">
        <v>216</v>
      </c>
      <c r="C24" s="23" t="s">
        <v>255</v>
      </c>
      <c r="D24" s="23" t="s">
        <v>223</v>
      </c>
      <c r="E24" s="23" t="s">
        <v>256</v>
      </c>
      <c r="F24" s="23" t="s">
        <v>257</v>
      </c>
      <c r="G24" s="24" t="s">
        <v>162</v>
      </c>
      <c r="H24" s="24"/>
      <c r="I24" s="30"/>
      <c r="J24" s="30"/>
      <c r="K24" s="31" t="str">
        <f aca="true">IF(OR(A24="",J24="",G24="Sending fighters",G24="Not this time"),"",IF(J24&lt;=TODAY(),"DUE",""))</f>
        <v/>
      </c>
      <c r="L24" s="24" t="s">
        <v>258</v>
      </c>
      <c r="M24" s="23" t="s">
        <v>257</v>
      </c>
    </row>
    <row r="25" customFormat="false" ht="51.75" hidden="false" customHeight="true" outlineLevel="0" collapsed="false">
      <c r="A25" s="23" t="s">
        <v>259</v>
      </c>
      <c r="B25" s="23" t="s">
        <v>260</v>
      </c>
      <c r="C25" s="23" t="s">
        <v>261</v>
      </c>
      <c r="D25" s="23" t="s">
        <v>223</v>
      </c>
      <c r="E25" s="23" t="s">
        <v>262</v>
      </c>
      <c r="F25" s="23" t="s">
        <v>263</v>
      </c>
      <c r="G25" s="24" t="s">
        <v>162</v>
      </c>
      <c r="H25" s="24"/>
      <c r="I25" s="30"/>
      <c r="J25" s="30"/>
      <c r="K25" s="31" t="str">
        <f aca="true">IF(OR(A25="",J25="",G25="Sending fighters",G25="Not this time"),"",IF(J25&lt;=TODAY(),"DUE",""))</f>
        <v/>
      </c>
      <c r="L25" s="24" t="s">
        <v>264</v>
      </c>
      <c r="M25" s="23" t="s">
        <v>263</v>
      </c>
    </row>
    <row r="26" customFormat="false" ht="51.75" hidden="false" customHeight="true" outlineLevel="0" collapsed="false">
      <c r="A26" s="23" t="s">
        <v>265</v>
      </c>
      <c r="B26" s="23" t="s">
        <v>179</v>
      </c>
      <c r="C26" s="23" t="s">
        <v>266</v>
      </c>
      <c r="D26" s="23" t="s">
        <v>223</v>
      </c>
      <c r="E26" s="23" t="s">
        <v>267</v>
      </c>
      <c r="F26" s="23" t="s">
        <v>268</v>
      </c>
      <c r="G26" s="24" t="s">
        <v>162</v>
      </c>
      <c r="H26" s="24"/>
      <c r="I26" s="30"/>
      <c r="J26" s="30"/>
      <c r="K26" s="31" t="str">
        <f aca="true">IF(OR(A26="",J26="",G26="Sending fighters",G26="Not this time"),"",IF(J26&lt;=TODAY(),"DUE",""))</f>
        <v/>
      </c>
      <c r="L26" s="24" t="s">
        <v>269</v>
      </c>
      <c r="M26" s="23" t="s">
        <v>268</v>
      </c>
    </row>
    <row r="27" customFormat="false" ht="64.5" hidden="false" customHeight="true" outlineLevel="0" collapsed="false">
      <c r="A27" s="23" t="s">
        <v>270</v>
      </c>
      <c r="B27" s="23" t="s">
        <v>271</v>
      </c>
      <c r="C27" s="23" t="s">
        <v>272</v>
      </c>
      <c r="D27" s="23" t="s">
        <v>223</v>
      </c>
      <c r="E27" s="23" t="s">
        <v>273</v>
      </c>
      <c r="F27" s="23" t="s">
        <v>274</v>
      </c>
      <c r="G27" s="24" t="s">
        <v>162</v>
      </c>
      <c r="H27" s="24"/>
      <c r="I27" s="30"/>
      <c r="J27" s="30"/>
      <c r="K27" s="31" t="str">
        <f aca="true">IF(OR(A27="",J27="",G27="Sending fighters",G27="Not this time"),"",IF(J27&lt;=TODAY(),"DUE",""))</f>
        <v/>
      </c>
      <c r="L27" s="24" t="s">
        <v>275</v>
      </c>
      <c r="M27" s="23" t="s">
        <v>274</v>
      </c>
    </row>
    <row r="28" customFormat="false" ht="42" hidden="false" customHeight="true" outlineLevel="0" collapsed="false">
      <c r="A28" s="23" t="s">
        <v>276</v>
      </c>
      <c r="B28" s="23" t="s">
        <v>197</v>
      </c>
      <c r="C28" s="23" t="s">
        <v>277</v>
      </c>
      <c r="D28" s="23" t="s">
        <v>223</v>
      </c>
      <c r="E28" s="23" t="s">
        <v>278</v>
      </c>
      <c r="F28" s="23" t="s">
        <v>279</v>
      </c>
      <c r="G28" s="24" t="s">
        <v>162</v>
      </c>
      <c r="H28" s="24"/>
      <c r="I28" s="30"/>
      <c r="J28" s="30"/>
      <c r="K28" s="31" t="str">
        <f aca="true">IF(OR(A28="",J28="",G28="Sending fighters",G28="Not this time"),"",IF(J28&lt;=TODAY(),"DUE",""))</f>
        <v/>
      </c>
      <c r="L28" s="24" t="s">
        <v>280</v>
      </c>
      <c r="M28" s="23" t="s">
        <v>279</v>
      </c>
    </row>
    <row r="29" customFormat="false" ht="78" hidden="false" customHeight="true" outlineLevel="0" collapsed="false">
      <c r="A29" s="23" t="s">
        <v>281</v>
      </c>
      <c r="B29" s="23" t="s">
        <v>166</v>
      </c>
      <c r="C29" s="23" t="s">
        <v>282</v>
      </c>
      <c r="D29" s="23" t="s">
        <v>223</v>
      </c>
      <c r="E29" s="23" t="s">
        <v>283</v>
      </c>
      <c r="F29" s="23" t="s">
        <v>284</v>
      </c>
      <c r="G29" s="24" t="s">
        <v>162</v>
      </c>
      <c r="H29" s="24"/>
      <c r="I29" s="30"/>
      <c r="J29" s="30"/>
      <c r="K29" s="31" t="str">
        <f aca="true">IF(OR(A29="",J29="",G29="Sending fighters",G29="Not this time"),"",IF(J29&lt;=TODAY(),"DUE",""))</f>
        <v/>
      </c>
      <c r="L29" s="24" t="s">
        <v>285</v>
      </c>
      <c r="M29" s="23" t="s">
        <v>284</v>
      </c>
    </row>
    <row r="30" customFormat="false" ht="42" hidden="false" customHeight="true" outlineLevel="0" collapsed="false">
      <c r="A30" s="23" t="s">
        <v>286</v>
      </c>
      <c r="B30" s="23" t="s">
        <v>166</v>
      </c>
      <c r="C30" s="23" t="s">
        <v>287</v>
      </c>
      <c r="D30" s="23" t="s">
        <v>223</v>
      </c>
      <c r="E30" s="23" t="s">
        <v>288</v>
      </c>
      <c r="F30" s="23" t="s">
        <v>289</v>
      </c>
      <c r="G30" s="24" t="s">
        <v>162</v>
      </c>
      <c r="H30" s="24"/>
      <c r="I30" s="30"/>
      <c r="J30" s="30"/>
      <c r="K30" s="31" t="str">
        <f aca="true">IF(OR(A30="",J30="",G30="Sending fighters",G30="Not this time"),"",IF(J30&lt;=TODAY(),"DUE",""))</f>
        <v/>
      </c>
      <c r="L30" s="24" t="s">
        <v>290</v>
      </c>
      <c r="M30" s="23" t="s">
        <v>289</v>
      </c>
    </row>
    <row r="31" customFormat="false" ht="64.5" hidden="false" customHeight="true" outlineLevel="0" collapsed="false">
      <c r="A31" s="23" t="s">
        <v>291</v>
      </c>
      <c r="B31" s="23" t="s">
        <v>166</v>
      </c>
      <c r="C31" s="23" t="s">
        <v>292</v>
      </c>
      <c r="D31" s="23" t="s">
        <v>223</v>
      </c>
      <c r="E31" s="23" t="s">
        <v>293</v>
      </c>
      <c r="F31" s="23" t="s">
        <v>294</v>
      </c>
      <c r="G31" s="24" t="s">
        <v>162</v>
      </c>
      <c r="H31" s="24"/>
      <c r="I31" s="30"/>
      <c r="J31" s="30"/>
      <c r="K31" s="31" t="str">
        <f aca="true">IF(OR(A31="",J31="",G31="Sending fighters",G31="Not this time"),"",IF(J31&lt;=TODAY(),"DUE",""))</f>
        <v/>
      </c>
      <c r="L31" s="24" t="s">
        <v>295</v>
      </c>
      <c r="M31" s="23" t="s">
        <v>294</v>
      </c>
    </row>
    <row r="32" customFormat="false" ht="42" hidden="false" customHeight="true" outlineLevel="0" collapsed="false">
      <c r="A32" s="23" t="s">
        <v>296</v>
      </c>
      <c r="B32" s="23" t="s">
        <v>297</v>
      </c>
      <c r="C32" s="23" t="s">
        <v>298</v>
      </c>
      <c r="D32" s="23" t="s">
        <v>223</v>
      </c>
      <c r="E32" s="23" t="s">
        <v>299</v>
      </c>
      <c r="F32" s="23" t="s">
        <v>300</v>
      </c>
      <c r="G32" s="24" t="s">
        <v>162</v>
      </c>
      <c r="H32" s="24"/>
      <c r="I32" s="30"/>
      <c r="J32" s="30"/>
      <c r="K32" s="31" t="str">
        <f aca="true">IF(OR(A32="",J32="",G32="Sending fighters",G32="Not this time"),"",IF(J32&lt;=TODAY(),"DUE",""))</f>
        <v/>
      </c>
      <c r="L32" s="24" t="s">
        <v>301</v>
      </c>
      <c r="M32" s="23" t="s">
        <v>300</v>
      </c>
    </row>
    <row r="33" customFormat="false" ht="90.75" hidden="false" customHeight="true" outlineLevel="0" collapsed="false">
      <c r="A33" s="23" t="s">
        <v>302</v>
      </c>
      <c r="B33" s="23" t="s">
        <v>303</v>
      </c>
      <c r="C33" s="23" t="s">
        <v>304</v>
      </c>
      <c r="D33" s="23" t="s">
        <v>223</v>
      </c>
      <c r="E33" s="23" t="s">
        <v>305</v>
      </c>
      <c r="F33" s="23" t="s">
        <v>306</v>
      </c>
      <c r="G33" s="24" t="s">
        <v>162</v>
      </c>
      <c r="H33" s="24"/>
      <c r="I33" s="30"/>
      <c r="J33" s="30"/>
      <c r="K33" s="31" t="str">
        <f aca="true">IF(OR(A33="",J33="",G33="Sending fighters",G33="Not this time"),"",IF(J33&lt;=TODAY(),"DUE",""))</f>
        <v/>
      </c>
      <c r="L33" s="24" t="s">
        <v>307</v>
      </c>
      <c r="M33" s="23" t="s">
        <v>308</v>
      </c>
    </row>
    <row r="34" customFormat="false" ht="90.75" hidden="false" customHeight="true" outlineLevel="0" collapsed="false">
      <c r="A34" s="23" t="s">
        <v>309</v>
      </c>
      <c r="B34" s="23" t="s">
        <v>197</v>
      </c>
      <c r="C34" s="23" t="s">
        <v>310</v>
      </c>
      <c r="D34" s="23" t="s">
        <v>223</v>
      </c>
      <c r="E34" s="23" t="s">
        <v>311</v>
      </c>
      <c r="F34" s="23"/>
      <c r="G34" s="24" t="s">
        <v>162</v>
      </c>
      <c r="H34" s="24"/>
      <c r="I34" s="30"/>
      <c r="J34" s="30"/>
      <c r="K34" s="31" t="str">
        <f aca="true">IF(OR(A34="",J34="",G34="Sending fighters",G34="Not this time"),"",IF(J34&lt;=TODAY(),"DUE",""))</f>
        <v/>
      </c>
      <c r="L34" s="24" t="s">
        <v>312</v>
      </c>
      <c r="M34" s="23" t="s">
        <v>313</v>
      </c>
    </row>
    <row r="35" customFormat="false" ht="42" hidden="false" customHeight="true" outlineLevel="0" collapsed="false">
      <c r="A35" s="23" t="s">
        <v>314</v>
      </c>
      <c r="B35" s="23" t="s">
        <v>166</v>
      </c>
      <c r="C35" s="23" t="s">
        <v>315</v>
      </c>
      <c r="D35" s="23" t="s">
        <v>223</v>
      </c>
      <c r="E35" s="23" t="s">
        <v>316</v>
      </c>
      <c r="F35" s="23" t="s">
        <v>317</v>
      </c>
      <c r="G35" s="24" t="s">
        <v>162</v>
      </c>
      <c r="H35" s="24"/>
      <c r="I35" s="30"/>
      <c r="J35" s="30"/>
      <c r="K35" s="31" t="str">
        <f aca="true">IF(OR(A35="",J35="",G35="Sending fighters",G35="Not this time"),"",IF(J35&lt;=TODAY(),"DUE",""))</f>
        <v/>
      </c>
      <c r="L35" s="24" t="s">
        <v>318</v>
      </c>
      <c r="M35" s="23" t="s">
        <v>319</v>
      </c>
    </row>
    <row r="36" customFormat="false" ht="42" hidden="false" customHeight="true" outlineLevel="0" collapsed="false">
      <c r="A36" s="23" t="s">
        <v>320</v>
      </c>
      <c r="B36" s="23" t="s">
        <v>321</v>
      </c>
      <c r="C36" s="23" t="s">
        <v>322</v>
      </c>
      <c r="D36" s="23" t="s">
        <v>223</v>
      </c>
      <c r="E36" s="23" t="s">
        <v>323</v>
      </c>
      <c r="F36" s="23" t="s">
        <v>324</v>
      </c>
      <c r="G36" s="24" t="s">
        <v>162</v>
      </c>
      <c r="H36" s="24"/>
      <c r="I36" s="30"/>
      <c r="J36" s="30"/>
      <c r="K36" s="31" t="str">
        <f aca="true">IF(OR(A36="",J36="",G36="Sending fighters",G36="Not this time"),"",IF(J36&lt;=TODAY(),"DUE",""))</f>
        <v/>
      </c>
      <c r="L36" s="24" t="s">
        <v>325</v>
      </c>
      <c r="M36" s="23" t="s">
        <v>326</v>
      </c>
    </row>
    <row r="37" customFormat="false" ht="42" hidden="false" customHeight="true" outlineLevel="0" collapsed="false">
      <c r="A37" s="23" t="s">
        <v>327</v>
      </c>
      <c r="B37" s="23" t="s">
        <v>321</v>
      </c>
      <c r="C37" s="23" t="s">
        <v>328</v>
      </c>
      <c r="D37" s="23" t="s">
        <v>223</v>
      </c>
      <c r="E37" s="23" t="s">
        <v>329</v>
      </c>
      <c r="F37" s="23" t="s">
        <v>330</v>
      </c>
      <c r="G37" s="24" t="s">
        <v>162</v>
      </c>
      <c r="H37" s="24"/>
      <c r="I37" s="30"/>
      <c r="J37" s="30"/>
      <c r="K37" s="31" t="str">
        <f aca="true">IF(OR(A37="",J37="",G37="Sending fighters",G37="Not this time"),"",IF(J37&lt;=TODAY(),"DUE",""))</f>
        <v/>
      </c>
      <c r="L37" s="24" t="s">
        <v>325</v>
      </c>
      <c r="M37" s="23" t="s">
        <v>331</v>
      </c>
    </row>
    <row r="38" customFormat="false" ht="42" hidden="false" customHeight="true" outlineLevel="0" collapsed="false">
      <c r="A38" s="23" t="s">
        <v>332</v>
      </c>
      <c r="B38" s="23" t="s">
        <v>271</v>
      </c>
      <c r="C38" s="23" t="s">
        <v>333</v>
      </c>
      <c r="D38" s="23" t="s">
        <v>223</v>
      </c>
      <c r="E38" s="23" t="s">
        <v>334</v>
      </c>
      <c r="F38" s="23" t="s">
        <v>335</v>
      </c>
      <c r="G38" s="24" t="s">
        <v>162</v>
      </c>
      <c r="H38" s="24"/>
      <c r="I38" s="30"/>
      <c r="J38" s="30"/>
      <c r="K38" s="31" t="str">
        <f aca="true">IF(OR(A38="",J38="",G38="Sending fighters",G38="Not this time"),"",IF(J38&lt;=TODAY(),"DUE",""))</f>
        <v/>
      </c>
      <c r="L38" s="24" t="s">
        <v>325</v>
      </c>
      <c r="M38" s="23" t="s">
        <v>336</v>
      </c>
    </row>
    <row r="39" customFormat="false" ht="15" hidden="false" customHeight="false" outlineLevel="0" collapsed="false">
      <c r="A39" s="23"/>
      <c r="B39" s="23"/>
      <c r="C39" s="23"/>
      <c r="D39" s="23"/>
      <c r="E39" s="23"/>
      <c r="F39" s="23"/>
      <c r="G39" s="24"/>
      <c r="H39" s="24"/>
      <c r="I39" s="30"/>
      <c r="J39" s="30"/>
      <c r="K39" s="31" t="str">
        <f aca="true">IF(OR(A39="",J39="",G39="Sending fighters",G39="Not this time"),"",IF(J39&lt;=TODAY(),"DUE",""))</f>
        <v/>
      </c>
      <c r="L39" s="24"/>
      <c r="M39" s="23"/>
    </row>
    <row r="40" customFormat="false" ht="15" hidden="false" customHeight="false" outlineLevel="0" collapsed="false">
      <c r="A40" s="23"/>
      <c r="B40" s="23"/>
      <c r="C40" s="23"/>
      <c r="D40" s="23"/>
      <c r="E40" s="23"/>
      <c r="F40" s="23"/>
      <c r="G40" s="24"/>
      <c r="H40" s="24"/>
      <c r="I40" s="30"/>
      <c r="J40" s="30"/>
      <c r="K40" s="31" t="str">
        <f aca="true">IF(OR(A40="",J40="",G40="Sending fighters",G40="Not this time"),"",IF(J40&lt;=TODAY(),"DUE",""))</f>
        <v/>
      </c>
      <c r="L40" s="24"/>
      <c r="M40" s="23"/>
    </row>
    <row r="41" customFormat="false" ht="15" hidden="false" customHeight="false" outlineLevel="0" collapsed="false">
      <c r="A41" s="23"/>
      <c r="B41" s="23"/>
      <c r="C41" s="23"/>
      <c r="D41" s="23"/>
      <c r="E41" s="23"/>
      <c r="F41" s="23"/>
      <c r="G41" s="24"/>
      <c r="H41" s="24"/>
      <c r="I41" s="30"/>
      <c r="J41" s="30"/>
      <c r="K41" s="31" t="str">
        <f aca="true">IF(OR(A41="",J41="",G41="Sending fighters",G41="Not this time"),"",IF(J41&lt;=TODAY(),"DUE",""))</f>
        <v/>
      </c>
      <c r="L41" s="24"/>
      <c r="M41" s="23"/>
    </row>
    <row r="42" customFormat="false" ht="15" hidden="false" customHeight="false" outlineLevel="0" collapsed="false">
      <c r="A42" s="23"/>
      <c r="B42" s="23"/>
      <c r="C42" s="23"/>
      <c r="D42" s="23"/>
      <c r="E42" s="23"/>
      <c r="F42" s="23"/>
      <c r="G42" s="24"/>
      <c r="H42" s="24"/>
      <c r="I42" s="30"/>
      <c r="J42" s="30"/>
      <c r="K42" s="31" t="str">
        <f aca="true">IF(OR(A42="",J42="",G42="Sending fighters",G42="Not this time"),"",IF(J42&lt;=TODAY(),"DUE",""))</f>
        <v/>
      </c>
      <c r="L42" s="24"/>
      <c r="M42" s="23"/>
    </row>
    <row r="43" customFormat="false" ht="15" hidden="false" customHeight="false" outlineLevel="0" collapsed="false">
      <c r="A43" s="23"/>
      <c r="B43" s="23"/>
      <c r="C43" s="23"/>
      <c r="D43" s="23"/>
      <c r="E43" s="23"/>
      <c r="F43" s="23"/>
      <c r="G43" s="24"/>
      <c r="H43" s="24"/>
      <c r="I43" s="30"/>
      <c r="J43" s="30"/>
      <c r="K43" s="31" t="str">
        <f aca="true">IF(OR(A43="",J43="",G43="Sending fighters",G43="Not this time"),"",IF(J43&lt;=TODAY(),"DUE",""))</f>
        <v/>
      </c>
      <c r="L43" s="24"/>
      <c r="M43" s="23"/>
    </row>
    <row r="44" customFormat="false" ht="15" hidden="false" customHeight="false" outlineLevel="0" collapsed="false">
      <c r="A44" s="23"/>
      <c r="B44" s="23"/>
      <c r="C44" s="23"/>
      <c r="D44" s="23"/>
      <c r="E44" s="23"/>
      <c r="F44" s="23"/>
      <c r="G44" s="24"/>
      <c r="H44" s="24"/>
      <c r="I44" s="30"/>
      <c r="J44" s="30"/>
      <c r="K44" s="31" t="str">
        <f aca="true">IF(OR(A44="",J44="",G44="Sending fighters",G44="Not this time"),"",IF(J44&lt;=TODAY(),"DUE",""))</f>
        <v/>
      </c>
      <c r="L44" s="24"/>
      <c r="M44" s="23"/>
    </row>
    <row r="45" customFormat="false" ht="15" hidden="false" customHeight="false" outlineLevel="0" collapsed="false">
      <c r="A45" s="23"/>
      <c r="B45" s="23"/>
      <c r="C45" s="23"/>
      <c r="D45" s="23"/>
      <c r="E45" s="23"/>
      <c r="F45" s="23"/>
      <c r="G45" s="24"/>
      <c r="H45" s="24"/>
      <c r="I45" s="30"/>
      <c r="J45" s="30"/>
      <c r="K45" s="31" t="str">
        <f aca="true">IF(OR(A45="",J45="",G45="Sending fighters",G45="Not this time"),"",IF(J45&lt;=TODAY(),"DUE",""))</f>
        <v/>
      </c>
      <c r="L45" s="24"/>
      <c r="M45" s="23"/>
    </row>
    <row r="46" customFormat="false" ht="15" hidden="false" customHeight="false" outlineLevel="0" collapsed="false">
      <c r="A46" s="23"/>
      <c r="B46" s="23"/>
      <c r="C46" s="23"/>
      <c r="D46" s="23"/>
      <c r="E46" s="23"/>
      <c r="F46" s="23"/>
      <c r="G46" s="24"/>
      <c r="H46" s="24"/>
      <c r="I46" s="30"/>
      <c r="J46" s="30"/>
      <c r="K46" s="31" t="str">
        <f aca="true">IF(OR(A46="",J46="",G46="Sending fighters",G46="Not this time"),"",IF(J46&lt;=TODAY(),"DUE",""))</f>
        <v/>
      </c>
      <c r="L46" s="24"/>
      <c r="M46" s="23"/>
    </row>
    <row r="47" customFormat="false" ht="15" hidden="false" customHeight="false" outlineLevel="0" collapsed="false">
      <c r="A47" s="23"/>
      <c r="B47" s="23"/>
      <c r="C47" s="23"/>
      <c r="D47" s="23"/>
      <c r="E47" s="23"/>
      <c r="F47" s="23"/>
      <c r="G47" s="24"/>
      <c r="H47" s="24"/>
      <c r="I47" s="30"/>
      <c r="J47" s="30"/>
      <c r="K47" s="31" t="str">
        <f aca="true">IF(OR(A47="",J47="",G47="Sending fighters",G47="Not this time"),"",IF(J47&lt;=TODAY(),"DUE",""))</f>
        <v/>
      </c>
      <c r="L47" s="24"/>
      <c r="M47" s="23"/>
    </row>
    <row r="48" customFormat="false" ht="15" hidden="false" customHeight="false" outlineLevel="0" collapsed="false">
      <c r="A48" s="23"/>
      <c r="B48" s="23"/>
      <c r="C48" s="23"/>
      <c r="D48" s="23"/>
      <c r="E48" s="23"/>
      <c r="F48" s="23"/>
      <c r="G48" s="24"/>
      <c r="H48" s="24"/>
      <c r="I48" s="30"/>
      <c r="J48" s="30"/>
      <c r="K48" s="31" t="str">
        <f aca="true">IF(OR(A48="",J48="",G48="Sending fighters",G48="Not this time"),"",IF(J48&lt;=TODAY(),"DUE",""))</f>
        <v/>
      </c>
      <c r="L48" s="24"/>
      <c r="M48" s="23"/>
    </row>
    <row r="49" customFormat="false" ht="15" hidden="false" customHeight="false" outlineLevel="0" collapsed="false">
      <c r="A49" s="23"/>
      <c r="B49" s="23"/>
      <c r="C49" s="23"/>
      <c r="D49" s="23"/>
      <c r="E49" s="23"/>
      <c r="F49" s="23"/>
      <c r="G49" s="24"/>
      <c r="H49" s="24"/>
      <c r="I49" s="30"/>
      <c r="J49" s="30"/>
      <c r="K49" s="31" t="str">
        <f aca="true">IF(OR(A49="",J49="",G49="Sending fighters",G49="Not this time"),"",IF(J49&lt;=TODAY(),"DUE",""))</f>
        <v/>
      </c>
      <c r="L49" s="24"/>
      <c r="M49" s="23"/>
    </row>
    <row r="50" customFormat="false" ht="15" hidden="false" customHeight="false" outlineLevel="0" collapsed="false">
      <c r="A50" s="23"/>
      <c r="B50" s="23"/>
      <c r="C50" s="23"/>
      <c r="D50" s="23"/>
      <c r="E50" s="23"/>
      <c r="F50" s="23"/>
      <c r="G50" s="24"/>
      <c r="H50" s="24"/>
      <c r="I50" s="30"/>
      <c r="J50" s="30"/>
      <c r="K50" s="31" t="str">
        <f aca="true">IF(OR(A50="",J50="",G50="Sending fighters",G50="Not this time"),"",IF(J50&lt;=TODAY(),"DUE",""))</f>
        <v/>
      </c>
      <c r="L50" s="24"/>
      <c r="M50" s="23"/>
    </row>
    <row r="51" customFormat="false" ht="15" hidden="false" customHeight="false" outlineLevel="0" collapsed="false">
      <c r="A51" s="23"/>
      <c r="B51" s="23"/>
      <c r="C51" s="23"/>
      <c r="D51" s="23"/>
      <c r="E51" s="23"/>
      <c r="F51" s="23"/>
      <c r="G51" s="24"/>
      <c r="H51" s="24"/>
      <c r="I51" s="30"/>
      <c r="J51" s="30"/>
      <c r="K51" s="31" t="str">
        <f aca="true">IF(OR(A51="",J51="",G51="Sending fighters",G51="Not this time"),"",IF(J51&lt;=TODAY(),"DUE",""))</f>
        <v/>
      </c>
      <c r="L51" s="24"/>
      <c r="M51" s="23"/>
    </row>
    <row r="52" customFormat="false" ht="15" hidden="false" customHeight="false" outlineLevel="0" collapsed="false">
      <c r="A52" s="23"/>
      <c r="B52" s="23"/>
      <c r="C52" s="23"/>
      <c r="D52" s="23"/>
      <c r="E52" s="23"/>
      <c r="F52" s="23"/>
      <c r="G52" s="24"/>
      <c r="H52" s="24"/>
      <c r="I52" s="30"/>
      <c r="J52" s="30"/>
      <c r="K52" s="31" t="str">
        <f aca="true">IF(OR(A52="",J52="",G52="Sending fighters",G52="Not this time"),"",IF(J52&lt;=TODAY(),"DUE",""))</f>
        <v/>
      </c>
      <c r="L52" s="24"/>
      <c r="M52" s="23"/>
    </row>
    <row r="53" customFormat="false" ht="15" hidden="false" customHeight="false" outlineLevel="0" collapsed="false">
      <c r="A53" s="23"/>
      <c r="B53" s="23"/>
      <c r="C53" s="23"/>
      <c r="D53" s="23"/>
      <c r="E53" s="23"/>
      <c r="F53" s="23"/>
      <c r="G53" s="24"/>
      <c r="H53" s="24"/>
      <c r="I53" s="30"/>
      <c r="J53" s="30"/>
      <c r="K53" s="31" t="str">
        <f aca="true">IF(OR(A53="",J53="",G53="Sending fighters",G53="Not this time"),"",IF(J53&lt;=TODAY(),"DUE",""))</f>
        <v/>
      </c>
      <c r="L53" s="24"/>
      <c r="M53" s="23"/>
    </row>
    <row r="54" customFormat="false" ht="15" hidden="false" customHeight="false" outlineLevel="0" collapsed="false">
      <c r="A54" s="23"/>
      <c r="B54" s="23"/>
      <c r="C54" s="23"/>
      <c r="D54" s="23"/>
      <c r="E54" s="23"/>
      <c r="F54" s="23"/>
      <c r="G54" s="24"/>
      <c r="H54" s="24"/>
      <c r="I54" s="30"/>
      <c r="J54" s="30"/>
      <c r="K54" s="31" t="str">
        <f aca="true">IF(OR(A54="",J54="",G54="Sending fighters",G54="Not this time"),"",IF(J54&lt;=TODAY(),"DUE",""))</f>
        <v/>
      </c>
      <c r="L54" s="24"/>
      <c r="M54" s="23"/>
    </row>
    <row r="55" customFormat="false" ht="15" hidden="false" customHeight="false" outlineLevel="0" collapsed="false">
      <c r="A55" s="23"/>
      <c r="B55" s="23"/>
      <c r="C55" s="23"/>
      <c r="D55" s="23"/>
      <c r="E55" s="23"/>
      <c r="F55" s="23"/>
      <c r="G55" s="24"/>
      <c r="H55" s="24"/>
      <c r="I55" s="30"/>
      <c r="J55" s="30"/>
      <c r="K55" s="31" t="str">
        <f aca="true">IF(OR(A55="",J55="",G55="Sending fighters",G55="Not this time"),"",IF(J55&lt;=TODAY(),"DUE",""))</f>
        <v/>
      </c>
      <c r="L55" s="24"/>
      <c r="M55" s="23"/>
    </row>
    <row r="56" customFormat="false" ht="15" hidden="false" customHeight="false" outlineLevel="0" collapsed="false">
      <c r="A56" s="23"/>
      <c r="B56" s="23"/>
      <c r="C56" s="23"/>
      <c r="D56" s="23"/>
      <c r="E56" s="23"/>
      <c r="F56" s="23"/>
      <c r="G56" s="24"/>
      <c r="H56" s="24"/>
      <c r="I56" s="30"/>
      <c r="J56" s="30"/>
      <c r="K56" s="31" t="str">
        <f aca="true">IF(OR(A56="",J56="",G56="Sending fighters",G56="Not this time"),"",IF(J56&lt;=TODAY(),"DUE",""))</f>
        <v/>
      </c>
      <c r="L56" s="24"/>
      <c r="M56" s="23"/>
    </row>
    <row r="57" customFormat="false" ht="15" hidden="false" customHeight="false" outlineLevel="0" collapsed="false">
      <c r="A57" s="23"/>
      <c r="B57" s="23"/>
      <c r="C57" s="23"/>
      <c r="D57" s="23"/>
      <c r="E57" s="23"/>
      <c r="F57" s="23"/>
      <c r="G57" s="24"/>
      <c r="H57" s="24"/>
      <c r="I57" s="30"/>
      <c r="J57" s="30"/>
      <c r="K57" s="31" t="str">
        <f aca="true">IF(OR(A57="",J57="",G57="Sending fighters",G57="Not this time"),"",IF(J57&lt;=TODAY(),"DUE",""))</f>
        <v/>
      </c>
      <c r="L57" s="24"/>
      <c r="M57" s="23"/>
    </row>
    <row r="58" customFormat="false" ht="15" hidden="false" customHeight="false" outlineLevel="0" collapsed="false">
      <c r="A58" s="23"/>
      <c r="B58" s="23"/>
      <c r="C58" s="23"/>
      <c r="D58" s="23"/>
      <c r="E58" s="23"/>
      <c r="F58" s="23"/>
      <c r="G58" s="24"/>
      <c r="H58" s="24"/>
      <c r="I58" s="30"/>
      <c r="J58" s="30"/>
      <c r="K58" s="31" t="str">
        <f aca="true">IF(OR(A58="",J58="",G58="Sending fighters",G58="Not this time"),"",IF(J58&lt;=TODAY(),"DUE",""))</f>
        <v/>
      </c>
      <c r="L58" s="24"/>
      <c r="M58" s="23"/>
    </row>
    <row r="59" customFormat="false" ht="15" hidden="false" customHeight="false" outlineLevel="0" collapsed="false">
      <c r="A59" s="23"/>
      <c r="B59" s="23"/>
      <c r="C59" s="23"/>
      <c r="D59" s="23"/>
      <c r="E59" s="23"/>
      <c r="F59" s="23"/>
      <c r="G59" s="24"/>
      <c r="H59" s="24"/>
      <c r="I59" s="30"/>
      <c r="J59" s="30"/>
      <c r="K59" s="31" t="str">
        <f aca="true">IF(OR(A59="",J59="",G59="Sending fighters",G59="Not this time"),"",IF(J59&lt;=TODAY(),"DUE",""))</f>
        <v/>
      </c>
      <c r="L59" s="24"/>
      <c r="M59" s="23"/>
    </row>
    <row r="60" customFormat="false" ht="15" hidden="false" customHeight="false" outlineLevel="0" collapsed="false">
      <c r="A60" s="23"/>
      <c r="B60" s="23"/>
      <c r="C60" s="23"/>
      <c r="D60" s="23"/>
      <c r="E60" s="23"/>
      <c r="F60" s="23"/>
      <c r="G60" s="24"/>
      <c r="H60" s="24"/>
      <c r="I60" s="30"/>
      <c r="J60" s="30"/>
      <c r="K60" s="31" t="str">
        <f aca="true">IF(OR(A60="",J60="",G60="Sending fighters",G60="Not this time"),"",IF(J60&lt;=TODAY(),"DUE",""))</f>
        <v/>
      </c>
      <c r="L60" s="24"/>
      <c r="M60" s="23"/>
    </row>
    <row r="61" customFormat="false" ht="15" hidden="false" customHeight="false" outlineLevel="0" collapsed="false">
      <c r="A61" s="23"/>
      <c r="B61" s="23"/>
      <c r="C61" s="23"/>
      <c r="D61" s="23"/>
      <c r="E61" s="23"/>
      <c r="F61" s="23"/>
      <c r="G61" s="24"/>
      <c r="H61" s="24"/>
      <c r="I61" s="30"/>
      <c r="J61" s="30"/>
      <c r="K61" s="31" t="str">
        <f aca="true">IF(OR(A61="",J61="",G61="Sending fighters",G61="Not this time"),"",IF(J61&lt;=TODAY(),"DUE",""))</f>
        <v/>
      </c>
      <c r="L61" s="24"/>
      <c r="M61" s="23"/>
    </row>
    <row r="62" customFormat="false" ht="15" hidden="false" customHeight="false" outlineLevel="0" collapsed="false">
      <c r="A62" s="23"/>
      <c r="B62" s="23"/>
      <c r="C62" s="23"/>
      <c r="D62" s="23"/>
      <c r="E62" s="23"/>
      <c r="F62" s="23"/>
      <c r="G62" s="24"/>
      <c r="H62" s="24"/>
      <c r="I62" s="30"/>
      <c r="J62" s="30"/>
      <c r="K62" s="31" t="str">
        <f aca="true">IF(OR(A62="",J62="",G62="Sending fighters",G62="Not this time"),"",IF(J62&lt;=TODAY(),"DUE",""))</f>
        <v/>
      </c>
      <c r="L62" s="24"/>
      <c r="M62" s="23"/>
    </row>
    <row r="63" customFormat="false" ht="15" hidden="false" customHeight="false" outlineLevel="0" collapsed="false">
      <c r="A63" s="23"/>
      <c r="B63" s="23"/>
      <c r="C63" s="23"/>
      <c r="D63" s="23"/>
      <c r="E63" s="23"/>
      <c r="F63" s="23"/>
      <c r="G63" s="24"/>
      <c r="H63" s="24"/>
      <c r="I63" s="30"/>
      <c r="J63" s="30"/>
      <c r="K63" s="31" t="str">
        <f aca="true">IF(OR(A63="",J63="",G63="Sending fighters",G63="Not this time"),"",IF(J63&lt;=TODAY(),"DUE",""))</f>
        <v/>
      </c>
      <c r="L63" s="24"/>
      <c r="M63" s="23"/>
    </row>
    <row r="64" customFormat="false" ht="15" hidden="false" customHeight="false" outlineLevel="0" collapsed="false">
      <c r="A64" s="23"/>
      <c r="B64" s="23"/>
      <c r="C64" s="23"/>
      <c r="D64" s="23"/>
      <c r="E64" s="23"/>
      <c r="F64" s="23"/>
      <c r="G64" s="24"/>
      <c r="H64" s="24"/>
      <c r="I64" s="30"/>
      <c r="J64" s="30"/>
      <c r="K64" s="31" t="str">
        <f aca="true">IF(OR(A64="",J64="",G64="Sending fighters",G64="Not this time"),"",IF(J64&lt;=TODAY(),"DUE",""))</f>
        <v/>
      </c>
      <c r="L64" s="24"/>
      <c r="M64" s="23"/>
    </row>
    <row r="65" customFormat="false" ht="15" hidden="false" customHeight="false" outlineLevel="0" collapsed="false">
      <c r="A65" s="23"/>
      <c r="B65" s="23"/>
      <c r="C65" s="23"/>
      <c r="D65" s="23"/>
      <c r="E65" s="23"/>
      <c r="F65" s="23"/>
      <c r="G65" s="24"/>
      <c r="H65" s="24"/>
      <c r="I65" s="30"/>
      <c r="J65" s="30"/>
      <c r="K65" s="31" t="str">
        <f aca="true">IF(OR(A65="",J65="",G65="Sending fighters",G65="Not this time"),"",IF(J65&lt;=TODAY(),"DUE",""))</f>
        <v/>
      </c>
      <c r="L65" s="24"/>
      <c r="M65" s="23"/>
    </row>
    <row r="66" customFormat="false" ht="15" hidden="false" customHeight="false" outlineLevel="0" collapsed="false">
      <c r="A66" s="23"/>
      <c r="B66" s="23"/>
      <c r="C66" s="23"/>
      <c r="D66" s="23"/>
      <c r="E66" s="23"/>
      <c r="F66" s="23"/>
      <c r="G66" s="24"/>
      <c r="H66" s="24"/>
      <c r="I66" s="30"/>
      <c r="J66" s="30"/>
      <c r="K66" s="31" t="str">
        <f aca="true">IF(OR(A66="",J66="",G66="Sending fighters",G66="Not this time"),"",IF(J66&lt;=TODAY(),"DUE",""))</f>
        <v/>
      </c>
      <c r="L66" s="24"/>
      <c r="M66" s="23"/>
    </row>
    <row r="67" customFormat="false" ht="15" hidden="false" customHeight="false" outlineLevel="0" collapsed="false">
      <c r="A67" s="23"/>
      <c r="B67" s="23"/>
      <c r="C67" s="23"/>
      <c r="D67" s="23"/>
      <c r="E67" s="23"/>
      <c r="F67" s="23"/>
      <c r="G67" s="24"/>
      <c r="H67" s="24"/>
      <c r="I67" s="30"/>
      <c r="J67" s="30"/>
      <c r="K67" s="31" t="str">
        <f aca="true">IF(OR(A67="",J67="",G67="Sending fighters",G67="Not this time"),"",IF(J67&lt;=TODAY(),"DUE",""))</f>
        <v/>
      </c>
      <c r="L67" s="24"/>
      <c r="M67" s="23"/>
    </row>
    <row r="68" customFormat="false" ht="15" hidden="false" customHeight="false" outlineLevel="0" collapsed="false">
      <c r="A68" s="23"/>
      <c r="B68" s="23"/>
      <c r="C68" s="23"/>
      <c r="D68" s="23"/>
      <c r="E68" s="23"/>
      <c r="F68" s="23"/>
      <c r="G68" s="24"/>
      <c r="H68" s="24"/>
      <c r="I68" s="30"/>
      <c r="J68" s="30"/>
      <c r="K68" s="31" t="str">
        <f aca="true">IF(OR(A68="",J68="",G68="Sending fighters",G68="Not this time"),"",IF(J68&lt;=TODAY(),"DUE",""))</f>
        <v/>
      </c>
      <c r="L68" s="24"/>
      <c r="M68" s="23"/>
    </row>
  </sheetData>
  <autoFilter ref="A4:M68"/>
  <mergeCells count="2">
    <mergeCell ref="A1:M1"/>
    <mergeCell ref="A2:M2"/>
  </mergeCells>
  <dataValidations count="1">
    <dataValidation allowBlank="true" errorStyle="stop" operator="between" showDropDown="false" showErrorMessage="false" showInputMessage="false" sqref="G5:G68" type="list">
      <formula1>Lists!$G$2:$G$6</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W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8"/>
    <col collapsed="false" customWidth="true" hidden="false" outlineLevel="0" max="3" min="3" style="0" width="22"/>
    <col collapsed="false" customWidth="true" hidden="false" outlineLevel="0" max="4" min="4" style="0" width="13"/>
    <col collapsed="false" customWidth="true" hidden="false" outlineLevel="0" max="5" min="5" style="0" width="24"/>
    <col collapsed="false" customWidth="true" hidden="false" outlineLevel="0" max="7" min="6" style="0" width="15"/>
    <col collapsed="false" customWidth="true" hidden="false" outlineLevel="0" max="8" min="8" style="0" width="9"/>
    <col collapsed="false" customWidth="true" hidden="false" outlineLevel="0" max="10" min="9" style="0" width="7"/>
    <col collapsed="false" customWidth="true" hidden="false" outlineLevel="0" max="11" min="11" style="0" width="11"/>
    <col collapsed="false" customWidth="true" hidden="false" outlineLevel="0" max="12" min="12" style="0" width="8"/>
    <col collapsed="false" customWidth="true" hidden="false" outlineLevel="0" max="13" min="13" style="0" width="11"/>
    <col collapsed="false" customWidth="true" hidden="false" outlineLevel="0" max="14" min="14" style="0" width="15"/>
    <col collapsed="false" customWidth="true" hidden="false" outlineLevel="0" max="15" min="15" style="0" width="10"/>
    <col collapsed="false" customWidth="true" hidden="false" outlineLevel="0" max="16" min="16" style="0" width="11"/>
    <col collapsed="false" customWidth="true" hidden="false" outlineLevel="0" max="17" min="17" style="0" width="9"/>
    <col collapsed="false" customWidth="true" hidden="false" outlineLevel="0" max="18" min="18" style="0" width="10"/>
    <col collapsed="false" customWidth="true" hidden="false" outlineLevel="0" max="20" min="19" style="0" width="12"/>
    <col collapsed="false" customWidth="true" hidden="false" outlineLevel="0" max="21" min="21" style="0" width="14"/>
    <col collapsed="false" customWidth="true" hidden="false" outlineLevel="0" max="22" min="22" style="0" width="13"/>
    <col collapsed="false" customWidth="true" hidden="false" outlineLevel="0" max="23" min="23" style="0" width="30"/>
  </cols>
  <sheetData>
    <row r="1" customFormat="false" ht="30" hidden="false" customHeight="true" outlineLevel="0" collapsed="false">
      <c r="A1" s="1" t="s">
        <v>337</v>
      </c>
      <c r="B1" s="1"/>
      <c r="C1" s="1"/>
      <c r="D1" s="1"/>
      <c r="E1" s="1"/>
      <c r="F1" s="1"/>
      <c r="G1" s="1"/>
      <c r="H1" s="1"/>
      <c r="I1" s="1"/>
      <c r="J1" s="1"/>
      <c r="K1" s="1"/>
      <c r="L1" s="1"/>
      <c r="M1" s="1"/>
      <c r="N1" s="1"/>
      <c r="O1" s="1"/>
      <c r="P1" s="1"/>
      <c r="Q1" s="1"/>
      <c r="R1" s="1"/>
      <c r="S1" s="1"/>
      <c r="T1" s="1"/>
      <c r="U1" s="1"/>
      <c r="V1" s="1"/>
      <c r="W1" s="1"/>
    </row>
    <row r="2" customFormat="false" ht="33.75" hidden="false" customHeight="true" outlineLevel="0" collapsed="false">
      <c r="A2" s="2" t="s">
        <v>338</v>
      </c>
      <c r="B2" s="2"/>
      <c r="C2" s="2"/>
      <c r="D2" s="2"/>
      <c r="E2" s="2"/>
      <c r="F2" s="2"/>
      <c r="G2" s="2"/>
      <c r="H2" s="2"/>
      <c r="I2" s="2"/>
      <c r="J2" s="2"/>
      <c r="K2" s="2"/>
      <c r="L2" s="2"/>
      <c r="M2" s="2"/>
      <c r="N2" s="2"/>
      <c r="O2" s="2"/>
      <c r="P2" s="2"/>
      <c r="Q2" s="2"/>
      <c r="R2" s="2"/>
      <c r="S2" s="2"/>
      <c r="T2" s="2"/>
      <c r="U2" s="2"/>
      <c r="V2" s="2"/>
      <c r="W2" s="2"/>
    </row>
    <row r="4" customFormat="false" ht="55.5" hidden="false" customHeight="true" outlineLevel="0" collapsed="false">
      <c r="A4" s="21" t="s">
        <v>339</v>
      </c>
      <c r="B4" s="21" t="s">
        <v>340</v>
      </c>
      <c r="C4" s="21" t="s">
        <v>341</v>
      </c>
      <c r="D4" s="21" t="s">
        <v>342</v>
      </c>
      <c r="E4" s="21" t="s">
        <v>343</v>
      </c>
      <c r="F4" s="21" t="s">
        <v>344</v>
      </c>
      <c r="G4" s="21" t="s">
        <v>345</v>
      </c>
      <c r="H4" s="21" t="s">
        <v>346</v>
      </c>
      <c r="I4" s="21" t="s">
        <v>347</v>
      </c>
      <c r="J4" s="21" t="s">
        <v>348</v>
      </c>
      <c r="K4" s="21" t="s">
        <v>349</v>
      </c>
      <c r="L4" s="21" t="s">
        <v>350</v>
      </c>
      <c r="M4" s="21" t="s">
        <v>351</v>
      </c>
      <c r="N4" s="21" t="s">
        <v>352</v>
      </c>
      <c r="O4" s="21" t="s">
        <v>353</v>
      </c>
      <c r="P4" s="21" t="s">
        <v>354</v>
      </c>
      <c r="Q4" s="21" t="s">
        <v>355</v>
      </c>
      <c r="R4" s="21" t="s">
        <v>356</v>
      </c>
      <c r="S4" s="21" t="s">
        <v>357</v>
      </c>
      <c r="T4" s="21" t="s">
        <v>94</v>
      </c>
      <c r="U4" s="21" t="s">
        <v>134</v>
      </c>
      <c r="V4" s="21" t="s">
        <v>358</v>
      </c>
      <c r="W4" s="21" t="s">
        <v>95</v>
      </c>
    </row>
    <row r="5" customFormat="false" ht="15" hidden="false" customHeight="false" outlineLevel="0" collapsed="false">
      <c r="A5" s="27" t="s">
        <v>359</v>
      </c>
      <c r="B5" s="27" t="s">
        <v>360</v>
      </c>
      <c r="C5" s="27" t="s">
        <v>361</v>
      </c>
      <c r="D5" s="27" t="s">
        <v>362</v>
      </c>
      <c r="E5" s="27" t="s">
        <v>363</v>
      </c>
      <c r="F5" s="27" t="s">
        <v>364</v>
      </c>
      <c r="G5" s="27" t="s">
        <v>365</v>
      </c>
      <c r="H5" s="27" t="n">
        <v>154</v>
      </c>
      <c r="I5" s="27" t="n">
        <v>2</v>
      </c>
      <c r="J5" s="27" t="n">
        <v>1</v>
      </c>
      <c r="K5" s="27" t="n">
        <v>2</v>
      </c>
      <c r="L5" s="32" t="n">
        <f aca="false">IF(A5="","",N(I5)+N(J5)+N(K5))</f>
        <v>5</v>
      </c>
      <c r="M5" s="32" t="str">
        <f aca="false">IF(A5="","",IF(L5&lt;=5,"Pre-Novice",IF(L5&lt;=10,"Novice","Open")))</f>
        <v>Pre-Novice</v>
      </c>
      <c r="N5" s="27"/>
      <c r="O5" s="27" t="s">
        <v>366</v>
      </c>
      <c r="P5" s="27" t="s">
        <v>360</v>
      </c>
      <c r="Q5" s="27" t="s">
        <v>367</v>
      </c>
      <c r="R5" s="27" t="s">
        <v>368</v>
      </c>
      <c r="S5" s="27" t="s">
        <v>368</v>
      </c>
      <c r="T5" s="27" t="s">
        <v>369</v>
      </c>
      <c r="U5" s="27"/>
      <c r="V5" s="33" t="str">
        <f aca="false">IF(A5="","",IF(((O5&lt;&gt;"Yes")+(P5&lt;&gt;"Yes")+(Q5&lt;&gt;"Yes")+AND(B5="Yes",R5&lt;&gt;"Yes")+AND(OR(B5="Yes",ISNUMBER(SEARCH("grappling",F5))),S5&lt;&gt;"Yes"))=0,"READY",((O5&lt;&gt;"Yes")+(P5&lt;&gt;"Yes")+(Q5&lt;&gt;"Yes")+AND(B5="Yes",R5&lt;&gt;"Yes")+AND(OR(B5="Yes",ISNUMBER(SEARCH("grappling",F5))),S5&lt;&gt;"Yes"))&amp;" to do"))</f>
        <v>2 to do</v>
      </c>
      <c r="W5" s="27" t="s">
        <v>370</v>
      </c>
    </row>
    <row r="6" customFormat="false" ht="15" hidden="false" customHeight="false" outlineLevel="0" collapsed="false">
      <c r="A6" s="27"/>
      <c r="B6" s="27"/>
      <c r="C6" s="27"/>
      <c r="D6" s="27"/>
      <c r="E6" s="27"/>
      <c r="F6" s="27"/>
      <c r="G6" s="27"/>
      <c r="H6" s="27"/>
      <c r="I6" s="27"/>
      <c r="J6" s="27"/>
      <c r="K6" s="27"/>
      <c r="L6" s="32" t="str">
        <f aca="false">IF(A6="","",N(I6)+N(J6)+N(K6))</f>
        <v/>
      </c>
      <c r="M6" s="32" t="str">
        <f aca="false">IF(A6="","",IF(L6&lt;=5,"Pre-Novice",IF(L6&lt;=10,"Novice","Open")))</f>
        <v/>
      </c>
      <c r="N6" s="27"/>
      <c r="O6" s="27"/>
      <c r="P6" s="27"/>
      <c r="Q6" s="27"/>
      <c r="R6" s="27"/>
      <c r="S6" s="27"/>
      <c r="T6" s="27"/>
      <c r="U6" s="27"/>
      <c r="V6" s="33" t="str">
        <f aca="false">IF(A6="","",IF(((O6&lt;&gt;"Yes")+(P6&lt;&gt;"Yes")+(Q6&lt;&gt;"Yes")+AND(B6="Yes",R6&lt;&gt;"Yes")+AND(OR(B6="Yes",ISNUMBER(SEARCH("grappling",F6))),S6&lt;&gt;"Yes"))=0,"READY",((O6&lt;&gt;"Yes")+(P6&lt;&gt;"Yes")+(Q6&lt;&gt;"Yes")+AND(B6="Yes",R6&lt;&gt;"Yes")+AND(OR(B6="Yes",ISNUMBER(SEARCH("grappling",F6))),S6&lt;&gt;"Yes"))&amp;" to do"))</f>
        <v/>
      </c>
      <c r="W6" s="27"/>
    </row>
    <row r="7" customFormat="false" ht="15" hidden="false" customHeight="false" outlineLevel="0" collapsed="false">
      <c r="A7" s="27"/>
      <c r="B7" s="27"/>
      <c r="C7" s="27"/>
      <c r="D7" s="27"/>
      <c r="E7" s="27"/>
      <c r="F7" s="27"/>
      <c r="G7" s="27"/>
      <c r="H7" s="27"/>
      <c r="I7" s="27"/>
      <c r="J7" s="27"/>
      <c r="K7" s="27"/>
      <c r="L7" s="32" t="str">
        <f aca="false">IF(A7="","",N(I7)+N(J7)+N(K7))</f>
        <v/>
      </c>
      <c r="M7" s="32" t="str">
        <f aca="false">IF(A7="","",IF(L7&lt;=5,"Pre-Novice",IF(L7&lt;=10,"Novice","Open")))</f>
        <v/>
      </c>
      <c r="N7" s="27"/>
      <c r="O7" s="27"/>
      <c r="P7" s="27"/>
      <c r="Q7" s="27"/>
      <c r="R7" s="27"/>
      <c r="S7" s="27"/>
      <c r="T7" s="27"/>
      <c r="U7" s="27"/>
      <c r="V7" s="33" t="str">
        <f aca="false">IF(A7="","",IF(((O7&lt;&gt;"Yes")+(P7&lt;&gt;"Yes")+(Q7&lt;&gt;"Yes")+AND(B7="Yes",R7&lt;&gt;"Yes")+AND(OR(B7="Yes",ISNUMBER(SEARCH("grappling",F7))),S7&lt;&gt;"Yes"))=0,"READY",((O7&lt;&gt;"Yes")+(P7&lt;&gt;"Yes")+(Q7&lt;&gt;"Yes")+AND(B7="Yes",R7&lt;&gt;"Yes")+AND(OR(B7="Yes",ISNUMBER(SEARCH("grappling",F7))),S7&lt;&gt;"Yes"))&amp;" to do"))</f>
        <v/>
      </c>
      <c r="W7" s="27"/>
    </row>
    <row r="8" customFormat="false" ht="15" hidden="false" customHeight="false" outlineLevel="0" collapsed="false">
      <c r="A8" s="27"/>
      <c r="B8" s="27"/>
      <c r="C8" s="27"/>
      <c r="D8" s="27"/>
      <c r="E8" s="27"/>
      <c r="F8" s="27"/>
      <c r="G8" s="27"/>
      <c r="H8" s="27"/>
      <c r="I8" s="27"/>
      <c r="J8" s="27"/>
      <c r="K8" s="27"/>
      <c r="L8" s="32" t="str">
        <f aca="false">IF(A8="","",N(I8)+N(J8)+N(K8))</f>
        <v/>
      </c>
      <c r="M8" s="32" t="str">
        <f aca="false">IF(A8="","",IF(L8&lt;=5,"Pre-Novice",IF(L8&lt;=10,"Novice","Open")))</f>
        <v/>
      </c>
      <c r="N8" s="27"/>
      <c r="O8" s="27"/>
      <c r="P8" s="27"/>
      <c r="Q8" s="27"/>
      <c r="R8" s="27"/>
      <c r="S8" s="27"/>
      <c r="T8" s="27"/>
      <c r="U8" s="27"/>
      <c r="V8" s="33" t="str">
        <f aca="false">IF(A8="","",IF(((O8&lt;&gt;"Yes")+(P8&lt;&gt;"Yes")+(Q8&lt;&gt;"Yes")+AND(B8="Yes",R8&lt;&gt;"Yes")+AND(OR(B8="Yes",ISNUMBER(SEARCH("grappling",F8))),S8&lt;&gt;"Yes"))=0,"READY",((O8&lt;&gt;"Yes")+(P8&lt;&gt;"Yes")+(Q8&lt;&gt;"Yes")+AND(B8="Yes",R8&lt;&gt;"Yes")+AND(OR(B8="Yes",ISNUMBER(SEARCH("grappling",F8))),S8&lt;&gt;"Yes"))&amp;" to do"))</f>
        <v/>
      </c>
      <c r="W8" s="27"/>
    </row>
    <row r="9" customFormat="false" ht="15" hidden="false" customHeight="false" outlineLevel="0" collapsed="false">
      <c r="A9" s="27"/>
      <c r="B9" s="27"/>
      <c r="C9" s="27"/>
      <c r="D9" s="27"/>
      <c r="E9" s="27"/>
      <c r="F9" s="27"/>
      <c r="G9" s="27"/>
      <c r="H9" s="27"/>
      <c r="I9" s="27"/>
      <c r="J9" s="27"/>
      <c r="K9" s="27"/>
      <c r="L9" s="32" t="str">
        <f aca="false">IF(A9="","",N(I9)+N(J9)+N(K9))</f>
        <v/>
      </c>
      <c r="M9" s="32" t="str">
        <f aca="false">IF(A9="","",IF(L9&lt;=5,"Pre-Novice",IF(L9&lt;=10,"Novice","Open")))</f>
        <v/>
      </c>
      <c r="N9" s="27"/>
      <c r="O9" s="27"/>
      <c r="P9" s="27"/>
      <c r="Q9" s="27"/>
      <c r="R9" s="27"/>
      <c r="S9" s="27"/>
      <c r="T9" s="27"/>
      <c r="U9" s="27"/>
      <c r="V9" s="33" t="str">
        <f aca="false">IF(A9="","",IF(((O9&lt;&gt;"Yes")+(P9&lt;&gt;"Yes")+(Q9&lt;&gt;"Yes")+AND(B9="Yes",R9&lt;&gt;"Yes")+AND(OR(B9="Yes",ISNUMBER(SEARCH("grappling",F9))),S9&lt;&gt;"Yes"))=0,"READY",((O9&lt;&gt;"Yes")+(P9&lt;&gt;"Yes")+(Q9&lt;&gt;"Yes")+AND(B9="Yes",R9&lt;&gt;"Yes")+AND(OR(B9="Yes",ISNUMBER(SEARCH("grappling",F9))),S9&lt;&gt;"Yes"))&amp;" to do"))</f>
        <v/>
      </c>
      <c r="W9" s="27"/>
    </row>
    <row r="10" customFormat="false" ht="15" hidden="false" customHeight="false" outlineLevel="0" collapsed="false">
      <c r="A10" s="27"/>
      <c r="B10" s="27"/>
      <c r="C10" s="27"/>
      <c r="D10" s="27"/>
      <c r="E10" s="27"/>
      <c r="F10" s="27"/>
      <c r="G10" s="27"/>
      <c r="H10" s="27"/>
      <c r="I10" s="27"/>
      <c r="J10" s="27"/>
      <c r="K10" s="27"/>
      <c r="L10" s="32" t="str">
        <f aca="false">IF(A10="","",N(I10)+N(J10)+N(K10))</f>
        <v/>
      </c>
      <c r="M10" s="32" t="str">
        <f aca="false">IF(A10="","",IF(L10&lt;=5,"Pre-Novice",IF(L10&lt;=10,"Novice","Open")))</f>
        <v/>
      </c>
      <c r="N10" s="27"/>
      <c r="O10" s="27"/>
      <c r="P10" s="27"/>
      <c r="Q10" s="27"/>
      <c r="R10" s="27"/>
      <c r="S10" s="27"/>
      <c r="T10" s="27"/>
      <c r="U10" s="27"/>
      <c r="V10" s="33" t="str">
        <f aca="false">IF(A10="","",IF(((O10&lt;&gt;"Yes")+(P10&lt;&gt;"Yes")+(Q10&lt;&gt;"Yes")+AND(B10="Yes",R10&lt;&gt;"Yes")+AND(OR(B10="Yes",ISNUMBER(SEARCH("grappling",F10))),S10&lt;&gt;"Yes"))=0,"READY",((O10&lt;&gt;"Yes")+(P10&lt;&gt;"Yes")+(Q10&lt;&gt;"Yes")+AND(B10="Yes",R10&lt;&gt;"Yes")+AND(OR(B10="Yes",ISNUMBER(SEARCH("grappling",F10))),S10&lt;&gt;"Yes"))&amp;" to do"))</f>
        <v/>
      </c>
      <c r="W10" s="27"/>
    </row>
    <row r="11" customFormat="false" ht="15" hidden="false" customHeight="false" outlineLevel="0" collapsed="false">
      <c r="A11" s="27"/>
      <c r="B11" s="27"/>
      <c r="C11" s="27"/>
      <c r="D11" s="27"/>
      <c r="E11" s="27"/>
      <c r="F11" s="27"/>
      <c r="G11" s="27"/>
      <c r="H11" s="27"/>
      <c r="I11" s="27"/>
      <c r="J11" s="27"/>
      <c r="K11" s="27"/>
      <c r="L11" s="32" t="str">
        <f aca="false">IF(A11="","",N(I11)+N(J11)+N(K11))</f>
        <v/>
      </c>
      <c r="M11" s="32" t="str">
        <f aca="false">IF(A11="","",IF(L11&lt;=5,"Pre-Novice",IF(L11&lt;=10,"Novice","Open")))</f>
        <v/>
      </c>
      <c r="N11" s="27"/>
      <c r="O11" s="27"/>
      <c r="P11" s="27"/>
      <c r="Q11" s="27"/>
      <c r="R11" s="27"/>
      <c r="S11" s="27"/>
      <c r="T11" s="27"/>
      <c r="U11" s="27"/>
      <c r="V11" s="33" t="str">
        <f aca="false">IF(A11="","",IF(((O11&lt;&gt;"Yes")+(P11&lt;&gt;"Yes")+(Q11&lt;&gt;"Yes")+AND(B11="Yes",R11&lt;&gt;"Yes")+AND(OR(B11="Yes",ISNUMBER(SEARCH("grappling",F11))),S11&lt;&gt;"Yes"))=0,"READY",((O11&lt;&gt;"Yes")+(P11&lt;&gt;"Yes")+(Q11&lt;&gt;"Yes")+AND(B11="Yes",R11&lt;&gt;"Yes")+AND(OR(B11="Yes",ISNUMBER(SEARCH("grappling",F11))),S11&lt;&gt;"Yes"))&amp;" to do"))</f>
        <v/>
      </c>
      <c r="W11" s="27"/>
    </row>
    <row r="12" customFormat="false" ht="15" hidden="false" customHeight="false" outlineLevel="0" collapsed="false">
      <c r="A12" s="27"/>
      <c r="B12" s="27"/>
      <c r="C12" s="27"/>
      <c r="D12" s="27"/>
      <c r="E12" s="27"/>
      <c r="F12" s="27"/>
      <c r="G12" s="27"/>
      <c r="H12" s="27"/>
      <c r="I12" s="27"/>
      <c r="J12" s="27"/>
      <c r="K12" s="27"/>
      <c r="L12" s="32" t="str">
        <f aca="false">IF(A12="","",N(I12)+N(J12)+N(K12))</f>
        <v/>
      </c>
      <c r="M12" s="32" t="str">
        <f aca="false">IF(A12="","",IF(L12&lt;=5,"Pre-Novice",IF(L12&lt;=10,"Novice","Open")))</f>
        <v/>
      </c>
      <c r="N12" s="27"/>
      <c r="O12" s="27"/>
      <c r="P12" s="27"/>
      <c r="Q12" s="27"/>
      <c r="R12" s="27"/>
      <c r="S12" s="27"/>
      <c r="T12" s="27"/>
      <c r="U12" s="27"/>
      <c r="V12" s="33" t="str">
        <f aca="false">IF(A12="","",IF(((O12&lt;&gt;"Yes")+(P12&lt;&gt;"Yes")+(Q12&lt;&gt;"Yes")+AND(B12="Yes",R12&lt;&gt;"Yes")+AND(OR(B12="Yes",ISNUMBER(SEARCH("grappling",F12))),S12&lt;&gt;"Yes"))=0,"READY",((O12&lt;&gt;"Yes")+(P12&lt;&gt;"Yes")+(Q12&lt;&gt;"Yes")+AND(B12="Yes",R12&lt;&gt;"Yes")+AND(OR(B12="Yes",ISNUMBER(SEARCH("grappling",F12))),S12&lt;&gt;"Yes"))&amp;" to do"))</f>
        <v/>
      </c>
      <c r="W12" s="27"/>
    </row>
    <row r="13" customFormat="false" ht="15" hidden="false" customHeight="false" outlineLevel="0" collapsed="false">
      <c r="A13" s="27"/>
      <c r="B13" s="27"/>
      <c r="C13" s="27"/>
      <c r="D13" s="27"/>
      <c r="E13" s="27"/>
      <c r="F13" s="27"/>
      <c r="G13" s="27"/>
      <c r="H13" s="27"/>
      <c r="I13" s="27"/>
      <c r="J13" s="27"/>
      <c r="K13" s="27"/>
      <c r="L13" s="32" t="str">
        <f aca="false">IF(A13="","",N(I13)+N(J13)+N(K13))</f>
        <v/>
      </c>
      <c r="M13" s="32" t="str">
        <f aca="false">IF(A13="","",IF(L13&lt;=5,"Pre-Novice",IF(L13&lt;=10,"Novice","Open")))</f>
        <v/>
      </c>
      <c r="N13" s="27"/>
      <c r="O13" s="27"/>
      <c r="P13" s="27"/>
      <c r="Q13" s="27"/>
      <c r="R13" s="27"/>
      <c r="S13" s="27"/>
      <c r="T13" s="27"/>
      <c r="U13" s="27"/>
      <c r="V13" s="33" t="str">
        <f aca="false">IF(A13="","",IF(((O13&lt;&gt;"Yes")+(P13&lt;&gt;"Yes")+(Q13&lt;&gt;"Yes")+AND(B13="Yes",R13&lt;&gt;"Yes")+AND(OR(B13="Yes",ISNUMBER(SEARCH("grappling",F13))),S13&lt;&gt;"Yes"))=0,"READY",((O13&lt;&gt;"Yes")+(P13&lt;&gt;"Yes")+(Q13&lt;&gt;"Yes")+AND(B13="Yes",R13&lt;&gt;"Yes")+AND(OR(B13="Yes",ISNUMBER(SEARCH("grappling",F13))),S13&lt;&gt;"Yes"))&amp;" to do"))</f>
        <v/>
      </c>
      <c r="W13" s="27"/>
    </row>
    <row r="14" customFormat="false" ht="15" hidden="false" customHeight="false" outlineLevel="0" collapsed="false">
      <c r="A14" s="27"/>
      <c r="B14" s="27"/>
      <c r="C14" s="27"/>
      <c r="D14" s="27"/>
      <c r="E14" s="27"/>
      <c r="F14" s="27"/>
      <c r="G14" s="27"/>
      <c r="H14" s="27"/>
      <c r="I14" s="27"/>
      <c r="J14" s="27"/>
      <c r="K14" s="27"/>
      <c r="L14" s="32" t="str">
        <f aca="false">IF(A14="","",N(I14)+N(J14)+N(K14))</f>
        <v/>
      </c>
      <c r="M14" s="32" t="str">
        <f aca="false">IF(A14="","",IF(L14&lt;=5,"Pre-Novice",IF(L14&lt;=10,"Novice","Open")))</f>
        <v/>
      </c>
      <c r="N14" s="27"/>
      <c r="O14" s="27"/>
      <c r="P14" s="27"/>
      <c r="Q14" s="27"/>
      <c r="R14" s="27"/>
      <c r="S14" s="27"/>
      <c r="T14" s="27"/>
      <c r="U14" s="27"/>
      <c r="V14" s="33" t="str">
        <f aca="false">IF(A14="","",IF(((O14&lt;&gt;"Yes")+(P14&lt;&gt;"Yes")+(Q14&lt;&gt;"Yes")+AND(B14="Yes",R14&lt;&gt;"Yes")+AND(OR(B14="Yes",ISNUMBER(SEARCH("grappling",F14))),S14&lt;&gt;"Yes"))=0,"READY",((O14&lt;&gt;"Yes")+(P14&lt;&gt;"Yes")+(Q14&lt;&gt;"Yes")+AND(B14="Yes",R14&lt;&gt;"Yes")+AND(OR(B14="Yes",ISNUMBER(SEARCH("grappling",F14))),S14&lt;&gt;"Yes"))&amp;" to do"))</f>
        <v/>
      </c>
      <c r="W14" s="27"/>
    </row>
    <row r="15" customFormat="false" ht="15" hidden="false" customHeight="false" outlineLevel="0" collapsed="false">
      <c r="A15" s="27"/>
      <c r="B15" s="27"/>
      <c r="C15" s="27"/>
      <c r="D15" s="27"/>
      <c r="E15" s="27"/>
      <c r="F15" s="27"/>
      <c r="G15" s="27"/>
      <c r="H15" s="27"/>
      <c r="I15" s="27"/>
      <c r="J15" s="27"/>
      <c r="K15" s="27"/>
      <c r="L15" s="32" t="str">
        <f aca="false">IF(A15="","",N(I15)+N(J15)+N(K15))</f>
        <v/>
      </c>
      <c r="M15" s="32" t="str">
        <f aca="false">IF(A15="","",IF(L15&lt;=5,"Pre-Novice",IF(L15&lt;=10,"Novice","Open")))</f>
        <v/>
      </c>
      <c r="N15" s="27"/>
      <c r="O15" s="27"/>
      <c r="P15" s="27"/>
      <c r="Q15" s="27"/>
      <c r="R15" s="27"/>
      <c r="S15" s="27"/>
      <c r="T15" s="27"/>
      <c r="U15" s="27"/>
      <c r="V15" s="33" t="str">
        <f aca="false">IF(A15="","",IF(((O15&lt;&gt;"Yes")+(P15&lt;&gt;"Yes")+(Q15&lt;&gt;"Yes")+AND(B15="Yes",R15&lt;&gt;"Yes")+AND(OR(B15="Yes",ISNUMBER(SEARCH("grappling",F15))),S15&lt;&gt;"Yes"))=0,"READY",((O15&lt;&gt;"Yes")+(P15&lt;&gt;"Yes")+(Q15&lt;&gt;"Yes")+AND(B15="Yes",R15&lt;&gt;"Yes")+AND(OR(B15="Yes",ISNUMBER(SEARCH("grappling",F15))),S15&lt;&gt;"Yes"))&amp;" to do"))</f>
        <v/>
      </c>
      <c r="W15" s="27"/>
    </row>
    <row r="16" customFormat="false" ht="15" hidden="false" customHeight="false" outlineLevel="0" collapsed="false">
      <c r="A16" s="27"/>
      <c r="B16" s="27"/>
      <c r="C16" s="27"/>
      <c r="D16" s="27"/>
      <c r="E16" s="27"/>
      <c r="F16" s="27"/>
      <c r="G16" s="27"/>
      <c r="H16" s="27"/>
      <c r="I16" s="27"/>
      <c r="J16" s="27"/>
      <c r="K16" s="27"/>
      <c r="L16" s="32" t="str">
        <f aca="false">IF(A16="","",N(I16)+N(J16)+N(K16))</f>
        <v/>
      </c>
      <c r="M16" s="32" t="str">
        <f aca="false">IF(A16="","",IF(L16&lt;=5,"Pre-Novice",IF(L16&lt;=10,"Novice","Open")))</f>
        <v/>
      </c>
      <c r="N16" s="27"/>
      <c r="O16" s="27"/>
      <c r="P16" s="27"/>
      <c r="Q16" s="27"/>
      <c r="R16" s="27"/>
      <c r="S16" s="27"/>
      <c r="T16" s="27"/>
      <c r="U16" s="27"/>
      <c r="V16" s="33" t="str">
        <f aca="false">IF(A16="","",IF(((O16&lt;&gt;"Yes")+(P16&lt;&gt;"Yes")+(Q16&lt;&gt;"Yes")+AND(B16="Yes",R16&lt;&gt;"Yes")+AND(OR(B16="Yes",ISNUMBER(SEARCH("grappling",F16))),S16&lt;&gt;"Yes"))=0,"READY",((O16&lt;&gt;"Yes")+(P16&lt;&gt;"Yes")+(Q16&lt;&gt;"Yes")+AND(B16="Yes",R16&lt;&gt;"Yes")+AND(OR(B16="Yes",ISNUMBER(SEARCH("grappling",F16))),S16&lt;&gt;"Yes"))&amp;" to do"))</f>
        <v/>
      </c>
      <c r="W16" s="27"/>
    </row>
    <row r="17" customFormat="false" ht="15" hidden="false" customHeight="false" outlineLevel="0" collapsed="false">
      <c r="A17" s="27"/>
      <c r="B17" s="27"/>
      <c r="C17" s="27"/>
      <c r="D17" s="27"/>
      <c r="E17" s="27"/>
      <c r="F17" s="27"/>
      <c r="G17" s="27"/>
      <c r="H17" s="27"/>
      <c r="I17" s="27"/>
      <c r="J17" s="27"/>
      <c r="K17" s="27"/>
      <c r="L17" s="32" t="str">
        <f aca="false">IF(A17="","",N(I17)+N(J17)+N(K17))</f>
        <v/>
      </c>
      <c r="M17" s="32" t="str">
        <f aca="false">IF(A17="","",IF(L17&lt;=5,"Pre-Novice",IF(L17&lt;=10,"Novice","Open")))</f>
        <v/>
      </c>
      <c r="N17" s="27"/>
      <c r="O17" s="27"/>
      <c r="P17" s="27"/>
      <c r="Q17" s="27"/>
      <c r="R17" s="27"/>
      <c r="S17" s="27"/>
      <c r="T17" s="27"/>
      <c r="U17" s="27"/>
      <c r="V17" s="33" t="str">
        <f aca="false">IF(A17="","",IF(((O17&lt;&gt;"Yes")+(P17&lt;&gt;"Yes")+(Q17&lt;&gt;"Yes")+AND(B17="Yes",R17&lt;&gt;"Yes")+AND(OR(B17="Yes",ISNUMBER(SEARCH("grappling",F17))),S17&lt;&gt;"Yes"))=0,"READY",((O17&lt;&gt;"Yes")+(P17&lt;&gt;"Yes")+(Q17&lt;&gt;"Yes")+AND(B17="Yes",R17&lt;&gt;"Yes")+AND(OR(B17="Yes",ISNUMBER(SEARCH("grappling",F17))),S17&lt;&gt;"Yes"))&amp;" to do"))</f>
        <v/>
      </c>
      <c r="W17" s="27"/>
    </row>
    <row r="18" customFormat="false" ht="15" hidden="false" customHeight="false" outlineLevel="0" collapsed="false">
      <c r="A18" s="27"/>
      <c r="B18" s="27"/>
      <c r="C18" s="27"/>
      <c r="D18" s="27"/>
      <c r="E18" s="27"/>
      <c r="F18" s="27"/>
      <c r="G18" s="27"/>
      <c r="H18" s="27"/>
      <c r="I18" s="27"/>
      <c r="J18" s="27"/>
      <c r="K18" s="27"/>
      <c r="L18" s="32" t="str">
        <f aca="false">IF(A18="","",N(I18)+N(J18)+N(K18))</f>
        <v/>
      </c>
      <c r="M18" s="32" t="str">
        <f aca="false">IF(A18="","",IF(L18&lt;=5,"Pre-Novice",IF(L18&lt;=10,"Novice","Open")))</f>
        <v/>
      </c>
      <c r="N18" s="27"/>
      <c r="O18" s="27"/>
      <c r="P18" s="27"/>
      <c r="Q18" s="27"/>
      <c r="R18" s="27"/>
      <c r="S18" s="27"/>
      <c r="T18" s="27"/>
      <c r="U18" s="27"/>
      <c r="V18" s="33" t="str">
        <f aca="false">IF(A18="","",IF(((O18&lt;&gt;"Yes")+(P18&lt;&gt;"Yes")+(Q18&lt;&gt;"Yes")+AND(B18="Yes",R18&lt;&gt;"Yes")+AND(OR(B18="Yes",ISNUMBER(SEARCH("grappling",F18))),S18&lt;&gt;"Yes"))=0,"READY",((O18&lt;&gt;"Yes")+(P18&lt;&gt;"Yes")+(Q18&lt;&gt;"Yes")+AND(B18="Yes",R18&lt;&gt;"Yes")+AND(OR(B18="Yes",ISNUMBER(SEARCH("grappling",F18))),S18&lt;&gt;"Yes"))&amp;" to do"))</f>
        <v/>
      </c>
      <c r="W18" s="27"/>
    </row>
    <row r="19" customFormat="false" ht="15" hidden="false" customHeight="false" outlineLevel="0" collapsed="false">
      <c r="A19" s="27"/>
      <c r="B19" s="27"/>
      <c r="C19" s="27"/>
      <c r="D19" s="27"/>
      <c r="E19" s="27"/>
      <c r="F19" s="27"/>
      <c r="G19" s="27"/>
      <c r="H19" s="27"/>
      <c r="I19" s="27"/>
      <c r="J19" s="27"/>
      <c r="K19" s="27"/>
      <c r="L19" s="32" t="str">
        <f aca="false">IF(A19="","",N(I19)+N(J19)+N(K19))</f>
        <v/>
      </c>
      <c r="M19" s="32" t="str">
        <f aca="false">IF(A19="","",IF(L19&lt;=5,"Pre-Novice",IF(L19&lt;=10,"Novice","Open")))</f>
        <v/>
      </c>
      <c r="N19" s="27"/>
      <c r="O19" s="27"/>
      <c r="P19" s="27"/>
      <c r="Q19" s="27"/>
      <c r="R19" s="27"/>
      <c r="S19" s="27"/>
      <c r="T19" s="27"/>
      <c r="U19" s="27"/>
      <c r="V19" s="33" t="str">
        <f aca="false">IF(A19="","",IF(((O19&lt;&gt;"Yes")+(P19&lt;&gt;"Yes")+(Q19&lt;&gt;"Yes")+AND(B19="Yes",R19&lt;&gt;"Yes")+AND(OR(B19="Yes",ISNUMBER(SEARCH("grappling",F19))),S19&lt;&gt;"Yes"))=0,"READY",((O19&lt;&gt;"Yes")+(P19&lt;&gt;"Yes")+(Q19&lt;&gt;"Yes")+AND(B19="Yes",R19&lt;&gt;"Yes")+AND(OR(B19="Yes",ISNUMBER(SEARCH("grappling",F19))),S19&lt;&gt;"Yes"))&amp;" to do"))</f>
        <v/>
      </c>
      <c r="W19" s="27"/>
    </row>
    <row r="20" customFormat="false" ht="15" hidden="false" customHeight="false" outlineLevel="0" collapsed="false">
      <c r="A20" s="27"/>
      <c r="B20" s="27"/>
      <c r="C20" s="27"/>
      <c r="D20" s="27"/>
      <c r="E20" s="27"/>
      <c r="F20" s="27"/>
      <c r="G20" s="27"/>
      <c r="H20" s="27"/>
      <c r="I20" s="27"/>
      <c r="J20" s="27"/>
      <c r="K20" s="27"/>
      <c r="L20" s="32" t="str">
        <f aca="false">IF(A20="","",N(I20)+N(J20)+N(K20))</f>
        <v/>
      </c>
      <c r="M20" s="32" t="str">
        <f aca="false">IF(A20="","",IF(L20&lt;=5,"Pre-Novice",IF(L20&lt;=10,"Novice","Open")))</f>
        <v/>
      </c>
      <c r="N20" s="27"/>
      <c r="O20" s="27"/>
      <c r="P20" s="27"/>
      <c r="Q20" s="27"/>
      <c r="R20" s="27"/>
      <c r="S20" s="27"/>
      <c r="T20" s="27"/>
      <c r="U20" s="27"/>
      <c r="V20" s="33" t="str">
        <f aca="false">IF(A20="","",IF(((O20&lt;&gt;"Yes")+(P20&lt;&gt;"Yes")+(Q20&lt;&gt;"Yes")+AND(B20="Yes",R20&lt;&gt;"Yes")+AND(OR(B20="Yes",ISNUMBER(SEARCH("grappling",F20))),S20&lt;&gt;"Yes"))=0,"READY",((O20&lt;&gt;"Yes")+(P20&lt;&gt;"Yes")+(Q20&lt;&gt;"Yes")+AND(B20="Yes",R20&lt;&gt;"Yes")+AND(OR(B20="Yes",ISNUMBER(SEARCH("grappling",F20))),S20&lt;&gt;"Yes"))&amp;" to do"))</f>
        <v/>
      </c>
      <c r="W20" s="27"/>
    </row>
    <row r="21" customFormat="false" ht="15" hidden="false" customHeight="false" outlineLevel="0" collapsed="false">
      <c r="A21" s="27"/>
      <c r="B21" s="27"/>
      <c r="C21" s="27"/>
      <c r="D21" s="27"/>
      <c r="E21" s="27"/>
      <c r="F21" s="27"/>
      <c r="G21" s="27"/>
      <c r="H21" s="27"/>
      <c r="I21" s="27"/>
      <c r="J21" s="27"/>
      <c r="K21" s="27"/>
      <c r="L21" s="32" t="str">
        <f aca="false">IF(A21="","",N(I21)+N(J21)+N(K21))</f>
        <v/>
      </c>
      <c r="M21" s="32" t="str">
        <f aca="false">IF(A21="","",IF(L21&lt;=5,"Pre-Novice",IF(L21&lt;=10,"Novice","Open")))</f>
        <v/>
      </c>
      <c r="N21" s="27"/>
      <c r="O21" s="27"/>
      <c r="P21" s="27"/>
      <c r="Q21" s="27"/>
      <c r="R21" s="27"/>
      <c r="S21" s="27"/>
      <c r="T21" s="27"/>
      <c r="U21" s="27"/>
      <c r="V21" s="33" t="str">
        <f aca="false">IF(A21="","",IF(((O21&lt;&gt;"Yes")+(P21&lt;&gt;"Yes")+(Q21&lt;&gt;"Yes")+AND(B21="Yes",R21&lt;&gt;"Yes")+AND(OR(B21="Yes",ISNUMBER(SEARCH("grappling",F21))),S21&lt;&gt;"Yes"))=0,"READY",((O21&lt;&gt;"Yes")+(P21&lt;&gt;"Yes")+(Q21&lt;&gt;"Yes")+AND(B21="Yes",R21&lt;&gt;"Yes")+AND(OR(B21="Yes",ISNUMBER(SEARCH("grappling",F21))),S21&lt;&gt;"Yes"))&amp;" to do"))</f>
        <v/>
      </c>
      <c r="W21" s="27"/>
    </row>
    <row r="22" customFormat="false" ht="15" hidden="false" customHeight="false" outlineLevel="0" collapsed="false">
      <c r="A22" s="27"/>
      <c r="B22" s="27"/>
      <c r="C22" s="27"/>
      <c r="D22" s="27"/>
      <c r="E22" s="27"/>
      <c r="F22" s="27"/>
      <c r="G22" s="27"/>
      <c r="H22" s="27"/>
      <c r="I22" s="27"/>
      <c r="J22" s="27"/>
      <c r="K22" s="27"/>
      <c r="L22" s="32" t="str">
        <f aca="false">IF(A22="","",N(I22)+N(J22)+N(K22))</f>
        <v/>
      </c>
      <c r="M22" s="32" t="str">
        <f aca="false">IF(A22="","",IF(L22&lt;=5,"Pre-Novice",IF(L22&lt;=10,"Novice","Open")))</f>
        <v/>
      </c>
      <c r="N22" s="27"/>
      <c r="O22" s="27"/>
      <c r="P22" s="27"/>
      <c r="Q22" s="27"/>
      <c r="R22" s="27"/>
      <c r="S22" s="27"/>
      <c r="T22" s="27"/>
      <c r="U22" s="27"/>
      <c r="V22" s="33" t="str">
        <f aca="false">IF(A22="","",IF(((O22&lt;&gt;"Yes")+(P22&lt;&gt;"Yes")+(Q22&lt;&gt;"Yes")+AND(B22="Yes",R22&lt;&gt;"Yes")+AND(OR(B22="Yes",ISNUMBER(SEARCH("grappling",F22))),S22&lt;&gt;"Yes"))=0,"READY",((O22&lt;&gt;"Yes")+(P22&lt;&gt;"Yes")+(Q22&lt;&gt;"Yes")+AND(B22="Yes",R22&lt;&gt;"Yes")+AND(OR(B22="Yes",ISNUMBER(SEARCH("grappling",F22))),S22&lt;&gt;"Yes"))&amp;" to do"))</f>
        <v/>
      </c>
      <c r="W22" s="27"/>
    </row>
    <row r="23" customFormat="false" ht="15" hidden="false" customHeight="false" outlineLevel="0" collapsed="false">
      <c r="A23" s="27"/>
      <c r="B23" s="27"/>
      <c r="C23" s="27"/>
      <c r="D23" s="27"/>
      <c r="E23" s="27"/>
      <c r="F23" s="27"/>
      <c r="G23" s="27"/>
      <c r="H23" s="27"/>
      <c r="I23" s="27"/>
      <c r="J23" s="27"/>
      <c r="K23" s="27"/>
      <c r="L23" s="32" t="str">
        <f aca="false">IF(A23="","",N(I23)+N(J23)+N(K23))</f>
        <v/>
      </c>
      <c r="M23" s="32" t="str">
        <f aca="false">IF(A23="","",IF(L23&lt;=5,"Pre-Novice",IF(L23&lt;=10,"Novice","Open")))</f>
        <v/>
      </c>
      <c r="N23" s="27"/>
      <c r="O23" s="27"/>
      <c r="P23" s="27"/>
      <c r="Q23" s="27"/>
      <c r="R23" s="27"/>
      <c r="S23" s="27"/>
      <c r="T23" s="27"/>
      <c r="U23" s="27"/>
      <c r="V23" s="33" t="str">
        <f aca="false">IF(A23="","",IF(((O23&lt;&gt;"Yes")+(P23&lt;&gt;"Yes")+(Q23&lt;&gt;"Yes")+AND(B23="Yes",R23&lt;&gt;"Yes")+AND(OR(B23="Yes",ISNUMBER(SEARCH("grappling",F23))),S23&lt;&gt;"Yes"))=0,"READY",((O23&lt;&gt;"Yes")+(P23&lt;&gt;"Yes")+(Q23&lt;&gt;"Yes")+AND(B23="Yes",R23&lt;&gt;"Yes")+AND(OR(B23="Yes",ISNUMBER(SEARCH("grappling",F23))),S23&lt;&gt;"Yes"))&amp;" to do"))</f>
        <v/>
      </c>
      <c r="W23" s="27"/>
    </row>
    <row r="24" customFormat="false" ht="15" hidden="false" customHeight="false" outlineLevel="0" collapsed="false">
      <c r="A24" s="27"/>
      <c r="B24" s="27"/>
      <c r="C24" s="27"/>
      <c r="D24" s="27"/>
      <c r="E24" s="27"/>
      <c r="F24" s="27"/>
      <c r="G24" s="27"/>
      <c r="H24" s="27"/>
      <c r="I24" s="27"/>
      <c r="J24" s="27"/>
      <c r="K24" s="27"/>
      <c r="L24" s="32" t="str">
        <f aca="false">IF(A24="","",N(I24)+N(J24)+N(K24))</f>
        <v/>
      </c>
      <c r="M24" s="32" t="str">
        <f aca="false">IF(A24="","",IF(L24&lt;=5,"Pre-Novice",IF(L24&lt;=10,"Novice","Open")))</f>
        <v/>
      </c>
      <c r="N24" s="27"/>
      <c r="O24" s="27"/>
      <c r="P24" s="27"/>
      <c r="Q24" s="27"/>
      <c r="R24" s="27"/>
      <c r="S24" s="27"/>
      <c r="T24" s="27"/>
      <c r="U24" s="27"/>
      <c r="V24" s="33" t="str">
        <f aca="false">IF(A24="","",IF(((O24&lt;&gt;"Yes")+(P24&lt;&gt;"Yes")+(Q24&lt;&gt;"Yes")+AND(B24="Yes",R24&lt;&gt;"Yes")+AND(OR(B24="Yes",ISNUMBER(SEARCH("grappling",F24))),S24&lt;&gt;"Yes"))=0,"READY",((O24&lt;&gt;"Yes")+(P24&lt;&gt;"Yes")+(Q24&lt;&gt;"Yes")+AND(B24="Yes",R24&lt;&gt;"Yes")+AND(OR(B24="Yes",ISNUMBER(SEARCH("grappling",F24))),S24&lt;&gt;"Yes"))&amp;" to do"))</f>
        <v/>
      </c>
      <c r="W24" s="27"/>
    </row>
    <row r="25" customFormat="false" ht="15" hidden="false" customHeight="false" outlineLevel="0" collapsed="false">
      <c r="A25" s="27"/>
      <c r="B25" s="27"/>
      <c r="C25" s="27"/>
      <c r="D25" s="27"/>
      <c r="E25" s="27"/>
      <c r="F25" s="27"/>
      <c r="G25" s="27"/>
      <c r="H25" s="27"/>
      <c r="I25" s="27"/>
      <c r="J25" s="27"/>
      <c r="K25" s="27"/>
      <c r="L25" s="32" t="str">
        <f aca="false">IF(A25="","",N(I25)+N(J25)+N(K25))</f>
        <v/>
      </c>
      <c r="M25" s="32" t="str">
        <f aca="false">IF(A25="","",IF(L25&lt;=5,"Pre-Novice",IF(L25&lt;=10,"Novice","Open")))</f>
        <v/>
      </c>
      <c r="N25" s="27"/>
      <c r="O25" s="27"/>
      <c r="P25" s="27"/>
      <c r="Q25" s="27"/>
      <c r="R25" s="27"/>
      <c r="S25" s="27"/>
      <c r="T25" s="27"/>
      <c r="U25" s="27"/>
      <c r="V25" s="33" t="str">
        <f aca="false">IF(A25="","",IF(((O25&lt;&gt;"Yes")+(P25&lt;&gt;"Yes")+(Q25&lt;&gt;"Yes")+AND(B25="Yes",R25&lt;&gt;"Yes")+AND(OR(B25="Yes",ISNUMBER(SEARCH("grappling",F25))),S25&lt;&gt;"Yes"))=0,"READY",((O25&lt;&gt;"Yes")+(P25&lt;&gt;"Yes")+(Q25&lt;&gt;"Yes")+AND(B25="Yes",R25&lt;&gt;"Yes")+AND(OR(B25="Yes",ISNUMBER(SEARCH("grappling",F25))),S25&lt;&gt;"Yes"))&amp;" to do"))</f>
        <v/>
      </c>
      <c r="W25" s="27"/>
    </row>
    <row r="26" customFormat="false" ht="15" hidden="false" customHeight="false" outlineLevel="0" collapsed="false">
      <c r="A26" s="27"/>
      <c r="B26" s="27"/>
      <c r="C26" s="27"/>
      <c r="D26" s="27"/>
      <c r="E26" s="27"/>
      <c r="F26" s="27"/>
      <c r="G26" s="27"/>
      <c r="H26" s="27"/>
      <c r="I26" s="27"/>
      <c r="J26" s="27"/>
      <c r="K26" s="27"/>
      <c r="L26" s="32" t="str">
        <f aca="false">IF(A26="","",N(I26)+N(J26)+N(K26))</f>
        <v/>
      </c>
      <c r="M26" s="32" t="str">
        <f aca="false">IF(A26="","",IF(L26&lt;=5,"Pre-Novice",IF(L26&lt;=10,"Novice","Open")))</f>
        <v/>
      </c>
      <c r="N26" s="27"/>
      <c r="O26" s="27"/>
      <c r="P26" s="27"/>
      <c r="Q26" s="27"/>
      <c r="R26" s="27"/>
      <c r="S26" s="27"/>
      <c r="T26" s="27"/>
      <c r="U26" s="27"/>
      <c r="V26" s="33" t="str">
        <f aca="false">IF(A26="","",IF(((O26&lt;&gt;"Yes")+(P26&lt;&gt;"Yes")+(Q26&lt;&gt;"Yes")+AND(B26="Yes",R26&lt;&gt;"Yes")+AND(OR(B26="Yes",ISNUMBER(SEARCH("grappling",F26))),S26&lt;&gt;"Yes"))=0,"READY",((O26&lt;&gt;"Yes")+(P26&lt;&gt;"Yes")+(Q26&lt;&gt;"Yes")+AND(B26="Yes",R26&lt;&gt;"Yes")+AND(OR(B26="Yes",ISNUMBER(SEARCH("grappling",F26))),S26&lt;&gt;"Yes"))&amp;" to do"))</f>
        <v/>
      </c>
      <c r="W26" s="27"/>
    </row>
    <row r="27" customFormat="false" ht="15" hidden="false" customHeight="false" outlineLevel="0" collapsed="false">
      <c r="A27" s="27"/>
      <c r="B27" s="27"/>
      <c r="C27" s="27"/>
      <c r="D27" s="27"/>
      <c r="E27" s="27"/>
      <c r="F27" s="27"/>
      <c r="G27" s="27"/>
      <c r="H27" s="27"/>
      <c r="I27" s="27"/>
      <c r="J27" s="27"/>
      <c r="K27" s="27"/>
      <c r="L27" s="32" t="str">
        <f aca="false">IF(A27="","",N(I27)+N(J27)+N(K27))</f>
        <v/>
      </c>
      <c r="M27" s="32" t="str">
        <f aca="false">IF(A27="","",IF(L27&lt;=5,"Pre-Novice",IF(L27&lt;=10,"Novice","Open")))</f>
        <v/>
      </c>
      <c r="N27" s="27"/>
      <c r="O27" s="27"/>
      <c r="P27" s="27"/>
      <c r="Q27" s="27"/>
      <c r="R27" s="27"/>
      <c r="S27" s="27"/>
      <c r="T27" s="27"/>
      <c r="U27" s="27"/>
      <c r="V27" s="33" t="str">
        <f aca="false">IF(A27="","",IF(((O27&lt;&gt;"Yes")+(P27&lt;&gt;"Yes")+(Q27&lt;&gt;"Yes")+AND(B27="Yes",R27&lt;&gt;"Yes")+AND(OR(B27="Yes",ISNUMBER(SEARCH("grappling",F27))),S27&lt;&gt;"Yes"))=0,"READY",((O27&lt;&gt;"Yes")+(P27&lt;&gt;"Yes")+(Q27&lt;&gt;"Yes")+AND(B27="Yes",R27&lt;&gt;"Yes")+AND(OR(B27="Yes",ISNUMBER(SEARCH("grappling",F27))),S27&lt;&gt;"Yes"))&amp;" to do"))</f>
        <v/>
      </c>
      <c r="W27" s="27"/>
    </row>
    <row r="28" customFormat="false" ht="15" hidden="false" customHeight="false" outlineLevel="0" collapsed="false">
      <c r="A28" s="27"/>
      <c r="B28" s="27"/>
      <c r="C28" s="27"/>
      <c r="D28" s="27"/>
      <c r="E28" s="27"/>
      <c r="F28" s="27"/>
      <c r="G28" s="27"/>
      <c r="H28" s="27"/>
      <c r="I28" s="27"/>
      <c r="J28" s="27"/>
      <c r="K28" s="27"/>
      <c r="L28" s="32" t="str">
        <f aca="false">IF(A28="","",N(I28)+N(J28)+N(K28))</f>
        <v/>
      </c>
      <c r="M28" s="32" t="str">
        <f aca="false">IF(A28="","",IF(L28&lt;=5,"Pre-Novice",IF(L28&lt;=10,"Novice","Open")))</f>
        <v/>
      </c>
      <c r="N28" s="27"/>
      <c r="O28" s="27"/>
      <c r="P28" s="27"/>
      <c r="Q28" s="27"/>
      <c r="R28" s="27"/>
      <c r="S28" s="27"/>
      <c r="T28" s="27"/>
      <c r="U28" s="27"/>
      <c r="V28" s="33" t="str">
        <f aca="false">IF(A28="","",IF(((O28&lt;&gt;"Yes")+(P28&lt;&gt;"Yes")+(Q28&lt;&gt;"Yes")+AND(B28="Yes",R28&lt;&gt;"Yes")+AND(OR(B28="Yes",ISNUMBER(SEARCH("grappling",F28))),S28&lt;&gt;"Yes"))=0,"READY",((O28&lt;&gt;"Yes")+(P28&lt;&gt;"Yes")+(Q28&lt;&gt;"Yes")+AND(B28="Yes",R28&lt;&gt;"Yes")+AND(OR(B28="Yes",ISNUMBER(SEARCH("grappling",F28))),S28&lt;&gt;"Yes"))&amp;" to do"))</f>
        <v/>
      </c>
      <c r="W28" s="27"/>
    </row>
    <row r="29" customFormat="false" ht="15" hidden="false" customHeight="false" outlineLevel="0" collapsed="false">
      <c r="A29" s="27"/>
      <c r="B29" s="27"/>
      <c r="C29" s="27"/>
      <c r="D29" s="27"/>
      <c r="E29" s="27"/>
      <c r="F29" s="27"/>
      <c r="G29" s="27"/>
      <c r="H29" s="27"/>
      <c r="I29" s="27"/>
      <c r="J29" s="27"/>
      <c r="K29" s="27"/>
      <c r="L29" s="32" t="str">
        <f aca="false">IF(A29="","",N(I29)+N(J29)+N(K29))</f>
        <v/>
      </c>
      <c r="M29" s="32" t="str">
        <f aca="false">IF(A29="","",IF(L29&lt;=5,"Pre-Novice",IF(L29&lt;=10,"Novice","Open")))</f>
        <v/>
      </c>
      <c r="N29" s="27"/>
      <c r="O29" s="27"/>
      <c r="P29" s="27"/>
      <c r="Q29" s="27"/>
      <c r="R29" s="27"/>
      <c r="S29" s="27"/>
      <c r="T29" s="27"/>
      <c r="U29" s="27"/>
      <c r="V29" s="33" t="str">
        <f aca="false">IF(A29="","",IF(((O29&lt;&gt;"Yes")+(P29&lt;&gt;"Yes")+(Q29&lt;&gt;"Yes")+AND(B29="Yes",R29&lt;&gt;"Yes")+AND(OR(B29="Yes",ISNUMBER(SEARCH("grappling",F29))),S29&lt;&gt;"Yes"))=0,"READY",((O29&lt;&gt;"Yes")+(P29&lt;&gt;"Yes")+(Q29&lt;&gt;"Yes")+AND(B29="Yes",R29&lt;&gt;"Yes")+AND(OR(B29="Yes",ISNUMBER(SEARCH("grappling",F29))),S29&lt;&gt;"Yes"))&amp;" to do"))</f>
        <v/>
      </c>
      <c r="W29" s="27"/>
    </row>
    <row r="30" customFormat="false" ht="15" hidden="false" customHeight="false" outlineLevel="0" collapsed="false">
      <c r="A30" s="27"/>
      <c r="B30" s="27"/>
      <c r="C30" s="27"/>
      <c r="D30" s="27"/>
      <c r="E30" s="27"/>
      <c r="F30" s="27"/>
      <c r="G30" s="27"/>
      <c r="H30" s="27"/>
      <c r="I30" s="27"/>
      <c r="J30" s="27"/>
      <c r="K30" s="27"/>
      <c r="L30" s="32" t="str">
        <f aca="false">IF(A30="","",N(I30)+N(J30)+N(K30))</f>
        <v/>
      </c>
      <c r="M30" s="32" t="str">
        <f aca="false">IF(A30="","",IF(L30&lt;=5,"Pre-Novice",IF(L30&lt;=10,"Novice","Open")))</f>
        <v/>
      </c>
      <c r="N30" s="27"/>
      <c r="O30" s="27"/>
      <c r="P30" s="27"/>
      <c r="Q30" s="27"/>
      <c r="R30" s="27"/>
      <c r="S30" s="27"/>
      <c r="T30" s="27"/>
      <c r="U30" s="27"/>
      <c r="V30" s="33" t="str">
        <f aca="false">IF(A30="","",IF(((O30&lt;&gt;"Yes")+(P30&lt;&gt;"Yes")+(Q30&lt;&gt;"Yes")+AND(B30="Yes",R30&lt;&gt;"Yes")+AND(OR(B30="Yes",ISNUMBER(SEARCH("grappling",F30))),S30&lt;&gt;"Yes"))=0,"READY",((O30&lt;&gt;"Yes")+(P30&lt;&gt;"Yes")+(Q30&lt;&gt;"Yes")+AND(B30="Yes",R30&lt;&gt;"Yes")+AND(OR(B30="Yes",ISNUMBER(SEARCH("grappling",F30))),S30&lt;&gt;"Yes"))&amp;" to do"))</f>
        <v/>
      </c>
      <c r="W30" s="27"/>
    </row>
    <row r="31" customFormat="false" ht="15" hidden="false" customHeight="false" outlineLevel="0" collapsed="false">
      <c r="A31" s="27"/>
      <c r="B31" s="27"/>
      <c r="C31" s="27"/>
      <c r="D31" s="27"/>
      <c r="E31" s="27"/>
      <c r="F31" s="27"/>
      <c r="G31" s="27"/>
      <c r="H31" s="27"/>
      <c r="I31" s="27"/>
      <c r="J31" s="27"/>
      <c r="K31" s="27"/>
      <c r="L31" s="32" t="str">
        <f aca="false">IF(A31="","",N(I31)+N(J31)+N(K31))</f>
        <v/>
      </c>
      <c r="M31" s="32" t="str">
        <f aca="false">IF(A31="","",IF(L31&lt;=5,"Pre-Novice",IF(L31&lt;=10,"Novice","Open")))</f>
        <v/>
      </c>
      <c r="N31" s="27"/>
      <c r="O31" s="27"/>
      <c r="P31" s="27"/>
      <c r="Q31" s="27"/>
      <c r="R31" s="27"/>
      <c r="S31" s="27"/>
      <c r="T31" s="27"/>
      <c r="U31" s="27"/>
      <c r="V31" s="33" t="str">
        <f aca="false">IF(A31="","",IF(((O31&lt;&gt;"Yes")+(P31&lt;&gt;"Yes")+(Q31&lt;&gt;"Yes")+AND(B31="Yes",R31&lt;&gt;"Yes")+AND(OR(B31="Yes",ISNUMBER(SEARCH("grappling",F31))),S31&lt;&gt;"Yes"))=0,"READY",((O31&lt;&gt;"Yes")+(P31&lt;&gt;"Yes")+(Q31&lt;&gt;"Yes")+AND(B31="Yes",R31&lt;&gt;"Yes")+AND(OR(B31="Yes",ISNUMBER(SEARCH("grappling",F31))),S31&lt;&gt;"Yes"))&amp;" to do"))</f>
        <v/>
      </c>
      <c r="W31" s="27"/>
    </row>
    <row r="32" customFormat="false" ht="15" hidden="false" customHeight="false" outlineLevel="0" collapsed="false">
      <c r="A32" s="27"/>
      <c r="B32" s="27"/>
      <c r="C32" s="27"/>
      <c r="D32" s="27"/>
      <c r="E32" s="27"/>
      <c r="F32" s="27"/>
      <c r="G32" s="27"/>
      <c r="H32" s="27"/>
      <c r="I32" s="27"/>
      <c r="J32" s="27"/>
      <c r="K32" s="27"/>
      <c r="L32" s="32" t="str">
        <f aca="false">IF(A32="","",N(I32)+N(J32)+N(K32))</f>
        <v/>
      </c>
      <c r="M32" s="32" t="str">
        <f aca="false">IF(A32="","",IF(L32&lt;=5,"Pre-Novice",IF(L32&lt;=10,"Novice","Open")))</f>
        <v/>
      </c>
      <c r="N32" s="27"/>
      <c r="O32" s="27"/>
      <c r="P32" s="27"/>
      <c r="Q32" s="27"/>
      <c r="R32" s="27"/>
      <c r="S32" s="27"/>
      <c r="T32" s="27"/>
      <c r="U32" s="27"/>
      <c r="V32" s="33" t="str">
        <f aca="false">IF(A32="","",IF(((O32&lt;&gt;"Yes")+(P32&lt;&gt;"Yes")+(Q32&lt;&gt;"Yes")+AND(B32="Yes",R32&lt;&gt;"Yes")+AND(OR(B32="Yes",ISNUMBER(SEARCH("grappling",F32))),S32&lt;&gt;"Yes"))=0,"READY",((O32&lt;&gt;"Yes")+(P32&lt;&gt;"Yes")+(Q32&lt;&gt;"Yes")+AND(B32="Yes",R32&lt;&gt;"Yes")+AND(OR(B32="Yes",ISNUMBER(SEARCH("grappling",F32))),S32&lt;&gt;"Yes"))&amp;" to do"))</f>
        <v/>
      </c>
      <c r="W32" s="27"/>
    </row>
    <row r="33" customFormat="false" ht="15" hidden="false" customHeight="false" outlineLevel="0" collapsed="false">
      <c r="A33" s="27"/>
      <c r="B33" s="27"/>
      <c r="C33" s="27"/>
      <c r="D33" s="27"/>
      <c r="E33" s="27"/>
      <c r="F33" s="27"/>
      <c r="G33" s="27"/>
      <c r="H33" s="27"/>
      <c r="I33" s="27"/>
      <c r="J33" s="27"/>
      <c r="K33" s="27"/>
      <c r="L33" s="32" t="str">
        <f aca="false">IF(A33="","",N(I33)+N(J33)+N(K33))</f>
        <v/>
      </c>
      <c r="M33" s="32" t="str">
        <f aca="false">IF(A33="","",IF(L33&lt;=5,"Pre-Novice",IF(L33&lt;=10,"Novice","Open")))</f>
        <v/>
      </c>
      <c r="N33" s="27"/>
      <c r="O33" s="27"/>
      <c r="P33" s="27"/>
      <c r="Q33" s="27"/>
      <c r="R33" s="27"/>
      <c r="S33" s="27"/>
      <c r="T33" s="27"/>
      <c r="U33" s="27"/>
      <c r="V33" s="33" t="str">
        <f aca="false">IF(A33="","",IF(((O33&lt;&gt;"Yes")+(P33&lt;&gt;"Yes")+(Q33&lt;&gt;"Yes")+AND(B33="Yes",R33&lt;&gt;"Yes")+AND(OR(B33="Yes",ISNUMBER(SEARCH("grappling",F33))),S33&lt;&gt;"Yes"))=0,"READY",((O33&lt;&gt;"Yes")+(P33&lt;&gt;"Yes")+(Q33&lt;&gt;"Yes")+AND(B33="Yes",R33&lt;&gt;"Yes")+AND(OR(B33="Yes",ISNUMBER(SEARCH("grappling",F33))),S33&lt;&gt;"Yes"))&amp;" to do"))</f>
        <v/>
      </c>
      <c r="W33" s="27"/>
    </row>
    <row r="34" customFormat="false" ht="15" hidden="false" customHeight="false" outlineLevel="0" collapsed="false">
      <c r="A34" s="27"/>
      <c r="B34" s="27"/>
      <c r="C34" s="27"/>
      <c r="D34" s="27"/>
      <c r="E34" s="27"/>
      <c r="F34" s="27"/>
      <c r="G34" s="27"/>
      <c r="H34" s="27"/>
      <c r="I34" s="27"/>
      <c r="J34" s="27"/>
      <c r="K34" s="27"/>
      <c r="L34" s="32" t="str">
        <f aca="false">IF(A34="","",N(I34)+N(J34)+N(K34))</f>
        <v/>
      </c>
      <c r="M34" s="32" t="str">
        <f aca="false">IF(A34="","",IF(L34&lt;=5,"Pre-Novice",IF(L34&lt;=10,"Novice","Open")))</f>
        <v/>
      </c>
      <c r="N34" s="27"/>
      <c r="O34" s="27"/>
      <c r="P34" s="27"/>
      <c r="Q34" s="27"/>
      <c r="R34" s="27"/>
      <c r="S34" s="27"/>
      <c r="T34" s="27"/>
      <c r="U34" s="27"/>
      <c r="V34" s="33" t="str">
        <f aca="false">IF(A34="","",IF(((O34&lt;&gt;"Yes")+(P34&lt;&gt;"Yes")+(Q34&lt;&gt;"Yes")+AND(B34="Yes",R34&lt;&gt;"Yes")+AND(OR(B34="Yes",ISNUMBER(SEARCH("grappling",F34))),S34&lt;&gt;"Yes"))=0,"READY",((O34&lt;&gt;"Yes")+(P34&lt;&gt;"Yes")+(Q34&lt;&gt;"Yes")+AND(B34="Yes",R34&lt;&gt;"Yes")+AND(OR(B34="Yes",ISNUMBER(SEARCH("grappling",F34))),S34&lt;&gt;"Yes"))&amp;" to do"))</f>
        <v/>
      </c>
      <c r="W34" s="27"/>
    </row>
    <row r="35" customFormat="false" ht="15" hidden="false" customHeight="false" outlineLevel="0" collapsed="false">
      <c r="A35" s="27"/>
      <c r="B35" s="27"/>
      <c r="C35" s="27"/>
      <c r="D35" s="27"/>
      <c r="E35" s="27"/>
      <c r="F35" s="27"/>
      <c r="G35" s="27"/>
      <c r="H35" s="27"/>
      <c r="I35" s="27"/>
      <c r="J35" s="27"/>
      <c r="K35" s="27"/>
      <c r="L35" s="32" t="str">
        <f aca="false">IF(A35="","",N(I35)+N(J35)+N(K35))</f>
        <v/>
      </c>
      <c r="M35" s="32" t="str">
        <f aca="false">IF(A35="","",IF(L35&lt;=5,"Pre-Novice",IF(L35&lt;=10,"Novice","Open")))</f>
        <v/>
      </c>
      <c r="N35" s="27"/>
      <c r="O35" s="27"/>
      <c r="P35" s="27"/>
      <c r="Q35" s="27"/>
      <c r="R35" s="27"/>
      <c r="S35" s="27"/>
      <c r="T35" s="27"/>
      <c r="U35" s="27"/>
      <c r="V35" s="33" t="str">
        <f aca="false">IF(A35="","",IF(((O35&lt;&gt;"Yes")+(P35&lt;&gt;"Yes")+(Q35&lt;&gt;"Yes")+AND(B35="Yes",R35&lt;&gt;"Yes")+AND(OR(B35="Yes",ISNUMBER(SEARCH("grappling",F35))),S35&lt;&gt;"Yes"))=0,"READY",((O35&lt;&gt;"Yes")+(P35&lt;&gt;"Yes")+(Q35&lt;&gt;"Yes")+AND(B35="Yes",R35&lt;&gt;"Yes")+AND(OR(B35="Yes",ISNUMBER(SEARCH("grappling",F35))),S35&lt;&gt;"Yes"))&amp;" to do"))</f>
        <v/>
      </c>
      <c r="W35" s="27"/>
    </row>
    <row r="36" customFormat="false" ht="15" hidden="false" customHeight="false" outlineLevel="0" collapsed="false">
      <c r="A36" s="27"/>
      <c r="B36" s="27"/>
      <c r="C36" s="27"/>
      <c r="D36" s="27"/>
      <c r="E36" s="27"/>
      <c r="F36" s="27"/>
      <c r="G36" s="27"/>
      <c r="H36" s="27"/>
      <c r="I36" s="27"/>
      <c r="J36" s="27"/>
      <c r="K36" s="27"/>
      <c r="L36" s="32" t="str">
        <f aca="false">IF(A36="","",N(I36)+N(J36)+N(K36))</f>
        <v/>
      </c>
      <c r="M36" s="32" t="str">
        <f aca="false">IF(A36="","",IF(L36&lt;=5,"Pre-Novice",IF(L36&lt;=10,"Novice","Open")))</f>
        <v/>
      </c>
      <c r="N36" s="27"/>
      <c r="O36" s="27"/>
      <c r="P36" s="27"/>
      <c r="Q36" s="27"/>
      <c r="R36" s="27"/>
      <c r="S36" s="27"/>
      <c r="T36" s="27"/>
      <c r="U36" s="27"/>
      <c r="V36" s="33" t="str">
        <f aca="false">IF(A36="","",IF(((O36&lt;&gt;"Yes")+(P36&lt;&gt;"Yes")+(Q36&lt;&gt;"Yes")+AND(B36="Yes",R36&lt;&gt;"Yes")+AND(OR(B36="Yes",ISNUMBER(SEARCH("grappling",F36))),S36&lt;&gt;"Yes"))=0,"READY",((O36&lt;&gt;"Yes")+(P36&lt;&gt;"Yes")+(Q36&lt;&gt;"Yes")+AND(B36="Yes",R36&lt;&gt;"Yes")+AND(OR(B36="Yes",ISNUMBER(SEARCH("grappling",F36))),S36&lt;&gt;"Yes"))&amp;" to do"))</f>
        <v/>
      </c>
      <c r="W36" s="27"/>
    </row>
    <row r="37" customFormat="false" ht="15" hidden="false" customHeight="false" outlineLevel="0" collapsed="false">
      <c r="A37" s="27"/>
      <c r="B37" s="27"/>
      <c r="C37" s="27"/>
      <c r="D37" s="27"/>
      <c r="E37" s="27"/>
      <c r="F37" s="27"/>
      <c r="G37" s="27"/>
      <c r="H37" s="27"/>
      <c r="I37" s="27"/>
      <c r="J37" s="27"/>
      <c r="K37" s="27"/>
      <c r="L37" s="32" t="str">
        <f aca="false">IF(A37="","",N(I37)+N(J37)+N(K37))</f>
        <v/>
      </c>
      <c r="M37" s="32" t="str">
        <f aca="false">IF(A37="","",IF(L37&lt;=5,"Pre-Novice",IF(L37&lt;=10,"Novice","Open")))</f>
        <v/>
      </c>
      <c r="N37" s="27"/>
      <c r="O37" s="27"/>
      <c r="P37" s="27"/>
      <c r="Q37" s="27"/>
      <c r="R37" s="27"/>
      <c r="S37" s="27"/>
      <c r="T37" s="27"/>
      <c r="U37" s="27"/>
      <c r="V37" s="33" t="str">
        <f aca="false">IF(A37="","",IF(((O37&lt;&gt;"Yes")+(P37&lt;&gt;"Yes")+(Q37&lt;&gt;"Yes")+AND(B37="Yes",R37&lt;&gt;"Yes")+AND(OR(B37="Yes",ISNUMBER(SEARCH("grappling",F37))),S37&lt;&gt;"Yes"))=0,"READY",((O37&lt;&gt;"Yes")+(P37&lt;&gt;"Yes")+(Q37&lt;&gt;"Yes")+AND(B37="Yes",R37&lt;&gt;"Yes")+AND(OR(B37="Yes",ISNUMBER(SEARCH("grappling",F37))),S37&lt;&gt;"Yes"))&amp;" to do"))</f>
        <v/>
      </c>
      <c r="W37" s="27"/>
    </row>
    <row r="38" customFormat="false" ht="15" hidden="false" customHeight="false" outlineLevel="0" collapsed="false">
      <c r="A38" s="27"/>
      <c r="B38" s="27"/>
      <c r="C38" s="27"/>
      <c r="D38" s="27"/>
      <c r="E38" s="27"/>
      <c r="F38" s="27"/>
      <c r="G38" s="27"/>
      <c r="H38" s="27"/>
      <c r="I38" s="27"/>
      <c r="J38" s="27"/>
      <c r="K38" s="27"/>
      <c r="L38" s="32" t="str">
        <f aca="false">IF(A38="","",N(I38)+N(J38)+N(K38))</f>
        <v/>
      </c>
      <c r="M38" s="32" t="str">
        <f aca="false">IF(A38="","",IF(L38&lt;=5,"Pre-Novice",IF(L38&lt;=10,"Novice","Open")))</f>
        <v/>
      </c>
      <c r="N38" s="27"/>
      <c r="O38" s="27"/>
      <c r="P38" s="27"/>
      <c r="Q38" s="27"/>
      <c r="R38" s="27"/>
      <c r="S38" s="27"/>
      <c r="T38" s="27"/>
      <c r="U38" s="27"/>
      <c r="V38" s="33" t="str">
        <f aca="false">IF(A38="","",IF(((O38&lt;&gt;"Yes")+(P38&lt;&gt;"Yes")+(Q38&lt;&gt;"Yes")+AND(B38="Yes",R38&lt;&gt;"Yes")+AND(OR(B38="Yes",ISNUMBER(SEARCH("grappling",F38))),S38&lt;&gt;"Yes"))=0,"READY",((O38&lt;&gt;"Yes")+(P38&lt;&gt;"Yes")+(Q38&lt;&gt;"Yes")+AND(B38="Yes",R38&lt;&gt;"Yes")+AND(OR(B38="Yes",ISNUMBER(SEARCH("grappling",F38))),S38&lt;&gt;"Yes"))&amp;" to do"))</f>
        <v/>
      </c>
      <c r="W38" s="27"/>
    </row>
    <row r="39" customFormat="false" ht="15" hidden="false" customHeight="false" outlineLevel="0" collapsed="false">
      <c r="A39" s="27"/>
      <c r="B39" s="27"/>
      <c r="C39" s="27"/>
      <c r="D39" s="27"/>
      <c r="E39" s="27"/>
      <c r="F39" s="27"/>
      <c r="G39" s="27"/>
      <c r="H39" s="27"/>
      <c r="I39" s="27"/>
      <c r="J39" s="27"/>
      <c r="K39" s="27"/>
      <c r="L39" s="32" t="str">
        <f aca="false">IF(A39="","",N(I39)+N(J39)+N(K39))</f>
        <v/>
      </c>
      <c r="M39" s="32" t="str">
        <f aca="false">IF(A39="","",IF(L39&lt;=5,"Pre-Novice",IF(L39&lt;=10,"Novice","Open")))</f>
        <v/>
      </c>
      <c r="N39" s="27"/>
      <c r="O39" s="27"/>
      <c r="P39" s="27"/>
      <c r="Q39" s="27"/>
      <c r="R39" s="27"/>
      <c r="S39" s="27"/>
      <c r="T39" s="27"/>
      <c r="U39" s="27"/>
      <c r="V39" s="33" t="str">
        <f aca="false">IF(A39="","",IF(((O39&lt;&gt;"Yes")+(P39&lt;&gt;"Yes")+(Q39&lt;&gt;"Yes")+AND(B39="Yes",R39&lt;&gt;"Yes")+AND(OR(B39="Yes",ISNUMBER(SEARCH("grappling",F39))),S39&lt;&gt;"Yes"))=0,"READY",((O39&lt;&gt;"Yes")+(P39&lt;&gt;"Yes")+(Q39&lt;&gt;"Yes")+AND(B39="Yes",R39&lt;&gt;"Yes")+AND(OR(B39="Yes",ISNUMBER(SEARCH("grappling",F39))),S39&lt;&gt;"Yes"))&amp;" to do"))</f>
        <v/>
      </c>
      <c r="W39" s="27"/>
    </row>
    <row r="40" customFormat="false" ht="15" hidden="false" customHeight="false" outlineLevel="0" collapsed="false">
      <c r="A40" s="27"/>
      <c r="B40" s="27"/>
      <c r="C40" s="27"/>
      <c r="D40" s="27"/>
      <c r="E40" s="27"/>
      <c r="F40" s="27"/>
      <c r="G40" s="27"/>
      <c r="H40" s="27"/>
      <c r="I40" s="27"/>
      <c r="J40" s="27"/>
      <c r="K40" s="27"/>
      <c r="L40" s="32" t="str">
        <f aca="false">IF(A40="","",N(I40)+N(J40)+N(K40))</f>
        <v/>
      </c>
      <c r="M40" s="32" t="str">
        <f aca="false">IF(A40="","",IF(L40&lt;=5,"Pre-Novice",IF(L40&lt;=10,"Novice","Open")))</f>
        <v/>
      </c>
      <c r="N40" s="27"/>
      <c r="O40" s="27"/>
      <c r="P40" s="27"/>
      <c r="Q40" s="27"/>
      <c r="R40" s="27"/>
      <c r="S40" s="27"/>
      <c r="T40" s="27"/>
      <c r="U40" s="27"/>
      <c r="V40" s="33" t="str">
        <f aca="false">IF(A40="","",IF(((O40&lt;&gt;"Yes")+(P40&lt;&gt;"Yes")+(Q40&lt;&gt;"Yes")+AND(B40="Yes",R40&lt;&gt;"Yes")+AND(OR(B40="Yes",ISNUMBER(SEARCH("grappling",F40))),S40&lt;&gt;"Yes"))=0,"READY",((O40&lt;&gt;"Yes")+(P40&lt;&gt;"Yes")+(Q40&lt;&gt;"Yes")+AND(B40="Yes",R40&lt;&gt;"Yes")+AND(OR(B40="Yes",ISNUMBER(SEARCH("grappling",F40))),S40&lt;&gt;"Yes"))&amp;" to do"))</f>
        <v/>
      </c>
      <c r="W40" s="27"/>
    </row>
    <row r="41" customFormat="false" ht="15" hidden="false" customHeight="false" outlineLevel="0" collapsed="false">
      <c r="A41" s="27"/>
      <c r="B41" s="27"/>
      <c r="C41" s="27"/>
      <c r="D41" s="27"/>
      <c r="E41" s="27"/>
      <c r="F41" s="27"/>
      <c r="G41" s="27"/>
      <c r="H41" s="27"/>
      <c r="I41" s="27"/>
      <c r="J41" s="27"/>
      <c r="K41" s="27"/>
      <c r="L41" s="32" t="str">
        <f aca="false">IF(A41="","",N(I41)+N(J41)+N(K41))</f>
        <v/>
      </c>
      <c r="M41" s="32" t="str">
        <f aca="false">IF(A41="","",IF(L41&lt;=5,"Pre-Novice",IF(L41&lt;=10,"Novice","Open")))</f>
        <v/>
      </c>
      <c r="N41" s="27"/>
      <c r="O41" s="27"/>
      <c r="P41" s="27"/>
      <c r="Q41" s="27"/>
      <c r="R41" s="27"/>
      <c r="S41" s="27"/>
      <c r="T41" s="27"/>
      <c r="U41" s="27"/>
      <c r="V41" s="33" t="str">
        <f aca="false">IF(A41="","",IF(((O41&lt;&gt;"Yes")+(P41&lt;&gt;"Yes")+(Q41&lt;&gt;"Yes")+AND(B41="Yes",R41&lt;&gt;"Yes")+AND(OR(B41="Yes",ISNUMBER(SEARCH("grappling",F41))),S41&lt;&gt;"Yes"))=0,"READY",((O41&lt;&gt;"Yes")+(P41&lt;&gt;"Yes")+(Q41&lt;&gt;"Yes")+AND(B41="Yes",R41&lt;&gt;"Yes")+AND(OR(B41="Yes",ISNUMBER(SEARCH("grappling",F41))),S41&lt;&gt;"Yes"))&amp;" to do"))</f>
        <v/>
      </c>
      <c r="W41" s="27"/>
    </row>
    <row r="42" customFormat="false" ht="15" hidden="false" customHeight="false" outlineLevel="0" collapsed="false">
      <c r="A42" s="27"/>
      <c r="B42" s="27"/>
      <c r="C42" s="27"/>
      <c r="D42" s="27"/>
      <c r="E42" s="27"/>
      <c r="F42" s="27"/>
      <c r="G42" s="27"/>
      <c r="H42" s="27"/>
      <c r="I42" s="27"/>
      <c r="J42" s="27"/>
      <c r="K42" s="27"/>
      <c r="L42" s="32" t="str">
        <f aca="false">IF(A42="","",N(I42)+N(J42)+N(K42))</f>
        <v/>
      </c>
      <c r="M42" s="32" t="str">
        <f aca="false">IF(A42="","",IF(L42&lt;=5,"Pre-Novice",IF(L42&lt;=10,"Novice","Open")))</f>
        <v/>
      </c>
      <c r="N42" s="27"/>
      <c r="O42" s="27"/>
      <c r="P42" s="27"/>
      <c r="Q42" s="27"/>
      <c r="R42" s="27"/>
      <c r="S42" s="27"/>
      <c r="T42" s="27"/>
      <c r="U42" s="27"/>
      <c r="V42" s="33" t="str">
        <f aca="false">IF(A42="","",IF(((O42&lt;&gt;"Yes")+(P42&lt;&gt;"Yes")+(Q42&lt;&gt;"Yes")+AND(B42="Yes",R42&lt;&gt;"Yes")+AND(OR(B42="Yes",ISNUMBER(SEARCH("grappling",F42))),S42&lt;&gt;"Yes"))=0,"READY",((O42&lt;&gt;"Yes")+(P42&lt;&gt;"Yes")+(Q42&lt;&gt;"Yes")+AND(B42="Yes",R42&lt;&gt;"Yes")+AND(OR(B42="Yes",ISNUMBER(SEARCH("grappling",F42))),S42&lt;&gt;"Yes"))&amp;" to do"))</f>
        <v/>
      </c>
      <c r="W42" s="27"/>
    </row>
    <row r="43" customFormat="false" ht="15" hidden="false" customHeight="false" outlineLevel="0" collapsed="false">
      <c r="A43" s="27"/>
      <c r="B43" s="27"/>
      <c r="C43" s="27"/>
      <c r="D43" s="27"/>
      <c r="E43" s="27"/>
      <c r="F43" s="27"/>
      <c r="G43" s="27"/>
      <c r="H43" s="27"/>
      <c r="I43" s="27"/>
      <c r="J43" s="27"/>
      <c r="K43" s="27"/>
      <c r="L43" s="32" t="str">
        <f aca="false">IF(A43="","",N(I43)+N(J43)+N(K43))</f>
        <v/>
      </c>
      <c r="M43" s="32" t="str">
        <f aca="false">IF(A43="","",IF(L43&lt;=5,"Pre-Novice",IF(L43&lt;=10,"Novice","Open")))</f>
        <v/>
      </c>
      <c r="N43" s="27"/>
      <c r="O43" s="27"/>
      <c r="P43" s="27"/>
      <c r="Q43" s="27"/>
      <c r="R43" s="27"/>
      <c r="S43" s="27"/>
      <c r="T43" s="27"/>
      <c r="U43" s="27"/>
      <c r="V43" s="33" t="str">
        <f aca="false">IF(A43="","",IF(((O43&lt;&gt;"Yes")+(P43&lt;&gt;"Yes")+(Q43&lt;&gt;"Yes")+AND(B43="Yes",R43&lt;&gt;"Yes")+AND(OR(B43="Yes",ISNUMBER(SEARCH("grappling",F43))),S43&lt;&gt;"Yes"))=0,"READY",((O43&lt;&gt;"Yes")+(P43&lt;&gt;"Yes")+(Q43&lt;&gt;"Yes")+AND(B43="Yes",R43&lt;&gt;"Yes")+AND(OR(B43="Yes",ISNUMBER(SEARCH("grappling",F43))),S43&lt;&gt;"Yes"))&amp;" to do"))</f>
        <v/>
      </c>
      <c r="W43" s="27"/>
    </row>
    <row r="44" customFormat="false" ht="15" hidden="false" customHeight="false" outlineLevel="0" collapsed="false">
      <c r="A44" s="27"/>
      <c r="B44" s="27"/>
      <c r="C44" s="27"/>
      <c r="D44" s="27"/>
      <c r="E44" s="27"/>
      <c r="F44" s="27"/>
      <c r="G44" s="27"/>
      <c r="H44" s="27"/>
      <c r="I44" s="27"/>
      <c r="J44" s="27"/>
      <c r="K44" s="27"/>
      <c r="L44" s="32" t="str">
        <f aca="false">IF(A44="","",N(I44)+N(J44)+N(K44))</f>
        <v/>
      </c>
      <c r="M44" s="32" t="str">
        <f aca="false">IF(A44="","",IF(L44&lt;=5,"Pre-Novice",IF(L44&lt;=10,"Novice","Open")))</f>
        <v/>
      </c>
      <c r="N44" s="27"/>
      <c r="O44" s="27"/>
      <c r="P44" s="27"/>
      <c r="Q44" s="27"/>
      <c r="R44" s="27"/>
      <c r="S44" s="27"/>
      <c r="T44" s="27"/>
      <c r="U44" s="27"/>
      <c r="V44" s="33" t="str">
        <f aca="false">IF(A44="","",IF(((O44&lt;&gt;"Yes")+(P44&lt;&gt;"Yes")+(Q44&lt;&gt;"Yes")+AND(B44="Yes",R44&lt;&gt;"Yes")+AND(OR(B44="Yes",ISNUMBER(SEARCH("grappling",F44))),S44&lt;&gt;"Yes"))=0,"READY",((O44&lt;&gt;"Yes")+(P44&lt;&gt;"Yes")+(Q44&lt;&gt;"Yes")+AND(B44="Yes",R44&lt;&gt;"Yes")+AND(OR(B44="Yes",ISNUMBER(SEARCH("grappling",F44))),S44&lt;&gt;"Yes"))&amp;" to do"))</f>
        <v/>
      </c>
      <c r="W44" s="27"/>
    </row>
    <row r="45" customFormat="false" ht="15" hidden="false" customHeight="false" outlineLevel="0" collapsed="false">
      <c r="A45" s="27"/>
      <c r="B45" s="27"/>
      <c r="C45" s="27"/>
      <c r="D45" s="27"/>
      <c r="E45" s="27"/>
      <c r="F45" s="27"/>
      <c r="G45" s="27"/>
      <c r="H45" s="27"/>
      <c r="I45" s="27"/>
      <c r="J45" s="27"/>
      <c r="K45" s="27"/>
      <c r="L45" s="32" t="str">
        <f aca="false">IF(A45="","",N(I45)+N(J45)+N(K45))</f>
        <v/>
      </c>
      <c r="M45" s="32" t="str">
        <f aca="false">IF(A45="","",IF(L45&lt;=5,"Pre-Novice",IF(L45&lt;=10,"Novice","Open")))</f>
        <v/>
      </c>
      <c r="N45" s="27"/>
      <c r="O45" s="27"/>
      <c r="P45" s="27"/>
      <c r="Q45" s="27"/>
      <c r="R45" s="27"/>
      <c r="S45" s="27"/>
      <c r="T45" s="27"/>
      <c r="U45" s="27"/>
      <c r="V45" s="33" t="str">
        <f aca="false">IF(A45="","",IF(((O45&lt;&gt;"Yes")+(P45&lt;&gt;"Yes")+(Q45&lt;&gt;"Yes")+AND(B45="Yes",R45&lt;&gt;"Yes")+AND(OR(B45="Yes",ISNUMBER(SEARCH("grappling",F45))),S45&lt;&gt;"Yes"))=0,"READY",((O45&lt;&gt;"Yes")+(P45&lt;&gt;"Yes")+(Q45&lt;&gt;"Yes")+AND(B45="Yes",R45&lt;&gt;"Yes")+AND(OR(B45="Yes",ISNUMBER(SEARCH("grappling",F45))),S45&lt;&gt;"Yes"))&amp;" to do"))</f>
        <v/>
      </c>
      <c r="W45" s="27"/>
    </row>
    <row r="46" customFormat="false" ht="15" hidden="false" customHeight="false" outlineLevel="0" collapsed="false">
      <c r="A46" s="27"/>
      <c r="B46" s="27"/>
      <c r="C46" s="27"/>
      <c r="D46" s="27"/>
      <c r="E46" s="27"/>
      <c r="F46" s="27"/>
      <c r="G46" s="27"/>
      <c r="H46" s="27"/>
      <c r="I46" s="27"/>
      <c r="J46" s="27"/>
      <c r="K46" s="27"/>
      <c r="L46" s="32" t="str">
        <f aca="false">IF(A46="","",N(I46)+N(J46)+N(K46))</f>
        <v/>
      </c>
      <c r="M46" s="32" t="str">
        <f aca="false">IF(A46="","",IF(L46&lt;=5,"Pre-Novice",IF(L46&lt;=10,"Novice","Open")))</f>
        <v/>
      </c>
      <c r="N46" s="27"/>
      <c r="O46" s="27"/>
      <c r="P46" s="27"/>
      <c r="Q46" s="27"/>
      <c r="R46" s="27"/>
      <c r="S46" s="27"/>
      <c r="T46" s="27"/>
      <c r="U46" s="27"/>
      <c r="V46" s="33" t="str">
        <f aca="false">IF(A46="","",IF(((O46&lt;&gt;"Yes")+(P46&lt;&gt;"Yes")+(Q46&lt;&gt;"Yes")+AND(B46="Yes",R46&lt;&gt;"Yes")+AND(OR(B46="Yes",ISNUMBER(SEARCH("grappling",F46))),S46&lt;&gt;"Yes"))=0,"READY",((O46&lt;&gt;"Yes")+(P46&lt;&gt;"Yes")+(Q46&lt;&gt;"Yes")+AND(B46="Yes",R46&lt;&gt;"Yes")+AND(OR(B46="Yes",ISNUMBER(SEARCH("grappling",F46))),S46&lt;&gt;"Yes"))&amp;" to do"))</f>
        <v/>
      </c>
      <c r="W46" s="27"/>
    </row>
    <row r="47" customFormat="false" ht="15" hidden="false" customHeight="false" outlineLevel="0" collapsed="false">
      <c r="A47" s="27"/>
      <c r="B47" s="27"/>
      <c r="C47" s="27"/>
      <c r="D47" s="27"/>
      <c r="E47" s="27"/>
      <c r="F47" s="27"/>
      <c r="G47" s="27"/>
      <c r="H47" s="27"/>
      <c r="I47" s="27"/>
      <c r="J47" s="27"/>
      <c r="K47" s="27"/>
      <c r="L47" s="32" t="str">
        <f aca="false">IF(A47="","",N(I47)+N(J47)+N(K47))</f>
        <v/>
      </c>
      <c r="M47" s="32" t="str">
        <f aca="false">IF(A47="","",IF(L47&lt;=5,"Pre-Novice",IF(L47&lt;=10,"Novice","Open")))</f>
        <v/>
      </c>
      <c r="N47" s="27"/>
      <c r="O47" s="27"/>
      <c r="P47" s="27"/>
      <c r="Q47" s="27"/>
      <c r="R47" s="27"/>
      <c r="S47" s="27"/>
      <c r="T47" s="27"/>
      <c r="U47" s="27"/>
      <c r="V47" s="33" t="str">
        <f aca="false">IF(A47="","",IF(((O47&lt;&gt;"Yes")+(P47&lt;&gt;"Yes")+(Q47&lt;&gt;"Yes")+AND(B47="Yes",R47&lt;&gt;"Yes")+AND(OR(B47="Yes",ISNUMBER(SEARCH("grappling",F47))),S47&lt;&gt;"Yes"))=0,"READY",((O47&lt;&gt;"Yes")+(P47&lt;&gt;"Yes")+(Q47&lt;&gt;"Yes")+AND(B47="Yes",R47&lt;&gt;"Yes")+AND(OR(B47="Yes",ISNUMBER(SEARCH("grappling",F47))),S47&lt;&gt;"Yes"))&amp;" to do"))</f>
        <v/>
      </c>
      <c r="W47" s="27"/>
    </row>
    <row r="48" customFormat="false" ht="15" hidden="false" customHeight="false" outlineLevel="0" collapsed="false">
      <c r="A48" s="27"/>
      <c r="B48" s="27"/>
      <c r="C48" s="27"/>
      <c r="D48" s="27"/>
      <c r="E48" s="27"/>
      <c r="F48" s="27"/>
      <c r="G48" s="27"/>
      <c r="H48" s="27"/>
      <c r="I48" s="27"/>
      <c r="J48" s="27"/>
      <c r="K48" s="27"/>
      <c r="L48" s="32" t="str">
        <f aca="false">IF(A48="","",N(I48)+N(J48)+N(K48))</f>
        <v/>
      </c>
      <c r="M48" s="32" t="str">
        <f aca="false">IF(A48="","",IF(L48&lt;=5,"Pre-Novice",IF(L48&lt;=10,"Novice","Open")))</f>
        <v/>
      </c>
      <c r="N48" s="27"/>
      <c r="O48" s="27"/>
      <c r="P48" s="27"/>
      <c r="Q48" s="27"/>
      <c r="R48" s="27"/>
      <c r="S48" s="27"/>
      <c r="T48" s="27"/>
      <c r="U48" s="27"/>
      <c r="V48" s="33" t="str">
        <f aca="false">IF(A48="","",IF(((O48&lt;&gt;"Yes")+(P48&lt;&gt;"Yes")+(Q48&lt;&gt;"Yes")+AND(B48="Yes",R48&lt;&gt;"Yes")+AND(OR(B48="Yes",ISNUMBER(SEARCH("grappling",F48))),S48&lt;&gt;"Yes"))=0,"READY",((O48&lt;&gt;"Yes")+(P48&lt;&gt;"Yes")+(Q48&lt;&gt;"Yes")+AND(B48="Yes",R48&lt;&gt;"Yes")+AND(OR(B48="Yes",ISNUMBER(SEARCH("grappling",F48))),S48&lt;&gt;"Yes"))&amp;" to do"))</f>
        <v/>
      </c>
      <c r="W48" s="27"/>
    </row>
    <row r="49" customFormat="false" ht="15" hidden="false" customHeight="false" outlineLevel="0" collapsed="false">
      <c r="A49" s="27"/>
      <c r="B49" s="27"/>
      <c r="C49" s="27"/>
      <c r="D49" s="27"/>
      <c r="E49" s="27"/>
      <c r="F49" s="27"/>
      <c r="G49" s="27"/>
      <c r="H49" s="27"/>
      <c r="I49" s="27"/>
      <c r="J49" s="27"/>
      <c r="K49" s="27"/>
      <c r="L49" s="32" t="str">
        <f aca="false">IF(A49="","",N(I49)+N(J49)+N(K49))</f>
        <v/>
      </c>
      <c r="M49" s="32" t="str">
        <f aca="false">IF(A49="","",IF(L49&lt;=5,"Pre-Novice",IF(L49&lt;=10,"Novice","Open")))</f>
        <v/>
      </c>
      <c r="N49" s="27"/>
      <c r="O49" s="27"/>
      <c r="P49" s="27"/>
      <c r="Q49" s="27"/>
      <c r="R49" s="27"/>
      <c r="S49" s="27"/>
      <c r="T49" s="27"/>
      <c r="U49" s="27"/>
      <c r="V49" s="33" t="str">
        <f aca="false">IF(A49="","",IF(((O49&lt;&gt;"Yes")+(P49&lt;&gt;"Yes")+(Q49&lt;&gt;"Yes")+AND(B49="Yes",R49&lt;&gt;"Yes")+AND(OR(B49="Yes",ISNUMBER(SEARCH("grappling",F49))),S49&lt;&gt;"Yes"))=0,"READY",((O49&lt;&gt;"Yes")+(P49&lt;&gt;"Yes")+(Q49&lt;&gt;"Yes")+AND(B49="Yes",R49&lt;&gt;"Yes")+AND(OR(B49="Yes",ISNUMBER(SEARCH("grappling",F49))),S49&lt;&gt;"Yes"))&amp;" to do"))</f>
        <v/>
      </c>
      <c r="W49" s="27"/>
    </row>
    <row r="50" customFormat="false" ht="15" hidden="false" customHeight="false" outlineLevel="0" collapsed="false">
      <c r="A50" s="27"/>
      <c r="B50" s="27"/>
      <c r="C50" s="27"/>
      <c r="D50" s="27"/>
      <c r="E50" s="27"/>
      <c r="F50" s="27"/>
      <c r="G50" s="27"/>
      <c r="H50" s="27"/>
      <c r="I50" s="27"/>
      <c r="J50" s="27"/>
      <c r="K50" s="27"/>
      <c r="L50" s="32" t="str">
        <f aca="false">IF(A50="","",N(I50)+N(J50)+N(K50))</f>
        <v/>
      </c>
      <c r="M50" s="32" t="str">
        <f aca="false">IF(A50="","",IF(L50&lt;=5,"Pre-Novice",IF(L50&lt;=10,"Novice","Open")))</f>
        <v/>
      </c>
      <c r="N50" s="27"/>
      <c r="O50" s="27"/>
      <c r="P50" s="27"/>
      <c r="Q50" s="27"/>
      <c r="R50" s="27"/>
      <c r="S50" s="27"/>
      <c r="T50" s="27"/>
      <c r="U50" s="27"/>
      <c r="V50" s="33" t="str">
        <f aca="false">IF(A50="","",IF(((O50&lt;&gt;"Yes")+(P50&lt;&gt;"Yes")+(Q50&lt;&gt;"Yes")+AND(B50="Yes",R50&lt;&gt;"Yes")+AND(OR(B50="Yes",ISNUMBER(SEARCH("grappling",F50))),S50&lt;&gt;"Yes"))=0,"READY",((O50&lt;&gt;"Yes")+(P50&lt;&gt;"Yes")+(Q50&lt;&gt;"Yes")+AND(B50="Yes",R50&lt;&gt;"Yes")+AND(OR(B50="Yes",ISNUMBER(SEARCH("grappling",F50))),S50&lt;&gt;"Yes"))&amp;" to do"))</f>
        <v/>
      </c>
      <c r="W50" s="27"/>
    </row>
    <row r="51" customFormat="false" ht="15" hidden="false" customHeight="false" outlineLevel="0" collapsed="false">
      <c r="A51" s="27"/>
      <c r="B51" s="27"/>
      <c r="C51" s="27"/>
      <c r="D51" s="27"/>
      <c r="E51" s="27"/>
      <c r="F51" s="27"/>
      <c r="G51" s="27"/>
      <c r="H51" s="27"/>
      <c r="I51" s="27"/>
      <c r="J51" s="27"/>
      <c r="K51" s="27"/>
      <c r="L51" s="32" t="str">
        <f aca="false">IF(A51="","",N(I51)+N(J51)+N(K51))</f>
        <v/>
      </c>
      <c r="M51" s="32" t="str">
        <f aca="false">IF(A51="","",IF(L51&lt;=5,"Pre-Novice",IF(L51&lt;=10,"Novice","Open")))</f>
        <v/>
      </c>
      <c r="N51" s="27"/>
      <c r="O51" s="27"/>
      <c r="P51" s="27"/>
      <c r="Q51" s="27"/>
      <c r="R51" s="27"/>
      <c r="S51" s="27"/>
      <c r="T51" s="27"/>
      <c r="U51" s="27"/>
      <c r="V51" s="33" t="str">
        <f aca="false">IF(A51="","",IF(((O51&lt;&gt;"Yes")+(P51&lt;&gt;"Yes")+(Q51&lt;&gt;"Yes")+AND(B51="Yes",R51&lt;&gt;"Yes")+AND(OR(B51="Yes",ISNUMBER(SEARCH("grappling",F51))),S51&lt;&gt;"Yes"))=0,"READY",((O51&lt;&gt;"Yes")+(P51&lt;&gt;"Yes")+(Q51&lt;&gt;"Yes")+AND(B51="Yes",R51&lt;&gt;"Yes")+AND(OR(B51="Yes",ISNUMBER(SEARCH("grappling",F51))),S51&lt;&gt;"Yes"))&amp;" to do"))</f>
        <v/>
      </c>
      <c r="W51" s="27"/>
    </row>
    <row r="52" customFormat="false" ht="15" hidden="false" customHeight="false" outlineLevel="0" collapsed="false">
      <c r="A52" s="27"/>
      <c r="B52" s="27"/>
      <c r="C52" s="27"/>
      <c r="D52" s="27"/>
      <c r="E52" s="27"/>
      <c r="F52" s="27"/>
      <c r="G52" s="27"/>
      <c r="H52" s="27"/>
      <c r="I52" s="27"/>
      <c r="J52" s="27"/>
      <c r="K52" s="27"/>
      <c r="L52" s="32" t="str">
        <f aca="false">IF(A52="","",N(I52)+N(J52)+N(K52))</f>
        <v/>
      </c>
      <c r="M52" s="32" t="str">
        <f aca="false">IF(A52="","",IF(L52&lt;=5,"Pre-Novice",IF(L52&lt;=10,"Novice","Open")))</f>
        <v/>
      </c>
      <c r="N52" s="27"/>
      <c r="O52" s="27"/>
      <c r="P52" s="27"/>
      <c r="Q52" s="27"/>
      <c r="R52" s="27"/>
      <c r="S52" s="27"/>
      <c r="T52" s="27"/>
      <c r="U52" s="27"/>
      <c r="V52" s="33" t="str">
        <f aca="false">IF(A52="","",IF(((O52&lt;&gt;"Yes")+(P52&lt;&gt;"Yes")+(Q52&lt;&gt;"Yes")+AND(B52="Yes",R52&lt;&gt;"Yes")+AND(OR(B52="Yes",ISNUMBER(SEARCH("grappling",F52))),S52&lt;&gt;"Yes"))=0,"READY",((O52&lt;&gt;"Yes")+(P52&lt;&gt;"Yes")+(Q52&lt;&gt;"Yes")+AND(B52="Yes",R52&lt;&gt;"Yes")+AND(OR(B52="Yes",ISNUMBER(SEARCH("grappling",F52))),S52&lt;&gt;"Yes"))&amp;" to do"))</f>
        <v/>
      </c>
      <c r="W52" s="27"/>
    </row>
    <row r="53" customFormat="false" ht="15" hidden="false" customHeight="false" outlineLevel="0" collapsed="false">
      <c r="A53" s="27"/>
      <c r="B53" s="27"/>
      <c r="C53" s="27"/>
      <c r="D53" s="27"/>
      <c r="E53" s="27"/>
      <c r="F53" s="27"/>
      <c r="G53" s="27"/>
      <c r="H53" s="27"/>
      <c r="I53" s="27"/>
      <c r="J53" s="27"/>
      <c r="K53" s="27"/>
      <c r="L53" s="32" t="str">
        <f aca="false">IF(A53="","",N(I53)+N(J53)+N(K53))</f>
        <v/>
      </c>
      <c r="M53" s="32" t="str">
        <f aca="false">IF(A53="","",IF(L53&lt;=5,"Pre-Novice",IF(L53&lt;=10,"Novice","Open")))</f>
        <v/>
      </c>
      <c r="N53" s="27"/>
      <c r="O53" s="27"/>
      <c r="P53" s="27"/>
      <c r="Q53" s="27"/>
      <c r="R53" s="27"/>
      <c r="S53" s="27"/>
      <c r="T53" s="27"/>
      <c r="U53" s="27"/>
      <c r="V53" s="33" t="str">
        <f aca="false">IF(A53="","",IF(((O53&lt;&gt;"Yes")+(P53&lt;&gt;"Yes")+(Q53&lt;&gt;"Yes")+AND(B53="Yes",R53&lt;&gt;"Yes")+AND(OR(B53="Yes",ISNUMBER(SEARCH("grappling",F53))),S53&lt;&gt;"Yes"))=0,"READY",((O53&lt;&gt;"Yes")+(P53&lt;&gt;"Yes")+(Q53&lt;&gt;"Yes")+AND(B53="Yes",R53&lt;&gt;"Yes")+AND(OR(B53="Yes",ISNUMBER(SEARCH("grappling",F53))),S53&lt;&gt;"Yes"))&amp;" to do"))</f>
        <v/>
      </c>
      <c r="W53" s="27"/>
    </row>
    <row r="54" customFormat="false" ht="15" hidden="false" customHeight="false" outlineLevel="0" collapsed="false">
      <c r="A54" s="27"/>
      <c r="B54" s="27"/>
      <c r="C54" s="27"/>
      <c r="D54" s="27"/>
      <c r="E54" s="27"/>
      <c r="F54" s="27"/>
      <c r="G54" s="27"/>
      <c r="H54" s="27"/>
      <c r="I54" s="27"/>
      <c r="J54" s="27"/>
      <c r="K54" s="27"/>
      <c r="L54" s="32" t="str">
        <f aca="false">IF(A54="","",N(I54)+N(J54)+N(K54))</f>
        <v/>
      </c>
      <c r="M54" s="32" t="str">
        <f aca="false">IF(A54="","",IF(L54&lt;=5,"Pre-Novice",IF(L54&lt;=10,"Novice","Open")))</f>
        <v/>
      </c>
      <c r="N54" s="27"/>
      <c r="O54" s="27"/>
      <c r="P54" s="27"/>
      <c r="Q54" s="27"/>
      <c r="R54" s="27"/>
      <c r="S54" s="27"/>
      <c r="T54" s="27"/>
      <c r="U54" s="27"/>
      <c r="V54" s="33" t="str">
        <f aca="false">IF(A54="","",IF(((O54&lt;&gt;"Yes")+(P54&lt;&gt;"Yes")+(Q54&lt;&gt;"Yes")+AND(B54="Yes",R54&lt;&gt;"Yes")+AND(OR(B54="Yes",ISNUMBER(SEARCH("grappling",F54))),S54&lt;&gt;"Yes"))=0,"READY",((O54&lt;&gt;"Yes")+(P54&lt;&gt;"Yes")+(Q54&lt;&gt;"Yes")+AND(B54="Yes",R54&lt;&gt;"Yes")+AND(OR(B54="Yes",ISNUMBER(SEARCH("grappling",F54))),S54&lt;&gt;"Yes"))&amp;" to do"))</f>
        <v/>
      </c>
      <c r="W54" s="27"/>
    </row>
    <row r="55" customFormat="false" ht="15" hidden="false" customHeight="false" outlineLevel="0" collapsed="false">
      <c r="A55" s="27"/>
      <c r="B55" s="27"/>
      <c r="C55" s="27"/>
      <c r="D55" s="27"/>
      <c r="E55" s="27"/>
      <c r="F55" s="27"/>
      <c r="G55" s="27"/>
      <c r="H55" s="27"/>
      <c r="I55" s="27"/>
      <c r="J55" s="27"/>
      <c r="K55" s="27"/>
      <c r="L55" s="32" t="str">
        <f aca="false">IF(A55="","",N(I55)+N(J55)+N(K55))</f>
        <v/>
      </c>
      <c r="M55" s="32" t="str">
        <f aca="false">IF(A55="","",IF(L55&lt;=5,"Pre-Novice",IF(L55&lt;=10,"Novice","Open")))</f>
        <v/>
      </c>
      <c r="N55" s="27"/>
      <c r="O55" s="27"/>
      <c r="P55" s="27"/>
      <c r="Q55" s="27"/>
      <c r="R55" s="27"/>
      <c r="S55" s="27"/>
      <c r="T55" s="27"/>
      <c r="U55" s="27"/>
      <c r="V55" s="33" t="str">
        <f aca="false">IF(A55="","",IF(((O55&lt;&gt;"Yes")+(P55&lt;&gt;"Yes")+(Q55&lt;&gt;"Yes")+AND(B55="Yes",R55&lt;&gt;"Yes")+AND(OR(B55="Yes",ISNUMBER(SEARCH("grappling",F55))),S55&lt;&gt;"Yes"))=0,"READY",((O55&lt;&gt;"Yes")+(P55&lt;&gt;"Yes")+(Q55&lt;&gt;"Yes")+AND(B55="Yes",R55&lt;&gt;"Yes")+AND(OR(B55="Yes",ISNUMBER(SEARCH("grappling",F55))),S55&lt;&gt;"Yes"))&amp;" to do"))</f>
        <v/>
      </c>
      <c r="W55" s="27"/>
    </row>
    <row r="56" customFormat="false" ht="15" hidden="false" customHeight="false" outlineLevel="0" collapsed="false">
      <c r="A56" s="27"/>
      <c r="B56" s="27"/>
      <c r="C56" s="27"/>
      <c r="D56" s="27"/>
      <c r="E56" s="27"/>
      <c r="F56" s="27"/>
      <c r="G56" s="27"/>
      <c r="H56" s="27"/>
      <c r="I56" s="27"/>
      <c r="J56" s="27"/>
      <c r="K56" s="27"/>
      <c r="L56" s="32" t="str">
        <f aca="false">IF(A56="","",N(I56)+N(J56)+N(K56))</f>
        <v/>
      </c>
      <c r="M56" s="32" t="str">
        <f aca="false">IF(A56="","",IF(L56&lt;=5,"Pre-Novice",IF(L56&lt;=10,"Novice","Open")))</f>
        <v/>
      </c>
      <c r="N56" s="27"/>
      <c r="O56" s="27"/>
      <c r="P56" s="27"/>
      <c r="Q56" s="27"/>
      <c r="R56" s="27"/>
      <c r="S56" s="27"/>
      <c r="T56" s="27"/>
      <c r="U56" s="27"/>
      <c r="V56" s="33" t="str">
        <f aca="false">IF(A56="","",IF(((O56&lt;&gt;"Yes")+(P56&lt;&gt;"Yes")+(Q56&lt;&gt;"Yes")+AND(B56="Yes",R56&lt;&gt;"Yes")+AND(OR(B56="Yes",ISNUMBER(SEARCH("grappling",F56))),S56&lt;&gt;"Yes"))=0,"READY",((O56&lt;&gt;"Yes")+(P56&lt;&gt;"Yes")+(Q56&lt;&gt;"Yes")+AND(B56="Yes",R56&lt;&gt;"Yes")+AND(OR(B56="Yes",ISNUMBER(SEARCH("grappling",F56))),S56&lt;&gt;"Yes"))&amp;" to do"))</f>
        <v/>
      </c>
      <c r="W56" s="27"/>
    </row>
    <row r="57" customFormat="false" ht="15" hidden="false" customHeight="false" outlineLevel="0" collapsed="false">
      <c r="A57" s="27"/>
      <c r="B57" s="27"/>
      <c r="C57" s="27"/>
      <c r="D57" s="27"/>
      <c r="E57" s="27"/>
      <c r="F57" s="27"/>
      <c r="G57" s="27"/>
      <c r="H57" s="27"/>
      <c r="I57" s="27"/>
      <c r="J57" s="27"/>
      <c r="K57" s="27"/>
      <c r="L57" s="32" t="str">
        <f aca="false">IF(A57="","",N(I57)+N(J57)+N(K57))</f>
        <v/>
      </c>
      <c r="M57" s="32" t="str">
        <f aca="false">IF(A57="","",IF(L57&lt;=5,"Pre-Novice",IF(L57&lt;=10,"Novice","Open")))</f>
        <v/>
      </c>
      <c r="N57" s="27"/>
      <c r="O57" s="27"/>
      <c r="P57" s="27"/>
      <c r="Q57" s="27"/>
      <c r="R57" s="27"/>
      <c r="S57" s="27"/>
      <c r="T57" s="27"/>
      <c r="U57" s="27"/>
      <c r="V57" s="33" t="str">
        <f aca="false">IF(A57="","",IF(((O57&lt;&gt;"Yes")+(P57&lt;&gt;"Yes")+(Q57&lt;&gt;"Yes")+AND(B57="Yes",R57&lt;&gt;"Yes")+AND(OR(B57="Yes",ISNUMBER(SEARCH("grappling",F57))),S57&lt;&gt;"Yes"))=0,"READY",((O57&lt;&gt;"Yes")+(P57&lt;&gt;"Yes")+(Q57&lt;&gt;"Yes")+AND(B57="Yes",R57&lt;&gt;"Yes")+AND(OR(B57="Yes",ISNUMBER(SEARCH("grappling",F57))),S57&lt;&gt;"Yes"))&amp;" to do"))</f>
        <v/>
      </c>
      <c r="W57" s="27"/>
    </row>
    <row r="58" customFormat="false" ht="15" hidden="false" customHeight="false" outlineLevel="0" collapsed="false">
      <c r="A58" s="27"/>
      <c r="B58" s="27"/>
      <c r="C58" s="27"/>
      <c r="D58" s="27"/>
      <c r="E58" s="27"/>
      <c r="F58" s="27"/>
      <c r="G58" s="27"/>
      <c r="H58" s="27"/>
      <c r="I58" s="27"/>
      <c r="J58" s="27"/>
      <c r="K58" s="27"/>
      <c r="L58" s="32" t="str">
        <f aca="false">IF(A58="","",N(I58)+N(J58)+N(K58))</f>
        <v/>
      </c>
      <c r="M58" s="32" t="str">
        <f aca="false">IF(A58="","",IF(L58&lt;=5,"Pre-Novice",IF(L58&lt;=10,"Novice","Open")))</f>
        <v/>
      </c>
      <c r="N58" s="27"/>
      <c r="O58" s="27"/>
      <c r="P58" s="27"/>
      <c r="Q58" s="27"/>
      <c r="R58" s="27"/>
      <c r="S58" s="27"/>
      <c r="T58" s="27"/>
      <c r="U58" s="27"/>
      <c r="V58" s="33" t="str">
        <f aca="false">IF(A58="","",IF(((O58&lt;&gt;"Yes")+(P58&lt;&gt;"Yes")+(Q58&lt;&gt;"Yes")+AND(B58="Yes",R58&lt;&gt;"Yes")+AND(OR(B58="Yes",ISNUMBER(SEARCH("grappling",F58))),S58&lt;&gt;"Yes"))=0,"READY",((O58&lt;&gt;"Yes")+(P58&lt;&gt;"Yes")+(Q58&lt;&gt;"Yes")+AND(B58="Yes",R58&lt;&gt;"Yes")+AND(OR(B58="Yes",ISNUMBER(SEARCH("grappling",F58))),S58&lt;&gt;"Yes"))&amp;" to do"))</f>
        <v/>
      </c>
      <c r="W58" s="27"/>
    </row>
    <row r="59" customFormat="false" ht="15" hidden="false" customHeight="false" outlineLevel="0" collapsed="false">
      <c r="A59" s="27"/>
      <c r="B59" s="27"/>
      <c r="C59" s="27"/>
      <c r="D59" s="27"/>
      <c r="E59" s="27"/>
      <c r="F59" s="27"/>
      <c r="G59" s="27"/>
      <c r="H59" s="27"/>
      <c r="I59" s="27"/>
      <c r="J59" s="27"/>
      <c r="K59" s="27"/>
      <c r="L59" s="32" t="str">
        <f aca="false">IF(A59="","",N(I59)+N(J59)+N(K59))</f>
        <v/>
      </c>
      <c r="M59" s="32" t="str">
        <f aca="false">IF(A59="","",IF(L59&lt;=5,"Pre-Novice",IF(L59&lt;=10,"Novice","Open")))</f>
        <v/>
      </c>
      <c r="N59" s="27"/>
      <c r="O59" s="27"/>
      <c r="P59" s="27"/>
      <c r="Q59" s="27"/>
      <c r="R59" s="27"/>
      <c r="S59" s="27"/>
      <c r="T59" s="27"/>
      <c r="U59" s="27"/>
      <c r="V59" s="33" t="str">
        <f aca="false">IF(A59="","",IF(((O59&lt;&gt;"Yes")+(P59&lt;&gt;"Yes")+(Q59&lt;&gt;"Yes")+AND(B59="Yes",R59&lt;&gt;"Yes")+AND(OR(B59="Yes",ISNUMBER(SEARCH("grappling",F59))),S59&lt;&gt;"Yes"))=0,"READY",((O59&lt;&gt;"Yes")+(P59&lt;&gt;"Yes")+(Q59&lt;&gt;"Yes")+AND(B59="Yes",R59&lt;&gt;"Yes")+AND(OR(B59="Yes",ISNUMBER(SEARCH("grappling",F59))),S59&lt;&gt;"Yes"))&amp;" to do"))</f>
        <v/>
      </c>
      <c r="W59" s="27"/>
    </row>
    <row r="60" customFormat="false" ht="15" hidden="false" customHeight="false" outlineLevel="0" collapsed="false">
      <c r="A60" s="27"/>
      <c r="B60" s="27"/>
      <c r="C60" s="27"/>
      <c r="D60" s="27"/>
      <c r="E60" s="27"/>
      <c r="F60" s="27"/>
      <c r="G60" s="27"/>
      <c r="H60" s="27"/>
      <c r="I60" s="27"/>
      <c r="J60" s="27"/>
      <c r="K60" s="27"/>
      <c r="L60" s="32" t="str">
        <f aca="false">IF(A60="","",N(I60)+N(J60)+N(K60))</f>
        <v/>
      </c>
      <c r="M60" s="32" t="str">
        <f aca="false">IF(A60="","",IF(L60&lt;=5,"Pre-Novice",IF(L60&lt;=10,"Novice","Open")))</f>
        <v/>
      </c>
      <c r="N60" s="27"/>
      <c r="O60" s="27"/>
      <c r="P60" s="27"/>
      <c r="Q60" s="27"/>
      <c r="R60" s="27"/>
      <c r="S60" s="27"/>
      <c r="T60" s="27"/>
      <c r="U60" s="27"/>
      <c r="V60" s="33" t="str">
        <f aca="false">IF(A60="","",IF(((O60&lt;&gt;"Yes")+(P60&lt;&gt;"Yes")+(Q60&lt;&gt;"Yes")+AND(B60="Yes",R60&lt;&gt;"Yes")+AND(OR(B60="Yes",ISNUMBER(SEARCH("grappling",F60))),S60&lt;&gt;"Yes"))=0,"READY",((O60&lt;&gt;"Yes")+(P60&lt;&gt;"Yes")+(Q60&lt;&gt;"Yes")+AND(B60="Yes",R60&lt;&gt;"Yes")+AND(OR(B60="Yes",ISNUMBER(SEARCH("grappling",F60))),S60&lt;&gt;"Yes"))&amp;" to do"))</f>
        <v/>
      </c>
      <c r="W60" s="27"/>
    </row>
    <row r="61" customFormat="false" ht="15" hidden="false" customHeight="false" outlineLevel="0" collapsed="false">
      <c r="A61" s="27"/>
      <c r="B61" s="27"/>
      <c r="C61" s="27"/>
      <c r="D61" s="27"/>
      <c r="E61" s="27"/>
      <c r="F61" s="27"/>
      <c r="G61" s="27"/>
      <c r="H61" s="27"/>
      <c r="I61" s="27"/>
      <c r="J61" s="27"/>
      <c r="K61" s="27"/>
      <c r="L61" s="32" t="str">
        <f aca="false">IF(A61="","",N(I61)+N(J61)+N(K61))</f>
        <v/>
      </c>
      <c r="M61" s="32" t="str">
        <f aca="false">IF(A61="","",IF(L61&lt;=5,"Pre-Novice",IF(L61&lt;=10,"Novice","Open")))</f>
        <v/>
      </c>
      <c r="N61" s="27"/>
      <c r="O61" s="27"/>
      <c r="P61" s="27"/>
      <c r="Q61" s="27"/>
      <c r="R61" s="27"/>
      <c r="S61" s="27"/>
      <c r="T61" s="27"/>
      <c r="U61" s="27"/>
      <c r="V61" s="33" t="str">
        <f aca="false">IF(A61="","",IF(((O61&lt;&gt;"Yes")+(P61&lt;&gt;"Yes")+(Q61&lt;&gt;"Yes")+AND(B61="Yes",R61&lt;&gt;"Yes")+AND(OR(B61="Yes",ISNUMBER(SEARCH("grappling",F61))),S61&lt;&gt;"Yes"))=0,"READY",((O61&lt;&gt;"Yes")+(P61&lt;&gt;"Yes")+(Q61&lt;&gt;"Yes")+AND(B61="Yes",R61&lt;&gt;"Yes")+AND(OR(B61="Yes",ISNUMBER(SEARCH("grappling",F61))),S61&lt;&gt;"Yes"))&amp;" to do"))</f>
        <v/>
      </c>
      <c r="W61" s="27"/>
    </row>
    <row r="62" customFormat="false" ht="15" hidden="false" customHeight="false" outlineLevel="0" collapsed="false">
      <c r="A62" s="27"/>
      <c r="B62" s="27"/>
      <c r="C62" s="27"/>
      <c r="D62" s="27"/>
      <c r="E62" s="27"/>
      <c r="F62" s="27"/>
      <c r="G62" s="27"/>
      <c r="H62" s="27"/>
      <c r="I62" s="27"/>
      <c r="J62" s="27"/>
      <c r="K62" s="27"/>
      <c r="L62" s="32" t="str">
        <f aca="false">IF(A62="","",N(I62)+N(J62)+N(K62))</f>
        <v/>
      </c>
      <c r="M62" s="32" t="str">
        <f aca="false">IF(A62="","",IF(L62&lt;=5,"Pre-Novice",IF(L62&lt;=10,"Novice","Open")))</f>
        <v/>
      </c>
      <c r="N62" s="27"/>
      <c r="O62" s="27"/>
      <c r="P62" s="27"/>
      <c r="Q62" s="27"/>
      <c r="R62" s="27"/>
      <c r="S62" s="27"/>
      <c r="T62" s="27"/>
      <c r="U62" s="27"/>
      <c r="V62" s="33" t="str">
        <f aca="false">IF(A62="","",IF(((O62&lt;&gt;"Yes")+(P62&lt;&gt;"Yes")+(Q62&lt;&gt;"Yes")+AND(B62="Yes",R62&lt;&gt;"Yes")+AND(OR(B62="Yes",ISNUMBER(SEARCH("grappling",F62))),S62&lt;&gt;"Yes"))=0,"READY",((O62&lt;&gt;"Yes")+(P62&lt;&gt;"Yes")+(Q62&lt;&gt;"Yes")+AND(B62="Yes",R62&lt;&gt;"Yes")+AND(OR(B62="Yes",ISNUMBER(SEARCH("grappling",F62))),S62&lt;&gt;"Yes"))&amp;" to do"))</f>
        <v/>
      </c>
      <c r="W62" s="27"/>
    </row>
    <row r="63" customFormat="false" ht="15" hidden="false" customHeight="false" outlineLevel="0" collapsed="false">
      <c r="A63" s="27"/>
      <c r="B63" s="27"/>
      <c r="C63" s="27"/>
      <c r="D63" s="27"/>
      <c r="E63" s="27"/>
      <c r="F63" s="27"/>
      <c r="G63" s="27"/>
      <c r="H63" s="27"/>
      <c r="I63" s="27"/>
      <c r="J63" s="27"/>
      <c r="K63" s="27"/>
      <c r="L63" s="32" t="str">
        <f aca="false">IF(A63="","",N(I63)+N(J63)+N(K63))</f>
        <v/>
      </c>
      <c r="M63" s="32" t="str">
        <f aca="false">IF(A63="","",IF(L63&lt;=5,"Pre-Novice",IF(L63&lt;=10,"Novice","Open")))</f>
        <v/>
      </c>
      <c r="N63" s="27"/>
      <c r="O63" s="27"/>
      <c r="P63" s="27"/>
      <c r="Q63" s="27"/>
      <c r="R63" s="27"/>
      <c r="S63" s="27"/>
      <c r="T63" s="27"/>
      <c r="U63" s="27"/>
      <c r="V63" s="33" t="str">
        <f aca="false">IF(A63="","",IF(((O63&lt;&gt;"Yes")+(P63&lt;&gt;"Yes")+(Q63&lt;&gt;"Yes")+AND(B63="Yes",R63&lt;&gt;"Yes")+AND(OR(B63="Yes",ISNUMBER(SEARCH("grappling",F63))),S63&lt;&gt;"Yes"))=0,"READY",((O63&lt;&gt;"Yes")+(P63&lt;&gt;"Yes")+(Q63&lt;&gt;"Yes")+AND(B63="Yes",R63&lt;&gt;"Yes")+AND(OR(B63="Yes",ISNUMBER(SEARCH("grappling",F63))),S63&lt;&gt;"Yes"))&amp;" to do"))</f>
        <v/>
      </c>
      <c r="W63" s="27"/>
    </row>
    <row r="64" customFormat="false" ht="15" hidden="false" customHeight="false" outlineLevel="0" collapsed="false">
      <c r="A64" s="27"/>
      <c r="B64" s="27"/>
      <c r="C64" s="27"/>
      <c r="D64" s="27"/>
      <c r="E64" s="27"/>
      <c r="F64" s="27"/>
      <c r="G64" s="27"/>
      <c r="H64" s="27"/>
      <c r="I64" s="27"/>
      <c r="J64" s="27"/>
      <c r="K64" s="27"/>
      <c r="L64" s="32" t="str">
        <f aca="false">IF(A64="","",N(I64)+N(J64)+N(K64))</f>
        <v/>
      </c>
      <c r="M64" s="32" t="str">
        <f aca="false">IF(A64="","",IF(L64&lt;=5,"Pre-Novice",IF(L64&lt;=10,"Novice","Open")))</f>
        <v/>
      </c>
      <c r="N64" s="27"/>
      <c r="O64" s="27"/>
      <c r="P64" s="27"/>
      <c r="Q64" s="27"/>
      <c r="R64" s="27"/>
      <c r="S64" s="27"/>
      <c r="T64" s="27"/>
      <c r="U64" s="27"/>
      <c r="V64" s="33" t="str">
        <f aca="false">IF(A64="","",IF(((O64&lt;&gt;"Yes")+(P64&lt;&gt;"Yes")+(Q64&lt;&gt;"Yes")+AND(B64="Yes",R64&lt;&gt;"Yes")+AND(OR(B64="Yes",ISNUMBER(SEARCH("grappling",F64))),S64&lt;&gt;"Yes"))=0,"READY",((O64&lt;&gt;"Yes")+(P64&lt;&gt;"Yes")+(Q64&lt;&gt;"Yes")+AND(B64="Yes",R64&lt;&gt;"Yes")+AND(OR(B64="Yes",ISNUMBER(SEARCH("grappling",F64))),S64&lt;&gt;"Yes"))&amp;" to do"))</f>
        <v/>
      </c>
      <c r="W64" s="27"/>
    </row>
    <row r="65" customFormat="false" ht="15" hidden="false" customHeight="false" outlineLevel="0" collapsed="false">
      <c r="A65" s="27"/>
      <c r="B65" s="27"/>
      <c r="C65" s="27"/>
      <c r="D65" s="27"/>
      <c r="E65" s="27"/>
      <c r="F65" s="27"/>
      <c r="G65" s="27"/>
      <c r="H65" s="27"/>
      <c r="I65" s="27"/>
      <c r="J65" s="27"/>
      <c r="K65" s="27"/>
      <c r="L65" s="32" t="str">
        <f aca="false">IF(A65="","",N(I65)+N(J65)+N(K65))</f>
        <v/>
      </c>
      <c r="M65" s="32" t="str">
        <f aca="false">IF(A65="","",IF(L65&lt;=5,"Pre-Novice",IF(L65&lt;=10,"Novice","Open")))</f>
        <v/>
      </c>
      <c r="N65" s="27"/>
      <c r="O65" s="27"/>
      <c r="P65" s="27"/>
      <c r="Q65" s="27"/>
      <c r="R65" s="27"/>
      <c r="S65" s="27"/>
      <c r="T65" s="27"/>
      <c r="U65" s="27"/>
      <c r="V65" s="33" t="str">
        <f aca="false">IF(A65="","",IF(((O65&lt;&gt;"Yes")+(P65&lt;&gt;"Yes")+(Q65&lt;&gt;"Yes")+AND(B65="Yes",R65&lt;&gt;"Yes")+AND(OR(B65="Yes",ISNUMBER(SEARCH("grappling",F65))),S65&lt;&gt;"Yes"))=0,"READY",((O65&lt;&gt;"Yes")+(P65&lt;&gt;"Yes")+(Q65&lt;&gt;"Yes")+AND(B65="Yes",R65&lt;&gt;"Yes")+AND(OR(B65="Yes",ISNUMBER(SEARCH("grappling",F65))),S65&lt;&gt;"Yes"))&amp;" to do"))</f>
        <v/>
      </c>
      <c r="W65" s="27"/>
    </row>
    <row r="66" customFormat="false" ht="15" hidden="false" customHeight="false" outlineLevel="0" collapsed="false">
      <c r="A66" s="27"/>
      <c r="B66" s="27"/>
      <c r="C66" s="27"/>
      <c r="D66" s="27"/>
      <c r="E66" s="27"/>
      <c r="F66" s="27"/>
      <c r="G66" s="27"/>
      <c r="H66" s="27"/>
      <c r="I66" s="27"/>
      <c r="J66" s="27"/>
      <c r="K66" s="27"/>
      <c r="L66" s="32" t="str">
        <f aca="false">IF(A66="","",N(I66)+N(J66)+N(K66))</f>
        <v/>
      </c>
      <c r="M66" s="32" t="str">
        <f aca="false">IF(A66="","",IF(L66&lt;=5,"Pre-Novice",IF(L66&lt;=10,"Novice","Open")))</f>
        <v/>
      </c>
      <c r="N66" s="27"/>
      <c r="O66" s="27"/>
      <c r="P66" s="27"/>
      <c r="Q66" s="27"/>
      <c r="R66" s="27"/>
      <c r="S66" s="27"/>
      <c r="T66" s="27"/>
      <c r="U66" s="27"/>
      <c r="V66" s="33" t="str">
        <f aca="false">IF(A66="","",IF(((O66&lt;&gt;"Yes")+(P66&lt;&gt;"Yes")+(Q66&lt;&gt;"Yes")+AND(B66="Yes",R66&lt;&gt;"Yes")+AND(OR(B66="Yes",ISNUMBER(SEARCH("grappling",F66))),S66&lt;&gt;"Yes"))=0,"READY",((O66&lt;&gt;"Yes")+(P66&lt;&gt;"Yes")+(Q66&lt;&gt;"Yes")+AND(B66="Yes",R66&lt;&gt;"Yes")+AND(OR(B66="Yes",ISNUMBER(SEARCH("grappling",F66))),S66&lt;&gt;"Yes"))&amp;" to do"))</f>
        <v/>
      </c>
      <c r="W66" s="27"/>
    </row>
    <row r="67" customFormat="false" ht="15" hidden="false" customHeight="false" outlineLevel="0" collapsed="false">
      <c r="A67" s="27"/>
      <c r="B67" s="27"/>
      <c r="C67" s="27"/>
      <c r="D67" s="27"/>
      <c r="E67" s="27"/>
      <c r="F67" s="27"/>
      <c r="G67" s="27"/>
      <c r="H67" s="27"/>
      <c r="I67" s="27"/>
      <c r="J67" s="27"/>
      <c r="K67" s="27"/>
      <c r="L67" s="32" t="str">
        <f aca="false">IF(A67="","",N(I67)+N(J67)+N(K67))</f>
        <v/>
      </c>
      <c r="M67" s="32" t="str">
        <f aca="false">IF(A67="","",IF(L67&lt;=5,"Pre-Novice",IF(L67&lt;=10,"Novice","Open")))</f>
        <v/>
      </c>
      <c r="N67" s="27"/>
      <c r="O67" s="27"/>
      <c r="P67" s="27"/>
      <c r="Q67" s="27"/>
      <c r="R67" s="27"/>
      <c r="S67" s="27"/>
      <c r="T67" s="27"/>
      <c r="U67" s="27"/>
      <c r="V67" s="33" t="str">
        <f aca="false">IF(A67="","",IF(((O67&lt;&gt;"Yes")+(P67&lt;&gt;"Yes")+(Q67&lt;&gt;"Yes")+AND(B67="Yes",R67&lt;&gt;"Yes")+AND(OR(B67="Yes",ISNUMBER(SEARCH("grappling",F67))),S67&lt;&gt;"Yes"))=0,"READY",((O67&lt;&gt;"Yes")+(P67&lt;&gt;"Yes")+(Q67&lt;&gt;"Yes")+AND(B67="Yes",R67&lt;&gt;"Yes")+AND(OR(B67="Yes",ISNUMBER(SEARCH("grappling",F67))),S67&lt;&gt;"Yes"))&amp;" to do"))</f>
        <v/>
      </c>
      <c r="W67" s="27"/>
    </row>
    <row r="68" customFormat="false" ht="15" hidden="false" customHeight="false" outlineLevel="0" collapsed="false">
      <c r="A68" s="27"/>
      <c r="B68" s="27"/>
      <c r="C68" s="27"/>
      <c r="D68" s="27"/>
      <c r="E68" s="27"/>
      <c r="F68" s="27"/>
      <c r="G68" s="27"/>
      <c r="H68" s="27"/>
      <c r="I68" s="27"/>
      <c r="J68" s="27"/>
      <c r="K68" s="27"/>
      <c r="L68" s="32" t="str">
        <f aca="false">IF(A68="","",N(I68)+N(J68)+N(K68))</f>
        <v/>
      </c>
      <c r="M68" s="32" t="str">
        <f aca="false">IF(A68="","",IF(L68&lt;=5,"Pre-Novice",IF(L68&lt;=10,"Novice","Open")))</f>
        <v/>
      </c>
      <c r="N68" s="27"/>
      <c r="O68" s="27"/>
      <c r="P68" s="27"/>
      <c r="Q68" s="27"/>
      <c r="R68" s="27"/>
      <c r="S68" s="27"/>
      <c r="T68" s="27"/>
      <c r="U68" s="27"/>
      <c r="V68" s="33" t="str">
        <f aca="false">IF(A68="","",IF(((O68&lt;&gt;"Yes")+(P68&lt;&gt;"Yes")+(Q68&lt;&gt;"Yes")+AND(B68="Yes",R68&lt;&gt;"Yes")+AND(OR(B68="Yes",ISNUMBER(SEARCH("grappling",F68))),S68&lt;&gt;"Yes"))=0,"READY",((O68&lt;&gt;"Yes")+(P68&lt;&gt;"Yes")+(Q68&lt;&gt;"Yes")+AND(B68="Yes",R68&lt;&gt;"Yes")+AND(OR(B68="Yes",ISNUMBER(SEARCH("grappling",F68))),S68&lt;&gt;"Yes"))&amp;" to do"))</f>
        <v/>
      </c>
      <c r="W68" s="27"/>
    </row>
    <row r="69" customFormat="false" ht="15" hidden="false" customHeight="false" outlineLevel="0" collapsed="false">
      <c r="A69" s="27"/>
      <c r="B69" s="27"/>
      <c r="C69" s="27"/>
      <c r="D69" s="27"/>
      <c r="E69" s="27"/>
      <c r="F69" s="27"/>
      <c r="G69" s="27"/>
      <c r="H69" s="27"/>
      <c r="I69" s="27"/>
      <c r="J69" s="27"/>
      <c r="K69" s="27"/>
      <c r="L69" s="32" t="str">
        <f aca="false">IF(A69="","",N(I69)+N(J69)+N(K69))</f>
        <v/>
      </c>
      <c r="M69" s="32" t="str">
        <f aca="false">IF(A69="","",IF(L69&lt;=5,"Pre-Novice",IF(L69&lt;=10,"Novice","Open")))</f>
        <v/>
      </c>
      <c r="N69" s="27"/>
      <c r="O69" s="27"/>
      <c r="P69" s="27"/>
      <c r="Q69" s="27"/>
      <c r="R69" s="27"/>
      <c r="S69" s="27"/>
      <c r="T69" s="27"/>
      <c r="U69" s="27"/>
      <c r="V69" s="33" t="str">
        <f aca="false">IF(A69="","",IF(((O69&lt;&gt;"Yes")+(P69&lt;&gt;"Yes")+(Q69&lt;&gt;"Yes")+AND(B69="Yes",R69&lt;&gt;"Yes")+AND(OR(B69="Yes",ISNUMBER(SEARCH("grappling",F69))),S69&lt;&gt;"Yes"))=0,"READY",((O69&lt;&gt;"Yes")+(P69&lt;&gt;"Yes")+(Q69&lt;&gt;"Yes")+AND(B69="Yes",R69&lt;&gt;"Yes")+AND(OR(B69="Yes",ISNUMBER(SEARCH("grappling",F69))),S69&lt;&gt;"Yes"))&amp;" to do"))</f>
        <v/>
      </c>
      <c r="W69" s="27"/>
    </row>
    <row r="70" customFormat="false" ht="15" hidden="false" customHeight="false" outlineLevel="0" collapsed="false">
      <c r="A70" s="27"/>
      <c r="B70" s="27"/>
      <c r="C70" s="27"/>
      <c r="D70" s="27"/>
      <c r="E70" s="27"/>
      <c r="F70" s="27"/>
      <c r="G70" s="27"/>
      <c r="H70" s="27"/>
      <c r="I70" s="27"/>
      <c r="J70" s="27"/>
      <c r="K70" s="27"/>
      <c r="L70" s="32" t="str">
        <f aca="false">IF(A70="","",N(I70)+N(J70)+N(K70))</f>
        <v/>
      </c>
      <c r="M70" s="32" t="str">
        <f aca="false">IF(A70="","",IF(L70&lt;=5,"Pre-Novice",IF(L70&lt;=10,"Novice","Open")))</f>
        <v/>
      </c>
      <c r="N70" s="27"/>
      <c r="O70" s="27"/>
      <c r="P70" s="27"/>
      <c r="Q70" s="27"/>
      <c r="R70" s="27"/>
      <c r="S70" s="27"/>
      <c r="T70" s="27"/>
      <c r="U70" s="27"/>
      <c r="V70" s="33" t="str">
        <f aca="false">IF(A70="","",IF(((O70&lt;&gt;"Yes")+(P70&lt;&gt;"Yes")+(Q70&lt;&gt;"Yes")+AND(B70="Yes",R70&lt;&gt;"Yes")+AND(OR(B70="Yes",ISNUMBER(SEARCH("grappling",F70))),S70&lt;&gt;"Yes"))=0,"READY",((O70&lt;&gt;"Yes")+(P70&lt;&gt;"Yes")+(Q70&lt;&gt;"Yes")+AND(B70="Yes",R70&lt;&gt;"Yes")+AND(OR(B70="Yes",ISNUMBER(SEARCH("grappling",F70))),S70&lt;&gt;"Yes"))&amp;" to do"))</f>
        <v/>
      </c>
      <c r="W70" s="27"/>
    </row>
    <row r="71" customFormat="false" ht="15" hidden="false" customHeight="false" outlineLevel="0" collapsed="false">
      <c r="A71" s="27"/>
      <c r="B71" s="27"/>
      <c r="C71" s="27"/>
      <c r="D71" s="27"/>
      <c r="E71" s="27"/>
      <c r="F71" s="27"/>
      <c r="G71" s="27"/>
      <c r="H71" s="27"/>
      <c r="I71" s="27"/>
      <c r="J71" s="27"/>
      <c r="K71" s="27"/>
      <c r="L71" s="32" t="str">
        <f aca="false">IF(A71="","",N(I71)+N(J71)+N(K71))</f>
        <v/>
      </c>
      <c r="M71" s="32" t="str">
        <f aca="false">IF(A71="","",IF(L71&lt;=5,"Pre-Novice",IF(L71&lt;=10,"Novice","Open")))</f>
        <v/>
      </c>
      <c r="N71" s="27"/>
      <c r="O71" s="27"/>
      <c r="P71" s="27"/>
      <c r="Q71" s="27"/>
      <c r="R71" s="27"/>
      <c r="S71" s="27"/>
      <c r="T71" s="27"/>
      <c r="U71" s="27"/>
      <c r="V71" s="33" t="str">
        <f aca="false">IF(A71="","",IF(((O71&lt;&gt;"Yes")+(P71&lt;&gt;"Yes")+(Q71&lt;&gt;"Yes")+AND(B71="Yes",R71&lt;&gt;"Yes")+AND(OR(B71="Yes",ISNUMBER(SEARCH("grappling",F71))),S71&lt;&gt;"Yes"))=0,"READY",((O71&lt;&gt;"Yes")+(P71&lt;&gt;"Yes")+(Q71&lt;&gt;"Yes")+AND(B71="Yes",R71&lt;&gt;"Yes")+AND(OR(B71="Yes",ISNUMBER(SEARCH("grappling",F71))),S71&lt;&gt;"Yes"))&amp;" to do"))</f>
        <v/>
      </c>
      <c r="W71" s="27"/>
    </row>
    <row r="72" customFormat="false" ht="15" hidden="false" customHeight="false" outlineLevel="0" collapsed="false">
      <c r="A72" s="27"/>
      <c r="B72" s="27"/>
      <c r="C72" s="27"/>
      <c r="D72" s="27"/>
      <c r="E72" s="27"/>
      <c r="F72" s="27"/>
      <c r="G72" s="27"/>
      <c r="H72" s="27"/>
      <c r="I72" s="27"/>
      <c r="J72" s="27"/>
      <c r="K72" s="27"/>
      <c r="L72" s="32" t="str">
        <f aca="false">IF(A72="","",N(I72)+N(J72)+N(K72))</f>
        <v/>
      </c>
      <c r="M72" s="32" t="str">
        <f aca="false">IF(A72="","",IF(L72&lt;=5,"Pre-Novice",IF(L72&lt;=10,"Novice","Open")))</f>
        <v/>
      </c>
      <c r="N72" s="27"/>
      <c r="O72" s="27"/>
      <c r="P72" s="27"/>
      <c r="Q72" s="27"/>
      <c r="R72" s="27"/>
      <c r="S72" s="27"/>
      <c r="T72" s="27"/>
      <c r="U72" s="27"/>
      <c r="V72" s="33" t="str">
        <f aca="false">IF(A72="","",IF(((O72&lt;&gt;"Yes")+(P72&lt;&gt;"Yes")+(Q72&lt;&gt;"Yes")+AND(B72="Yes",R72&lt;&gt;"Yes")+AND(OR(B72="Yes",ISNUMBER(SEARCH("grappling",F72))),S72&lt;&gt;"Yes"))=0,"READY",((O72&lt;&gt;"Yes")+(P72&lt;&gt;"Yes")+(Q72&lt;&gt;"Yes")+AND(B72="Yes",R72&lt;&gt;"Yes")+AND(OR(B72="Yes",ISNUMBER(SEARCH("grappling",F72))),S72&lt;&gt;"Yes"))&amp;" to do"))</f>
        <v/>
      </c>
      <c r="W72" s="27"/>
    </row>
    <row r="73" customFormat="false" ht="15" hidden="false" customHeight="false" outlineLevel="0" collapsed="false">
      <c r="A73" s="27"/>
      <c r="B73" s="27"/>
      <c r="C73" s="27"/>
      <c r="D73" s="27"/>
      <c r="E73" s="27"/>
      <c r="F73" s="27"/>
      <c r="G73" s="27"/>
      <c r="H73" s="27"/>
      <c r="I73" s="27"/>
      <c r="J73" s="27"/>
      <c r="K73" s="27"/>
      <c r="L73" s="32" t="str">
        <f aca="false">IF(A73="","",N(I73)+N(J73)+N(K73))</f>
        <v/>
      </c>
      <c r="M73" s="32" t="str">
        <f aca="false">IF(A73="","",IF(L73&lt;=5,"Pre-Novice",IF(L73&lt;=10,"Novice","Open")))</f>
        <v/>
      </c>
      <c r="N73" s="27"/>
      <c r="O73" s="27"/>
      <c r="P73" s="27"/>
      <c r="Q73" s="27"/>
      <c r="R73" s="27"/>
      <c r="S73" s="27"/>
      <c r="T73" s="27"/>
      <c r="U73" s="27"/>
      <c r="V73" s="33" t="str">
        <f aca="false">IF(A73="","",IF(((O73&lt;&gt;"Yes")+(P73&lt;&gt;"Yes")+(Q73&lt;&gt;"Yes")+AND(B73="Yes",R73&lt;&gt;"Yes")+AND(OR(B73="Yes",ISNUMBER(SEARCH("grappling",F73))),S73&lt;&gt;"Yes"))=0,"READY",((O73&lt;&gt;"Yes")+(P73&lt;&gt;"Yes")+(Q73&lt;&gt;"Yes")+AND(B73="Yes",R73&lt;&gt;"Yes")+AND(OR(B73="Yes",ISNUMBER(SEARCH("grappling",F73))),S73&lt;&gt;"Yes"))&amp;" to do"))</f>
        <v/>
      </c>
      <c r="W73" s="27"/>
    </row>
    <row r="74" customFormat="false" ht="15" hidden="false" customHeight="false" outlineLevel="0" collapsed="false">
      <c r="A74" s="27"/>
      <c r="B74" s="27"/>
      <c r="C74" s="27"/>
      <c r="D74" s="27"/>
      <c r="E74" s="27"/>
      <c r="F74" s="27"/>
      <c r="G74" s="27"/>
      <c r="H74" s="27"/>
      <c r="I74" s="27"/>
      <c r="J74" s="27"/>
      <c r="K74" s="27"/>
      <c r="L74" s="32" t="str">
        <f aca="false">IF(A74="","",N(I74)+N(J74)+N(K74))</f>
        <v/>
      </c>
      <c r="M74" s="32" t="str">
        <f aca="false">IF(A74="","",IF(L74&lt;=5,"Pre-Novice",IF(L74&lt;=10,"Novice","Open")))</f>
        <v/>
      </c>
      <c r="N74" s="27"/>
      <c r="O74" s="27"/>
      <c r="P74" s="27"/>
      <c r="Q74" s="27"/>
      <c r="R74" s="27"/>
      <c r="S74" s="27"/>
      <c r="T74" s="27"/>
      <c r="U74" s="27"/>
      <c r="V74" s="33" t="str">
        <f aca="false">IF(A74="","",IF(((O74&lt;&gt;"Yes")+(P74&lt;&gt;"Yes")+(Q74&lt;&gt;"Yes")+AND(B74="Yes",R74&lt;&gt;"Yes")+AND(OR(B74="Yes",ISNUMBER(SEARCH("grappling",F74))),S74&lt;&gt;"Yes"))=0,"READY",((O74&lt;&gt;"Yes")+(P74&lt;&gt;"Yes")+(Q74&lt;&gt;"Yes")+AND(B74="Yes",R74&lt;&gt;"Yes")+AND(OR(B74="Yes",ISNUMBER(SEARCH("grappling",F74))),S74&lt;&gt;"Yes"))&amp;" to do"))</f>
        <v/>
      </c>
      <c r="W74" s="27"/>
    </row>
    <row r="75" customFormat="false" ht="15" hidden="false" customHeight="false" outlineLevel="0" collapsed="false">
      <c r="A75" s="27"/>
      <c r="B75" s="27"/>
      <c r="C75" s="27"/>
      <c r="D75" s="27"/>
      <c r="E75" s="27"/>
      <c r="F75" s="27"/>
      <c r="G75" s="27"/>
      <c r="H75" s="27"/>
      <c r="I75" s="27"/>
      <c r="J75" s="27"/>
      <c r="K75" s="27"/>
      <c r="L75" s="32" t="str">
        <f aca="false">IF(A75="","",N(I75)+N(J75)+N(K75))</f>
        <v/>
      </c>
      <c r="M75" s="32" t="str">
        <f aca="false">IF(A75="","",IF(L75&lt;=5,"Pre-Novice",IF(L75&lt;=10,"Novice","Open")))</f>
        <v/>
      </c>
      <c r="N75" s="27"/>
      <c r="O75" s="27"/>
      <c r="P75" s="27"/>
      <c r="Q75" s="27"/>
      <c r="R75" s="27"/>
      <c r="S75" s="27"/>
      <c r="T75" s="27"/>
      <c r="U75" s="27"/>
      <c r="V75" s="33" t="str">
        <f aca="false">IF(A75="","",IF(((O75&lt;&gt;"Yes")+(P75&lt;&gt;"Yes")+(Q75&lt;&gt;"Yes")+AND(B75="Yes",R75&lt;&gt;"Yes")+AND(OR(B75="Yes",ISNUMBER(SEARCH("grappling",F75))),S75&lt;&gt;"Yes"))=0,"READY",((O75&lt;&gt;"Yes")+(P75&lt;&gt;"Yes")+(Q75&lt;&gt;"Yes")+AND(B75="Yes",R75&lt;&gt;"Yes")+AND(OR(B75="Yes",ISNUMBER(SEARCH("grappling",F75))),S75&lt;&gt;"Yes"))&amp;" to do"))</f>
        <v/>
      </c>
      <c r="W75" s="27"/>
    </row>
    <row r="76" customFormat="false" ht="15" hidden="false" customHeight="false" outlineLevel="0" collapsed="false">
      <c r="A76" s="27"/>
      <c r="B76" s="27"/>
      <c r="C76" s="27"/>
      <c r="D76" s="27"/>
      <c r="E76" s="27"/>
      <c r="F76" s="27"/>
      <c r="G76" s="27"/>
      <c r="H76" s="27"/>
      <c r="I76" s="27"/>
      <c r="J76" s="27"/>
      <c r="K76" s="27"/>
      <c r="L76" s="32" t="str">
        <f aca="false">IF(A76="","",N(I76)+N(J76)+N(K76))</f>
        <v/>
      </c>
      <c r="M76" s="32" t="str">
        <f aca="false">IF(A76="","",IF(L76&lt;=5,"Pre-Novice",IF(L76&lt;=10,"Novice","Open")))</f>
        <v/>
      </c>
      <c r="N76" s="27"/>
      <c r="O76" s="27"/>
      <c r="P76" s="27"/>
      <c r="Q76" s="27"/>
      <c r="R76" s="27"/>
      <c r="S76" s="27"/>
      <c r="T76" s="27"/>
      <c r="U76" s="27"/>
      <c r="V76" s="33" t="str">
        <f aca="false">IF(A76="","",IF(((O76&lt;&gt;"Yes")+(P76&lt;&gt;"Yes")+(Q76&lt;&gt;"Yes")+AND(B76="Yes",R76&lt;&gt;"Yes")+AND(OR(B76="Yes",ISNUMBER(SEARCH("grappling",F76))),S76&lt;&gt;"Yes"))=0,"READY",((O76&lt;&gt;"Yes")+(P76&lt;&gt;"Yes")+(Q76&lt;&gt;"Yes")+AND(B76="Yes",R76&lt;&gt;"Yes")+AND(OR(B76="Yes",ISNUMBER(SEARCH("grappling",F76))),S76&lt;&gt;"Yes"))&amp;" to do"))</f>
        <v/>
      </c>
      <c r="W76" s="27"/>
    </row>
    <row r="77" customFormat="false" ht="15" hidden="false" customHeight="false" outlineLevel="0" collapsed="false">
      <c r="A77" s="27"/>
      <c r="B77" s="27"/>
      <c r="C77" s="27"/>
      <c r="D77" s="27"/>
      <c r="E77" s="27"/>
      <c r="F77" s="27"/>
      <c r="G77" s="27"/>
      <c r="H77" s="27"/>
      <c r="I77" s="27"/>
      <c r="J77" s="27"/>
      <c r="K77" s="27"/>
      <c r="L77" s="32" t="str">
        <f aca="false">IF(A77="","",N(I77)+N(J77)+N(K77))</f>
        <v/>
      </c>
      <c r="M77" s="32" t="str">
        <f aca="false">IF(A77="","",IF(L77&lt;=5,"Pre-Novice",IF(L77&lt;=10,"Novice","Open")))</f>
        <v/>
      </c>
      <c r="N77" s="27"/>
      <c r="O77" s="27"/>
      <c r="P77" s="27"/>
      <c r="Q77" s="27"/>
      <c r="R77" s="27"/>
      <c r="S77" s="27"/>
      <c r="T77" s="27"/>
      <c r="U77" s="27"/>
      <c r="V77" s="33" t="str">
        <f aca="false">IF(A77="","",IF(((O77&lt;&gt;"Yes")+(P77&lt;&gt;"Yes")+(Q77&lt;&gt;"Yes")+AND(B77="Yes",R77&lt;&gt;"Yes")+AND(OR(B77="Yes",ISNUMBER(SEARCH("grappling",F77))),S77&lt;&gt;"Yes"))=0,"READY",((O77&lt;&gt;"Yes")+(P77&lt;&gt;"Yes")+(Q77&lt;&gt;"Yes")+AND(B77="Yes",R77&lt;&gt;"Yes")+AND(OR(B77="Yes",ISNUMBER(SEARCH("grappling",F77))),S77&lt;&gt;"Yes"))&amp;" to do"))</f>
        <v/>
      </c>
      <c r="W77" s="27"/>
    </row>
    <row r="78" customFormat="false" ht="15" hidden="false" customHeight="false" outlineLevel="0" collapsed="false">
      <c r="A78" s="27"/>
      <c r="B78" s="27"/>
      <c r="C78" s="27"/>
      <c r="D78" s="27"/>
      <c r="E78" s="27"/>
      <c r="F78" s="27"/>
      <c r="G78" s="27"/>
      <c r="H78" s="27"/>
      <c r="I78" s="27"/>
      <c r="J78" s="27"/>
      <c r="K78" s="27"/>
      <c r="L78" s="32" t="str">
        <f aca="false">IF(A78="","",N(I78)+N(J78)+N(K78))</f>
        <v/>
      </c>
      <c r="M78" s="32" t="str">
        <f aca="false">IF(A78="","",IF(L78&lt;=5,"Pre-Novice",IF(L78&lt;=10,"Novice","Open")))</f>
        <v/>
      </c>
      <c r="N78" s="27"/>
      <c r="O78" s="27"/>
      <c r="P78" s="27"/>
      <c r="Q78" s="27"/>
      <c r="R78" s="27"/>
      <c r="S78" s="27"/>
      <c r="T78" s="27"/>
      <c r="U78" s="27"/>
      <c r="V78" s="33" t="str">
        <f aca="false">IF(A78="","",IF(((O78&lt;&gt;"Yes")+(P78&lt;&gt;"Yes")+(Q78&lt;&gt;"Yes")+AND(B78="Yes",R78&lt;&gt;"Yes")+AND(OR(B78="Yes",ISNUMBER(SEARCH("grappling",F78))),S78&lt;&gt;"Yes"))=0,"READY",((O78&lt;&gt;"Yes")+(P78&lt;&gt;"Yes")+(Q78&lt;&gt;"Yes")+AND(B78="Yes",R78&lt;&gt;"Yes")+AND(OR(B78="Yes",ISNUMBER(SEARCH("grappling",F78))),S78&lt;&gt;"Yes"))&amp;" to do"))</f>
        <v/>
      </c>
      <c r="W78" s="27"/>
    </row>
    <row r="79" customFormat="false" ht="15" hidden="false" customHeight="false" outlineLevel="0" collapsed="false">
      <c r="A79" s="27"/>
      <c r="B79" s="27"/>
      <c r="C79" s="27"/>
      <c r="D79" s="27"/>
      <c r="E79" s="27"/>
      <c r="F79" s="27"/>
      <c r="G79" s="27"/>
      <c r="H79" s="27"/>
      <c r="I79" s="27"/>
      <c r="J79" s="27"/>
      <c r="K79" s="27"/>
      <c r="L79" s="32" t="str">
        <f aca="false">IF(A79="","",N(I79)+N(J79)+N(K79))</f>
        <v/>
      </c>
      <c r="M79" s="32" t="str">
        <f aca="false">IF(A79="","",IF(L79&lt;=5,"Pre-Novice",IF(L79&lt;=10,"Novice","Open")))</f>
        <v/>
      </c>
      <c r="N79" s="27"/>
      <c r="O79" s="27"/>
      <c r="P79" s="27"/>
      <c r="Q79" s="27"/>
      <c r="R79" s="27"/>
      <c r="S79" s="27"/>
      <c r="T79" s="27"/>
      <c r="U79" s="27"/>
      <c r="V79" s="33" t="str">
        <f aca="false">IF(A79="","",IF(((O79&lt;&gt;"Yes")+(P79&lt;&gt;"Yes")+(Q79&lt;&gt;"Yes")+AND(B79="Yes",R79&lt;&gt;"Yes")+AND(OR(B79="Yes",ISNUMBER(SEARCH("grappling",F79))),S79&lt;&gt;"Yes"))=0,"READY",((O79&lt;&gt;"Yes")+(P79&lt;&gt;"Yes")+(Q79&lt;&gt;"Yes")+AND(B79="Yes",R79&lt;&gt;"Yes")+AND(OR(B79="Yes",ISNUMBER(SEARCH("grappling",F79))),S79&lt;&gt;"Yes"))&amp;" to do"))</f>
        <v/>
      </c>
      <c r="W79" s="27"/>
    </row>
    <row r="80" customFormat="false" ht="15" hidden="false" customHeight="false" outlineLevel="0" collapsed="false">
      <c r="A80" s="27"/>
      <c r="B80" s="27"/>
      <c r="C80" s="27"/>
      <c r="D80" s="27"/>
      <c r="E80" s="27"/>
      <c r="F80" s="27"/>
      <c r="G80" s="27"/>
      <c r="H80" s="27"/>
      <c r="I80" s="27"/>
      <c r="J80" s="27"/>
      <c r="K80" s="27"/>
      <c r="L80" s="32" t="str">
        <f aca="false">IF(A80="","",N(I80)+N(J80)+N(K80))</f>
        <v/>
      </c>
      <c r="M80" s="32" t="str">
        <f aca="false">IF(A80="","",IF(L80&lt;=5,"Pre-Novice",IF(L80&lt;=10,"Novice","Open")))</f>
        <v/>
      </c>
      <c r="N80" s="27"/>
      <c r="O80" s="27"/>
      <c r="P80" s="27"/>
      <c r="Q80" s="27"/>
      <c r="R80" s="27"/>
      <c r="S80" s="27"/>
      <c r="T80" s="27"/>
      <c r="U80" s="27"/>
      <c r="V80" s="33" t="str">
        <f aca="false">IF(A80="","",IF(((O80&lt;&gt;"Yes")+(P80&lt;&gt;"Yes")+(Q80&lt;&gt;"Yes")+AND(B80="Yes",R80&lt;&gt;"Yes")+AND(OR(B80="Yes",ISNUMBER(SEARCH("grappling",F80))),S80&lt;&gt;"Yes"))=0,"READY",((O80&lt;&gt;"Yes")+(P80&lt;&gt;"Yes")+(Q80&lt;&gt;"Yes")+AND(B80="Yes",R80&lt;&gt;"Yes")+AND(OR(B80="Yes",ISNUMBER(SEARCH("grappling",F80))),S80&lt;&gt;"Yes"))&amp;" to do"))</f>
        <v/>
      </c>
      <c r="W80" s="27"/>
    </row>
    <row r="81" customFormat="false" ht="15" hidden="false" customHeight="false" outlineLevel="0" collapsed="false">
      <c r="A81" s="27"/>
      <c r="B81" s="27"/>
      <c r="C81" s="27"/>
      <c r="D81" s="27"/>
      <c r="E81" s="27"/>
      <c r="F81" s="27"/>
      <c r="G81" s="27"/>
      <c r="H81" s="27"/>
      <c r="I81" s="27"/>
      <c r="J81" s="27"/>
      <c r="K81" s="27"/>
      <c r="L81" s="32" t="str">
        <f aca="false">IF(A81="","",N(I81)+N(J81)+N(K81))</f>
        <v/>
      </c>
      <c r="M81" s="32" t="str">
        <f aca="false">IF(A81="","",IF(L81&lt;=5,"Pre-Novice",IF(L81&lt;=10,"Novice","Open")))</f>
        <v/>
      </c>
      <c r="N81" s="27"/>
      <c r="O81" s="27"/>
      <c r="P81" s="27"/>
      <c r="Q81" s="27"/>
      <c r="R81" s="27"/>
      <c r="S81" s="27"/>
      <c r="T81" s="27"/>
      <c r="U81" s="27"/>
      <c r="V81" s="33" t="str">
        <f aca="false">IF(A81="","",IF(((O81&lt;&gt;"Yes")+(P81&lt;&gt;"Yes")+(Q81&lt;&gt;"Yes")+AND(B81="Yes",R81&lt;&gt;"Yes")+AND(OR(B81="Yes",ISNUMBER(SEARCH("grappling",F81))),S81&lt;&gt;"Yes"))=0,"READY",((O81&lt;&gt;"Yes")+(P81&lt;&gt;"Yes")+(Q81&lt;&gt;"Yes")+AND(B81="Yes",R81&lt;&gt;"Yes")+AND(OR(B81="Yes",ISNUMBER(SEARCH("grappling",F81))),S81&lt;&gt;"Yes"))&amp;" to do"))</f>
        <v/>
      </c>
      <c r="W81" s="27"/>
    </row>
    <row r="82" customFormat="false" ht="15" hidden="false" customHeight="false" outlineLevel="0" collapsed="false">
      <c r="A82" s="27"/>
      <c r="B82" s="27"/>
      <c r="C82" s="27"/>
      <c r="D82" s="27"/>
      <c r="E82" s="27"/>
      <c r="F82" s="27"/>
      <c r="G82" s="27"/>
      <c r="H82" s="27"/>
      <c r="I82" s="27"/>
      <c r="J82" s="27"/>
      <c r="K82" s="27"/>
      <c r="L82" s="32" t="str">
        <f aca="false">IF(A82="","",N(I82)+N(J82)+N(K82))</f>
        <v/>
      </c>
      <c r="M82" s="32" t="str">
        <f aca="false">IF(A82="","",IF(L82&lt;=5,"Pre-Novice",IF(L82&lt;=10,"Novice","Open")))</f>
        <v/>
      </c>
      <c r="N82" s="27"/>
      <c r="O82" s="27"/>
      <c r="P82" s="27"/>
      <c r="Q82" s="27"/>
      <c r="R82" s="27"/>
      <c r="S82" s="27"/>
      <c r="T82" s="27"/>
      <c r="U82" s="27"/>
      <c r="V82" s="33" t="str">
        <f aca="false">IF(A82="","",IF(((O82&lt;&gt;"Yes")+(P82&lt;&gt;"Yes")+(Q82&lt;&gt;"Yes")+AND(B82="Yes",R82&lt;&gt;"Yes")+AND(OR(B82="Yes",ISNUMBER(SEARCH("grappling",F82))),S82&lt;&gt;"Yes"))=0,"READY",((O82&lt;&gt;"Yes")+(P82&lt;&gt;"Yes")+(Q82&lt;&gt;"Yes")+AND(B82="Yes",R82&lt;&gt;"Yes")+AND(OR(B82="Yes",ISNUMBER(SEARCH("grappling",F82))),S82&lt;&gt;"Yes"))&amp;" to do"))</f>
        <v/>
      </c>
      <c r="W82" s="27"/>
    </row>
    <row r="83" customFormat="false" ht="15" hidden="false" customHeight="false" outlineLevel="0" collapsed="false">
      <c r="A83" s="27"/>
      <c r="B83" s="27"/>
      <c r="C83" s="27"/>
      <c r="D83" s="27"/>
      <c r="E83" s="27"/>
      <c r="F83" s="27"/>
      <c r="G83" s="27"/>
      <c r="H83" s="27"/>
      <c r="I83" s="27"/>
      <c r="J83" s="27"/>
      <c r="K83" s="27"/>
      <c r="L83" s="32" t="str">
        <f aca="false">IF(A83="","",N(I83)+N(J83)+N(K83))</f>
        <v/>
      </c>
      <c r="M83" s="32" t="str">
        <f aca="false">IF(A83="","",IF(L83&lt;=5,"Pre-Novice",IF(L83&lt;=10,"Novice","Open")))</f>
        <v/>
      </c>
      <c r="N83" s="27"/>
      <c r="O83" s="27"/>
      <c r="P83" s="27"/>
      <c r="Q83" s="27"/>
      <c r="R83" s="27"/>
      <c r="S83" s="27"/>
      <c r="T83" s="27"/>
      <c r="U83" s="27"/>
      <c r="V83" s="33" t="str">
        <f aca="false">IF(A83="","",IF(((O83&lt;&gt;"Yes")+(P83&lt;&gt;"Yes")+(Q83&lt;&gt;"Yes")+AND(B83="Yes",R83&lt;&gt;"Yes")+AND(OR(B83="Yes",ISNUMBER(SEARCH("grappling",F83))),S83&lt;&gt;"Yes"))=0,"READY",((O83&lt;&gt;"Yes")+(P83&lt;&gt;"Yes")+(Q83&lt;&gt;"Yes")+AND(B83="Yes",R83&lt;&gt;"Yes")+AND(OR(B83="Yes",ISNUMBER(SEARCH("grappling",F83))),S83&lt;&gt;"Yes"))&amp;" to do"))</f>
        <v/>
      </c>
      <c r="W83" s="27"/>
    </row>
    <row r="84" customFormat="false" ht="15" hidden="false" customHeight="false" outlineLevel="0" collapsed="false">
      <c r="A84" s="27"/>
      <c r="B84" s="27"/>
      <c r="C84" s="27"/>
      <c r="D84" s="27"/>
      <c r="E84" s="27"/>
      <c r="F84" s="27"/>
      <c r="G84" s="27"/>
      <c r="H84" s="27"/>
      <c r="I84" s="27"/>
      <c r="J84" s="27"/>
      <c r="K84" s="27"/>
      <c r="L84" s="32" t="str">
        <f aca="false">IF(A84="","",N(I84)+N(J84)+N(K84))</f>
        <v/>
      </c>
      <c r="M84" s="32" t="str">
        <f aca="false">IF(A84="","",IF(L84&lt;=5,"Pre-Novice",IF(L84&lt;=10,"Novice","Open")))</f>
        <v/>
      </c>
      <c r="N84" s="27"/>
      <c r="O84" s="27"/>
      <c r="P84" s="27"/>
      <c r="Q84" s="27"/>
      <c r="R84" s="27"/>
      <c r="S84" s="27"/>
      <c r="T84" s="27"/>
      <c r="U84" s="27"/>
      <c r="V84" s="33" t="str">
        <f aca="false">IF(A84="","",IF(((O84&lt;&gt;"Yes")+(P84&lt;&gt;"Yes")+(Q84&lt;&gt;"Yes")+AND(B84="Yes",R84&lt;&gt;"Yes")+AND(OR(B84="Yes",ISNUMBER(SEARCH("grappling",F84))),S84&lt;&gt;"Yes"))=0,"READY",((O84&lt;&gt;"Yes")+(P84&lt;&gt;"Yes")+(Q84&lt;&gt;"Yes")+AND(B84="Yes",R84&lt;&gt;"Yes")+AND(OR(B84="Yes",ISNUMBER(SEARCH("grappling",F84))),S84&lt;&gt;"Yes"))&amp;" to do"))</f>
        <v/>
      </c>
      <c r="W84" s="27"/>
    </row>
    <row r="85" customFormat="false" ht="15" hidden="false" customHeight="false" outlineLevel="0" collapsed="false">
      <c r="A85" s="27"/>
      <c r="B85" s="27"/>
      <c r="C85" s="27"/>
      <c r="D85" s="27"/>
      <c r="E85" s="27"/>
      <c r="F85" s="27"/>
      <c r="G85" s="27"/>
      <c r="H85" s="27"/>
      <c r="I85" s="27"/>
      <c r="J85" s="27"/>
      <c r="K85" s="27"/>
      <c r="L85" s="32" t="str">
        <f aca="false">IF(A85="","",N(I85)+N(J85)+N(K85))</f>
        <v/>
      </c>
      <c r="M85" s="32" t="str">
        <f aca="false">IF(A85="","",IF(L85&lt;=5,"Pre-Novice",IF(L85&lt;=10,"Novice","Open")))</f>
        <v/>
      </c>
      <c r="N85" s="27"/>
      <c r="O85" s="27"/>
      <c r="P85" s="27"/>
      <c r="Q85" s="27"/>
      <c r="R85" s="27"/>
      <c r="S85" s="27"/>
      <c r="T85" s="27"/>
      <c r="U85" s="27"/>
      <c r="V85" s="33" t="str">
        <f aca="false">IF(A85="","",IF(((O85&lt;&gt;"Yes")+(P85&lt;&gt;"Yes")+(Q85&lt;&gt;"Yes")+AND(B85="Yes",R85&lt;&gt;"Yes")+AND(OR(B85="Yes",ISNUMBER(SEARCH("grappling",F85))),S85&lt;&gt;"Yes"))=0,"READY",((O85&lt;&gt;"Yes")+(P85&lt;&gt;"Yes")+(Q85&lt;&gt;"Yes")+AND(B85="Yes",R85&lt;&gt;"Yes")+AND(OR(B85="Yes",ISNUMBER(SEARCH("grappling",F85))),S85&lt;&gt;"Yes"))&amp;" to do"))</f>
        <v/>
      </c>
      <c r="W85" s="27"/>
    </row>
    <row r="86" customFormat="false" ht="15" hidden="false" customHeight="false" outlineLevel="0" collapsed="false">
      <c r="A86" s="27"/>
      <c r="B86" s="27"/>
      <c r="C86" s="27"/>
      <c r="D86" s="27"/>
      <c r="E86" s="27"/>
      <c r="F86" s="27"/>
      <c r="G86" s="27"/>
      <c r="H86" s="27"/>
      <c r="I86" s="27"/>
      <c r="J86" s="27"/>
      <c r="K86" s="27"/>
      <c r="L86" s="32" t="str">
        <f aca="false">IF(A86="","",N(I86)+N(J86)+N(K86))</f>
        <v/>
      </c>
      <c r="M86" s="32" t="str">
        <f aca="false">IF(A86="","",IF(L86&lt;=5,"Pre-Novice",IF(L86&lt;=10,"Novice","Open")))</f>
        <v/>
      </c>
      <c r="N86" s="27"/>
      <c r="O86" s="27"/>
      <c r="P86" s="27"/>
      <c r="Q86" s="27"/>
      <c r="R86" s="27"/>
      <c r="S86" s="27"/>
      <c r="T86" s="27"/>
      <c r="U86" s="27"/>
      <c r="V86" s="33" t="str">
        <f aca="false">IF(A86="","",IF(((O86&lt;&gt;"Yes")+(P86&lt;&gt;"Yes")+(Q86&lt;&gt;"Yes")+AND(B86="Yes",R86&lt;&gt;"Yes")+AND(OR(B86="Yes",ISNUMBER(SEARCH("grappling",F86))),S86&lt;&gt;"Yes"))=0,"READY",((O86&lt;&gt;"Yes")+(P86&lt;&gt;"Yes")+(Q86&lt;&gt;"Yes")+AND(B86="Yes",R86&lt;&gt;"Yes")+AND(OR(B86="Yes",ISNUMBER(SEARCH("grappling",F86))),S86&lt;&gt;"Yes"))&amp;" to do"))</f>
        <v/>
      </c>
      <c r="W86" s="27"/>
    </row>
    <row r="87" customFormat="false" ht="15" hidden="false" customHeight="false" outlineLevel="0" collapsed="false">
      <c r="A87" s="27"/>
      <c r="B87" s="27"/>
      <c r="C87" s="27"/>
      <c r="D87" s="27"/>
      <c r="E87" s="27"/>
      <c r="F87" s="27"/>
      <c r="G87" s="27"/>
      <c r="H87" s="27"/>
      <c r="I87" s="27"/>
      <c r="J87" s="27"/>
      <c r="K87" s="27"/>
      <c r="L87" s="32" t="str">
        <f aca="false">IF(A87="","",N(I87)+N(J87)+N(K87))</f>
        <v/>
      </c>
      <c r="M87" s="32" t="str">
        <f aca="false">IF(A87="","",IF(L87&lt;=5,"Pre-Novice",IF(L87&lt;=10,"Novice","Open")))</f>
        <v/>
      </c>
      <c r="N87" s="27"/>
      <c r="O87" s="27"/>
      <c r="P87" s="27"/>
      <c r="Q87" s="27"/>
      <c r="R87" s="27"/>
      <c r="S87" s="27"/>
      <c r="T87" s="27"/>
      <c r="U87" s="27"/>
      <c r="V87" s="33" t="str">
        <f aca="false">IF(A87="","",IF(((O87&lt;&gt;"Yes")+(P87&lt;&gt;"Yes")+(Q87&lt;&gt;"Yes")+AND(B87="Yes",R87&lt;&gt;"Yes")+AND(OR(B87="Yes",ISNUMBER(SEARCH("grappling",F87))),S87&lt;&gt;"Yes"))=0,"READY",((O87&lt;&gt;"Yes")+(P87&lt;&gt;"Yes")+(Q87&lt;&gt;"Yes")+AND(B87="Yes",R87&lt;&gt;"Yes")+AND(OR(B87="Yes",ISNUMBER(SEARCH("grappling",F87))),S87&lt;&gt;"Yes"))&amp;" to do"))</f>
        <v/>
      </c>
      <c r="W87" s="27"/>
    </row>
    <row r="88" customFormat="false" ht="15" hidden="false" customHeight="false" outlineLevel="0" collapsed="false">
      <c r="A88" s="27"/>
      <c r="B88" s="27"/>
      <c r="C88" s="27"/>
      <c r="D88" s="27"/>
      <c r="E88" s="27"/>
      <c r="F88" s="27"/>
      <c r="G88" s="27"/>
      <c r="H88" s="27"/>
      <c r="I88" s="27"/>
      <c r="J88" s="27"/>
      <c r="K88" s="27"/>
      <c r="L88" s="32" t="str">
        <f aca="false">IF(A88="","",N(I88)+N(J88)+N(K88))</f>
        <v/>
      </c>
      <c r="M88" s="32" t="str">
        <f aca="false">IF(A88="","",IF(L88&lt;=5,"Pre-Novice",IF(L88&lt;=10,"Novice","Open")))</f>
        <v/>
      </c>
      <c r="N88" s="27"/>
      <c r="O88" s="27"/>
      <c r="P88" s="27"/>
      <c r="Q88" s="27"/>
      <c r="R88" s="27"/>
      <c r="S88" s="27"/>
      <c r="T88" s="27"/>
      <c r="U88" s="27"/>
      <c r="V88" s="33" t="str">
        <f aca="false">IF(A88="","",IF(((O88&lt;&gt;"Yes")+(P88&lt;&gt;"Yes")+(Q88&lt;&gt;"Yes")+AND(B88="Yes",R88&lt;&gt;"Yes")+AND(OR(B88="Yes",ISNUMBER(SEARCH("grappling",F88))),S88&lt;&gt;"Yes"))=0,"READY",((O88&lt;&gt;"Yes")+(P88&lt;&gt;"Yes")+(Q88&lt;&gt;"Yes")+AND(B88="Yes",R88&lt;&gt;"Yes")+AND(OR(B88="Yes",ISNUMBER(SEARCH("grappling",F88))),S88&lt;&gt;"Yes"))&amp;" to do"))</f>
        <v/>
      </c>
      <c r="W88" s="27"/>
    </row>
    <row r="89" customFormat="false" ht="15" hidden="false" customHeight="false" outlineLevel="0" collapsed="false">
      <c r="A89" s="27"/>
      <c r="B89" s="27"/>
      <c r="C89" s="27"/>
      <c r="D89" s="27"/>
      <c r="E89" s="27"/>
      <c r="F89" s="27"/>
      <c r="G89" s="27"/>
      <c r="H89" s="27"/>
      <c r="I89" s="27"/>
      <c r="J89" s="27"/>
      <c r="K89" s="27"/>
      <c r="L89" s="32" t="str">
        <f aca="false">IF(A89="","",N(I89)+N(J89)+N(K89))</f>
        <v/>
      </c>
      <c r="M89" s="32" t="str">
        <f aca="false">IF(A89="","",IF(L89&lt;=5,"Pre-Novice",IF(L89&lt;=10,"Novice","Open")))</f>
        <v/>
      </c>
      <c r="N89" s="27"/>
      <c r="O89" s="27"/>
      <c r="P89" s="27"/>
      <c r="Q89" s="27"/>
      <c r="R89" s="27"/>
      <c r="S89" s="27"/>
      <c r="T89" s="27"/>
      <c r="U89" s="27"/>
      <c r="V89" s="33" t="str">
        <f aca="false">IF(A89="","",IF(((O89&lt;&gt;"Yes")+(P89&lt;&gt;"Yes")+(Q89&lt;&gt;"Yes")+AND(B89="Yes",R89&lt;&gt;"Yes")+AND(OR(B89="Yes",ISNUMBER(SEARCH("grappling",F89))),S89&lt;&gt;"Yes"))=0,"READY",((O89&lt;&gt;"Yes")+(P89&lt;&gt;"Yes")+(Q89&lt;&gt;"Yes")+AND(B89="Yes",R89&lt;&gt;"Yes")+AND(OR(B89="Yes",ISNUMBER(SEARCH("grappling",F89))),S89&lt;&gt;"Yes"))&amp;" to do"))</f>
        <v/>
      </c>
      <c r="W89" s="27"/>
    </row>
    <row r="90" customFormat="false" ht="15" hidden="false" customHeight="false" outlineLevel="0" collapsed="false">
      <c r="A90" s="27"/>
      <c r="B90" s="27"/>
      <c r="C90" s="27"/>
      <c r="D90" s="27"/>
      <c r="E90" s="27"/>
      <c r="F90" s="27"/>
      <c r="G90" s="27"/>
      <c r="H90" s="27"/>
      <c r="I90" s="27"/>
      <c r="J90" s="27"/>
      <c r="K90" s="27"/>
      <c r="L90" s="32" t="str">
        <f aca="false">IF(A90="","",N(I90)+N(J90)+N(K90))</f>
        <v/>
      </c>
      <c r="M90" s="32" t="str">
        <f aca="false">IF(A90="","",IF(L90&lt;=5,"Pre-Novice",IF(L90&lt;=10,"Novice","Open")))</f>
        <v/>
      </c>
      <c r="N90" s="27"/>
      <c r="O90" s="27"/>
      <c r="P90" s="27"/>
      <c r="Q90" s="27"/>
      <c r="R90" s="27"/>
      <c r="S90" s="27"/>
      <c r="T90" s="27"/>
      <c r="U90" s="27"/>
      <c r="V90" s="33" t="str">
        <f aca="false">IF(A90="","",IF(((O90&lt;&gt;"Yes")+(P90&lt;&gt;"Yes")+(Q90&lt;&gt;"Yes")+AND(B90="Yes",R90&lt;&gt;"Yes")+AND(OR(B90="Yes",ISNUMBER(SEARCH("grappling",F90))),S90&lt;&gt;"Yes"))=0,"READY",((O90&lt;&gt;"Yes")+(P90&lt;&gt;"Yes")+(Q90&lt;&gt;"Yes")+AND(B90="Yes",R90&lt;&gt;"Yes")+AND(OR(B90="Yes",ISNUMBER(SEARCH("grappling",F90))),S90&lt;&gt;"Yes"))&amp;" to do"))</f>
        <v/>
      </c>
      <c r="W90" s="27"/>
    </row>
    <row r="91" customFormat="false" ht="15" hidden="false" customHeight="false" outlineLevel="0" collapsed="false">
      <c r="A91" s="27"/>
      <c r="B91" s="27"/>
      <c r="C91" s="27"/>
      <c r="D91" s="27"/>
      <c r="E91" s="27"/>
      <c r="F91" s="27"/>
      <c r="G91" s="27"/>
      <c r="H91" s="27"/>
      <c r="I91" s="27"/>
      <c r="J91" s="27"/>
      <c r="K91" s="27"/>
      <c r="L91" s="32" t="str">
        <f aca="false">IF(A91="","",N(I91)+N(J91)+N(K91))</f>
        <v/>
      </c>
      <c r="M91" s="32" t="str">
        <f aca="false">IF(A91="","",IF(L91&lt;=5,"Pre-Novice",IF(L91&lt;=10,"Novice","Open")))</f>
        <v/>
      </c>
      <c r="N91" s="27"/>
      <c r="O91" s="27"/>
      <c r="P91" s="27"/>
      <c r="Q91" s="27"/>
      <c r="R91" s="27"/>
      <c r="S91" s="27"/>
      <c r="T91" s="27"/>
      <c r="U91" s="27"/>
      <c r="V91" s="33" t="str">
        <f aca="false">IF(A91="","",IF(((O91&lt;&gt;"Yes")+(P91&lt;&gt;"Yes")+(Q91&lt;&gt;"Yes")+AND(B91="Yes",R91&lt;&gt;"Yes")+AND(OR(B91="Yes",ISNUMBER(SEARCH("grappling",F91))),S91&lt;&gt;"Yes"))=0,"READY",((O91&lt;&gt;"Yes")+(P91&lt;&gt;"Yes")+(Q91&lt;&gt;"Yes")+AND(B91="Yes",R91&lt;&gt;"Yes")+AND(OR(B91="Yes",ISNUMBER(SEARCH("grappling",F91))),S91&lt;&gt;"Yes"))&amp;" to do"))</f>
        <v/>
      </c>
      <c r="W91" s="27"/>
    </row>
    <row r="92" customFormat="false" ht="15" hidden="false" customHeight="false" outlineLevel="0" collapsed="false">
      <c r="A92" s="27"/>
      <c r="B92" s="27"/>
      <c r="C92" s="27"/>
      <c r="D92" s="27"/>
      <c r="E92" s="27"/>
      <c r="F92" s="27"/>
      <c r="G92" s="27"/>
      <c r="H92" s="27"/>
      <c r="I92" s="27"/>
      <c r="J92" s="27"/>
      <c r="K92" s="27"/>
      <c r="L92" s="32" t="str">
        <f aca="false">IF(A92="","",N(I92)+N(J92)+N(K92))</f>
        <v/>
      </c>
      <c r="M92" s="32" t="str">
        <f aca="false">IF(A92="","",IF(L92&lt;=5,"Pre-Novice",IF(L92&lt;=10,"Novice","Open")))</f>
        <v/>
      </c>
      <c r="N92" s="27"/>
      <c r="O92" s="27"/>
      <c r="P92" s="27"/>
      <c r="Q92" s="27"/>
      <c r="R92" s="27"/>
      <c r="S92" s="27"/>
      <c r="T92" s="27"/>
      <c r="U92" s="27"/>
      <c r="V92" s="33" t="str">
        <f aca="false">IF(A92="","",IF(((O92&lt;&gt;"Yes")+(P92&lt;&gt;"Yes")+(Q92&lt;&gt;"Yes")+AND(B92="Yes",R92&lt;&gt;"Yes")+AND(OR(B92="Yes",ISNUMBER(SEARCH("grappling",F92))),S92&lt;&gt;"Yes"))=0,"READY",((O92&lt;&gt;"Yes")+(P92&lt;&gt;"Yes")+(Q92&lt;&gt;"Yes")+AND(B92="Yes",R92&lt;&gt;"Yes")+AND(OR(B92="Yes",ISNUMBER(SEARCH("grappling",F92))),S92&lt;&gt;"Yes"))&amp;" to do"))</f>
        <v/>
      </c>
      <c r="W92" s="27"/>
    </row>
    <row r="93" customFormat="false" ht="15" hidden="false" customHeight="false" outlineLevel="0" collapsed="false">
      <c r="A93" s="27"/>
      <c r="B93" s="27"/>
      <c r="C93" s="27"/>
      <c r="D93" s="27"/>
      <c r="E93" s="27"/>
      <c r="F93" s="27"/>
      <c r="G93" s="27"/>
      <c r="H93" s="27"/>
      <c r="I93" s="27"/>
      <c r="J93" s="27"/>
      <c r="K93" s="27"/>
      <c r="L93" s="32" t="str">
        <f aca="false">IF(A93="","",N(I93)+N(J93)+N(K93))</f>
        <v/>
      </c>
      <c r="M93" s="32" t="str">
        <f aca="false">IF(A93="","",IF(L93&lt;=5,"Pre-Novice",IF(L93&lt;=10,"Novice","Open")))</f>
        <v/>
      </c>
      <c r="N93" s="27"/>
      <c r="O93" s="27"/>
      <c r="P93" s="27"/>
      <c r="Q93" s="27"/>
      <c r="R93" s="27"/>
      <c r="S93" s="27"/>
      <c r="T93" s="27"/>
      <c r="U93" s="27"/>
      <c r="V93" s="33" t="str">
        <f aca="false">IF(A93="","",IF(((O93&lt;&gt;"Yes")+(P93&lt;&gt;"Yes")+(Q93&lt;&gt;"Yes")+AND(B93="Yes",R93&lt;&gt;"Yes")+AND(OR(B93="Yes",ISNUMBER(SEARCH("grappling",F93))),S93&lt;&gt;"Yes"))=0,"READY",((O93&lt;&gt;"Yes")+(P93&lt;&gt;"Yes")+(Q93&lt;&gt;"Yes")+AND(B93="Yes",R93&lt;&gt;"Yes")+AND(OR(B93="Yes",ISNUMBER(SEARCH("grappling",F93))),S93&lt;&gt;"Yes"))&amp;" to do"))</f>
        <v/>
      </c>
      <c r="W93" s="27"/>
    </row>
    <row r="94" customFormat="false" ht="15" hidden="false" customHeight="false" outlineLevel="0" collapsed="false">
      <c r="A94" s="27"/>
      <c r="B94" s="27"/>
      <c r="C94" s="27"/>
      <c r="D94" s="27"/>
      <c r="E94" s="27"/>
      <c r="F94" s="27"/>
      <c r="G94" s="27"/>
      <c r="H94" s="27"/>
      <c r="I94" s="27"/>
      <c r="J94" s="27"/>
      <c r="K94" s="27"/>
      <c r="L94" s="32" t="str">
        <f aca="false">IF(A94="","",N(I94)+N(J94)+N(K94))</f>
        <v/>
      </c>
      <c r="M94" s="32" t="str">
        <f aca="false">IF(A94="","",IF(L94&lt;=5,"Pre-Novice",IF(L94&lt;=10,"Novice","Open")))</f>
        <v/>
      </c>
      <c r="N94" s="27"/>
      <c r="O94" s="27"/>
      <c r="P94" s="27"/>
      <c r="Q94" s="27"/>
      <c r="R94" s="27"/>
      <c r="S94" s="27"/>
      <c r="T94" s="27"/>
      <c r="U94" s="27"/>
      <c r="V94" s="33" t="str">
        <f aca="false">IF(A94="","",IF(((O94&lt;&gt;"Yes")+(P94&lt;&gt;"Yes")+(Q94&lt;&gt;"Yes")+AND(B94="Yes",R94&lt;&gt;"Yes")+AND(OR(B94="Yes",ISNUMBER(SEARCH("grappling",F94))),S94&lt;&gt;"Yes"))=0,"READY",((O94&lt;&gt;"Yes")+(P94&lt;&gt;"Yes")+(Q94&lt;&gt;"Yes")+AND(B94="Yes",R94&lt;&gt;"Yes")+AND(OR(B94="Yes",ISNUMBER(SEARCH("grappling",F94))),S94&lt;&gt;"Yes"))&amp;" to do"))</f>
        <v/>
      </c>
      <c r="W94" s="27"/>
    </row>
    <row r="95" customFormat="false" ht="15" hidden="false" customHeight="false" outlineLevel="0" collapsed="false">
      <c r="A95" s="27"/>
      <c r="B95" s="27"/>
      <c r="C95" s="27"/>
      <c r="D95" s="27"/>
      <c r="E95" s="27"/>
      <c r="F95" s="27"/>
      <c r="G95" s="27"/>
      <c r="H95" s="27"/>
      <c r="I95" s="27"/>
      <c r="J95" s="27"/>
      <c r="K95" s="27"/>
      <c r="L95" s="32" t="str">
        <f aca="false">IF(A95="","",N(I95)+N(J95)+N(K95))</f>
        <v/>
      </c>
      <c r="M95" s="32" t="str">
        <f aca="false">IF(A95="","",IF(L95&lt;=5,"Pre-Novice",IF(L95&lt;=10,"Novice","Open")))</f>
        <v/>
      </c>
      <c r="N95" s="27"/>
      <c r="O95" s="27"/>
      <c r="P95" s="27"/>
      <c r="Q95" s="27"/>
      <c r="R95" s="27"/>
      <c r="S95" s="27"/>
      <c r="T95" s="27"/>
      <c r="U95" s="27"/>
      <c r="V95" s="33" t="str">
        <f aca="false">IF(A95="","",IF(((O95&lt;&gt;"Yes")+(P95&lt;&gt;"Yes")+(Q95&lt;&gt;"Yes")+AND(B95="Yes",R95&lt;&gt;"Yes")+AND(OR(B95="Yes",ISNUMBER(SEARCH("grappling",F95))),S95&lt;&gt;"Yes"))=0,"READY",((O95&lt;&gt;"Yes")+(P95&lt;&gt;"Yes")+(Q95&lt;&gt;"Yes")+AND(B95="Yes",R95&lt;&gt;"Yes")+AND(OR(B95="Yes",ISNUMBER(SEARCH("grappling",F95))),S95&lt;&gt;"Yes"))&amp;" to do"))</f>
        <v/>
      </c>
      <c r="W95" s="27"/>
    </row>
    <row r="96" customFormat="false" ht="15" hidden="false" customHeight="false" outlineLevel="0" collapsed="false">
      <c r="A96" s="27"/>
      <c r="B96" s="27"/>
      <c r="C96" s="27"/>
      <c r="D96" s="27"/>
      <c r="E96" s="27"/>
      <c r="F96" s="27"/>
      <c r="G96" s="27"/>
      <c r="H96" s="27"/>
      <c r="I96" s="27"/>
      <c r="J96" s="27"/>
      <c r="K96" s="27"/>
      <c r="L96" s="32" t="str">
        <f aca="false">IF(A96="","",N(I96)+N(J96)+N(K96))</f>
        <v/>
      </c>
      <c r="M96" s="32" t="str">
        <f aca="false">IF(A96="","",IF(L96&lt;=5,"Pre-Novice",IF(L96&lt;=10,"Novice","Open")))</f>
        <v/>
      </c>
      <c r="N96" s="27"/>
      <c r="O96" s="27"/>
      <c r="P96" s="27"/>
      <c r="Q96" s="27"/>
      <c r="R96" s="27"/>
      <c r="S96" s="27"/>
      <c r="T96" s="27"/>
      <c r="U96" s="27"/>
      <c r="V96" s="33" t="str">
        <f aca="false">IF(A96="","",IF(((O96&lt;&gt;"Yes")+(P96&lt;&gt;"Yes")+(Q96&lt;&gt;"Yes")+AND(B96="Yes",R96&lt;&gt;"Yes")+AND(OR(B96="Yes",ISNUMBER(SEARCH("grappling",F96))),S96&lt;&gt;"Yes"))=0,"READY",((O96&lt;&gt;"Yes")+(P96&lt;&gt;"Yes")+(Q96&lt;&gt;"Yes")+AND(B96="Yes",R96&lt;&gt;"Yes")+AND(OR(B96="Yes",ISNUMBER(SEARCH("grappling",F96))),S96&lt;&gt;"Yes"))&amp;" to do"))</f>
        <v/>
      </c>
      <c r="W96" s="27"/>
    </row>
    <row r="97" customFormat="false" ht="15" hidden="false" customHeight="false" outlineLevel="0" collapsed="false">
      <c r="A97" s="27"/>
      <c r="B97" s="27"/>
      <c r="C97" s="27"/>
      <c r="D97" s="27"/>
      <c r="E97" s="27"/>
      <c r="F97" s="27"/>
      <c r="G97" s="27"/>
      <c r="H97" s="27"/>
      <c r="I97" s="27"/>
      <c r="J97" s="27"/>
      <c r="K97" s="27"/>
      <c r="L97" s="32" t="str">
        <f aca="false">IF(A97="","",N(I97)+N(J97)+N(K97))</f>
        <v/>
      </c>
      <c r="M97" s="32" t="str">
        <f aca="false">IF(A97="","",IF(L97&lt;=5,"Pre-Novice",IF(L97&lt;=10,"Novice","Open")))</f>
        <v/>
      </c>
      <c r="N97" s="27"/>
      <c r="O97" s="27"/>
      <c r="P97" s="27"/>
      <c r="Q97" s="27"/>
      <c r="R97" s="27"/>
      <c r="S97" s="27"/>
      <c r="T97" s="27"/>
      <c r="U97" s="27"/>
      <c r="V97" s="33" t="str">
        <f aca="false">IF(A97="","",IF(((O97&lt;&gt;"Yes")+(P97&lt;&gt;"Yes")+(Q97&lt;&gt;"Yes")+AND(B97="Yes",R97&lt;&gt;"Yes")+AND(OR(B97="Yes",ISNUMBER(SEARCH("grappling",F97))),S97&lt;&gt;"Yes"))=0,"READY",((O97&lt;&gt;"Yes")+(P97&lt;&gt;"Yes")+(Q97&lt;&gt;"Yes")+AND(B97="Yes",R97&lt;&gt;"Yes")+AND(OR(B97="Yes",ISNUMBER(SEARCH("grappling",F97))),S97&lt;&gt;"Yes"))&amp;" to do"))</f>
        <v/>
      </c>
      <c r="W97" s="27"/>
    </row>
    <row r="98" customFormat="false" ht="15" hidden="false" customHeight="false" outlineLevel="0" collapsed="false">
      <c r="A98" s="27"/>
      <c r="B98" s="27"/>
      <c r="C98" s="27"/>
      <c r="D98" s="27"/>
      <c r="E98" s="27"/>
      <c r="F98" s="27"/>
      <c r="G98" s="27"/>
      <c r="H98" s="27"/>
      <c r="I98" s="27"/>
      <c r="J98" s="27"/>
      <c r="K98" s="27"/>
      <c r="L98" s="32" t="str">
        <f aca="false">IF(A98="","",N(I98)+N(J98)+N(K98))</f>
        <v/>
      </c>
      <c r="M98" s="32" t="str">
        <f aca="false">IF(A98="","",IF(L98&lt;=5,"Pre-Novice",IF(L98&lt;=10,"Novice","Open")))</f>
        <v/>
      </c>
      <c r="N98" s="27"/>
      <c r="O98" s="27"/>
      <c r="P98" s="27"/>
      <c r="Q98" s="27"/>
      <c r="R98" s="27"/>
      <c r="S98" s="27"/>
      <c r="T98" s="27"/>
      <c r="U98" s="27"/>
      <c r="V98" s="33" t="str">
        <f aca="false">IF(A98="","",IF(((O98&lt;&gt;"Yes")+(P98&lt;&gt;"Yes")+(Q98&lt;&gt;"Yes")+AND(B98="Yes",R98&lt;&gt;"Yes")+AND(OR(B98="Yes",ISNUMBER(SEARCH("grappling",F98))),S98&lt;&gt;"Yes"))=0,"READY",((O98&lt;&gt;"Yes")+(P98&lt;&gt;"Yes")+(Q98&lt;&gt;"Yes")+AND(B98="Yes",R98&lt;&gt;"Yes")+AND(OR(B98="Yes",ISNUMBER(SEARCH("grappling",F98))),S98&lt;&gt;"Yes"))&amp;" to do"))</f>
        <v/>
      </c>
      <c r="W98" s="27"/>
    </row>
    <row r="99" customFormat="false" ht="15" hidden="false" customHeight="false" outlineLevel="0" collapsed="false">
      <c r="A99" s="27"/>
      <c r="B99" s="27"/>
      <c r="C99" s="27"/>
      <c r="D99" s="27"/>
      <c r="E99" s="27"/>
      <c r="F99" s="27"/>
      <c r="G99" s="27"/>
      <c r="H99" s="27"/>
      <c r="I99" s="27"/>
      <c r="J99" s="27"/>
      <c r="K99" s="27"/>
      <c r="L99" s="32" t="str">
        <f aca="false">IF(A99="","",N(I99)+N(J99)+N(K99))</f>
        <v/>
      </c>
      <c r="M99" s="32" t="str">
        <f aca="false">IF(A99="","",IF(L99&lt;=5,"Pre-Novice",IF(L99&lt;=10,"Novice","Open")))</f>
        <v/>
      </c>
      <c r="N99" s="27"/>
      <c r="O99" s="27"/>
      <c r="P99" s="27"/>
      <c r="Q99" s="27"/>
      <c r="R99" s="27"/>
      <c r="S99" s="27"/>
      <c r="T99" s="27"/>
      <c r="U99" s="27"/>
      <c r="V99" s="33" t="str">
        <f aca="false">IF(A99="","",IF(((O99&lt;&gt;"Yes")+(P99&lt;&gt;"Yes")+(Q99&lt;&gt;"Yes")+AND(B99="Yes",R99&lt;&gt;"Yes")+AND(OR(B99="Yes",ISNUMBER(SEARCH("grappling",F99))),S99&lt;&gt;"Yes"))=0,"READY",((O99&lt;&gt;"Yes")+(P99&lt;&gt;"Yes")+(Q99&lt;&gt;"Yes")+AND(B99="Yes",R99&lt;&gt;"Yes")+AND(OR(B99="Yes",ISNUMBER(SEARCH("grappling",F99))),S99&lt;&gt;"Yes"))&amp;" to do"))</f>
        <v/>
      </c>
      <c r="W99" s="27"/>
    </row>
    <row r="100" customFormat="false" ht="15" hidden="false" customHeight="false" outlineLevel="0" collapsed="false">
      <c r="A100" s="27"/>
      <c r="B100" s="27"/>
      <c r="C100" s="27"/>
      <c r="D100" s="27"/>
      <c r="E100" s="27"/>
      <c r="F100" s="27"/>
      <c r="G100" s="27"/>
      <c r="H100" s="27"/>
      <c r="I100" s="27"/>
      <c r="J100" s="27"/>
      <c r="K100" s="27"/>
      <c r="L100" s="32" t="str">
        <f aca="false">IF(A100="","",N(I100)+N(J100)+N(K100))</f>
        <v/>
      </c>
      <c r="M100" s="32" t="str">
        <f aca="false">IF(A100="","",IF(L100&lt;=5,"Pre-Novice",IF(L100&lt;=10,"Novice","Open")))</f>
        <v/>
      </c>
      <c r="N100" s="27"/>
      <c r="O100" s="27"/>
      <c r="P100" s="27"/>
      <c r="Q100" s="27"/>
      <c r="R100" s="27"/>
      <c r="S100" s="27"/>
      <c r="T100" s="27"/>
      <c r="U100" s="27"/>
      <c r="V100" s="33" t="str">
        <f aca="false">IF(A100="","",IF(((O100&lt;&gt;"Yes")+(P100&lt;&gt;"Yes")+(Q100&lt;&gt;"Yes")+AND(B100="Yes",R100&lt;&gt;"Yes")+AND(OR(B100="Yes",ISNUMBER(SEARCH("grappling",F100))),S100&lt;&gt;"Yes"))=0,"READY",((O100&lt;&gt;"Yes")+(P100&lt;&gt;"Yes")+(Q100&lt;&gt;"Yes")+AND(B100="Yes",R100&lt;&gt;"Yes")+AND(OR(B100="Yes",ISNUMBER(SEARCH("grappling",F100))),S100&lt;&gt;"Yes"))&amp;" to do"))</f>
        <v/>
      </c>
      <c r="W100" s="27"/>
    </row>
    <row r="101" customFormat="false" ht="15" hidden="false" customHeight="false" outlineLevel="0" collapsed="false">
      <c r="A101" s="27"/>
      <c r="B101" s="27"/>
      <c r="C101" s="27"/>
      <c r="D101" s="27"/>
      <c r="E101" s="27"/>
      <c r="F101" s="27"/>
      <c r="G101" s="27"/>
      <c r="H101" s="27"/>
      <c r="I101" s="27"/>
      <c r="J101" s="27"/>
      <c r="K101" s="27"/>
      <c r="L101" s="32" t="str">
        <f aca="false">IF(A101="","",N(I101)+N(J101)+N(K101))</f>
        <v/>
      </c>
      <c r="M101" s="32" t="str">
        <f aca="false">IF(A101="","",IF(L101&lt;=5,"Pre-Novice",IF(L101&lt;=10,"Novice","Open")))</f>
        <v/>
      </c>
      <c r="N101" s="27"/>
      <c r="O101" s="27"/>
      <c r="P101" s="27"/>
      <c r="Q101" s="27"/>
      <c r="R101" s="27"/>
      <c r="S101" s="27"/>
      <c r="T101" s="27"/>
      <c r="U101" s="27"/>
      <c r="V101" s="33" t="str">
        <f aca="false">IF(A101="","",IF(((O101&lt;&gt;"Yes")+(P101&lt;&gt;"Yes")+(Q101&lt;&gt;"Yes")+AND(B101="Yes",R101&lt;&gt;"Yes")+AND(OR(B101="Yes",ISNUMBER(SEARCH("grappling",F101))),S101&lt;&gt;"Yes"))=0,"READY",((O101&lt;&gt;"Yes")+(P101&lt;&gt;"Yes")+(Q101&lt;&gt;"Yes")+AND(B101="Yes",R101&lt;&gt;"Yes")+AND(OR(B101="Yes",ISNUMBER(SEARCH("grappling",F101))),S101&lt;&gt;"Yes"))&amp;" to do"))</f>
        <v/>
      </c>
      <c r="W101" s="27"/>
    </row>
    <row r="102" customFormat="false" ht="15" hidden="false" customHeight="false" outlineLevel="0" collapsed="false">
      <c r="A102" s="27"/>
      <c r="B102" s="27"/>
      <c r="C102" s="27"/>
      <c r="D102" s="27"/>
      <c r="E102" s="27"/>
      <c r="F102" s="27"/>
      <c r="G102" s="27"/>
      <c r="H102" s="27"/>
      <c r="I102" s="27"/>
      <c r="J102" s="27"/>
      <c r="K102" s="27"/>
      <c r="L102" s="32" t="str">
        <f aca="false">IF(A102="","",N(I102)+N(J102)+N(K102))</f>
        <v/>
      </c>
      <c r="M102" s="32" t="str">
        <f aca="false">IF(A102="","",IF(L102&lt;=5,"Pre-Novice",IF(L102&lt;=10,"Novice","Open")))</f>
        <v/>
      </c>
      <c r="N102" s="27"/>
      <c r="O102" s="27"/>
      <c r="P102" s="27"/>
      <c r="Q102" s="27"/>
      <c r="R102" s="27"/>
      <c r="S102" s="27"/>
      <c r="T102" s="27"/>
      <c r="U102" s="27"/>
      <c r="V102" s="33" t="str">
        <f aca="false">IF(A102="","",IF(((O102&lt;&gt;"Yes")+(P102&lt;&gt;"Yes")+(Q102&lt;&gt;"Yes")+AND(B102="Yes",R102&lt;&gt;"Yes")+AND(OR(B102="Yes",ISNUMBER(SEARCH("grappling",F102))),S102&lt;&gt;"Yes"))=0,"READY",((O102&lt;&gt;"Yes")+(P102&lt;&gt;"Yes")+(Q102&lt;&gt;"Yes")+AND(B102="Yes",R102&lt;&gt;"Yes")+AND(OR(B102="Yes",ISNUMBER(SEARCH("grappling",F102))),S102&lt;&gt;"Yes"))&amp;" to do"))</f>
        <v/>
      </c>
      <c r="W102" s="27"/>
    </row>
    <row r="103" customFormat="false" ht="15" hidden="false" customHeight="false" outlineLevel="0" collapsed="false">
      <c r="A103" s="27"/>
      <c r="B103" s="27"/>
      <c r="C103" s="27"/>
      <c r="D103" s="27"/>
      <c r="E103" s="27"/>
      <c r="F103" s="27"/>
      <c r="G103" s="27"/>
      <c r="H103" s="27"/>
      <c r="I103" s="27"/>
      <c r="J103" s="27"/>
      <c r="K103" s="27"/>
      <c r="L103" s="32" t="str">
        <f aca="false">IF(A103="","",N(I103)+N(J103)+N(K103))</f>
        <v/>
      </c>
      <c r="M103" s="32" t="str">
        <f aca="false">IF(A103="","",IF(L103&lt;=5,"Pre-Novice",IF(L103&lt;=10,"Novice","Open")))</f>
        <v/>
      </c>
      <c r="N103" s="27"/>
      <c r="O103" s="27"/>
      <c r="P103" s="27"/>
      <c r="Q103" s="27"/>
      <c r="R103" s="27"/>
      <c r="S103" s="27"/>
      <c r="T103" s="27"/>
      <c r="U103" s="27"/>
      <c r="V103" s="33" t="str">
        <f aca="false">IF(A103="","",IF(((O103&lt;&gt;"Yes")+(P103&lt;&gt;"Yes")+(Q103&lt;&gt;"Yes")+AND(B103="Yes",R103&lt;&gt;"Yes")+AND(OR(B103="Yes",ISNUMBER(SEARCH("grappling",F103))),S103&lt;&gt;"Yes"))=0,"READY",((O103&lt;&gt;"Yes")+(P103&lt;&gt;"Yes")+(Q103&lt;&gt;"Yes")+AND(B103="Yes",R103&lt;&gt;"Yes")+AND(OR(B103="Yes",ISNUMBER(SEARCH("grappling",F103))),S103&lt;&gt;"Yes"))&amp;" to do"))</f>
        <v/>
      </c>
      <c r="W103" s="27"/>
    </row>
    <row r="104" customFormat="false" ht="15" hidden="false" customHeight="false" outlineLevel="0" collapsed="false">
      <c r="A104" s="27"/>
      <c r="B104" s="27"/>
      <c r="C104" s="27"/>
      <c r="D104" s="27"/>
      <c r="E104" s="27"/>
      <c r="F104" s="27"/>
      <c r="G104" s="27"/>
      <c r="H104" s="27"/>
      <c r="I104" s="27"/>
      <c r="J104" s="27"/>
      <c r="K104" s="27"/>
      <c r="L104" s="32" t="str">
        <f aca="false">IF(A104="","",N(I104)+N(J104)+N(K104))</f>
        <v/>
      </c>
      <c r="M104" s="32" t="str">
        <f aca="false">IF(A104="","",IF(L104&lt;=5,"Pre-Novice",IF(L104&lt;=10,"Novice","Open")))</f>
        <v/>
      </c>
      <c r="N104" s="27"/>
      <c r="O104" s="27"/>
      <c r="P104" s="27"/>
      <c r="Q104" s="27"/>
      <c r="R104" s="27"/>
      <c r="S104" s="27"/>
      <c r="T104" s="27"/>
      <c r="U104" s="27"/>
      <c r="V104" s="33" t="str">
        <f aca="false">IF(A104="","",IF(((O104&lt;&gt;"Yes")+(P104&lt;&gt;"Yes")+(Q104&lt;&gt;"Yes")+AND(B104="Yes",R104&lt;&gt;"Yes")+AND(OR(B104="Yes",ISNUMBER(SEARCH("grappling",F104))),S104&lt;&gt;"Yes"))=0,"READY",((O104&lt;&gt;"Yes")+(P104&lt;&gt;"Yes")+(Q104&lt;&gt;"Yes")+AND(B104="Yes",R104&lt;&gt;"Yes")+AND(OR(B104="Yes",ISNUMBER(SEARCH("grappling",F104))),S104&lt;&gt;"Yes"))&amp;" to do"))</f>
        <v/>
      </c>
      <c r="W104" s="27"/>
    </row>
    <row r="105" customFormat="false" ht="15" hidden="false" customHeight="false" outlineLevel="0" collapsed="false">
      <c r="A105" s="27"/>
      <c r="B105" s="27"/>
      <c r="C105" s="27"/>
      <c r="D105" s="27"/>
      <c r="E105" s="27"/>
      <c r="F105" s="27"/>
      <c r="G105" s="27"/>
      <c r="H105" s="27"/>
      <c r="I105" s="27"/>
      <c r="J105" s="27"/>
      <c r="K105" s="27"/>
      <c r="L105" s="32" t="str">
        <f aca="false">IF(A105="","",N(I105)+N(J105)+N(K105))</f>
        <v/>
      </c>
      <c r="M105" s="32" t="str">
        <f aca="false">IF(A105="","",IF(L105&lt;=5,"Pre-Novice",IF(L105&lt;=10,"Novice","Open")))</f>
        <v/>
      </c>
      <c r="N105" s="27"/>
      <c r="O105" s="27"/>
      <c r="P105" s="27"/>
      <c r="Q105" s="27"/>
      <c r="R105" s="27"/>
      <c r="S105" s="27"/>
      <c r="T105" s="27"/>
      <c r="U105" s="27"/>
      <c r="V105" s="33" t="str">
        <f aca="false">IF(A105="","",IF(((O105&lt;&gt;"Yes")+(P105&lt;&gt;"Yes")+(Q105&lt;&gt;"Yes")+AND(B105="Yes",R105&lt;&gt;"Yes")+AND(OR(B105="Yes",ISNUMBER(SEARCH("grappling",F105))),S105&lt;&gt;"Yes"))=0,"READY",((O105&lt;&gt;"Yes")+(P105&lt;&gt;"Yes")+(Q105&lt;&gt;"Yes")+AND(B105="Yes",R105&lt;&gt;"Yes")+AND(OR(B105="Yes",ISNUMBER(SEARCH("grappling",F105))),S105&lt;&gt;"Yes"))&amp;" to do"))</f>
        <v/>
      </c>
      <c r="W105" s="27"/>
    </row>
    <row r="106" customFormat="false" ht="15" hidden="false" customHeight="false" outlineLevel="0" collapsed="false">
      <c r="A106" s="27"/>
      <c r="B106" s="27"/>
      <c r="C106" s="27"/>
      <c r="D106" s="27"/>
      <c r="E106" s="27"/>
      <c r="F106" s="27"/>
      <c r="G106" s="27"/>
      <c r="H106" s="27"/>
      <c r="I106" s="27"/>
      <c r="J106" s="27"/>
      <c r="K106" s="27"/>
      <c r="L106" s="32" t="str">
        <f aca="false">IF(A106="","",N(I106)+N(J106)+N(K106))</f>
        <v/>
      </c>
      <c r="M106" s="32" t="str">
        <f aca="false">IF(A106="","",IF(L106&lt;=5,"Pre-Novice",IF(L106&lt;=10,"Novice","Open")))</f>
        <v/>
      </c>
      <c r="N106" s="27"/>
      <c r="O106" s="27"/>
      <c r="P106" s="27"/>
      <c r="Q106" s="27"/>
      <c r="R106" s="27"/>
      <c r="S106" s="27"/>
      <c r="T106" s="27"/>
      <c r="U106" s="27"/>
      <c r="V106" s="33" t="str">
        <f aca="false">IF(A106="","",IF(((O106&lt;&gt;"Yes")+(P106&lt;&gt;"Yes")+(Q106&lt;&gt;"Yes")+AND(B106="Yes",R106&lt;&gt;"Yes")+AND(OR(B106="Yes",ISNUMBER(SEARCH("grappling",F106))),S106&lt;&gt;"Yes"))=0,"READY",((O106&lt;&gt;"Yes")+(P106&lt;&gt;"Yes")+(Q106&lt;&gt;"Yes")+AND(B106="Yes",R106&lt;&gt;"Yes")+AND(OR(B106="Yes",ISNUMBER(SEARCH("grappling",F106))),S106&lt;&gt;"Yes"))&amp;" to do"))</f>
        <v/>
      </c>
      <c r="W106" s="27"/>
    </row>
    <row r="107" customFormat="false" ht="15" hidden="false" customHeight="false" outlineLevel="0" collapsed="false">
      <c r="A107" s="27"/>
      <c r="B107" s="27"/>
      <c r="C107" s="27"/>
      <c r="D107" s="27"/>
      <c r="E107" s="27"/>
      <c r="F107" s="27"/>
      <c r="G107" s="27"/>
      <c r="H107" s="27"/>
      <c r="I107" s="27"/>
      <c r="J107" s="27"/>
      <c r="K107" s="27"/>
      <c r="L107" s="32" t="str">
        <f aca="false">IF(A107="","",N(I107)+N(J107)+N(K107))</f>
        <v/>
      </c>
      <c r="M107" s="32" t="str">
        <f aca="false">IF(A107="","",IF(L107&lt;=5,"Pre-Novice",IF(L107&lt;=10,"Novice","Open")))</f>
        <v/>
      </c>
      <c r="N107" s="27"/>
      <c r="O107" s="27"/>
      <c r="P107" s="27"/>
      <c r="Q107" s="27"/>
      <c r="R107" s="27"/>
      <c r="S107" s="27"/>
      <c r="T107" s="27"/>
      <c r="U107" s="27"/>
      <c r="V107" s="33" t="str">
        <f aca="false">IF(A107="","",IF(((O107&lt;&gt;"Yes")+(P107&lt;&gt;"Yes")+(Q107&lt;&gt;"Yes")+AND(B107="Yes",R107&lt;&gt;"Yes")+AND(OR(B107="Yes",ISNUMBER(SEARCH("grappling",F107))),S107&lt;&gt;"Yes"))=0,"READY",((O107&lt;&gt;"Yes")+(P107&lt;&gt;"Yes")+(Q107&lt;&gt;"Yes")+AND(B107="Yes",R107&lt;&gt;"Yes")+AND(OR(B107="Yes",ISNUMBER(SEARCH("grappling",F107))),S107&lt;&gt;"Yes"))&amp;" to do"))</f>
        <v/>
      </c>
      <c r="W107" s="27"/>
    </row>
    <row r="108" customFormat="false" ht="15" hidden="false" customHeight="false" outlineLevel="0" collapsed="false">
      <c r="A108" s="27"/>
      <c r="B108" s="27"/>
      <c r="C108" s="27"/>
      <c r="D108" s="27"/>
      <c r="E108" s="27"/>
      <c r="F108" s="27"/>
      <c r="G108" s="27"/>
      <c r="H108" s="27"/>
      <c r="I108" s="27"/>
      <c r="J108" s="27"/>
      <c r="K108" s="27"/>
      <c r="L108" s="32" t="str">
        <f aca="false">IF(A108="","",N(I108)+N(J108)+N(K108))</f>
        <v/>
      </c>
      <c r="M108" s="32" t="str">
        <f aca="false">IF(A108="","",IF(L108&lt;=5,"Pre-Novice",IF(L108&lt;=10,"Novice","Open")))</f>
        <v/>
      </c>
      <c r="N108" s="27"/>
      <c r="O108" s="27"/>
      <c r="P108" s="27"/>
      <c r="Q108" s="27"/>
      <c r="R108" s="27"/>
      <c r="S108" s="27"/>
      <c r="T108" s="27"/>
      <c r="U108" s="27"/>
      <c r="V108" s="33" t="str">
        <f aca="false">IF(A108="","",IF(((O108&lt;&gt;"Yes")+(P108&lt;&gt;"Yes")+(Q108&lt;&gt;"Yes")+AND(B108="Yes",R108&lt;&gt;"Yes")+AND(OR(B108="Yes",ISNUMBER(SEARCH("grappling",F108))),S108&lt;&gt;"Yes"))=0,"READY",((O108&lt;&gt;"Yes")+(P108&lt;&gt;"Yes")+(Q108&lt;&gt;"Yes")+AND(B108="Yes",R108&lt;&gt;"Yes")+AND(OR(B108="Yes",ISNUMBER(SEARCH("grappling",F108))),S108&lt;&gt;"Yes"))&amp;" to do"))</f>
        <v/>
      </c>
      <c r="W108" s="27"/>
    </row>
    <row r="109" customFormat="false" ht="15" hidden="false" customHeight="false" outlineLevel="0" collapsed="false">
      <c r="A109" s="27"/>
      <c r="B109" s="27"/>
      <c r="C109" s="27"/>
      <c r="D109" s="27"/>
      <c r="E109" s="27"/>
      <c r="F109" s="27"/>
      <c r="G109" s="27"/>
      <c r="H109" s="27"/>
      <c r="I109" s="27"/>
      <c r="J109" s="27"/>
      <c r="K109" s="27"/>
      <c r="L109" s="32" t="str">
        <f aca="false">IF(A109="","",N(I109)+N(J109)+N(K109))</f>
        <v/>
      </c>
      <c r="M109" s="32" t="str">
        <f aca="false">IF(A109="","",IF(L109&lt;=5,"Pre-Novice",IF(L109&lt;=10,"Novice","Open")))</f>
        <v/>
      </c>
      <c r="N109" s="27"/>
      <c r="O109" s="27"/>
      <c r="P109" s="27"/>
      <c r="Q109" s="27"/>
      <c r="R109" s="27"/>
      <c r="S109" s="27"/>
      <c r="T109" s="27"/>
      <c r="U109" s="27"/>
      <c r="V109" s="33" t="str">
        <f aca="false">IF(A109="","",IF(((O109&lt;&gt;"Yes")+(P109&lt;&gt;"Yes")+(Q109&lt;&gt;"Yes")+AND(B109="Yes",R109&lt;&gt;"Yes")+AND(OR(B109="Yes",ISNUMBER(SEARCH("grappling",F109))),S109&lt;&gt;"Yes"))=0,"READY",((O109&lt;&gt;"Yes")+(P109&lt;&gt;"Yes")+(Q109&lt;&gt;"Yes")+AND(B109="Yes",R109&lt;&gt;"Yes")+AND(OR(B109="Yes",ISNUMBER(SEARCH("grappling",F109))),S109&lt;&gt;"Yes"))&amp;" to do"))</f>
        <v/>
      </c>
      <c r="W109" s="27"/>
    </row>
    <row r="110" customFormat="false" ht="15" hidden="false" customHeight="false" outlineLevel="0" collapsed="false">
      <c r="A110" s="27"/>
      <c r="B110" s="27"/>
      <c r="C110" s="27"/>
      <c r="D110" s="27"/>
      <c r="E110" s="27"/>
      <c r="F110" s="27"/>
      <c r="G110" s="27"/>
      <c r="H110" s="27"/>
      <c r="I110" s="27"/>
      <c r="J110" s="27"/>
      <c r="K110" s="27"/>
      <c r="L110" s="32" t="str">
        <f aca="false">IF(A110="","",N(I110)+N(J110)+N(K110))</f>
        <v/>
      </c>
      <c r="M110" s="32" t="str">
        <f aca="false">IF(A110="","",IF(L110&lt;=5,"Pre-Novice",IF(L110&lt;=10,"Novice","Open")))</f>
        <v/>
      </c>
      <c r="N110" s="27"/>
      <c r="O110" s="27"/>
      <c r="P110" s="27"/>
      <c r="Q110" s="27"/>
      <c r="R110" s="27"/>
      <c r="S110" s="27"/>
      <c r="T110" s="27"/>
      <c r="U110" s="27"/>
      <c r="V110" s="33" t="str">
        <f aca="false">IF(A110="","",IF(((O110&lt;&gt;"Yes")+(P110&lt;&gt;"Yes")+(Q110&lt;&gt;"Yes")+AND(B110="Yes",R110&lt;&gt;"Yes")+AND(OR(B110="Yes",ISNUMBER(SEARCH("grappling",F110))),S110&lt;&gt;"Yes"))=0,"READY",((O110&lt;&gt;"Yes")+(P110&lt;&gt;"Yes")+(Q110&lt;&gt;"Yes")+AND(B110="Yes",R110&lt;&gt;"Yes")+AND(OR(B110="Yes",ISNUMBER(SEARCH("grappling",F110))),S110&lt;&gt;"Yes"))&amp;" to do"))</f>
        <v/>
      </c>
      <c r="W110" s="27"/>
    </row>
    <row r="111" customFormat="false" ht="15" hidden="false" customHeight="false" outlineLevel="0" collapsed="false">
      <c r="A111" s="27"/>
      <c r="B111" s="27"/>
      <c r="C111" s="27"/>
      <c r="D111" s="27"/>
      <c r="E111" s="27"/>
      <c r="F111" s="27"/>
      <c r="G111" s="27"/>
      <c r="H111" s="27"/>
      <c r="I111" s="27"/>
      <c r="J111" s="27"/>
      <c r="K111" s="27"/>
      <c r="L111" s="32" t="str">
        <f aca="false">IF(A111="","",N(I111)+N(J111)+N(K111))</f>
        <v/>
      </c>
      <c r="M111" s="32" t="str">
        <f aca="false">IF(A111="","",IF(L111&lt;=5,"Pre-Novice",IF(L111&lt;=10,"Novice","Open")))</f>
        <v/>
      </c>
      <c r="N111" s="27"/>
      <c r="O111" s="27"/>
      <c r="P111" s="27"/>
      <c r="Q111" s="27"/>
      <c r="R111" s="27"/>
      <c r="S111" s="27"/>
      <c r="T111" s="27"/>
      <c r="U111" s="27"/>
      <c r="V111" s="33" t="str">
        <f aca="false">IF(A111="","",IF(((O111&lt;&gt;"Yes")+(P111&lt;&gt;"Yes")+(Q111&lt;&gt;"Yes")+AND(B111="Yes",R111&lt;&gt;"Yes")+AND(OR(B111="Yes",ISNUMBER(SEARCH("grappling",F111))),S111&lt;&gt;"Yes"))=0,"READY",((O111&lt;&gt;"Yes")+(P111&lt;&gt;"Yes")+(Q111&lt;&gt;"Yes")+AND(B111="Yes",R111&lt;&gt;"Yes")+AND(OR(B111="Yes",ISNUMBER(SEARCH("grappling",F111))),S111&lt;&gt;"Yes"))&amp;" to do"))</f>
        <v/>
      </c>
      <c r="W111" s="27"/>
    </row>
    <row r="112" customFormat="false" ht="15" hidden="false" customHeight="false" outlineLevel="0" collapsed="false">
      <c r="A112" s="27"/>
      <c r="B112" s="27"/>
      <c r="C112" s="27"/>
      <c r="D112" s="27"/>
      <c r="E112" s="27"/>
      <c r="F112" s="27"/>
      <c r="G112" s="27"/>
      <c r="H112" s="27"/>
      <c r="I112" s="27"/>
      <c r="J112" s="27"/>
      <c r="K112" s="27"/>
      <c r="L112" s="32" t="str">
        <f aca="false">IF(A112="","",N(I112)+N(J112)+N(K112))</f>
        <v/>
      </c>
      <c r="M112" s="32" t="str">
        <f aca="false">IF(A112="","",IF(L112&lt;=5,"Pre-Novice",IF(L112&lt;=10,"Novice","Open")))</f>
        <v/>
      </c>
      <c r="N112" s="27"/>
      <c r="O112" s="27"/>
      <c r="P112" s="27"/>
      <c r="Q112" s="27"/>
      <c r="R112" s="27"/>
      <c r="S112" s="27"/>
      <c r="T112" s="27"/>
      <c r="U112" s="27"/>
      <c r="V112" s="33" t="str">
        <f aca="false">IF(A112="","",IF(((O112&lt;&gt;"Yes")+(P112&lt;&gt;"Yes")+(Q112&lt;&gt;"Yes")+AND(B112="Yes",R112&lt;&gt;"Yes")+AND(OR(B112="Yes",ISNUMBER(SEARCH("grappling",F112))),S112&lt;&gt;"Yes"))=0,"READY",((O112&lt;&gt;"Yes")+(P112&lt;&gt;"Yes")+(Q112&lt;&gt;"Yes")+AND(B112="Yes",R112&lt;&gt;"Yes")+AND(OR(B112="Yes",ISNUMBER(SEARCH("grappling",F112))),S112&lt;&gt;"Yes"))&amp;" to do"))</f>
        <v/>
      </c>
      <c r="W112" s="27"/>
    </row>
    <row r="113" customFormat="false" ht="15" hidden="false" customHeight="false" outlineLevel="0" collapsed="false">
      <c r="A113" s="27"/>
      <c r="B113" s="27"/>
      <c r="C113" s="27"/>
      <c r="D113" s="27"/>
      <c r="E113" s="27"/>
      <c r="F113" s="27"/>
      <c r="G113" s="27"/>
      <c r="H113" s="27"/>
      <c r="I113" s="27"/>
      <c r="J113" s="27"/>
      <c r="K113" s="27"/>
      <c r="L113" s="32" t="str">
        <f aca="false">IF(A113="","",N(I113)+N(J113)+N(K113))</f>
        <v/>
      </c>
      <c r="M113" s="32" t="str">
        <f aca="false">IF(A113="","",IF(L113&lt;=5,"Pre-Novice",IF(L113&lt;=10,"Novice","Open")))</f>
        <v/>
      </c>
      <c r="N113" s="27"/>
      <c r="O113" s="27"/>
      <c r="P113" s="27"/>
      <c r="Q113" s="27"/>
      <c r="R113" s="27"/>
      <c r="S113" s="27"/>
      <c r="T113" s="27"/>
      <c r="U113" s="27"/>
      <c r="V113" s="33" t="str">
        <f aca="false">IF(A113="","",IF(((O113&lt;&gt;"Yes")+(P113&lt;&gt;"Yes")+(Q113&lt;&gt;"Yes")+AND(B113="Yes",R113&lt;&gt;"Yes")+AND(OR(B113="Yes",ISNUMBER(SEARCH("grappling",F113))),S113&lt;&gt;"Yes"))=0,"READY",((O113&lt;&gt;"Yes")+(P113&lt;&gt;"Yes")+(Q113&lt;&gt;"Yes")+AND(B113="Yes",R113&lt;&gt;"Yes")+AND(OR(B113="Yes",ISNUMBER(SEARCH("grappling",F113))),S113&lt;&gt;"Yes"))&amp;" to do"))</f>
        <v/>
      </c>
      <c r="W113" s="27"/>
    </row>
    <row r="114" customFormat="false" ht="15" hidden="false" customHeight="false" outlineLevel="0" collapsed="false">
      <c r="A114" s="27"/>
      <c r="B114" s="27"/>
      <c r="C114" s="27"/>
      <c r="D114" s="27"/>
      <c r="E114" s="27"/>
      <c r="F114" s="27"/>
      <c r="G114" s="27"/>
      <c r="H114" s="27"/>
      <c r="I114" s="27"/>
      <c r="J114" s="27"/>
      <c r="K114" s="27"/>
      <c r="L114" s="32" t="str">
        <f aca="false">IF(A114="","",N(I114)+N(J114)+N(K114))</f>
        <v/>
      </c>
      <c r="M114" s="32" t="str">
        <f aca="false">IF(A114="","",IF(L114&lt;=5,"Pre-Novice",IF(L114&lt;=10,"Novice","Open")))</f>
        <v/>
      </c>
      <c r="N114" s="27"/>
      <c r="O114" s="27"/>
      <c r="P114" s="27"/>
      <c r="Q114" s="27"/>
      <c r="R114" s="27"/>
      <c r="S114" s="27"/>
      <c r="T114" s="27"/>
      <c r="U114" s="27"/>
      <c r="V114" s="33" t="str">
        <f aca="false">IF(A114="","",IF(((O114&lt;&gt;"Yes")+(P114&lt;&gt;"Yes")+(Q114&lt;&gt;"Yes")+AND(B114="Yes",R114&lt;&gt;"Yes")+AND(OR(B114="Yes",ISNUMBER(SEARCH("grappling",F114))),S114&lt;&gt;"Yes"))=0,"READY",((O114&lt;&gt;"Yes")+(P114&lt;&gt;"Yes")+(Q114&lt;&gt;"Yes")+AND(B114="Yes",R114&lt;&gt;"Yes")+AND(OR(B114="Yes",ISNUMBER(SEARCH("grappling",F114))),S114&lt;&gt;"Yes"))&amp;" to do"))</f>
        <v/>
      </c>
      <c r="W114" s="27"/>
    </row>
    <row r="115" customFormat="false" ht="15" hidden="false" customHeight="false" outlineLevel="0" collapsed="false">
      <c r="A115" s="27"/>
      <c r="B115" s="27"/>
      <c r="C115" s="27"/>
      <c r="D115" s="27"/>
      <c r="E115" s="27"/>
      <c r="F115" s="27"/>
      <c r="G115" s="27"/>
      <c r="H115" s="27"/>
      <c r="I115" s="27"/>
      <c r="J115" s="27"/>
      <c r="K115" s="27"/>
      <c r="L115" s="32" t="str">
        <f aca="false">IF(A115="","",N(I115)+N(J115)+N(K115))</f>
        <v/>
      </c>
      <c r="M115" s="32" t="str">
        <f aca="false">IF(A115="","",IF(L115&lt;=5,"Pre-Novice",IF(L115&lt;=10,"Novice","Open")))</f>
        <v/>
      </c>
      <c r="N115" s="27"/>
      <c r="O115" s="27"/>
      <c r="P115" s="27"/>
      <c r="Q115" s="27"/>
      <c r="R115" s="27"/>
      <c r="S115" s="27"/>
      <c r="T115" s="27"/>
      <c r="U115" s="27"/>
      <c r="V115" s="33" t="str">
        <f aca="false">IF(A115="","",IF(((O115&lt;&gt;"Yes")+(P115&lt;&gt;"Yes")+(Q115&lt;&gt;"Yes")+AND(B115="Yes",R115&lt;&gt;"Yes")+AND(OR(B115="Yes",ISNUMBER(SEARCH("grappling",F115))),S115&lt;&gt;"Yes"))=0,"READY",((O115&lt;&gt;"Yes")+(P115&lt;&gt;"Yes")+(Q115&lt;&gt;"Yes")+AND(B115="Yes",R115&lt;&gt;"Yes")+AND(OR(B115="Yes",ISNUMBER(SEARCH("grappling",F115))),S115&lt;&gt;"Yes"))&amp;" to do"))</f>
        <v/>
      </c>
      <c r="W115" s="27"/>
    </row>
    <row r="116" customFormat="false" ht="15" hidden="false" customHeight="false" outlineLevel="0" collapsed="false">
      <c r="A116" s="27"/>
      <c r="B116" s="27"/>
      <c r="C116" s="27"/>
      <c r="D116" s="27"/>
      <c r="E116" s="27"/>
      <c r="F116" s="27"/>
      <c r="G116" s="27"/>
      <c r="H116" s="27"/>
      <c r="I116" s="27"/>
      <c r="J116" s="27"/>
      <c r="K116" s="27"/>
      <c r="L116" s="32" t="str">
        <f aca="false">IF(A116="","",N(I116)+N(J116)+N(K116))</f>
        <v/>
      </c>
      <c r="M116" s="32" t="str">
        <f aca="false">IF(A116="","",IF(L116&lt;=5,"Pre-Novice",IF(L116&lt;=10,"Novice","Open")))</f>
        <v/>
      </c>
      <c r="N116" s="27"/>
      <c r="O116" s="27"/>
      <c r="P116" s="27"/>
      <c r="Q116" s="27"/>
      <c r="R116" s="27"/>
      <c r="S116" s="27"/>
      <c r="T116" s="27"/>
      <c r="U116" s="27"/>
      <c r="V116" s="33" t="str">
        <f aca="false">IF(A116="","",IF(((O116&lt;&gt;"Yes")+(P116&lt;&gt;"Yes")+(Q116&lt;&gt;"Yes")+AND(B116="Yes",R116&lt;&gt;"Yes")+AND(OR(B116="Yes",ISNUMBER(SEARCH("grappling",F116))),S116&lt;&gt;"Yes"))=0,"READY",((O116&lt;&gt;"Yes")+(P116&lt;&gt;"Yes")+(Q116&lt;&gt;"Yes")+AND(B116="Yes",R116&lt;&gt;"Yes")+AND(OR(B116="Yes",ISNUMBER(SEARCH("grappling",F116))),S116&lt;&gt;"Yes"))&amp;" to do"))</f>
        <v/>
      </c>
      <c r="W116" s="27"/>
    </row>
    <row r="117" customFormat="false" ht="15" hidden="false" customHeight="false" outlineLevel="0" collapsed="false">
      <c r="A117" s="27"/>
      <c r="B117" s="27"/>
      <c r="C117" s="27"/>
      <c r="D117" s="27"/>
      <c r="E117" s="27"/>
      <c r="F117" s="27"/>
      <c r="G117" s="27"/>
      <c r="H117" s="27"/>
      <c r="I117" s="27"/>
      <c r="J117" s="27"/>
      <c r="K117" s="27"/>
      <c r="L117" s="32" t="str">
        <f aca="false">IF(A117="","",N(I117)+N(J117)+N(K117))</f>
        <v/>
      </c>
      <c r="M117" s="32" t="str">
        <f aca="false">IF(A117="","",IF(L117&lt;=5,"Pre-Novice",IF(L117&lt;=10,"Novice","Open")))</f>
        <v/>
      </c>
      <c r="N117" s="27"/>
      <c r="O117" s="27"/>
      <c r="P117" s="27"/>
      <c r="Q117" s="27"/>
      <c r="R117" s="27"/>
      <c r="S117" s="27"/>
      <c r="T117" s="27"/>
      <c r="U117" s="27"/>
      <c r="V117" s="33" t="str">
        <f aca="false">IF(A117="","",IF(((O117&lt;&gt;"Yes")+(P117&lt;&gt;"Yes")+(Q117&lt;&gt;"Yes")+AND(B117="Yes",R117&lt;&gt;"Yes")+AND(OR(B117="Yes",ISNUMBER(SEARCH("grappling",F117))),S117&lt;&gt;"Yes"))=0,"READY",((O117&lt;&gt;"Yes")+(P117&lt;&gt;"Yes")+(Q117&lt;&gt;"Yes")+AND(B117="Yes",R117&lt;&gt;"Yes")+AND(OR(B117="Yes",ISNUMBER(SEARCH("grappling",F117))),S117&lt;&gt;"Yes"))&amp;" to do"))</f>
        <v/>
      </c>
      <c r="W117" s="27"/>
    </row>
    <row r="118" customFormat="false" ht="15" hidden="false" customHeight="false" outlineLevel="0" collapsed="false">
      <c r="A118" s="27"/>
      <c r="B118" s="27"/>
      <c r="C118" s="27"/>
      <c r="D118" s="27"/>
      <c r="E118" s="27"/>
      <c r="F118" s="27"/>
      <c r="G118" s="27"/>
      <c r="H118" s="27"/>
      <c r="I118" s="27"/>
      <c r="J118" s="27"/>
      <c r="K118" s="27"/>
      <c r="L118" s="32" t="str">
        <f aca="false">IF(A118="","",N(I118)+N(J118)+N(K118))</f>
        <v/>
      </c>
      <c r="M118" s="32" t="str">
        <f aca="false">IF(A118="","",IF(L118&lt;=5,"Pre-Novice",IF(L118&lt;=10,"Novice","Open")))</f>
        <v/>
      </c>
      <c r="N118" s="27"/>
      <c r="O118" s="27"/>
      <c r="P118" s="27"/>
      <c r="Q118" s="27"/>
      <c r="R118" s="27"/>
      <c r="S118" s="27"/>
      <c r="T118" s="27"/>
      <c r="U118" s="27"/>
      <c r="V118" s="33" t="str">
        <f aca="false">IF(A118="","",IF(((O118&lt;&gt;"Yes")+(P118&lt;&gt;"Yes")+(Q118&lt;&gt;"Yes")+AND(B118="Yes",R118&lt;&gt;"Yes")+AND(OR(B118="Yes",ISNUMBER(SEARCH("grappling",F118))),S118&lt;&gt;"Yes"))=0,"READY",((O118&lt;&gt;"Yes")+(P118&lt;&gt;"Yes")+(Q118&lt;&gt;"Yes")+AND(B118="Yes",R118&lt;&gt;"Yes")+AND(OR(B118="Yes",ISNUMBER(SEARCH("grappling",F118))),S118&lt;&gt;"Yes"))&amp;" to do"))</f>
        <v/>
      </c>
      <c r="W118" s="27"/>
    </row>
    <row r="119" customFormat="false" ht="15" hidden="false" customHeight="false" outlineLevel="0" collapsed="false">
      <c r="A119" s="27"/>
      <c r="B119" s="27"/>
      <c r="C119" s="27"/>
      <c r="D119" s="27"/>
      <c r="E119" s="27"/>
      <c r="F119" s="27"/>
      <c r="G119" s="27"/>
      <c r="H119" s="27"/>
      <c r="I119" s="27"/>
      <c r="J119" s="27"/>
      <c r="K119" s="27"/>
      <c r="L119" s="32" t="str">
        <f aca="false">IF(A119="","",N(I119)+N(J119)+N(K119))</f>
        <v/>
      </c>
      <c r="M119" s="32" t="str">
        <f aca="false">IF(A119="","",IF(L119&lt;=5,"Pre-Novice",IF(L119&lt;=10,"Novice","Open")))</f>
        <v/>
      </c>
      <c r="N119" s="27"/>
      <c r="O119" s="27"/>
      <c r="P119" s="27"/>
      <c r="Q119" s="27"/>
      <c r="R119" s="27"/>
      <c r="S119" s="27"/>
      <c r="T119" s="27"/>
      <c r="U119" s="27"/>
      <c r="V119" s="33" t="str">
        <f aca="false">IF(A119="","",IF(((O119&lt;&gt;"Yes")+(P119&lt;&gt;"Yes")+(Q119&lt;&gt;"Yes")+AND(B119="Yes",R119&lt;&gt;"Yes")+AND(OR(B119="Yes",ISNUMBER(SEARCH("grappling",F119))),S119&lt;&gt;"Yes"))=0,"READY",((O119&lt;&gt;"Yes")+(P119&lt;&gt;"Yes")+(Q119&lt;&gt;"Yes")+AND(B119="Yes",R119&lt;&gt;"Yes")+AND(OR(B119="Yes",ISNUMBER(SEARCH("grappling",F119))),S119&lt;&gt;"Yes"))&amp;" to do"))</f>
        <v/>
      </c>
      <c r="W119" s="27"/>
    </row>
    <row r="120" customFormat="false" ht="15" hidden="false" customHeight="false" outlineLevel="0" collapsed="false">
      <c r="A120" s="27"/>
      <c r="B120" s="27"/>
      <c r="C120" s="27"/>
      <c r="D120" s="27"/>
      <c r="E120" s="27"/>
      <c r="F120" s="27"/>
      <c r="G120" s="27"/>
      <c r="H120" s="27"/>
      <c r="I120" s="27"/>
      <c r="J120" s="27"/>
      <c r="K120" s="27"/>
      <c r="L120" s="32" t="str">
        <f aca="false">IF(A120="","",N(I120)+N(J120)+N(K120))</f>
        <v/>
      </c>
      <c r="M120" s="32" t="str">
        <f aca="false">IF(A120="","",IF(L120&lt;=5,"Pre-Novice",IF(L120&lt;=10,"Novice","Open")))</f>
        <v/>
      </c>
      <c r="N120" s="27"/>
      <c r="O120" s="27"/>
      <c r="P120" s="27"/>
      <c r="Q120" s="27"/>
      <c r="R120" s="27"/>
      <c r="S120" s="27"/>
      <c r="T120" s="27"/>
      <c r="U120" s="27"/>
      <c r="V120" s="33" t="str">
        <f aca="false">IF(A120="","",IF(((O120&lt;&gt;"Yes")+(P120&lt;&gt;"Yes")+(Q120&lt;&gt;"Yes")+AND(B120="Yes",R120&lt;&gt;"Yes")+AND(OR(B120="Yes",ISNUMBER(SEARCH("grappling",F120))),S120&lt;&gt;"Yes"))=0,"READY",((O120&lt;&gt;"Yes")+(P120&lt;&gt;"Yes")+(Q120&lt;&gt;"Yes")+AND(B120="Yes",R120&lt;&gt;"Yes")+AND(OR(B120="Yes",ISNUMBER(SEARCH("grappling",F120))),S120&lt;&gt;"Yes"))&amp;" to do"))</f>
        <v/>
      </c>
      <c r="W120" s="27"/>
    </row>
    <row r="121" customFormat="false" ht="15" hidden="false" customHeight="false" outlineLevel="0" collapsed="false">
      <c r="A121" s="27"/>
      <c r="B121" s="27"/>
      <c r="C121" s="27"/>
      <c r="D121" s="27"/>
      <c r="E121" s="27"/>
      <c r="F121" s="27"/>
      <c r="G121" s="27"/>
      <c r="H121" s="27"/>
      <c r="I121" s="27"/>
      <c r="J121" s="27"/>
      <c r="K121" s="27"/>
      <c r="L121" s="32" t="str">
        <f aca="false">IF(A121="","",N(I121)+N(J121)+N(K121))</f>
        <v/>
      </c>
      <c r="M121" s="32" t="str">
        <f aca="false">IF(A121="","",IF(L121&lt;=5,"Pre-Novice",IF(L121&lt;=10,"Novice","Open")))</f>
        <v/>
      </c>
      <c r="N121" s="27"/>
      <c r="O121" s="27"/>
      <c r="P121" s="27"/>
      <c r="Q121" s="27"/>
      <c r="R121" s="27"/>
      <c r="S121" s="27"/>
      <c r="T121" s="27"/>
      <c r="U121" s="27"/>
      <c r="V121" s="33" t="str">
        <f aca="false">IF(A121="","",IF(((O121&lt;&gt;"Yes")+(P121&lt;&gt;"Yes")+(Q121&lt;&gt;"Yes")+AND(B121="Yes",R121&lt;&gt;"Yes")+AND(OR(B121="Yes",ISNUMBER(SEARCH("grappling",F121))),S121&lt;&gt;"Yes"))=0,"READY",((O121&lt;&gt;"Yes")+(P121&lt;&gt;"Yes")+(Q121&lt;&gt;"Yes")+AND(B121="Yes",R121&lt;&gt;"Yes")+AND(OR(B121="Yes",ISNUMBER(SEARCH("grappling",F121))),S121&lt;&gt;"Yes"))&amp;" to do"))</f>
        <v/>
      </c>
      <c r="W121" s="27"/>
    </row>
    <row r="122" customFormat="false" ht="15" hidden="false" customHeight="false" outlineLevel="0" collapsed="false">
      <c r="A122" s="27"/>
      <c r="B122" s="27"/>
      <c r="C122" s="27"/>
      <c r="D122" s="27"/>
      <c r="E122" s="27"/>
      <c r="F122" s="27"/>
      <c r="G122" s="27"/>
      <c r="H122" s="27"/>
      <c r="I122" s="27"/>
      <c r="J122" s="27"/>
      <c r="K122" s="27"/>
      <c r="L122" s="32" t="str">
        <f aca="false">IF(A122="","",N(I122)+N(J122)+N(K122))</f>
        <v/>
      </c>
      <c r="M122" s="32" t="str">
        <f aca="false">IF(A122="","",IF(L122&lt;=5,"Pre-Novice",IF(L122&lt;=10,"Novice","Open")))</f>
        <v/>
      </c>
      <c r="N122" s="27"/>
      <c r="O122" s="27"/>
      <c r="P122" s="27"/>
      <c r="Q122" s="27"/>
      <c r="R122" s="27"/>
      <c r="S122" s="27"/>
      <c r="T122" s="27"/>
      <c r="U122" s="27"/>
      <c r="V122" s="33" t="str">
        <f aca="false">IF(A122="","",IF(((O122&lt;&gt;"Yes")+(P122&lt;&gt;"Yes")+(Q122&lt;&gt;"Yes")+AND(B122="Yes",R122&lt;&gt;"Yes")+AND(OR(B122="Yes",ISNUMBER(SEARCH("grappling",F122))),S122&lt;&gt;"Yes"))=0,"READY",((O122&lt;&gt;"Yes")+(P122&lt;&gt;"Yes")+(Q122&lt;&gt;"Yes")+AND(B122="Yes",R122&lt;&gt;"Yes")+AND(OR(B122="Yes",ISNUMBER(SEARCH("grappling",F122))),S122&lt;&gt;"Yes"))&amp;" to do"))</f>
        <v/>
      </c>
      <c r="W122" s="27"/>
    </row>
    <row r="123" customFormat="false" ht="15" hidden="false" customHeight="false" outlineLevel="0" collapsed="false">
      <c r="A123" s="27"/>
      <c r="B123" s="27"/>
      <c r="C123" s="27"/>
      <c r="D123" s="27"/>
      <c r="E123" s="27"/>
      <c r="F123" s="27"/>
      <c r="G123" s="27"/>
      <c r="H123" s="27"/>
      <c r="I123" s="27"/>
      <c r="J123" s="27"/>
      <c r="K123" s="27"/>
      <c r="L123" s="32" t="str">
        <f aca="false">IF(A123="","",N(I123)+N(J123)+N(K123))</f>
        <v/>
      </c>
      <c r="M123" s="32" t="str">
        <f aca="false">IF(A123="","",IF(L123&lt;=5,"Pre-Novice",IF(L123&lt;=10,"Novice","Open")))</f>
        <v/>
      </c>
      <c r="N123" s="27"/>
      <c r="O123" s="27"/>
      <c r="P123" s="27"/>
      <c r="Q123" s="27"/>
      <c r="R123" s="27"/>
      <c r="S123" s="27"/>
      <c r="T123" s="27"/>
      <c r="U123" s="27"/>
      <c r="V123" s="33" t="str">
        <f aca="false">IF(A123="","",IF(((O123&lt;&gt;"Yes")+(P123&lt;&gt;"Yes")+(Q123&lt;&gt;"Yes")+AND(B123="Yes",R123&lt;&gt;"Yes")+AND(OR(B123="Yes",ISNUMBER(SEARCH("grappling",F123))),S123&lt;&gt;"Yes"))=0,"READY",((O123&lt;&gt;"Yes")+(P123&lt;&gt;"Yes")+(Q123&lt;&gt;"Yes")+AND(B123="Yes",R123&lt;&gt;"Yes")+AND(OR(B123="Yes",ISNUMBER(SEARCH("grappling",F123))),S123&lt;&gt;"Yes"))&amp;" to do"))</f>
        <v/>
      </c>
      <c r="W123" s="27"/>
    </row>
    <row r="124" customFormat="false" ht="15" hidden="false" customHeight="false" outlineLevel="0" collapsed="false">
      <c r="A124" s="27"/>
      <c r="B124" s="27"/>
      <c r="C124" s="27"/>
      <c r="D124" s="27"/>
      <c r="E124" s="27"/>
      <c r="F124" s="27"/>
      <c r="G124" s="27"/>
      <c r="H124" s="27"/>
      <c r="I124" s="27"/>
      <c r="J124" s="27"/>
      <c r="K124" s="27"/>
      <c r="L124" s="32" t="str">
        <f aca="false">IF(A124="","",N(I124)+N(J124)+N(K124))</f>
        <v/>
      </c>
      <c r="M124" s="32" t="str">
        <f aca="false">IF(A124="","",IF(L124&lt;=5,"Pre-Novice",IF(L124&lt;=10,"Novice","Open")))</f>
        <v/>
      </c>
      <c r="N124" s="27"/>
      <c r="O124" s="27"/>
      <c r="P124" s="27"/>
      <c r="Q124" s="27"/>
      <c r="R124" s="27"/>
      <c r="S124" s="27"/>
      <c r="T124" s="27"/>
      <c r="U124" s="27"/>
      <c r="V124" s="33" t="str">
        <f aca="false">IF(A124="","",IF(((O124&lt;&gt;"Yes")+(P124&lt;&gt;"Yes")+(Q124&lt;&gt;"Yes")+AND(B124="Yes",R124&lt;&gt;"Yes")+AND(OR(B124="Yes",ISNUMBER(SEARCH("grappling",F124))),S124&lt;&gt;"Yes"))=0,"READY",((O124&lt;&gt;"Yes")+(P124&lt;&gt;"Yes")+(Q124&lt;&gt;"Yes")+AND(B124="Yes",R124&lt;&gt;"Yes")+AND(OR(B124="Yes",ISNUMBER(SEARCH("grappling",F124))),S124&lt;&gt;"Yes"))&amp;" to do"))</f>
        <v/>
      </c>
      <c r="W124" s="27"/>
    </row>
    <row r="125" customFormat="false" ht="15" hidden="false" customHeight="false" outlineLevel="0" collapsed="false">
      <c r="A125" s="27"/>
      <c r="B125" s="27"/>
      <c r="C125" s="27"/>
      <c r="D125" s="27"/>
      <c r="E125" s="27"/>
      <c r="F125" s="27"/>
      <c r="G125" s="27"/>
      <c r="H125" s="27"/>
      <c r="I125" s="27"/>
      <c r="J125" s="27"/>
      <c r="K125" s="27"/>
      <c r="L125" s="32" t="str">
        <f aca="false">IF(A125="","",N(I125)+N(J125)+N(K125))</f>
        <v/>
      </c>
      <c r="M125" s="32" t="str">
        <f aca="false">IF(A125="","",IF(L125&lt;=5,"Pre-Novice",IF(L125&lt;=10,"Novice","Open")))</f>
        <v/>
      </c>
      <c r="N125" s="27"/>
      <c r="O125" s="27"/>
      <c r="P125" s="27"/>
      <c r="Q125" s="27"/>
      <c r="R125" s="27"/>
      <c r="S125" s="27"/>
      <c r="T125" s="27"/>
      <c r="U125" s="27"/>
      <c r="V125" s="33" t="str">
        <f aca="false">IF(A125="","",IF(((O125&lt;&gt;"Yes")+(P125&lt;&gt;"Yes")+(Q125&lt;&gt;"Yes")+AND(B125="Yes",R125&lt;&gt;"Yes")+AND(OR(B125="Yes",ISNUMBER(SEARCH("grappling",F125))),S125&lt;&gt;"Yes"))=0,"READY",((O125&lt;&gt;"Yes")+(P125&lt;&gt;"Yes")+(Q125&lt;&gt;"Yes")+AND(B125="Yes",R125&lt;&gt;"Yes")+AND(OR(B125="Yes",ISNUMBER(SEARCH("grappling",F125))),S125&lt;&gt;"Yes"))&amp;" to do"))</f>
        <v/>
      </c>
      <c r="W125" s="27"/>
    </row>
    <row r="126" customFormat="false" ht="15" hidden="false" customHeight="false" outlineLevel="0" collapsed="false">
      <c r="A126" s="27"/>
      <c r="B126" s="27"/>
      <c r="C126" s="27"/>
      <c r="D126" s="27"/>
      <c r="E126" s="27"/>
      <c r="F126" s="27"/>
      <c r="G126" s="27"/>
      <c r="H126" s="27"/>
      <c r="I126" s="27"/>
      <c r="J126" s="27"/>
      <c r="K126" s="27"/>
      <c r="L126" s="32" t="str">
        <f aca="false">IF(A126="","",N(I126)+N(J126)+N(K126))</f>
        <v/>
      </c>
      <c r="M126" s="32" t="str">
        <f aca="false">IF(A126="","",IF(L126&lt;=5,"Pre-Novice",IF(L126&lt;=10,"Novice","Open")))</f>
        <v/>
      </c>
      <c r="N126" s="27"/>
      <c r="O126" s="27"/>
      <c r="P126" s="27"/>
      <c r="Q126" s="27"/>
      <c r="R126" s="27"/>
      <c r="S126" s="27"/>
      <c r="T126" s="27"/>
      <c r="U126" s="27"/>
      <c r="V126" s="33" t="str">
        <f aca="false">IF(A126="","",IF(((O126&lt;&gt;"Yes")+(P126&lt;&gt;"Yes")+(Q126&lt;&gt;"Yes")+AND(B126="Yes",R126&lt;&gt;"Yes")+AND(OR(B126="Yes",ISNUMBER(SEARCH("grappling",F126))),S126&lt;&gt;"Yes"))=0,"READY",((O126&lt;&gt;"Yes")+(P126&lt;&gt;"Yes")+(Q126&lt;&gt;"Yes")+AND(B126="Yes",R126&lt;&gt;"Yes")+AND(OR(B126="Yes",ISNUMBER(SEARCH("grappling",F126))),S126&lt;&gt;"Yes"))&amp;" to do"))</f>
        <v/>
      </c>
      <c r="W126" s="27"/>
    </row>
    <row r="127" customFormat="false" ht="15" hidden="false" customHeight="false" outlineLevel="0" collapsed="false">
      <c r="A127" s="27"/>
      <c r="B127" s="27"/>
      <c r="C127" s="27"/>
      <c r="D127" s="27"/>
      <c r="E127" s="27"/>
      <c r="F127" s="27"/>
      <c r="G127" s="27"/>
      <c r="H127" s="27"/>
      <c r="I127" s="27"/>
      <c r="J127" s="27"/>
      <c r="K127" s="27"/>
      <c r="L127" s="32" t="str">
        <f aca="false">IF(A127="","",N(I127)+N(J127)+N(K127))</f>
        <v/>
      </c>
      <c r="M127" s="32" t="str">
        <f aca="false">IF(A127="","",IF(L127&lt;=5,"Pre-Novice",IF(L127&lt;=10,"Novice","Open")))</f>
        <v/>
      </c>
      <c r="N127" s="27"/>
      <c r="O127" s="27"/>
      <c r="P127" s="27"/>
      <c r="Q127" s="27"/>
      <c r="R127" s="27"/>
      <c r="S127" s="27"/>
      <c r="T127" s="27"/>
      <c r="U127" s="27"/>
      <c r="V127" s="33" t="str">
        <f aca="false">IF(A127="","",IF(((O127&lt;&gt;"Yes")+(P127&lt;&gt;"Yes")+(Q127&lt;&gt;"Yes")+AND(B127="Yes",R127&lt;&gt;"Yes")+AND(OR(B127="Yes",ISNUMBER(SEARCH("grappling",F127))),S127&lt;&gt;"Yes"))=0,"READY",((O127&lt;&gt;"Yes")+(P127&lt;&gt;"Yes")+(Q127&lt;&gt;"Yes")+AND(B127="Yes",R127&lt;&gt;"Yes")+AND(OR(B127="Yes",ISNUMBER(SEARCH("grappling",F127))),S127&lt;&gt;"Yes"))&amp;" to do"))</f>
        <v/>
      </c>
      <c r="W127" s="27"/>
    </row>
    <row r="128" customFormat="false" ht="15" hidden="false" customHeight="false" outlineLevel="0" collapsed="false">
      <c r="A128" s="27"/>
      <c r="B128" s="27"/>
      <c r="C128" s="27"/>
      <c r="D128" s="27"/>
      <c r="E128" s="27"/>
      <c r="F128" s="27"/>
      <c r="G128" s="27"/>
      <c r="H128" s="27"/>
      <c r="I128" s="27"/>
      <c r="J128" s="27"/>
      <c r="K128" s="27"/>
      <c r="L128" s="32" t="str">
        <f aca="false">IF(A128="","",N(I128)+N(J128)+N(K128))</f>
        <v/>
      </c>
      <c r="M128" s="32" t="str">
        <f aca="false">IF(A128="","",IF(L128&lt;=5,"Pre-Novice",IF(L128&lt;=10,"Novice","Open")))</f>
        <v/>
      </c>
      <c r="N128" s="27"/>
      <c r="O128" s="27"/>
      <c r="P128" s="27"/>
      <c r="Q128" s="27"/>
      <c r="R128" s="27"/>
      <c r="S128" s="27"/>
      <c r="T128" s="27"/>
      <c r="U128" s="27"/>
      <c r="V128" s="33" t="str">
        <f aca="false">IF(A128="","",IF(((O128&lt;&gt;"Yes")+(P128&lt;&gt;"Yes")+(Q128&lt;&gt;"Yes")+AND(B128="Yes",R128&lt;&gt;"Yes")+AND(OR(B128="Yes",ISNUMBER(SEARCH("grappling",F128))),S128&lt;&gt;"Yes"))=0,"READY",((O128&lt;&gt;"Yes")+(P128&lt;&gt;"Yes")+(Q128&lt;&gt;"Yes")+AND(B128="Yes",R128&lt;&gt;"Yes")+AND(OR(B128="Yes",ISNUMBER(SEARCH("grappling",F128))),S128&lt;&gt;"Yes"))&amp;" to do"))</f>
        <v/>
      </c>
      <c r="W128" s="27"/>
    </row>
    <row r="129" customFormat="false" ht="15" hidden="false" customHeight="false" outlineLevel="0" collapsed="false">
      <c r="A129" s="27"/>
      <c r="B129" s="27"/>
      <c r="C129" s="27"/>
      <c r="D129" s="27"/>
      <c r="E129" s="27"/>
      <c r="F129" s="27"/>
      <c r="G129" s="27"/>
      <c r="H129" s="27"/>
      <c r="I129" s="27"/>
      <c r="J129" s="27"/>
      <c r="K129" s="27"/>
      <c r="L129" s="32" t="str">
        <f aca="false">IF(A129="","",N(I129)+N(J129)+N(K129))</f>
        <v/>
      </c>
      <c r="M129" s="32" t="str">
        <f aca="false">IF(A129="","",IF(L129&lt;=5,"Pre-Novice",IF(L129&lt;=10,"Novice","Open")))</f>
        <v/>
      </c>
      <c r="N129" s="27"/>
      <c r="O129" s="27"/>
      <c r="P129" s="27"/>
      <c r="Q129" s="27"/>
      <c r="R129" s="27"/>
      <c r="S129" s="27"/>
      <c r="T129" s="27"/>
      <c r="U129" s="27"/>
      <c r="V129" s="33" t="str">
        <f aca="false">IF(A129="","",IF(((O129&lt;&gt;"Yes")+(P129&lt;&gt;"Yes")+(Q129&lt;&gt;"Yes")+AND(B129="Yes",R129&lt;&gt;"Yes")+AND(OR(B129="Yes",ISNUMBER(SEARCH("grappling",F129))),S129&lt;&gt;"Yes"))=0,"READY",((O129&lt;&gt;"Yes")+(P129&lt;&gt;"Yes")+(Q129&lt;&gt;"Yes")+AND(B129="Yes",R129&lt;&gt;"Yes")+AND(OR(B129="Yes",ISNUMBER(SEARCH("grappling",F129))),S129&lt;&gt;"Yes"))&amp;" to do"))</f>
        <v/>
      </c>
      <c r="W129" s="27"/>
    </row>
    <row r="130" customFormat="false" ht="15" hidden="false" customHeight="false" outlineLevel="0" collapsed="false">
      <c r="A130" s="27"/>
      <c r="B130" s="27"/>
      <c r="C130" s="27"/>
      <c r="D130" s="27"/>
      <c r="E130" s="27"/>
      <c r="F130" s="27"/>
      <c r="G130" s="27"/>
      <c r="H130" s="27"/>
      <c r="I130" s="27"/>
      <c r="J130" s="27"/>
      <c r="K130" s="27"/>
      <c r="L130" s="32" t="str">
        <f aca="false">IF(A130="","",N(I130)+N(J130)+N(K130))</f>
        <v/>
      </c>
      <c r="M130" s="32" t="str">
        <f aca="false">IF(A130="","",IF(L130&lt;=5,"Pre-Novice",IF(L130&lt;=10,"Novice","Open")))</f>
        <v/>
      </c>
      <c r="N130" s="27"/>
      <c r="O130" s="27"/>
      <c r="P130" s="27"/>
      <c r="Q130" s="27"/>
      <c r="R130" s="27"/>
      <c r="S130" s="27"/>
      <c r="T130" s="27"/>
      <c r="U130" s="27"/>
      <c r="V130" s="33" t="str">
        <f aca="false">IF(A130="","",IF(((O130&lt;&gt;"Yes")+(P130&lt;&gt;"Yes")+(Q130&lt;&gt;"Yes")+AND(B130="Yes",R130&lt;&gt;"Yes")+AND(OR(B130="Yes",ISNUMBER(SEARCH("grappling",F130))),S130&lt;&gt;"Yes"))=0,"READY",((O130&lt;&gt;"Yes")+(P130&lt;&gt;"Yes")+(Q130&lt;&gt;"Yes")+AND(B130="Yes",R130&lt;&gt;"Yes")+AND(OR(B130="Yes",ISNUMBER(SEARCH("grappling",F130))),S130&lt;&gt;"Yes"))&amp;" to do"))</f>
        <v/>
      </c>
      <c r="W130" s="27"/>
    </row>
    <row r="131" customFormat="false" ht="15" hidden="false" customHeight="false" outlineLevel="0" collapsed="false">
      <c r="A131" s="27"/>
      <c r="B131" s="27"/>
      <c r="C131" s="27"/>
      <c r="D131" s="27"/>
      <c r="E131" s="27"/>
      <c r="F131" s="27"/>
      <c r="G131" s="27"/>
      <c r="H131" s="27"/>
      <c r="I131" s="27"/>
      <c r="J131" s="27"/>
      <c r="K131" s="27"/>
      <c r="L131" s="32" t="str">
        <f aca="false">IF(A131="","",N(I131)+N(J131)+N(K131))</f>
        <v/>
      </c>
      <c r="M131" s="32" t="str">
        <f aca="false">IF(A131="","",IF(L131&lt;=5,"Pre-Novice",IF(L131&lt;=10,"Novice","Open")))</f>
        <v/>
      </c>
      <c r="N131" s="27"/>
      <c r="O131" s="27"/>
      <c r="P131" s="27"/>
      <c r="Q131" s="27"/>
      <c r="R131" s="27"/>
      <c r="S131" s="27"/>
      <c r="T131" s="27"/>
      <c r="U131" s="27"/>
      <c r="V131" s="33" t="str">
        <f aca="false">IF(A131="","",IF(((O131&lt;&gt;"Yes")+(P131&lt;&gt;"Yes")+(Q131&lt;&gt;"Yes")+AND(B131="Yes",R131&lt;&gt;"Yes")+AND(OR(B131="Yes",ISNUMBER(SEARCH("grappling",F131))),S131&lt;&gt;"Yes"))=0,"READY",((O131&lt;&gt;"Yes")+(P131&lt;&gt;"Yes")+(Q131&lt;&gt;"Yes")+AND(B131="Yes",R131&lt;&gt;"Yes")+AND(OR(B131="Yes",ISNUMBER(SEARCH("grappling",F131))),S131&lt;&gt;"Yes"))&amp;" to do"))</f>
        <v/>
      </c>
      <c r="W131" s="27"/>
    </row>
    <row r="132" customFormat="false" ht="15" hidden="false" customHeight="false" outlineLevel="0" collapsed="false">
      <c r="A132" s="27"/>
      <c r="B132" s="27"/>
      <c r="C132" s="27"/>
      <c r="D132" s="27"/>
      <c r="E132" s="27"/>
      <c r="F132" s="27"/>
      <c r="G132" s="27"/>
      <c r="H132" s="27"/>
      <c r="I132" s="27"/>
      <c r="J132" s="27"/>
      <c r="K132" s="27"/>
      <c r="L132" s="32" t="str">
        <f aca="false">IF(A132="","",N(I132)+N(J132)+N(K132))</f>
        <v/>
      </c>
      <c r="M132" s="32" t="str">
        <f aca="false">IF(A132="","",IF(L132&lt;=5,"Pre-Novice",IF(L132&lt;=10,"Novice","Open")))</f>
        <v/>
      </c>
      <c r="N132" s="27"/>
      <c r="O132" s="27"/>
      <c r="P132" s="27"/>
      <c r="Q132" s="27"/>
      <c r="R132" s="27"/>
      <c r="S132" s="27"/>
      <c r="T132" s="27"/>
      <c r="U132" s="27"/>
      <c r="V132" s="33" t="str">
        <f aca="false">IF(A132="","",IF(((O132&lt;&gt;"Yes")+(P132&lt;&gt;"Yes")+(Q132&lt;&gt;"Yes")+AND(B132="Yes",R132&lt;&gt;"Yes")+AND(OR(B132="Yes",ISNUMBER(SEARCH("grappling",F132))),S132&lt;&gt;"Yes"))=0,"READY",((O132&lt;&gt;"Yes")+(P132&lt;&gt;"Yes")+(Q132&lt;&gt;"Yes")+AND(B132="Yes",R132&lt;&gt;"Yes")+AND(OR(B132="Yes",ISNUMBER(SEARCH("grappling",F132))),S132&lt;&gt;"Yes"))&amp;" to do"))</f>
        <v/>
      </c>
      <c r="W132" s="27"/>
    </row>
    <row r="133" customFormat="false" ht="15" hidden="false" customHeight="false" outlineLevel="0" collapsed="false">
      <c r="A133" s="27"/>
      <c r="B133" s="27"/>
      <c r="C133" s="27"/>
      <c r="D133" s="27"/>
      <c r="E133" s="27"/>
      <c r="F133" s="27"/>
      <c r="G133" s="27"/>
      <c r="H133" s="27"/>
      <c r="I133" s="27"/>
      <c r="J133" s="27"/>
      <c r="K133" s="27"/>
      <c r="L133" s="32" t="str">
        <f aca="false">IF(A133="","",N(I133)+N(J133)+N(K133))</f>
        <v/>
      </c>
      <c r="M133" s="32" t="str">
        <f aca="false">IF(A133="","",IF(L133&lt;=5,"Pre-Novice",IF(L133&lt;=10,"Novice","Open")))</f>
        <v/>
      </c>
      <c r="N133" s="27"/>
      <c r="O133" s="27"/>
      <c r="P133" s="27"/>
      <c r="Q133" s="27"/>
      <c r="R133" s="27"/>
      <c r="S133" s="27"/>
      <c r="T133" s="27"/>
      <c r="U133" s="27"/>
      <c r="V133" s="33" t="str">
        <f aca="false">IF(A133="","",IF(((O133&lt;&gt;"Yes")+(P133&lt;&gt;"Yes")+(Q133&lt;&gt;"Yes")+AND(B133="Yes",R133&lt;&gt;"Yes")+AND(OR(B133="Yes",ISNUMBER(SEARCH("grappling",F133))),S133&lt;&gt;"Yes"))=0,"READY",((O133&lt;&gt;"Yes")+(P133&lt;&gt;"Yes")+(Q133&lt;&gt;"Yes")+AND(B133="Yes",R133&lt;&gt;"Yes")+AND(OR(B133="Yes",ISNUMBER(SEARCH("grappling",F133))),S133&lt;&gt;"Yes"))&amp;" to do"))</f>
        <v/>
      </c>
      <c r="W133" s="27"/>
    </row>
    <row r="134" customFormat="false" ht="15" hidden="false" customHeight="false" outlineLevel="0" collapsed="false">
      <c r="A134" s="27"/>
      <c r="B134" s="27"/>
      <c r="C134" s="27"/>
      <c r="D134" s="27"/>
      <c r="E134" s="27"/>
      <c r="F134" s="27"/>
      <c r="G134" s="27"/>
      <c r="H134" s="27"/>
      <c r="I134" s="27"/>
      <c r="J134" s="27"/>
      <c r="K134" s="27"/>
      <c r="L134" s="32" t="str">
        <f aca="false">IF(A134="","",N(I134)+N(J134)+N(K134))</f>
        <v/>
      </c>
      <c r="M134" s="32" t="str">
        <f aca="false">IF(A134="","",IF(L134&lt;=5,"Pre-Novice",IF(L134&lt;=10,"Novice","Open")))</f>
        <v/>
      </c>
      <c r="N134" s="27"/>
      <c r="O134" s="27"/>
      <c r="P134" s="27"/>
      <c r="Q134" s="27"/>
      <c r="R134" s="27"/>
      <c r="S134" s="27"/>
      <c r="T134" s="27"/>
      <c r="U134" s="27"/>
      <c r="V134" s="33" t="str">
        <f aca="false">IF(A134="","",IF(((O134&lt;&gt;"Yes")+(P134&lt;&gt;"Yes")+(Q134&lt;&gt;"Yes")+AND(B134="Yes",R134&lt;&gt;"Yes")+AND(OR(B134="Yes",ISNUMBER(SEARCH("grappling",F134))),S134&lt;&gt;"Yes"))=0,"READY",((O134&lt;&gt;"Yes")+(P134&lt;&gt;"Yes")+(Q134&lt;&gt;"Yes")+AND(B134="Yes",R134&lt;&gt;"Yes")+AND(OR(B134="Yes",ISNUMBER(SEARCH("grappling",F134))),S134&lt;&gt;"Yes"))&amp;" to do"))</f>
        <v/>
      </c>
      <c r="W134" s="27"/>
    </row>
    <row r="135" customFormat="false" ht="15" hidden="false" customHeight="false" outlineLevel="0" collapsed="false">
      <c r="A135" s="27"/>
      <c r="B135" s="27"/>
      <c r="C135" s="27"/>
      <c r="D135" s="27"/>
      <c r="E135" s="27"/>
      <c r="F135" s="27"/>
      <c r="G135" s="27"/>
      <c r="H135" s="27"/>
      <c r="I135" s="27"/>
      <c r="J135" s="27"/>
      <c r="K135" s="27"/>
      <c r="L135" s="32" t="str">
        <f aca="false">IF(A135="","",N(I135)+N(J135)+N(K135))</f>
        <v/>
      </c>
      <c r="M135" s="32" t="str">
        <f aca="false">IF(A135="","",IF(L135&lt;=5,"Pre-Novice",IF(L135&lt;=10,"Novice","Open")))</f>
        <v/>
      </c>
      <c r="N135" s="27"/>
      <c r="O135" s="27"/>
      <c r="P135" s="27"/>
      <c r="Q135" s="27"/>
      <c r="R135" s="27"/>
      <c r="S135" s="27"/>
      <c r="T135" s="27"/>
      <c r="U135" s="27"/>
      <c r="V135" s="33" t="str">
        <f aca="false">IF(A135="","",IF(((O135&lt;&gt;"Yes")+(P135&lt;&gt;"Yes")+(Q135&lt;&gt;"Yes")+AND(B135="Yes",R135&lt;&gt;"Yes")+AND(OR(B135="Yes",ISNUMBER(SEARCH("grappling",F135))),S135&lt;&gt;"Yes"))=0,"READY",((O135&lt;&gt;"Yes")+(P135&lt;&gt;"Yes")+(Q135&lt;&gt;"Yes")+AND(B135="Yes",R135&lt;&gt;"Yes")+AND(OR(B135="Yes",ISNUMBER(SEARCH("grappling",F135))),S135&lt;&gt;"Yes"))&amp;" to do"))</f>
        <v/>
      </c>
      <c r="W135" s="27"/>
    </row>
    <row r="136" customFormat="false" ht="15" hidden="false" customHeight="false" outlineLevel="0" collapsed="false">
      <c r="A136" s="27"/>
      <c r="B136" s="27"/>
      <c r="C136" s="27"/>
      <c r="D136" s="27"/>
      <c r="E136" s="27"/>
      <c r="F136" s="27"/>
      <c r="G136" s="27"/>
      <c r="H136" s="27"/>
      <c r="I136" s="27"/>
      <c r="J136" s="27"/>
      <c r="K136" s="27"/>
      <c r="L136" s="32" t="str">
        <f aca="false">IF(A136="","",N(I136)+N(J136)+N(K136))</f>
        <v/>
      </c>
      <c r="M136" s="32" t="str">
        <f aca="false">IF(A136="","",IF(L136&lt;=5,"Pre-Novice",IF(L136&lt;=10,"Novice","Open")))</f>
        <v/>
      </c>
      <c r="N136" s="27"/>
      <c r="O136" s="27"/>
      <c r="P136" s="27"/>
      <c r="Q136" s="27"/>
      <c r="R136" s="27"/>
      <c r="S136" s="27"/>
      <c r="T136" s="27"/>
      <c r="U136" s="27"/>
      <c r="V136" s="33" t="str">
        <f aca="false">IF(A136="","",IF(((O136&lt;&gt;"Yes")+(P136&lt;&gt;"Yes")+(Q136&lt;&gt;"Yes")+AND(B136="Yes",R136&lt;&gt;"Yes")+AND(OR(B136="Yes",ISNUMBER(SEARCH("grappling",F136))),S136&lt;&gt;"Yes"))=0,"READY",((O136&lt;&gt;"Yes")+(P136&lt;&gt;"Yes")+(Q136&lt;&gt;"Yes")+AND(B136="Yes",R136&lt;&gt;"Yes")+AND(OR(B136="Yes",ISNUMBER(SEARCH("grappling",F136))),S136&lt;&gt;"Yes"))&amp;" to do"))</f>
        <v/>
      </c>
      <c r="W136" s="27"/>
    </row>
    <row r="137" customFormat="false" ht="15" hidden="false" customHeight="false" outlineLevel="0" collapsed="false">
      <c r="A137" s="27"/>
      <c r="B137" s="27"/>
      <c r="C137" s="27"/>
      <c r="D137" s="27"/>
      <c r="E137" s="27"/>
      <c r="F137" s="27"/>
      <c r="G137" s="27"/>
      <c r="H137" s="27"/>
      <c r="I137" s="27"/>
      <c r="J137" s="27"/>
      <c r="K137" s="27"/>
      <c r="L137" s="32" t="str">
        <f aca="false">IF(A137="","",N(I137)+N(J137)+N(K137))</f>
        <v/>
      </c>
      <c r="M137" s="32" t="str">
        <f aca="false">IF(A137="","",IF(L137&lt;=5,"Pre-Novice",IF(L137&lt;=10,"Novice","Open")))</f>
        <v/>
      </c>
      <c r="N137" s="27"/>
      <c r="O137" s="27"/>
      <c r="P137" s="27"/>
      <c r="Q137" s="27"/>
      <c r="R137" s="27"/>
      <c r="S137" s="27"/>
      <c r="T137" s="27"/>
      <c r="U137" s="27"/>
      <c r="V137" s="33" t="str">
        <f aca="false">IF(A137="","",IF(((O137&lt;&gt;"Yes")+(P137&lt;&gt;"Yes")+(Q137&lt;&gt;"Yes")+AND(B137="Yes",R137&lt;&gt;"Yes")+AND(OR(B137="Yes",ISNUMBER(SEARCH("grappling",F137))),S137&lt;&gt;"Yes"))=0,"READY",((O137&lt;&gt;"Yes")+(P137&lt;&gt;"Yes")+(Q137&lt;&gt;"Yes")+AND(B137="Yes",R137&lt;&gt;"Yes")+AND(OR(B137="Yes",ISNUMBER(SEARCH("grappling",F137))),S137&lt;&gt;"Yes"))&amp;" to do"))</f>
        <v/>
      </c>
      <c r="W137" s="27"/>
    </row>
    <row r="138" customFormat="false" ht="15" hidden="false" customHeight="false" outlineLevel="0" collapsed="false">
      <c r="A138" s="27"/>
      <c r="B138" s="27"/>
      <c r="C138" s="27"/>
      <c r="D138" s="27"/>
      <c r="E138" s="27"/>
      <c r="F138" s="27"/>
      <c r="G138" s="27"/>
      <c r="H138" s="27"/>
      <c r="I138" s="27"/>
      <c r="J138" s="27"/>
      <c r="K138" s="27"/>
      <c r="L138" s="32" t="str">
        <f aca="false">IF(A138="","",N(I138)+N(J138)+N(K138))</f>
        <v/>
      </c>
      <c r="M138" s="32" t="str">
        <f aca="false">IF(A138="","",IF(L138&lt;=5,"Pre-Novice",IF(L138&lt;=10,"Novice","Open")))</f>
        <v/>
      </c>
      <c r="N138" s="27"/>
      <c r="O138" s="27"/>
      <c r="P138" s="27"/>
      <c r="Q138" s="27"/>
      <c r="R138" s="27"/>
      <c r="S138" s="27"/>
      <c r="T138" s="27"/>
      <c r="U138" s="27"/>
      <c r="V138" s="33" t="str">
        <f aca="false">IF(A138="","",IF(((O138&lt;&gt;"Yes")+(P138&lt;&gt;"Yes")+(Q138&lt;&gt;"Yes")+AND(B138="Yes",R138&lt;&gt;"Yes")+AND(OR(B138="Yes",ISNUMBER(SEARCH("grappling",F138))),S138&lt;&gt;"Yes"))=0,"READY",((O138&lt;&gt;"Yes")+(P138&lt;&gt;"Yes")+(Q138&lt;&gt;"Yes")+AND(B138="Yes",R138&lt;&gt;"Yes")+AND(OR(B138="Yes",ISNUMBER(SEARCH("grappling",F138))),S138&lt;&gt;"Yes"))&amp;" to do"))</f>
        <v/>
      </c>
      <c r="W138" s="27"/>
    </row>
    <row r="139" customFormat="false" ht="15" hidden="false" customHeight="false" outlineLevel="0" collapsed="false">
      <c r="A139" s="27"/>
      <c r="B139" s="27"/>
      <c r="C139" s="27"/>
      <c r="D139" s="27"/>
      <c r="E139" s="27"/>
      <c r="F139" s="27"/>
      <c r="G139" s="27"/>
      <c r="H139" s="27"/>
      <c r="I139" s="27"/>
      <c r="J139" s="27"/>
      <c r="K139" s="27"/>
      <c r="L139" s="32" t="str">
        <f aca="false">IF(A139="","",N(I139)+N(J139)+N(K139))</f>
        <v/>
      </c>
      <c r="M139" s="32" t="str">
        <f aca="false">IF(A139="","",IF(L139&lt;=5,"Pre-Novice",IF(L139&lt;=10,"Novice","Open")))</f>
        <v/>
      </c>
      <c r="N139" s="27"/>
      <c r="O139" s="27"/>
      <c r="P139" s="27"/>
      <c r="Q139" s="27"/>
      <c r="R139" s="27"/>
      <c r="S139" s="27"/>
      <c r="T139" s="27"/>
      <c r="U139" s="27"/>
      <c r="V139" s="33" t="str">
        <f aca="false">IF(A139="","",IF(((O139&lt;&gt;"Yes")+(P139&lt;&gt;"Yes")+(Q139&lt;&gt;"Yes")+AND(B139="Yes",R139&lt;&gt;"Yes")+AND(OR(B139="Yes",ISNUMBER(SEARCH("grappling",F139))),S139&lt;&gt;"Yes"))=0,"READY",((O139&lt;&gt;"Yes")+(P139&lt;&gt;"Yes")+(Q139&lt;&gt;"Yes")+AND(B139="Yes",R139&lt;&gt;"Yes")+AND(OR(B139="Yes",ISNUMBER(SEARCH("grappling",F139))),S139&lt;&gt;"Yes"))&amp;" to do"))</f>
        <v/>
      </c>
      <c r="W139" s="27"/>
    </row>
    <row r="140" customFormat="false" ht="15" hidden="false" customHeight="false" outlineLevel="0" collapsed="false">
      <c r="A140" s="27"/>
      <c r="B140" s="27"/>
      <c r="C140" s="27"/>
      <c r="D140" s="27"/>
      <c r="E140" s="27"/>
      <c r="F140" s="27"/>
      <c r="G140" s="27"/>
      <c r="H140" s="27"/>
      <c r="I140" s="27"/>
      <c r="J140" s="27"/>
      <c r="K140" s="27"/>
      <c r="L140" s="32" t="str">
        <f aca="false">IF(A140="","",N(I140)+N(J140)+N(K140))</f>
        <v/>
      </c>
      <c r="M140" s="32" t="str">
        <f aca="false">IF(A140="","",IF(L140&lt;=5,"Pre-Novice",IF(L140&lt;=10,"Novice","Open")))</f>
        <v/>
      </c>
      <c r="N140" s="27"/>
      <c r="O140" s="27"/>
      <c r="P140" s="27"/>
      <c r="Q140" s="27"/>
      <c r="R140" s="27"/>
      <c r="S140" s="27"/>
      <c r="T140" s="27"/>
      <c r="U140" s="27"/>
      <c r="V140" s="33" t="str">
        <f aca="false">IF(A140="","",IF(((O140&lt;&gt;"Yes")+(P140&lt;&gt;"Yes")+(Q140&lt;&gt;"Yes")+AND(B140="Yes",R140&lt;&gt;"Yes")+AND(OR(B140="Yes",ISNUMBER(SEARCH("grappling",F140))),S140&lt;&gt;"Yes"))=0,"READY",((O140&lt;&gt;"Yes")+(P140&lt;&gt;"Yes")+(Q140&lt;&gt;"Yes")+AND(B140="Yes",R140&lt;&gt;"Yes")+AND(OR(B140="Yes",ISNUMBER(SEARCH("grappling",F140))),S140&lt;&gt;"Yes"))&amp;" to do"))</f>
        <v/>
      </c>
      <c r="W140" s="27"/>
    </row>
    <row r="141" customFormat="false" ht="15" hidden="false" customHeight="false" outlineLevel="0" collapsed="false">
      <c r="A141" s="27"/>
      <c r="B141" s="27"/>
      <c r="C141" s="27"/>
      <c r="D141" s="27"/>
      <c r="E141" s="27"/>
      <c r="F141" s="27"/>
      <c r="G141" s="27"/>
      <c r="H141" s="27"/>
      <c r="I141" s="27"/>
      <c r="J141" s="27"/>
      <c r="K141" s="27"/>
      <c r="L141" s="32" t="str">
        <f aca="false">IF(A141="","",N(I141)+N(J141)+N(K141))</f>
        <v/>
      </c>
      <c r="M141" s="32" t="str">
        <f aca="false">IF(A141="","",IF(L141&lt;=5,"Pre-Novice",IF(L141&lt;=10,"Novice","Open")))</f>
        <v/>
      </c>
      <c r="N141" s="27"/>
      <c r="O141" s="27"/>
      <c r="P141" s="27"/>
      <c r="Q141" s="27"/>
      <c r="R141" s="27"/>
      <c r="S141" s="27"/>
      <c r="T141" s="27"/>
      <c r="U141" s="27"/>
      <c r="V141" s="33" t="str">
        <f aca="false">IF(A141="","",IF(((O141&lt;&gt;"Yes")+(P141&lt;&gt;"Yes")+(Q141&lt;&gt;"Yes")+AND(B141="Yes",R141&lt;&gt;"Yes")+AND(OR(B141="Yes",ISNUMBER(SEARCH("grappling",F141))),S141&lt;&gt;"Yes"))=0,"READY",((O141&lt;&gt;"Yes")+(P141&lt;&gt;"Yes")+(Q141&lt;&gt;"Yes")+AND(B141="Yes",R141&lt;&gt;"Yes")+AND(OR(B141="Yes",ISNUMBER(SEARCH("grappling",F141))),S141&lt;&gt;"Yes"))&amp;" to do"))</f>
        <v/>
      </c>
      <c r="W141" s="27"/>
    </row>
    <row r="142" customFormat="false" ht="15" hidden="false" customHeight="false" outlineLevel="0" collapsed="false">
      <c r="A142" s="27"/>
      <c r="B142" s="27"/>
      <c r="C142" s="27"/>
      <c r="D142" s="27"/>
      <c r="E142" s="27"/>
      <c r="F142" s="27"/>
      <c r="G142" s="27"/>
      <c r="H142" s="27"/>
      <c r="I142" s="27"/>
      <c r="J142" s="27"/>
      <c r="K142" s="27"/>
      <c r="L142" s="32" t="str">
        <f aca="false">IF(A142="","",N(I142)+N(J142)+N(K142))</f>
        <v/>
      </c>
      <c r="M142" s="32" t="str">
        <f aca="false">IF(A142="","",IF(L142&lt;=5,"Pre-Novice",IF(L142&lt;=10,"Novice","Open")))</f>
        <v/>
      </c>
      <c r="N142" s="27"/>
      <c r="O142" s="27"/>
      <c r="P142" s="27"/>
      <c r="Q142" s="27"/>
      <c r="R142" s="27"/>
      <c r="S142" s="27"/>
      <c r="T142" s="27"/>
      <c r="U142" s="27"/>
      <c r="V142" s="33" t="str">
        <f aca="false">IF(A142="","",IF(((O142&lt;&gt;"Yes")+(P142&lt;&gt;"Yes")+(Q142&lt;&gt;"Yes")+AND(B142="Yes",R142&lt;&gt;"Yes")+AND(OR(B142="Yes",ISNUMBER(SEARCH("grappling",F142))),S142&lt;&gt;"Yes"))=0,"READY",((O142&lt;&gt;"Yes")+(P142&lt;&gt;"Yes")+(Q142&lt;&gt;"Yes")+AND(B142="Yes",R142&lt;&gt;"Yes")+AND(OR(B142="Yes",ISNUMBER(SEARCH("grappling",F142))),S142&lt;&gt;"Yes"))&amp;" to do"))</f>
        <v/>
      </c>
      <c r="W142" s="27"/>
    </row>
    <row r="143" customFormat="false" ht="15" hidden="false" customHeight="false" outlineLevel="0" collapsed="false">
      <c r="A143" s="27"/>
      <c r="B143" s="27"/>
      <c r="C143" s="27"/>
      <c r="D143" s="27"/>
      <c r="E143" s="27"/>
      <c r="F143" s="27"/>
      <c r="G143" s="27"/>
      <c r="H143" s="27"/>
      <c r="I143" s="27"/>
      <c r="J143" s="27"/>
      <c r="K143" s="27"/>
      <c r="L143" s="32" t="str">
        <f aca="false">IF(A143="","",N(I143)+N(J143)+N(K143))</f>
        <v/>
      </c>
      <c r="M143" s="32" t="str">
        <f aca="false">IF(A143="","",IF(L143&lt;=5,"Pre-Novice",IF(L143&lt;=10,"Novice","Open")))</f>
        <v/>
      </c>
      <c r="N143" s="27"/>
      <c r="O143" s="27"/>
      <c r="P143" s="27"/>
      <c r="Q143" s="27"/>
      <c r="R143" s="27"/>
      <c r="S143" s="27"/>
      <c r="T143" s="27"/>
      <c r="U143" s="27"/>
      <c r="V143" s="33" t="str">
        <f aca="false">IF(A143="","",IF(((O143&lt;&gt;"Yes")+(P143&lt;&gt;"Yes")+(Q143&lt;&gt;"Yes")+AND(B143="Yes",R143&lt;&gt;"Yes")+AND(OR(B143="Yes",ISNUMBER(SEARCH("grappling",F143))),S143&lt;&gt;"Yes"))=0,"READY",((O143&lt;&gt;"Yes")+(P143&lt;&gt;"Yes")+(Q143&lt;&gt;"Yes")+AND(B143="Yes",R143&lt;&gt;"Yes")+AND(OR(B143="Yes",ISNUMBER(SEARCH("grappling",F143))),S143&lt;&gt;"Yes"))&amp;" to do"))</f>
        <v/>
      </c>
      <c r="W143" s="27"/>
    </row>
    <row r="144" customFormat="false" ht="15" hidden="false" customHeight="false" outlineLevel="0" collapsed="false">
      <c r="A144" s="27"/>
      <c r="B144" s="27"/>
      <c r="C144" s="27"/>
      <c r="D144" s="27"/>
      <c r="E144" s="27"/>
      <c r="F144" s="27"/>
      <c r="G144" s="27"/>
      <c r="H144" s="27"/>
      <c r="I144" s="27"/>
      <c r="J144" s="27"/>
      <c r="K144" s="27"/>
      <c r="L144" s="32" t="str">
        <f aca="false">IF(A144="","",N(I144)+N(J144)+N(K144))</f>
        <v/>
      </c>
      <c r="M144" s="32" t="str">
        <f aca="false">IF(A144="","",IF(L144&lt;=5,"Pre-Novice",IF(L144&lt;=10,"Novice","Open")))</f>
        <v/>
      </c>
      <c r="N144" s="27"/>
      <c r="O144" s="27"/>
      <c r="P144" s="27"/>
      <c r="Q144" s="27"/>
      <c r="R144" s="27"/>
      <c r="S144" s="27"/>
      <c r="T144" s="27"/>
      <c r="U144" s="27"/>
      <c r="V144" s="33" t="str">
        <f aca="false">IF(A144="","",IF(((O144&lt;&gt;"Yes")+(P144&lt;&gt;"Yes")+(Q144&lt;&gt;"Yes")+AND(B144="Yes",R144&lt;&gt;"Yes")+AND(OR(B144="Yes",ISNUMBER(SEARCH("grappling",F144))),S144&lt;&gt;"Yes"))=0,"READY",((O144&lt;&gt;"Yes")+(P144&lt;&gt;"Yes")+(Q144&lt;&gt;"Yes")+AND(B144="Yes",R144&lt;&gt;"Yes")+AND(OR(B144="Yes",ISNUMBER(SEARCH("grappling",F144))),S144&lt;&gt;"Yes"))&amp;" to do"))</f>
        <v/>
      </c>
      <c r="W144" s="27"/>
    </row>
    <row r="145" customFormat="false" ht="15" hidden="false" customHeight="false" outlineLevel="0" collapsed="false">
      <c r="A145" s="27"/>
      <c r="B145" s="27"/>
      <c r="C145" s="27"/>
      <c r="D145" s="27"/>
      <c r="E145" s="27"/>
      <c r="F145" s="27"/>
      <c r="G145" s="27"/>
      <c r="H145" s="27"/>
      <c r="I145" s="27"/>
      <c r="J145" s="27"/>
      <c r="K145" s="27"/>
      <c r="L145" s="32" t="str">
        <f aca="false">IF(A145="","",N(I145)+N(J145)+N(K145))</f>
        <v/>
      </c>
      <c r="M145" s="32" t="str">
        <f aca="false">IF(A145="","",IF(L145&lt;=5,"Pre-Novice",IF(L145&lt;=10,"Novice","Open")))</f>
        <v/>
      </c>
      <c r="N145" s="27"/>
      <c r="O145" s="27"/>
      <c r="P145" s="27"/>
      <c r="Q145" s="27"/>
      <c r="R145" s="27"/>
      <c r="S145" s="27"/>
      <c r="T145" s="27"/>
      <c r="U145" s="27"/>
      <c r="V145" s="33" t="str">
        <f aca="false">IF(A145="","",IF(((O145&lt;&gt;"Yes")+(P145&lt;&gt;"Yes")+(Q145&lt;&gt;"Yes")+AND(B145="Yes",R145&lt;&gt;"Yes")+AND(OR(B145="Yes",ISNUMBER(SEARCH("grappling",F145))),S145&lt;&gt;"Yes"))=0,"READY",((O145&lt;&gt;"Yes")+(P145&lt;&gt;"Yes")+(Q145&lt;&gt;"Yes")+AND(B145="Yes",R145&lt;&gt;"Yes")+AND(OR(B145="Yes",ISNUMBER(SEARCH("grappling",F145))),S145&lt;&gt;"Yes"))&amp;" to do"))</f>
        <v/>
      </c>
      <c r="W145" s="27"/>
    </row>
    <row r="146" customFormat="false" ht="15" hidden="false" customHeight="false" outlineLevel="0" collapsed="false">
      <c r="A146" s="27"/>
      <c r="B146" s="27"/>
      <c r="C146" s="27"/>
      <c r="D146" s="27"/>
      <c r="E146" s="27"/>
      <c r="F146" s="27"/>
      <c r="G146" s="27"/>
      <c r="H146" s="27"/>
      <c r="I146" s="27"/>
      <c r="J146" s="27"/>
      <c r="K146" s="27"/>
      <c r="L146" s="32" t="str">
        <f aca="false">IF(A146="","",N(I146)+N(J146)+N(K146))</f>
        <v/>
      </c>
      <c r="M146" s="32" t="str">
        <f aca="false">IF(A146="","",IF(L146&lt;=5,"Pre-Novice",IF(L146&lt;=10,"Novice","Open")))</f>
        <v/>
      </c>
      <c r="N146" s="27"/>
      <c r="O146" s="27"/>
      <c r="P146" s="27"/>
      <c r="Q146" s="27"/>
      <c r="R146" s="27"/>
      <c r="S146" s="27"/>
      <c r="T146" s="27"/>
      <c r="U146" s="27"/>
      <c r="V146" s="33" t="str">
        <f aca="false">IF(A146="","",IF(((O146&lt;&gt;"Yes")+(P146&lt;&gt;"Yes")+(Q146&lt;&gt;"Yes")+AND(B146="Yes",R146&lt;&gt;"Yes")+AND(OR(B146="Yes",ISNUMBER(SEARCH("grappling",F146))),S146&lt;&gt;"Yes"))=0,"READY",((O146&lt;&gt;"Yes")+(P146&lt;&gt;"Yes")+(Q146&lt;&gt;"Yes")+AND(B146="Yes",R146&lt;&gt;"Yes")+AND(OR(B146="Yes",ISNUMBER(SEARCH("grappling",F146))),S146&lt;&gt;"Yes"))&amp;" to do"))</f>
        <v/>
      </c>
      <c r="W146" s="27"/>
    </row>
    <row r="147" customFormat="false" ht="15" hidden="false" customHeight="false" outlineLevel="0" collapsed="false">
      <c r="A147" s="27"/>
      <c r="B147" s="27"/>
      <c r="C147" s="27"/>
      <c r="D147" s="27"/>
      <c r="E147" s="27"/>
      <c r="F147" s="27"/>
      <c r="G147" s="27"/>
      <c r="H147" s="27"/>
      <c r="I147" s="27"/>
      <c r="J147" s="27"/>
      <c r="K147" s="27"/>
      <c r="L147" s="32" t="str">
        <f aca="false">IF(A147="","",N(I147)+N(J147)+N(K147))</f>
        <v/>
      </c>
      <c r="M147" s="32" t="str">
        <f aca="false">IF(A147="","",IF(L147&lt;=5,"Pre-Novice",IF(L147&lt;=10,"Novice","Open")))</f>
        <v/>
      </c>
      <c r="N147" s="27"/>
      <c r="O147" s="27"/>
      <c r="P147" s="27"/>
      <c r="Q147" s="27"/>
      <c r="R147" s="27"/>
      <c r="S147" s="27"/>
      <c r="T147" s="27"/>
      <c r="U147" s="27"/>
      <c r="V147" s="33" t="str">
        <f aca="false">IF(A147="","",IF(((O147&lt;&gt;"Yes")+(P147&lt;&gt;"Yes")+(Q147&lt;&gt;"Yes")+AND(B147="Yes",R147&lt;&gt;"Yes")+AND(OR(B147="Yes",ISNUMBER(SEARCH("grappling",F147))),S147&lt;&gt;"Yes"))=0,"READY",((O147&lt;&gt;"Yes")+(P147&lt;&gt;"Yes")+(Q147&lt;&gt;"Yes")+AND(B147="Yes",R147&lt;&gt;"Yes")+AND(OR(B147="Yes",ISNUMBER(SEARCH("grappling",F147))),S147&lt;&gt;"Yes"))&amp;" to do"))</f>
        <v/>
      </c>
      <c r="W147" s="27"/>
    </row>
    <row r="148" customFormat="false" ht="15" hidden="false" customHeight="false" outlineLevel="0" collapsed="false">
      <c r="A148" s="27"/>
      <c r="B148" s="27"/>
      <c r="C148" s="27"/>
      <c r="D148" s="27"/>
      <c r="E148" s="27"/>
      <c r="F148" s="27"/>
      <c r="G148" s="27"/>
      <c r="H148" s="27"/>
      <c r="I148" s="27"/>
      <c r="J148" s="27"/>
      <c r="K148" s="27"/>
      <c r="L148" s="32" t="str">
        <f aca="false">IF(A148="","",N(I148)+N(J148)+N(K148))</f>
        <v/>
      </c>
      <c r="M148" s="32" t="str">
        <f aca="false">IF(A148="","",IF(L148&lt;=5,"Pre-Novice",IF(L148&lt;=10,"Novice","Open")))</f>
        <v/>
      </c>
      <c r="N148" s="27"/>
      <c r="O148" s="27"/>
      <c r="P148" s="27"/>
      <c r="Q148" s="27"/>
      <c r="R148" s="27"/>
      <c r="S148" s="27"/>
      <c r="T148" s="27"/>
      <c r="U148" s="27"/>
      <c r="V148" s="33" t="str">
        <f aca="false">IF(A148="","",IF(((O148&lt;&gt;"Yes")+(P148&lt;&gt;"Yes")+(Q148&lt;&gt;"Yes")+AND(B148="Yes",R148&lt;&gt;"Yes")+AND(OR(B148="Yes",ISNUMBER(SEARCH("grappling",F148))),S148&lt;&gt;"Yes"))=0,"READY",((O148&lt;&gt;"Yes")+(P148&lt;&gt;"Yes")+(Q148&lt;&gt;"Yes")+AND(B148="Yes",R148&lt;&gt;"Yes")+AND(OR(B148="Yes",ISNUMBER(SEARCH("grappling",F148))),S148&lt;&gt;"Yes"))&amp;" to do"))</f>
        <v/>
      </c>
      <c r="W148" s="27"/>
    </row>
    <row r="149" customFormat="false" ht="15" hidden="false" customHeight="false" outlineLevel="0" collapsed="false">
      <c r="A149" s="27"/>
      <c r="B149" s="27"/>
      <c r="C149" s="27"/>
      <c r="D149" s="27"/>
      <c r="E149" s="27"/>
      <c r="F149" s="27"/>
      <c r="G149" s="27"/>
      <c r="H149" s="27"/>
      <c r="I149" s="27"/>
      <c r="J149" s="27"/>
      <c r="K149" s="27"/>
      <c r="L149" s="32" t="str">
        <f aca="false">IF(A149="","",N(I149)+N(J149)+N(K149))</f>
        <v/>
      </c>
      <c r="M149" s="32" t="str">
        <f aca="false">IF(A149="","",IF(L149&lt;=5,"Pre-Novice",IF(L149&lt;=10,"Novice","Open")))</f>
        <v/>
      </c>
      <c r="N149" s="27"/>
      <c r="O149" s="27"/>
      <c r="P149" s="27"/>
      <c r="Q149" s="27"/>
      <c r="R149" s="27"/>
      <c r="S149" s="27"/>
      <c r="T149" s="27"/>
      <c r="U149" s="27"/>
      <c r="V149" s="33" t="str">
        <f aca="false">IF(A149="","",IF(((O149&lt;&gt;"Yes")+(P149&lt;&gt;"Yes")+(Q149&lt;&gt;"Yes")+AND(B149="Yes",R149&lt;&gt;"Yes")+AND(OR(B149="Yes",ISNUMBER(SEARCH("grappling",F149))),S149&lt;&gt;"Yes"))=0,"READY",((O149&lt;&gt;"Yes")+(P149&lt;&gt;"Yes")+(Q149&lt;&gt;"Yes")+AND(B149="Yes",R149&lt;&gt;"Yes")+AND(OR(B149="Yes",ISNUMBER(SEARCH("grappling",F149))),S149&lt;&gt;"Yes"))&amp;" to do"))</f>
        <v/>
      </c>
      <c r="W149" s="27"/>
    </row>
    <row r="150" customFormat="false" ht="15" hidden="false" customHeight="false" outlineLevel="0" collapsed="false">
      <c r="A150" s="27"/>
      <c r="B150" s="27"/>
      <c r="C150" s="27"/>
      <c r="D150" s="27"/>
      <c r="E150" s="27"/>
      <c r="F150" s="27"/>
      <c r="G150" s="27"/>
      <c r="H150" s="27"/>
      <c r="I150" s="27"/>
      <c r="J150" s="27"/>
      <c r="K150" s="27"/>
      <c r="L150" s="32" t="str">
        <f aca="false">IF(A150="","",N(I150)+N(J150)+N(K150))</f>
        <v/>
      </c>
      <c r="M150" s="32" t="str">
        <f aca="false">IF(A150="","",IF(L150&lt;=5,"Pre-Novice",IF(L150&lt;=10,"Novice","Open")))</f>
        <v/>
      </c>
      <c r="N150" s="27"/>
      <c r="O150" s="27"/>
      <c r="P150" s="27"/>
      <c r="Q150" s="27"/>
      <c r="R150" s="27"/>
      <c r="S150" s="27"/>
      <c r="T150" s="27"/>
      <c r="U150" s="27"/>
      <c r="V150" s="33" t="str">
        <f aca="false">IF(A150="","",IF(((O150&lt;&gt;"Yes")+(P150&lt;&gt;"Yes")+(Q150&lt;&gt;"Yes")+AND(B150="Yes",R150&lt;&gt;"Yes")+AND(OR(B150="Yes",ISNUMBER(SEARCH("grappling",F150))),S150&lt;&gt;"Yes"))=0,"READY",((O150&lt;&gt;"Yes")+(P150&lt;&gt;"Yes")+(Q150&lt;&gt;"Yes")+AND(B150="Yes",R150&lt;&gt;"Yes")+AND(OR(B150="Yes",ISNUMBER(SEARCH("grappling",F150))),S150&lt;&gt;"Yes"))&amp;" to do"))</f>
        <v/>
      </c>
      <c r="W150" s="27"/>
    </row>
    <row r="151" customFormat="false" ht="15" hidden="false" customHeight="false" outlineLevel="0" collapsed="false">
      <c r="A151" s="27"/>
      <c r="B151" s="27"/>
      <c r="C151" s="27"/>
      <c r="D151" s="27"/>
      <c r="E151" s="27"/>
      <c r="F151" s="27"/>
      <c r="G151" s="27"/>
      <c r="H151" s="27"/>
      <c r="I151" s="27"/>
      <c r="J151" s="27"/>
      <c r="K151" s="27"/>
      <c r="L151" s="32" t="str">
        <f aca="false">IF(A151="","",N(I151)+N(J151)+N(K151))</f>
        <v/>
      </c>
      <c r="M151" s="32" t="str">
        <f aca="false">IF(A151="","",IF(L151&lt;=5,"Pre-Novice",IF(L151&lt;=10,"Novice","Open")))</f>
        <v/>
      </c>
      <c r="N151" s="27"/>
      <c r="O151" s="27"/>
      <c r="P151" s="27"/>
      <c r="Q151" s="27"/>
      <c r="R151" s="27"/>
      <c r="S151" s="27"/>
      <c r="T151" s="27"/>
      <c r="U151" s="27"/>
      <c r="V151" s="33" t="str">
        <f aca="false">IF(A151="","",IF(((O151&lt;&gt;"Yes")+(P151&lt;&gt;"Yes")+(Q151&lt;&gt;"Yes")+AND(B151="Yes",R151&lt;&gt;"Yes")+AND(OR(B151="Yes",ISNUMBER(SEARCH("grappling",F151))),S151&lt;&gt;"Yes"))=0,"READY",((O151&lt;&gt;"Yes")+(P151&lt;&gt;"Yes")+(Q151&lt;&gt;"Yes")+AND(B151="Yes",R151&lt;&gt;"Yes")+AND(OR(B151="Yes",ISNUMBER(SEARCH("grappling",F151))),S151&lt;&gt;"Yes"))&amp;" to do"))</f>
        <v/>
      </c>
      <c r="W151" s="27"/>
    </row>
    <row r="152" customFormat="false" ht="15" hidden="false" customHeight="false" outlineLevel="0" collapsed="false">
      <c r="A152" s="27"/>
      <c r="B152" s="27"/>
      <c r="C152" s="27"/>
      <c r="D152" s="27"/>
      <c r="E152" s="27"/>
      <c r="F152" s="27"/>
      <c r="G152" s="27"/>
      <c r="H152" s="27"/>
      <c r="I152" s="27"/>
      <c r="J152" s="27"/>
      <c r="K152" s="27"/>
      <c r="L152" s="32" t="str">
        <f aca="false">IF(A152="","",N(I152)+N(J152)+N(K152))</f>
        <v/>
      </c>
      <c r="M152" s="32" t="str">
        <f aca="false">IF(A152="","",IF(L152&lt;=5,"Pre-Novice",IF(L152&lt;=10,"Novice","Open")))</f>
        <v/>
      </c>
      <c r="N152" s="27"/>
      <c r="O152" s="27"/>
      <c r="P152" s="27"/>
      <c r="Q152" s="27"/>
      <c r="R152" s="27"/>
      <c r="S152" s="27"/>
      <c r="T152" s="27"/>
      <c r="U152" s="27"/>
      <c r="V152" s="33" t="str">
        <f aca="false">IF(A152="","",IF(((O152&lt;&gt;"Yes")+(P152&lt;&gt;"Yes")+(Q152&lt;&gt;"Yes")+AND(B152="Yes",R152&lt;&gt;"Yes")+AND(OR(B152="Yes",ISNUMBER(SEARCH("grappling",F152))),S152&lt;&gt;"Yes"))=0,"READY",((O152&lt;&gt;"Yes")+(P152&lt;&gt;"Yes")+(Q152&lt;&gt;"Yes")+AND(B152="Yes",R152&lt;&gt;"Yes")+AND(OR(B152="Yes",ISNUMBER(SEARCH("grappling",F152))),S152&lt;&gt;"Yes"))&amp;" to do"))</f>
        <v/>
      </c>
      <c r="W152" s="27"/>
    </row>
    <row r="153" customFormat="false" ht="15" hidden="false" customHeight="false" outlineLevel="0" collapsed="false">
      <c r="A153" s="27"/>
      <c r="B153" s="27"/>
      <c r="C153" s="27"/>
      <c r="D153" s="27"/>
      <c r="E153" s="27"/>
      <c r="F153" s="27"/>
      <c r="G153" s="27"/>
      <c r="H153" s="27"/>
      <c r="I153" s="27"/>
      <c r="J153" s="27"/>
      <c r="K153" s="27"/>
      <c r="L153" s="32" t="str">
        <f aca="false">IF(A153="","",N(I153)+N(J153)+N(K153))</f>
        <v/>
      </c>
      <c r="M153" s="32" t="str">
        <f aca="false">IF(A153="","",IF(L153&lt;=5,"Pre-Novice",IF(L153&lt;=10,"Novice","Open")))</f>
        <v/>
      </c>
      <c r="N153" s="27"/>
      <c r="O153" s="27"/>
      <c r="P153" s="27"/>
      <c r="Q153" s="27"/>
      <c r="R153" s="27"/>
      <c r="S153" s="27"/>
      <c r="T153" s="27"/>
      <c r="U153" s="27"/>
      <c r="V153" s="33" t="str">
        <f aca="false">IF(A153="","",IF(((O153&lt;&gt;"Yes")+(P153&lt;&gt;"Yes")+(Q153&lt;&gt;"Yes")+AND(B153="Yes",R153&lt;&gt;"Yes")+AND(OR(B153="Yes",ISNUMBER(SEARCH("grappling",F153))),S153&lt;&gt;"Yes"))=0,"READY",((O153&lt;&gt;"Yes")+(P153&lt;&gt;"Yes")+(Q153&lt;&gt;"Yes")+AND(B153="Yes",R153&lt;&gt;"Yes")+AND(OR(B153="Yes",ISNUMBER(SEARCH("grappling",F153))),S153&lt;&gt;"Yes"))&amp;" to do"))</f>
        <v/>
      </c>
      <c r="W153" s="27"/>
    </row>
    <row r="154" customFormat="false" ht="15" hidden="false" customHeight="false" outlineLevel="0" collapsed="false">
      <c r="A154" s="27"/>
      <c r="B154" s="27"/>
      <c r="C154" s="27"/>
      <c r="D154" s="27"/>
      <c r="E154" s="27"/>
      <c r="F154" s="27"/>
      <c r="G154" s="27"/>
      <c r="H154" s="27"/>
      <c r="I154" s="27"/>
      <c r="J154" s="27"/>
      <c r="K154" s="27"/>
      <c r="L154" s="32" t="str">
        <f aca="false">IF(A154="","",N(I154)+N(J154)+N(K154))</f>
        <v/>
      </c>
      <c r="M154" s="32" t="str">
        <f aca="false">IF(A154="","",IF(L154&lt;=5,"Pre-Novice",IF(L154&lt;=10,"Novice","Open")))</f>
        <v/>
      </c>
      <c r="N154" s="27"/>
      <c r="O154" s="27"/>
      <c r="P154" s="27"/>
      <c r="Q154" s="27"/>
      <c r="R154" s="27"/>
      <c r="S154" s="27"/>
      <c r="T154" s="27"/>
      <c r="U154" s="27"/>
      <c r="V154" s="33" t="str">
        <f aca="false">IF(A154="","",IF(((O154&lt;&gt;"Yes")+(P154&lt;&gt;"Yes")+(Q154&lt;&gt;"Yes")+AND(B154="Yes",R154&lt;&gt;"Yes")+AND(OR(B154="Yes",ISNUMBER(SEARCH("grappling",F154))),S154&lt;&gt;"Yes"))=0,"READY",((O154&lt;&gt;"Yes")+(P154&lt;&gt;"Yes")+(Q154&lt;&gt;"Yes")+AND(B154="Yes",R154&lt;&gt;"Yes")+AND(OR(B154="Yes",ISNUMBER(SEARCH("grappling",F154))),S154&lt;&gt;"Yes"))&amp;" to do"))</f>
        <v/>
      </c>
      <c r="W154" s="27"/>
    </row>
    <row r="155" customFormat="false" ht="15" hidden="false" customHeight="false" outlineLevel="0" collapsed="false">
      <c r="A155" s="27"/>
      <c r="B155" s="27"/>
      <c r="C155" s="27"/>
      <c r="D155" s="27"/>
      <c r="E155" s="27"/>
      <c r="F155" s="27"/>
      <c r="G155" s="27"/>
      <c r="H155" s="27"/>
      <c r="I155" s="27"/>
      <c r="J155" s="27"/>
      <c r="K155" s="27"/>
      <c r="L155" s="32" t="str">
        <f aca="false">IF(A155="","",N(I155)+N(J155)+N(K155))</f>
        <v/>
      </c>
      <c r="M155" s="32" t="str">
        <f aca="false">IF(A155="","",IF(L155&lt;=5,"Pre-Novice",IF(L155&lt;=10,"Novice","Open")))</f>
        <v/>
      </c>
      <c r="N155" s="27"/>
      <c r="O155" s="27"/>
      <c r="P155" s="27"/>
      <c r="Q155" s="27"/>
      <c r="R155" s="27"/>
      <c r="S155" s="27"/>
      <c r="T155" s="27"/>
      <c r="U155" s="27"/>
      <c r="V155" s="33" t="str">
        <f aca="false">IF(A155="","",IF(((O155&lt;&gt;"Yes")+(P155&lt;&gt;"Yes")+(Q155&lt;&gt;"Yes")+AND(B155="Yes",R155&lt;&gt;"Yes")+AND(OR(B155="Yes",ISNUMBER(SEARCH("grappling",F155))),S155&lt;&gt;"Yes"))=0,"READY",((O155&lt;&gt;"Yes")+(P155&lt;&gt;"Yes")+(Q155&lt;&gt;"Yes")+AND(B155="Yes",R155&lt;&gt;"Yes")+AND(OR(B155="Yes",ISNUMBER(SEARCH("grappling",F155))),S155&lt;&gt;"Yes"))&amp;" to do"))</f>
        <v/>
      </c>
      <c r="W155" s="27"/>
    </row>
    <row r="156" customFormat="false" ht="15" hidden="false" customHeight="false" outlineLevel="0" collapsed="false">
      <c r="A156" s="27"/>
      <c r="B156" s="27"/>
      <c r="C156" s="27"/>
      <c r="D156" s="27"/>
      <c r="E156" s="27"/>
      <c r="F156" s="27"/>
      <c r="G156" s="27"/>
      <c r="H156" s="27"/>
      <c r="I156" s="27"/>
      <c r="J156" s="27"/>
      <c r="K156" s="27"/>
      <c r="L156" s="32" t="str">
        <f aca="false">IF(A156="","",N(I156)+N(J156)+N(K156))</f>
        <v/>
      </c>
      <c r="M156" s="32" t="str">
        <f aca="false">IF(A156="","",IF(L156&lt;=5,"Pre-Novice",IF(L156&lt;=10,"Novice","Open")))</f>
        <v/>
      </c>
      <c r="N156" s="27"/>
      <c r="O156" s="27"/>
      <c r="P156" s="27"/>
      <c r="Q156" s="27"/>
      <c r="R156" s="27"/>
      <c r="S156" s="27"/>
      <c r="T156" s="27"/>
      <c r="U156" s="27"/>
      <c r="V156" s="33" t="str">
        <f aca="false">IF(A156="","",IF(((O156&lt;&gt;"Yes")+(P156&lt;&gt;"Yes")+(Q156&lt;&gt;"Yes")+AND(B156="Yes",R156&lt;&gt;"Yes")+AND(OR(B156="Yes",ISNUMBER(SEARCH("grappling",F156))),S156&lt;&gt;"Yes"))=0,"READY",((O156&lt;&gt;"Yes")+(P156&lt;&gt;"Yes")+(Q156&lt;&gt;"Yes")+AND(B156="Yes",R156&lt;&gt;"Yes")+AND(OR(B156="Yes",ISNUMBER(SEARCH("grappling",F156))),S156&lt;&gt;"Yes"))&amp;" to do"))</f>
        <v/>
      </c>
      <c r="W156" s="27"/>
    </row>
    <row r="157" customFormat="false" ht="15" hidden="false" customHeight="false" outlineLevel="0" collapsed="false">
      <c r="A157" s="27"/>
      <c r="B157" s="27"/>
      <c r="C157" s="27"/>
      <c r="D157" s="27"/>
      <c r="E157" s="27"/>
      <c r="F157" s="27"/>
      <c r="G157" s="27"/>
      <c r="H157" s="27"/>
      <c r="I157" s="27"/>
      <c r="J157" s="27"/>
      <c r="K157" s="27"/>
      <c r="L157" s="32" t="str">
        <f aca="false">IF(A157="","",N(I157)+N(J157)+N(K157))</f>
        <v/>
      </c>
      <c r="M157" s="32" t="str">
        <f aca="false">IF(A157="","",IF(L157&lt;=5,"Pre-Novice",IF(L157&lt;=10,"Novice","Open")))</f>
        <v/>
      </c>
      <c r="N157" s="27"/>
      <c r="O157" s="27"/>
      <c r="P157" s="27"/>
      <c r="Q157" s="27"/>
      <c r="R157" s="27"/>
      <c r="S157" s="27"/>
      <c r="T157" s="27"/>
      <c r="U157" s="27"/>
      <c r="V157" s="33" t="str">
        <f aca="false">IF(A157="","",IF(((O157&lt;&gt;"Yes")+(P157&lt;&gt;"Yes")+(Q157&lt;&gt;"Yes")+AND(B157="Yes",R157&lt;&gt;"Yes")+AND(OR(B157="Yes",ISNUMBER(SEARCH("grappling",F157))),S157&lt;&gt;"Yes"))=0,"READY",((O157&lt;&gt;"Yes")+(P157&lt;&gt;"Yes")+(Q157&lt;&gt;"Yes")+AND(B157="Yes",R157&lt;&gt;"Yes")+AND(OR(B157="Yes",ISNUMBER(SEARCH("grappling",F157))),S157&lt;&gt;"Yes"))&amp;" to do"))</f>
        <v/>
      </c>
      <c r="W157" s="27"/>
    </row>
    <row r="158" customFormat="false" ht="15" hidden="false" customHeight="false" outlineLevel="0" collapsed="false">
      <c r="A158" s="27"/>
      <c r="B158" s="27"/>
      <c r="C158" s="27"/>
      <c r="D158" s="27"/>
      <c r="E158" s="27"/>
      <c r="F158" s="27"/>
      <c r="G158" s="27"/>
      <c r="H158" s="27"/>
      <c r="I158" s="27"/>
      <c r="J158" s="27"/>
      <c r="K158" s="27"/>
      <c r="L158" s="32" t="str">
        <f aca="false">IF(A158="","",N(I158)+N(J158)+N(K158))</f>
        <v/>
      </c>
      <c r="M158" s="32" t="str">
        <f aca="false">IF(A158="","",IF(L158&lt;=5,"Pre-Novice",IF(L158&lt;=10,"Novice","Open")))</f>
        <v/>
      </c>
      <c r="N158" s="27"/>
      <c r="O158" s="27"/>
      <c r="P158" s="27"/>
      <c r="Q158" s="27"/>
      <c r="R158" s="27"/>
      <c r="S158" s="27"/>
      <c r="T158" s="27"/>
      <c r="U158" s="27"/>
      <c r="V158" s="33" t="str">
        <f aca="false">IF(A158="","",IF(((O158&lt;&gt;"Yes")+(P158&lt;&gt;"Yes")+(Q158&lt;&gt;"Yes")+AND(B158="Yes",R158&lt;&gt;"Yes")+AND(OR(B158="Yes",ISNUMBER(SEARCH("grappling",F158))),S158&lt;&gt;"Yes"))=0,"READY",((O158&lt;&gt;"Yes")+(P158&lt;&gt;"Yes")+(Q158&lt;&gt;"Yes")+AND(B158="Yes",R158&lt;&gt;"Yes")+AND(OR(B158="Yes",ISNUMBER(SEARCH("grappling",F158))),S158&lt;&gt;"Yes"))&amp;" to do"))</f>
        <v/>
      </c>
      <c r="W158" s="27"/>
    </row>
    <row r="159" customFormat="false" ht="15" hidden="false" customHeight="false" outlineLevel="0" collapsed="false">
      <c r="A159" s="27"/>
      <c r="B159" s="27"/>
      <c r="C159" s="27"/>
      <c r="D159" s="27"/>
      <c r="E159" s="27"/>
      <c r="F159" s="27"/>
      <c r="G159" s="27"/>
      <c r="H159" s="27"/>
      <c r="I159" s="27"/>
      <c r="J159" s="27"/>
      <c r="K159" s="27"/>
      <c r="L159" s="32" t="str">
        <f aca="false">IF(A159="","",N(I159)+N(J159)+N(K159))</f>
        <v/>
      </c>
      <c r="M159" s="32" t="str">
        <f aca="false">IF(A159="","",IF(L159&lt;=5,"Pre-Novice",IF(L159&lt;=10,"Novice","Open")))</f>
        <v/>
      </c>
      <c r="N159" s="27"/>
      <c r="O159" s="27"/>
      <c r="P159" s="27"/>
      <c r="Q159" s="27"/>
      <c r="R159" s="27"/>
      <c r="S159" s="27"/>
      <c r="T159" s="27"/>
      <c r="U159" s="27"/>
      <c r="V159" s="33" t="str">
        <f aca="false">IF(A159="","",IF(((O159&lt;&gt;"Yes")+(P159&lt;&gt;"Yes")+(Q159&lt;&gt;"Yes")+AND(B159="Yes",R159&lt;&gt;"Yes")+AND(OR(B159="Yes",ISNUMBER(SEARCH("grappling",F159))),S159&lt;&gt;"Yes"))=0,"READY",((O159&lt;&gt;"Yes")+(P159&lt;&gt;"Yes")+(Q159&lt;&gt;"Yes")+AND(B159="Yes",R159&lt;&gt;"Yes")+AND(OR(B159="Yes",ISNUMBER(SEARCH("grappling",F159))),S159&lt;&gt;"Yes"))&amp;" to do"))</f>
        <v/>
      </c>
      <c r="W159" s="27"/>
    </row>
    <row r="160" customFormat="false" ht="15" hidden="false" customHeight="false" outlineLevel="0" collapsed="false">
      <c r="A160" s="27"/>
      <c r="B160" s="27"/>
      <c r="C160" s="27"/>
      <c r="D160" s="27"/>
      <c r="E160" s="27"/>
      <c r="F160" s="27"/>
      <c r="G160" s="27"/>
      <c r="H160" s="27"/>
      <c r="I160" s="27"/>
      <c r="J160" s="27"/>
      <c r="K160" s="27"/>
      <c r="L160" s="32" t="str">
        <f aca="false">IF(A160="","",N(I160)+N(J160)+N(K160))</f>
        <v/>
      </c>
      <c r="M160" s="32" t="str">
        <f aca="false">IF(A160="","",IF(L160&lt;=5,"Pre-Novice",IF(L160&lt;=10,"Novice","Open")))</f>
        <v/>
      </c>
      <c r="N160" s="27"/>
      <c r="O160" s="27"/>
      <c r="P160" s="27"/>
      <c r="Q160" s="27"/>
      <c r="R160" s="27"/>
      <c r="S160" s="27"/>
      <c r="T160" s="27"/>
      <c r="U160" s="27"/>
      <c r="V160" s="33" t="str">
        <f aca="false">IF(A160="","",IF(((O160&lt;&gt;"Yes")+(P160&lt;&gt;"Yes")+(Q160&lt;&gt;"Yes")+AND(B160="Yes",R160&lt;&gt;"Yes")+AND(OR(B160="Yes",ISNUMBER(SEARCH("grappling",F160))),S160&lt;&gt;"Yes"))=0,"READY",((O160&lt;&gt;"Yes")+(P160&lt;&gt;"Yes")+(Q160&lt;&gt;"Yes")+AND(B160="Yes",R160&lt;&gt;"Yes")+AND(OR(B160="Yes",ISNUMBER(SEARCH("grappling",F160))),S160&lt;&gt;"Yes"))&amp;" to do"))</f>
        <v/>
      </c>
      <c r="W160" s="27"/>
    </row>
    <row r="161" customFormat="false" ht="15" hidden="false" customHeight="false" outlineLevel="0" collapsed="false">
      <c r="A161" s="27"/>
      <c r="B161" s="27"/>
      <c r="C161" s="27"/>
      <c r="D161" s="27"/>
      <c r="E161" s="27"/>
      <c r="F161" s="27"/>
      <c r="G161" s="27"/>
      <c r="H161" s="27"/>
      <c r="I161" s="27"/>
      <c r="J161" s="27"/>
      <c r="K161" s="27"/>
      <c r="L161" s="32" t="str">
        <f aca="false">IF(A161="","",N(I161)+N(J161)+N(K161))</f>
        <v/>
      </c>
      <c r="M161" s="32" t="str">
        <f aca="false">IF(A161="","",IF(L161&lt;=5,"Pre-Novice",IF(L161&lt;=10,"Novice","Open")))</f>
        <v/>
      </c>
      <c r="N161" s="27"/>
      <c r="O161" s="27"/>
      <c r="P161" s="27"/>
      <c r="Q161" s="27"/>
      <c r="R161" s="27"/>
      <c r="S161" s="27"/>
      <c r="T161" s="27"/>
      <c r="U161" s="27"/>
      <c r="V161" s="33" t="str">
        <f aca="false">IF(A161="","",IF(((O161&lt;&gt;"Yes")+(P161&lt;&gt;"Yes")+(Q161&lt;&gt;"Yes")+AND(B161="Yes",R161&lt;&gt;"Yes")+AND(OR(B161="Yes",ISNUMBER(SEARCH("grappling",F161))),S161&lt;&gt;"Yes"))=0,"READY",((O161&lt;&gt;"Yes")+(P161&lt;&gt;"Yes")+(Q161&lt;&gt;"Yes")+AND(B161="Yes",R161&lt;&gt;"Yes")+AND(OR(B161="Yes",ISNUMBER(SEARCH("grappling",F161))),S161&lt;&gt;"Yes"))&amp;" to do"))</f>
        <v/>
      </c>
      <c r="W161" s="27"/>
    </row>
    <row r="162" customFormat="false" ht="15" hidden="false" customHeight="false" outlineLevel="0" collapsed="false">
      <c r="A162" s="27"/>
      <c r="B162" s="27"/>
      <c r="C162" s="27"/>
      <c r="D162" s="27"/>
      <c r="E162" s="27"/>
      <c r="F162" s="27"/>
      <c r="G162" s="27"/>
      <c r="H162" s="27"/>
      <c r="I162" s="27"/>
      <c r="J162" s="27"/>
      <c r="K162" s="27"/>
      <c r="L162" s="32" t="str">
        <f aca="false">IF(A162="","",N(I162)+N(J162)+N(K162))</f>
        <v/>
      </c>
      <c r="M162" s="32" t="str">
        <f aca="false">IF(A162="","",IF(L162&lt;=5,"Pre-Novice",IF(L162&lt;=10,"Novice","Open")))</f>
        <v/>
      </c>
      <c r="N162" s="27"/>
      <c r="O162" s="27"/>
      <c r="P162" s="27"/>
      <c r="Q162" s="27"/>
      <c r="R162" s="27"/>
      <c r="S162" s="27"/>
      <c r="T162" s="27"/>
      <c r="U162" s="27"/>
      <c r="V162" s="33" t="str">
        <f aca="false">IF(A162="","",IF(((O162&lt;&gt;"Yes")+(P162&lt;&gt;"Yes")+(Q162&lt;&gt;"Yes")+AND(B162="Yes",R162&lt;&gt;"Yes")+AND(OR(B162="Yes",ISNUMBER(SEARCH("grappling",F162))),S162&lt;&gt;"Yes"))=0,"READY",((O162&lt;&gt;"Yes")+(P162&lt;&gt;"Yes")+(Q162&lt;&gt;"Yes")+AND(B162="Yes",R162&lt;&gt;"Yes")+AND(OR(B162="Yes",ISNUMBER(SEARCH("grappling",F162))),S162&lt;&gt;"Yes"))&amp;" to do"))</f>
        <v/>
      </c>
      <c r="W162" s="27"/>
    </row>
    <row r="163" customFormat="false" ht="15" hidden="false" customHeight="false" outlineLevel="0" collapsed="false">
      <c r="A163" s="27"/>
      <c r="B163" s="27"/>
      <c r="C163" s="27"/>
      <c r="D163" s="27"/>
      <c r="E163" s="27"/>
      <c r="F163" s="27"/>
      <c r="G163" s="27"/>
      <c r="H163" s="27"/>
      <c r="I163" s="27"/>
      <c r="J163" s="27"/>
      <c r="K163" s="27"/>
      <c r="L163" s="32" t="str">
        <f aca="false">IF(A163="","",N(I163)+N(J163)+N(K163))</f>
        <v/>
      </c>
      <c r="M163" s="32" t="str">
        <f aca="false">IF(A163="","",IF(L163&lt;=5,"Pre-Novice",IF(L163&lt;=10,"Novice","Open")))</f>
        <v/>
      </c>
      <c r="N163" s="27"/>
      <c r="O163" s="27"/>
      <c r="P163" s="27"/>
      <c r="Q163" s="27"/>
      <c r="R163" s="27"/>
      <c r="S163" s="27"/>
      <c r="T163" s="27"/>
      <c r="U163" s="27"/>
      <c r="V163" s="33" t="str">
        <f aca="false">IF(A163="","",IF(((O163&lt;&gt;"Yes")+(P163&lt;&gt;"Yes")+(Q163&lt;&gt;"Yes")+AND(B163="Yes",R163&lt;&gt;"Yes")+AND(OR(B163="Yes",ISNUMBER(SEARCH("grappling",F163))),S163&lt;&gt;"Yes"))=0,"READY",((O163&lt;&gt;"Yes")+(P163&lt;&gt;"Yes")+(Q163&lt;&gt;"Yes")+AND(B163="Yes",R163&lt;&gt;"Yes")+AND(OR(B163="Yes",ISNUMBER(SEARCH("grappling",F163))),S163&lt;&gt;"Yes"))&amp;" to do"))</f>
        <v/>
      </c>
      <c r="W163" s="27"/>
    </row>
    <row r="164" customFormat="false" ht="15" hidden="false" customHeight="false" outlineLevel="0" collapsed="false">
      <c r="A164" s="27"/>
      <c r="B164" s="27"/>
      <c r="C164" s="27"/>
      <c r="D164" s="27"/>
      <c r="E164" s="27"/>
      <c r="F164" s="27"/>
      <c r="G164" s="27"/>
      <c r="H164" s="27"/>
      <c r="I164" s="27"/>
      <c r="J164" s="27"/>
      <c r="K164" s="27"/>
      <c r="L164" s="32" t="str">
        <f aca="false">IF(A164="","",N(I164)+N(J164)+N(K164))</f>
        <v/>
      </c>
      <c r="M164" s="32" t="str">
        <f aca="false">IF(A164="","",IF(L164&lt;=5,"Pre-Novice",IF(L164&lt;=10,"Novice","Open")))</f>
        <v/>
      </c>
      <c r="N164" s="27"/>
      <c r="O164" s="27"/>
      <c r="P164" s="27"/>
      <c r="Q164" s="27"/>
      <c r="R164" s="27"/>
      <c r="S164" s="27"/>
      <c r="T164" s="27"/>
      <c r="U164" s="27"/>
      <c r="V164" s="33" t="str">
        <f aca="false">IF(A164="","",IF(((O164&lt;&gt;"Yes")+(P164&lt;&gt;"Yes")+(Q164&lt;&gt;"Yes")+AND(B164="Yes",R164&lt;&gt;"Yes")+AND(OR(B164="Yes",ISNUMBER(SEARCH("grappling",F164))),S164&lt;&gt;"Yes"))=0,"READY",((O164&lt;&gt;"Yes")+(P164&lt;&gt;"Yes")+(Q164&lt;&gt;"Yes")+AND(B164="Yes",R164&lt;&gt;"Yes")+AND(OR(B164="Yes",ISNUMBER(SEARCH("grappling",F164))),S164&lt;&gt;"Yes"))&amp;" to do"))</f>
        <v/>
      </c>
      <c r="W164" s="27"/>
    </row>
    <row r="165" customFormat="false" ht="15" hidden="false" customHeight="false" outlineLevel="0" collapsed="false">
      <c r="A165" s="27"/>
      <c r="B165" s="27"/>
      <c r="C165" s="27"/>
      <c r="D165" s="27"/>
      <c r="E165" s="27"/>
      <c r="F165" s="27"/>
      <c r="G165" s="27"/>
      <c r="H165" s="27"/>
      <c r="I165" s="27"/>
      <c r="J165" s="27"/>
      <c r="K165" s="27"/>
      <c r="L165" s="32" t="str">
        <f aca="false">IF(A165="","",N(I165)+N(J165)+N(K165))</f>
        <v/>
      </c>
      <c r="M165" s="32" t="str">
        <f aca="false">IF(A165="","",IF(L165&lt;=5,"Pre-Novice",IF(L165&lt;=10,"Novice","Open")))</f>
        <v/>
      </c>
      <c r="N165" s="27"/>
      <c r="O165" s="27"/>
      <c r="P165" s="27"/>
      <c r="Q165" s="27"/>
      <c r="R165" s="27"/>
      <c r="S165" s="27"/>
      <c r="T165" s="27"/>
      <c r="U165" s="27"/>
      <c r="V165" s="33" t="str">
        <f aca="false">IF(A165="","",IF(((O165&lt;&gt;"Yes")+(P165&lt;&gt;"Yes")+(Q165&lt;&gt;"Yes")+AND(B165="Yes",R165&lt;&gt;"Yes")+AND(OR(B165="Yes",ISNUMBER(SEARCH("grappling",F165))),S165&lt;&gt;"Yes"))=0,"READY",((O165&lt;&gt;"Yes")+(P165&lt;&gt;"Yes")+(Q165&lt;&gt;"Yes")+AND(B165="Yes",R165&lt;&gt;"Yes")+AND(OR(B165="Yes",ISNUMBER(SEARCH("grappling",F165))),S165&lt;&gt;"Yes"))&amp;" to do"))</f>
        <v/>
      </c>
      <c r="W165" s="27"/>
    </row>
    <row r="166" customFormat="false" ht="15" hidden="false" customHeight="false" outlineLevel="0" collapsed="false">
      <c r="A166" s="27"/>
      <c r="B166" s="27"/>
      <c r="C166" s="27"/>
      <c r="D166" s="27"/>
      <c r="E166" s="27"/>
      <c r="F166" s="27"/>
      <c r="G166" s="27"/>
      <c r="H166" s="27"/>
      <c r="I166" s="27"/>
      <c r="J166" s="27"/>
      <c r="K166" s="27"/>
      <c r="L166" s="32" t="str">
        <f aca="false">IF(A166="","",N(I166)+N(J166)+N(K166))</f>
        <v/>
      </c>
      <c r="M166" s="32" t="str">
        <f aca="false">IF(A166="","",IF(L166&lt;=5,"Pre-Novice",IF(L166&lt;=10,"Novice","Open")))</f>
        <v/>
      </c>
      <c r="N166" s="27"/>
      <c r="O166" s="27"/>
      <c r="P166" s="27"/>
      <c r="Q166" s="27"/>
      <c r="R166" s="27"/>
      <c r="S166" s="27"/>
      <c r="T166" s="27"/>
      <c r="U166" s="27"/>
      <c r="V166" s="33" t="str">
        <f aca="false">IF(A166="","",IF(((O166&lt;&gt;"Yes")+(P166&lt;&gt;"Yes")+(Q166&lt;&gt;"Yes")+AND(B166="Yes",R166&lt;&gt;"Yes")+AND(OR(B166="Yes",ISNUMBER(SEARCH("grappling",F166))),S166&lt;&gt;"Yes"))=0,"READY",((O166&lt;&gt;"Yes")+(P166&lt;&gt;"Yes")+(Q166&lt;&gt;"Yes")+AND(B166="Yes",R166&lt;&gt;"Yes")+AND(OR(B166="Yes",ISNUMBER(SEARCH("grappling",F166))),S166&lt;&gt;"Yes"))&amp;" to do"))</f>
        <v/>
      </c>
      <c r="W166" s="27"/>
    </row>
    <row r="167" customFormat="false" ht="15" hidden="false" customHeight="false" outlineLevel="0" collapsed="false">
      <c r="A167" s="27"/>
      <c r="B167" s="27"/>
      <c r="C167" s="27"/>
      <c r="D167" s="27"/>
      <c r="E167" s="27"/>
      <c r="F167" s="27"/>
      <c r="G167" s="27"/>
      <c r="H167" s="27"/>
      <c r="I167" s="27"/>
      <c r="J167" s="27"/>
      <c r="K167" s="27"/>
      <c r="L167" s="32" t="str">
        <f aca="false">IF(A167="","",N(I167)+N(J167)+N(K167))</f>
        <v/>
      </c>
      <c r="M167" s="32" t="str">
        <f aca="false">IF(A167="","",IF(L167&lt;=5,"Pre-Novice",IF(L167&lt;=10,"Novice","Open")))</f>
        <v/>
      </c>
      <c r="N167" s="27"/>
      <c r="O167" s="27"/>
      <c r="P167" s="27"/>
      <c r="Q167" s="27"/>
      <c r="R167" s="27"/>
      <c r="S167" s="27"/>
      <c r="T167" s="27"/>
      <c r="U167" s="27"/>
      <c r="V167" s="33" t="str">
        <f aca="false">IF(A167="","",IF(((O167&lt;&gt;"Yes")+(P167&lt;&gt;"Yes")+(Q167&lt;&gt;"Yes")+AND(B167="Yes",R167&lt;&gt;"Yes")+AND(OR(B167="Yes",ISNUMBER(SEARCH("grappling",F167))),S167&lt;&gt;"Yes"))=0,"READY",((O167&lt;&gt;"Yes")+(P167&lt;&gt;"Yes")+(Q167&lt;&gt;"Yes")+AND(B167="Yes",R167&lt;&gt;"Yes")+AND(OR(B167="Yes",ISNUMBER(SEARCH("grappling",F167))),S167&lt;&gt;"Yes"))&amp;" to do"))</f>
        <v/>
      </c>
      <c r="W167" s="27"/>
    </row>
    <row r="168" customFormat="false" ht="15" hidden="false" customHeight="false" outlineLevel="0" collapsed="false">
      <c r="A168" s="27"/>
      <c r="B168" s="27"/>
      <c r="C168" s="27"/>
      <c r="D168" s="27"/>
      <c r="E168" s="27"/>
      <c r="F168" s="27"/>
      <c r="G168" s="27"/>
      <c r="H168" s="27"/>
      <c r="I168" s="27"/>
      <c r="J168" s="27"/>
      <c r="K168" s="27"/>
      <c r="L168" s="32" t="str">
        <f aca="false">IF(A168="","",N(I168)+N(J168)+N(K168))</f>
        <v/>
      </c>
      <c r="M168" s="32" t="str">
        <f aca="false">IF(A168="","",IF(L168&lt;=5,"Pre-Novice",IF(L168&lt;=10,"Novice","Open")))</f>
        <v/>
      </c>
      <c r="N168" s="27"/>
      <c r="O168" s="27"/>
      <c r="P168" s="27"/>
      <c r="Q168" s="27"/>
      <c r="R168" s="27"/>
      <c r="S168" s="27"/>
      <c r="T168" s="27"/>
      <c r="U168" s="27"/>
      <c r="V168" s="33" t="str">
        <f aca="false">IF(A168="","",IF(((O168&lt;&gt;"Yes")+(P168&lt;&gt;"Yes")+(Q168&lt;&gt;"Yes")+AND(B168="Yes",R168&lt;&gt;"Yes")+AND(OR(B168="Yes",ISNUMBER(SEARCH("grappling",F168))),S168&lt;&gt;"Yes"))=0,"READY",((O168&lt;&gt;"Yes")+(P168&lt;&gt;"Yes")+(Q168&lt;&gt;"Yes")+AND(B168="Yes",R168&lt;&gt;"Yes")+AND(OR(B168="Yes",ISNUMBER(SEARCH("grappling",F168))),S168&lt;&gt;"Yes"))&amp;" to do"))</f>
        <v/>
      </c>
      <c r="W168" s="27"/>
    </row>
    <row r="169" customFormat="false" ht="15" hidden="false" customHeight="false" outlineLevel="0" collapsed="false">
      <c r="A169" s="27"/>
      <c r="B169" s="27"/>
      <c r="C169" s="27"/>
      <c r="D169" s="27"/>
      <c r="E169" s="27"/>
      <c r="F169" s="27"/>
      <c r="G169" s="27"/>
      <c r="H169" s="27"/>
      <c r="I169" s="27"/>
      <c r="J169" s="27"/>
      <c r="K169" s="27"/>
      <c r="L169" s="32" t="str">
        <f aca="false">IF(A169="","",N(I169)+N(J169)+N(K169))</f>
        <v/>
      </c>
      <c r="M169" s="32" t="str">
        <f aca="false">IF(A169="","",IF(L169&lt;=5,"Pre-Novice",IF(L169&lt;=10,"Novice","Open")))</f>
        <v/>
      </c>
      <c r="N169" s="27"/>
      <c r="O169" s="27"/>
      <c r="P169" s="27"/>
      <c r="Q169" s="27"/>
      <c r="R169" s="27"/>
      <c r="S169" s="27"/>
      <c r="T169" s="27"/>
      <c r="U169" s="27"/>
      <c r="V169" s="33" t="str">
        <f aca="false">IF(A169="","",IF(((O169&lt;&gt;"Yes")+(P169&lt;&gt;"Yes")+(Q169&lt;&gt;"Yes")+AND(B169="Yes",R169&lt;&gt;"Yes")+AND(OR(B169="Yes",ISNUMBER(SEARCH("grappling",F169))),S169&lt;&gt;"Yes"))=0,"READY",((O169&lt;&gt;"Yes")+(P169&lt;&gt;"Yes")+(Q169&lt;&gt;"Yes")+AND(B169="Yes",R169&lt;&gt;"Yes")+AND(OR(B169="Yes",ISNUMBER(SEARCH("grappling",F169))),S169&lt;&gt;"Yes"))&amp;" to do"))</f>
        <v/>
      </c>
      <c r="W169" s="27"/>
    </row>
    <row r="170" customFormat="false" ht="15" hidden="false" customHeight="false" outlineLevel="0" collapsed="false">
      <c r="A170" s="27"/>
      <c r="B170" s="27"/>
      <c r="C170" s="27"/>
      <c r="D170" s="27"/>
      <c r="E170" s="27"/>
      <c r="F170" s="27"/>
      <c r="G170" s="27"/>
      <c r="H170" s="27"/>
      <c r="I170" s="27"/>
      <c r="J170" s="27"/>
      <c r="K170" s="27"/>
      <c r="L170" s="32" t="str">
        <f aca="false">IF(A170="","",N(I170)+N(J170)+N(K170))</f>
        <v/>
      </c>
      <c r="M170" s="32" t="str">
        <f aca="false">IF(A170="","",IF(L170&lt;=5,"Pre-Novice",IF(L170&lt;=10,"Novice","Open")))</f>
        <v/>
      </c>
      <c r="N170" s="27"/>
      <c r="O170" s="27"/>
      <c r="P170" s="27"/>
      <c r="Q170" s="27"/>
      <c r="R170" s="27"/>
      <c r="S170" s="27"/>
      <c r="T170" s="27"/>
      <c r="U170" s="27"/>
      <c r="V170" s="33" t="str">
        <f aca="false">IF(A170="","",IF(((O170&lt;&gt;"Yes")+(P170&lt;&gt;"Yes")+(Q170&lt;&gt;"Yes")+AND(B170="Yes",R170&lt;&gt;"Yes")+AND(OR(B170="Yes",ISNUMBER(SEARCH("grappling",F170))),S170&lt;&gt;"Yes"))=0,"READY",((O170&lt;&gt;"Yes")+(P170&lt;&gt;"Yes")+(Q170&lt;&gt;"Yes")+AND(B170="Yes",R170&lt;&gt;"Yes")+AND(OR(B170="Yes",ISNUMBER(SEARCH("grappling",F170))),S170&lt;&gt;"Yes"))&amp;" to do"))</f>
        <v/>
      </c>
      <c r="W170" s="27"/>
    </row>
    <row r="171" customFormat="false" ht="15" hidden="false" customHeight="false" outlineLevel="0" collapsed="false">
      <c r="A171" s="27"/>
      <c r="B171" s="27"/>
      <c r="C171" s="27"/>
      <c r="D171" s="27"/>
      <c r="E171" s="27"/>
      <c r="F171" s="27"/>
      <c r="G171" s="27"/>
      <c r="H171" s="27"/>
      <c r="I171" s="27"/>
      <c r="J171" s="27"/>
      <c r="K171" s="27"/>
      <c r="L171" s="32" t="str">
        <f aca="false">IF(A171="","",N(I171)+N(J171)+N(K171))</f>
        <v/>
      </c>
      <c r="M171" s="32" t="str">
        <f aca="false">IF(A171="","",IF(L171&lt;=5,"Pre-Novice",IF(L171&lt;=10,"Novice","Open")))</f>
        <v/>
      </c>
      <c r="N171" s="27"/>
      <c r="O171" s="27"/>
      <c r="P171" s="27"/>
      <c r="Q171" s="27"/>
      <c r="R171" s="27"/>
      <c r="S171" s="27"/>
      <c r="T171" s="27"/>
      <c r="U171" s="27"/>
      <c r="V171" s="33" t="str">
        <f aca="false">IF(A171="","",IF(((O171&lt;&gt;"Yes")+(P171&lt;&gt;"Yes")+(Q171&lt;&gt;"Yes")+AND(B171="Yes",R171&lt;&gt;"Yes")+AND(OR(B171="Yes",ISNUMBER(SEARCH("grappling",F171))),S171&lt;&gt;"Yes"))=0,"READY",((O171&lt;&gt;"Yes")+(P171&lt;&gt;"Yes")+(Q171&lt;&gt;"Yes")+AND(B171="Yes",R171&lt;&gt;"Yes")+AND(OR(B171="Yes",ISNUMBER(SEARCH("grappling",F171))),S171&lt;&gt;"Yes"))&amp;" to do"))</f>
        <v/>
      </c>
      <c r="W171" s="27"/>
    </row>
    <row r="172" customFormat="false" ht="15" hidden="false" customHeight="false" outlineLevel="0" collapsed="false">
      <c r="A172" s="27"/>
      <c r="B172" s="27"/>
      <c r="C172" s="27"/>
      <c r="D172" s="27"/>
      <c r="E172" s="27"/>
      <c r="F172" s="27"/>
      <c r="G172" s="27"/>
      <c r="H172" s="27"/>
      <c r="I172" s="27"/>
      <c r="J172" s="27"/>
      <c r="K172" s="27"/>
      <c r="L172" s="32" t="str">
        <f aca="false">IF(A172="","",N(I172)+N(J172)+N(K172))</f>
        <v/>
      </c>
      <c r="M172" s="32" t="str">
        <f aca="false">IF(A172="","",IF(L172&lt;=5,"Pre-Novice",IF(L172&lt;=10,"Novice","Open")))</f>
        <v/>
      </c>
      <c r="N172" s="27"/>
      <c r="O172" s="27"/>
      <c r="P172" s="27"/>
      <c r="Q172" s="27"/>
      <c r="R172" s="27"/>
      <c r="S172" s="27"/>
      <c r="T172" s="27"/>
      <c r="U172" s="27"/>
      <c r="V172" s="33" t="str">
        <f aca="false">IF(A172="","",IF(((O172&lt;&gt;"Yes")+(P172&lt;&gt;"Yes")+(Q172&lt;&gt;"Yes")+AND(B172="Yes",R172&lt;&gt;"Yes")+AND(OR(B172="Yes",ISNUMBER(SEARCH("grappling",F172))),S172&lt;&gt;"Yes"))=0,"READY",((O172&lt;&gt;"Yes")+(P172&lt;&gt;"Yes")+(Q172&lt;&gt;"Yes")+AND(B172="Yes",R172&lt;&gt;"Yes")+AND(OR(B172="Yes",ISNUMBER(SEARCH("grappling",F172))),S172&lt;&gt;"Yes"))&amp;" to do"))</f>
        <v/>
      </c>
      <c r="W172" s="27"/>
    </row>
    <row r="173" customFormat="false" ht="15" hidden="false" customHeight="false" outlineLevel="0" collapsed="false">
      <c r="A173" s="27"/>
      <c r="B173" s="27"/>
      <c r="C173" s="27"/>
      <c r="D173" s="27"/>
      <c r="E173" s="27"/>
      <c r="F173" s="27"/>
      <c r="G173" s="27"/>
      <c r="H173" s="27"/>
      <c r="I173" s="27"/>
      <c r="J173" s="27"/>
      <c r="K173" s="27"/>
      <c r="L173" s="32" t="str">
        <f aca="false">IF(A173="","",N(I173)+N(J173)+N(K173))</f>
        <v/>
      </c>
      <c r="M173" s="32" t="str">
        <f aca="false">IF(A173="","",IF(L173&lt;=5,"Pre-Novice",IF(L173&lt;=10,"Novice","Open")))</f>
        <v/>
      </c>
      <c r="N173" s="27"/>
      <c r="O173" s="27"/>
      <c r="P173" s="27"/>
      <c r="Q173" s="27"/>
      <c r="R173" s="27"/>
      <c r="S173" s="27"/>
      <c r="T173" s="27"/>
      <c r="U173" s="27"/>
      <c r="V173" s="33" t="str">
        <f aca="false">IF(A173="","",IF(((O173&lt;&gt;"Yes")+(P173&lt;&gt;"Yes")+(Q173&lt;&gt;"Yes")+AND(B173="Yes",R173&lt;&gt;"Yes")+AND(OR(B173="Yes",ISNUMBER(SEARCH("grappling",F173))),S173&lt;&gt;"Yes"))=0,"READY",((O173&lt;&gt;"Yes")+(P173&lt;&gt;"Yes")+(Q173&lt;&gt;"Yes")+AND(B173="Yes",R173&lt;&gt;"Yes")+AND(OR(B173="Yes",ISNUMBER(SEARCH("grappling",F173))),S173&lt;&gt;"Yes"))&amp;" to do"))</f>
        <v/>
      </c>
      <c r="W173" s="27"/>
    </row>
    <row r="174" customFormat="false" ht="15" hidden="false" customHeight="false" outlineLevel="0" collapsed="false">
      <c r="A174" s="27"/>
      <c r="B174" s="27"/>
      <c r="C174" s="27"/>
      <c r="D174" s="27"/>
      <c r="E174" s="27"/>
      <c r="F174" s="27"/>
      <c r="G174" s="27"/>
      <c r="H174" s="27"/>
      <c r="I174" s="27"/>
      <c r="J174" s="27"/>
      <c r="K174" s="27"/>
      <c r="L174" s="32" t="str">
        <f aca="false">IF(A174="","",N(I174)+N(J174)+N(K174))</f>
        <v/>
      </c>
      <c r="M174" s="32" t="str">
        <f aca="false">IF(A174="","",IF(L174&lt;=5,"Pre-Novice",IF(L174&lt;=10,"Novice","Open")))</f>
        <v/>
      </c>
      <c r="N174" s="27"/>
      <c r="O174" s="27"/>
      <c r="P174" s="27"/>
      <c r="Q174" s="27"/>
      <c r="R174" s="27"/>
      <c r="S174" s="27"/>
      <c r="T174" s="27"/>
      <c r="U174" s="27"/>
      <c r="V174" s="33" t="str">
        <f aca="false">IF(A174="","",IF(((O174&lt;&gt;"Yes")+(P174&lt;&gt;"Yes")+(Q174&lt;&gt;"Yes")+AND(B174="Yes",R174&lt;&gt;"Yes")+AND(OR(B174="Yes",ISNUMBER(SEARCH("grappling",F174))),S174&lt;&gt;"Yes"))=0,"READY",((O174&lt;&gt;"Yes")+(P174&lt;&gt;"Yes")+(Q174&lt;&gt;"Yes")+AND(B174="Yes",R174&lt;&gt;"Yes")+AND(OR(B174="Yes",ISNUMBER(SEARCH("grappling",F174))),S174&lt;&gt;"Yes"))&amp;" to do"))</f>
        <v/>
      </c>
      <c r="W174" s="27"/>
    </row>
    <row r="175" customFormat="false" ht="15" hidden="false" customHeight="false" outlineLevel="0" collapsed="false">
      <c r="A175" s="27"/>
      <c r="B175" s="27"/>
      <c r="C175" s="27"/>
      <c r="D175" s="27"/>
      <c r="E175" s="27"/>
      <c r="F175" s="27"/>
      <c r="G175" s="27"/>
      <c r="H175" s="27"/>
      <c r="I175" s="27"/>
      <c r="J175" s="27"/>
      <c r="K175" s="27"/>
      <c r="L175" s="32" t="str">
        <f aca="false">IF(A175="","",N(I175)+N(J175)+N(K175))</f>
        <v/>
      </c>
      <c r="M175" s="32" t="str">
        <f aca="false">IF(A175="","",IF(L175&lt;=5,"Pre-Novice",IF(L175&lt;=10,"Novice","Open")))</f>
        <v/>
      </c>
      <c r="N175" s="27"/>
      <c r="O175" s="27"/>
      <c r="P175" s="27"/>
      <c r="Q175" s="27"/>
      <c r="R175" s="27"/>
      <c r="S175" s="27"/>
      <c r="T175" s="27"/>
      <c r="U175" s="27"/>
      <c r="V175" s="33" t="str">
        <f aca="false">IF(A175="","",IF(((O175&lt;&gt;"Yes")+(P175&lt;&gt;"Yes")+(Q175&lt;&gt;"Yes")+AND(B175="Yes",R175&lt;&gt;"Yes")+AND(OR(B175="Yes",ISNUMBER(SEARCH("grappling",F175))),S175&lt;&gt;"Yes"))=0,"READY",((O175&lt;&gt;"Yes")+(P175&lt;&gt;"Yes")+(Q175&lt;&gt;"Yes")+AND(B175="Yes",R175&lt;&gt;"Yes")+AND(OR(B175="Yes",ISNUMBER(SEARCH("grappling",F175))),S175&lt;&gt;"Yes"))&amp;" to do"))</f>
        <v/>
      </c>
      <c r="W175" s="27"/>
    </row>
    <row r="176" customFormat="false" ht="15" hidden="false" customHeight="false" outlineLevel="0" collapsed="false">
      <c r="A176" s="27"/>
      <c r="B176" s="27"/>
      <c r="C176" s="27"/>
      <c r="D176" s="27"/>
      <c r="E176" s="27"/>
      <c r="F176" s="27"/>
      <c r="G176" s="27"/>
      <c r="H176" s="27"/>
      <c r="I176" s="27"/>
      <c r="J176" s="27"/>
      <c r="K176" s="27"/>
      <c r="L176" s="32" t="str">
        <f aca="false">IF(A176="","",N(I176)+N(J176)+N(K176))</f>
        <v/>
      </c>
      <c r="M176" s="32" t="str">
        <f aca="false">IF(A176="","",IF(L176&lt;=5,"Pre-Novice",IF(L176&lt;=10,"Novice","Open")))</f>
        <v/>
      </c>
      <c r="N176" s="27"/>
      <c r="O176" s="27"/>
      <c r="P176" s="27"/>
      <c r="Q176" s="27"/>
      <c r="R176" s="27"/>
      <c r="S176" s="27"/>
      <c r="T176" s="27"/>
      <c r="U176" s="27"/>
      <c r="V176" s="33" t="str">
        <f aca="false">IF(A176="","",IF(((O176&lt;&gt;"Yes")+(P176&lt;&gt;"Yes")+(Q176&lt;&gt;"Yes")+AND(B176="Yes",R176&lt;&gt;"Yes")+AND(OR(B176="Yes",ISNUMBER(SEARCH("grappling",F176))),S176&lt;&gt;"Yes"))=0,"READY",((O176&lt;&gt;"Yes")+(P176&lt;&gt;"Yes")+(Q176&lt;&gt;"Yes")+AND(B176="Yes",R176&lt;&gt;"Yes")+AND(OR(B176="Yes",ISNUMBER(SEARCH("grappling",F176))),S176&lt;&gt;"Yes"))&amp;" to do"))</f>
        <v/>
      </c>
      <c r="W176" s="27"/>
    </row>
    <row r="177" customFormat="false" ht="15" hidden="false" customHeight="false" outlineLevel="0" collapsed="false">
      <c r="A177" s="27"/>
      <c r="B177" s="27"/>
      <c r="C177" s="27"/>
      <c r="D177" s="27"/>
      <c r="E177" s="27"/>
      <c r="F177" s="27"/>
      <c r="G177" s="27"/>
      <c r="H177" s="27"/>
      <c r="I177" s="27"/>
      <c r="J177" s="27"/>
      <c r="K177" s="27"/>
      <c r="L177" s="32" t="str">
        <f aca="false">IF(A177="","",N(I177)+N(J177)+N(K177))</f>
        <v/>
      </c>
      <c r="M177" s="32" t="str">
        <f aca="false">IF(A177="","",IF(L177&lt;=5,"Pre-Novice",IF(L177&lt;=10,"Novice","Open")))</f>
        <v/>
      </c>
      <c r="N177" s="27"/>
      <c r="O177" s="27"/>
      <c r="P177" s="27"/>
      <c r="Q177" s="27"/>
      <c r="R177" s="27"/>
      <c r="S177" s="27"/>
      <c r="T177" s="27"/>
      <c r="U177" s="27"/>
      <c r="V177" s="33" t="str">
        <f aca="false">IF(A177="","",IF(((O177&lt;&gt;"Yes")+(P177&lt;&gt;"Yes")+(Q177&lt;&gt;"Yes")+AND(B177="Yes",R177&lt;&gt;"Yes")+AND(OR(B177="Yes",ISNUMBER(SEARCH("grappling",F177))),S177&lt;&gt;"Yes"))=0,"READY",((O177&lt;&gt;"Yes")+(P177&lt;&gt;"Yes")+(Q177&lt;&gt;"Yes")+AND(B177="Yes",R177&lt;&gt;"Yes")+AND(OR(B177="Yes",ISNUMBER(SEARCH("grappling",F177))),S177&lt;&gt;"Yes"))&amp;" to do"))</f>
        <v/>
      </c>
      <c r="W177" s="27"/>
    </row>
    <row r="178" customFormat="false" ht="15" hidden="false" customHeight="false" outlineLevel="0" collapsed="false">
      <c r="A178" s="27"/>
      <c r="B178" s="27"/>
      <c r="C178" s="27"/>
      <c r="D178" s="27"/>
      <c r="E178" s="27"/>
      <c r="F178" s="27"/>
      <c r="G178" s="27"/>
      <c r="H178" s="27"/>
      <c r="I178" s="27"/>
      <c r="J178" s="27"/>
      <c r="K178" s="27"/>
      <c r="L178" s="32" t="str">
        <f aca="false">IF(A178="","",N(I178)+N(J178)+N(K178))</f>
        <v/>
      </c>
      <c r="M178" s="32" t="str">
        <f aca="false">IF(A178="","",IF(L178&lt;=5,"Pre-Novice",IF(L178&lt;=10,"Novice","Open")))</f>
        <v/>
      </c>
      <c r="N178" s="27"/>
      <c r="O178" s="27"/>
      <c r="P178" s="27"/>
      <c r="Q178" s="27"/>
      <c r="R178" s="27"/>
      <c r="S178" s="27"/>
      <c r="T178" s="27"/>
      <c r="U178" s="27"/>
      <c r="V178" s="33" t="str">
        <f aca="false">IF(A178="","",IF(((O178&lt;&gt;"Yes")+(P178&lt;&gt;"Yes")+(Q178&lt;&gt;"Yes")+AND(B178="Yes",R178&lt;&gt;"Yes")+AND(OR(B178="Yes",ISNUMBER(SEARCH("grappling",F178))),S178&lt;&gt;"Yes"))=0,"READY",((O178&lt;&gt;"Yes")+(P178&lt;&gt;"Yes")+(Q178&lt;&gt;"Yes")+AND(B178="Yes",R178&lt;&gt;"Yes")+AND(OR(B178="Yes",ISNUMBER(SEARCH("grappling",F178))),S178&lt;&gt;"Yes"))&amp;" to do"))</f>
        <v/>
      </c>
      <c r="W178" s="27"/>
    </row>
    <row r="179" customFormat="false" ht="15" hidden="false" customHeight="false" outlineLevel="0" collapsed="false">
      <c r="A179" s="27"/>
      <c r="B179" s="27"/>
      <c r="C179" s="27"/>
      <c r="D179" s="27"/>
      <c r="E179" s="27"/>
      <c r="F179" s="27"/>
      <c r="G179" s="27"/>
      <c r="H179" s="27"/>
      <c r="I179" s="27"/>
      <c r="J179" s="27"/>
      <c r="K179" s="27"/>
      <c r="L179" s="32" t="str">
        <f aca="false">IF(A179="","",N(I179)+N(J179)+N(K179))</f>
        <v/>
      </c>
      <c r="M179" s="32" t="str">
        <f aca="false">IF(A179="","",IF(L179&lt;=5,"Pre-Novice",IF(L179&lt;=10,"Novice","Open")))</f>
        <v/>
      </c>
      <c r="N179" s="27"/>
      <c r="O179" s="27"/>
      <c r="P179" s="27"/>
      <c r="Q179" s="27"/>
      <c r="R179" s="27"/>
      <c r="S179" s="27"/>
      <c r="T179" s="27"/>
      <c r="U179" s="27"/>
      <c r="V179" s="33" t="str">
        <f aca="false">IF(A179="","",IF(((O179&lt;&gt;"Yes")+(P179&lt;&gt;"Yes")+(Q179&lt;&gt;"Yes")+AND(B179="Yes",R179&lt;&gt;"Yes")+AND(OR(B179="Yes",ISNUMBER(SEARCH("grappling",F179))),S179&lt;&gt;"Yes"))=0,"READY",((O179&lt;&gt;"Yes")+(P179&lt;&gt;"Yes")+(Q179&lt;&gt;"Yes")+AND(B179="Yes",R179&lt;&gt;"Yes")+AND(OR(B179="Yes",ISNUMBER(SEARCH("grappling",F179))),S179&lt;&gt;"Yes"))&amp;" to do"))</f>
        <v/>
      </c>
      <c r="W179" s="27"/>
    </row>
    <row r="180" customFormat="false" ht="15" hidden="false" customHeight="false" outlineLevel="0" collapsed="false">
      <c r="A180" s="27"/>
      <c r="B180" s="27"/>
      <c r="C180" s="27"/>
      <c r="D180" s="27"/>
      <c r="E180" s="27"/>
      <c r="F180" s="27"/>
      <c r="G180" s="27"/>
      <c r="H180" s="27"/>
      <c r="I180" s="27"/>
      <c r="J180" s="27"/>
      <c r="K180" s="27"/>
      <c r="L180" s="32" t="str">
        <f aca="false">IF(A180="","",N(I180)+N(J180)+N(K180))</f>
        <v/>
      </c>
      <c r="M180" s="32" t="str">
        <f aca="false">IF(A180="","",IF(L180&lt;=5,"Pre-Novice",IF(L180&lt;=10,"Novice","Open")))</f>
        <v/>
      </c>
      <c r="N180" s="27"/>
      <c r="O180" s="27"/>
      <c r="P180" s="27"/>
      <c r="Q180" s="27"/>
      <c r="R180" s="27"/>
      <c r="S180" s="27"/>
      <c r="T180" s="27"/>
      <c r="U180" s="27"/>
      <c r="V180" s="33" t="str">
        <f aca="false">IF(A180="","",IF(((O180&lt;&gt;"Yes")+(P180&lt;&gt;"Yes")+(Q180&lt;&gt;"Yes")+AND(B180="Yes",R180&lt;&gt;"Yes")+AND(OR(B180="Yes",ISNUMBER(SEARCH("grappling",F180))),S180&lt;&gt;"Yes"))=0,"READY",((O180&lt;&gt;"Yes")+(P180&lt;&gt;"Yes")+(Q180&lt;&gt;"Yes")+AND(B180="Yes",R180&lt;&gt;"Yes")+AND(OR(B180="Yes",ISNUMBER(SEARCH("grappling",F180))),S180&lt;&gt;"Yes"))&amp;" to do"))</f>
        <v/>
      </c>
      <c r="W180" s="27"/>
    </row>
    <row r="181" customFormat="false" ht="15" hidden="false" customHeight="false" outlineLevel="0" collapsed="false">
      <c r="A181" s="27"/>
      <c r="B181" s="27"/>
      <c r="C181" s="27"/>
      <c r="D181" s="27"/>
      <c r="E181" s="27"/>
      <c r="F181" s="27"/>
      <c r="G181" s="27"/>
      <c r="H181" s="27"/>
      <c r="I181" s="27"/>
      <c r="J181" s="27"/>
      <c r="K181" s="27"/>
      <c r="L181" s="32" t="str">
        <f aca="false">IF(A181="","",N(I181)+N(J181)+N(K181))</f>
        <v/>
      </c>
      <c r="M181" s="32" t="str">
        <f aca="false">IF(A181="","",IF(L181&lt;=5,"Pre-Novice",IF(L181&lt;=10,"Novice","Open")))</f>
        <v/>
      </c>
      <c r="N181" s="27"/>
      <c r="O181" s="27"/>
      <c r="P181" s="27"/>
      <c r="Q181" s="27"/>
      <c r="R181" s="27"/>
      <c r="S181" s="27"/>
      <c r="T181" s="27"/>
      <c r="U181" s="27"/>
      <c r="V181" s="33" t="str">
        <f aca="false">IF(A181="","",IF(((O181&lt;&gt;"Yes")+(P181&lt;&gt;"Yes")+(Q181&lt;&gt;"Yes")+AND(B181="Yes",R181&lt;&gt;"Yes")+AND(OR(B181="Yes",ISNUMBER(SEARCH("grappling",F181))),S181&lt;&gt;"Yes"))=0,"READY",((O181&lt;&gt;"Yes")+(P181&lt;&gt;"Yes")+(Q181&lt;&gt;"Yes")+AND(B181="Yes",R181&lt;&gt;"Yes")+AND(OR(B181="Yes",ISNUMBER(SEARCH("grappling",F181))),S181&lt;&gt;"Yes"))&amp;" to do"))</f>
        <v/>
      </c>
      <c r="W181" s="27"/>
    </row>
    <row r="182" customFormat="false" ht="15" hidden="false" customHeight="false" outlineLevel="0" collapsed="false">
      <c r="A182" s="27"/>
      <c r="B182" s="27"/>
      <c r="C182" s="27"/>
      <c r="D182" s="27"/>
      <c r="E182" s="27"/>
      <c r="F182" s="27"/>
      <c r="G182" s="27"/>
      <c r="H182" s="27"/>
      <c r="I182" s="27"/>
      <c r="J182" s="27"/>
      <c r="K182" s="27"/>
      <c r="L182" s="32" t="str">
        <f aca="false">IF(A182="","",N(I182)+N(J182)+N(K182))</f>
        <v/>
      </c>
      <c r="M182" s="32" t="str">
        <f aca="false">IF(A182="","",IF(L182&lt;=5,"Pre-Novice",IF(L182&lt;=10,"Novice","Open")))</f>
        <v/>
      </c>
      <c r="N182" s="27"/>
      <c r="O182" s="27"/>
      <c r="P182" s="27"/>
      <c r="Q182" s="27"/>
      <c r="R182" s="27"/>
      <c r="S182" s="27"/>
      <c r="T182" s="27"/>
      <c r="U182" s="27"/>
      <c r="V182" s="33" t="str">
        <f aca="false">IF(A182="","",IF(((O182&lt;&gt;"Yes")+(P182&lt;&gt;"Yes")+(Q182&lt;&gt;"Yes")+AND(B182="Yes",R182&lt;&gt;"Yes")+AND(OR(B182="Yes",ISNUMBER(SEARCH("grappling",F182))),S182&lt;&gt;"Yes"))=0,"READY",((O182&lt;&gt;"Yes")+(P182&lt;&gt;"Yes")+(Q182&lt;&gt;"Yes")+AND(B182="Yes",R182&lt;&gt;"Yes")+AND(OR(B182="Yes",ISNUMBER(SEARCH("grappling",F182))),S182&lt;&gt;"Yes"))&amp;" to do"))</f>
        <v/>
      </c>
      <c r="W182" s="27"/>
    </row>
    <row r="183" customFormat="false" ht="15" hidden="false" customHeight="false" outlineLevel="0" collapsed="false">
      <c r="A183" s="27"/>
      <c r="B183" s="27"/>
      <c r="C183" s="27"/>
      <c r="D183" s="27"/>
      <c r="E183" s="27"/>
      <c r="F183" s="27"/>
      <c r="G183" s="27"/>
      <c r="H183" s="27"/>
      <c r="I183" s="27"/>
      <c r="J183" s="27"/>
      <c r="K183" s="27"/>
      <c r="L183" s="32" t="str">
        <f aca="false">IF(A183="","",N(I183)+N(J183)+N(K183))</f>
        <v/>
      </c>
      <c r="M183" s="32" t="str">
        <f aca="false">IF(A183="","",IF(L183&lt;=5,"Pre-Novice",IF(L183&lt;=10,"Novice","Open")))</f>
        <v/>
      </c>
      <c r="N183" s="27"/>
      <c r="O183" s="27"/>
      <c r="P183" s="27"/>
      <c r="Q183" s="27"/>
      <c r="R183" s="27"/>
      <c r="S183" s="27"/>
      <c r="T183" s="27"/>
      <c r="U183" s="27"/>
      <c r="V183" s="33" t="str">
        <f aca="false">IF(A183="","",IF(((O183&lt;&gt;"Yes")+(P183&lt;&gt;"Yes")+(Q183&lt;&gt;"Yes")+AND(B183="Yes",R183&lt;&gt;"Yes")+AND(OR(B183="Yes",ISNUMBER(SEARCH("grappling",F183))),S183&lt;&gt;"Yes"))=0,"READY",((O183&lt;&gt;"Yes")+(P183&lt;&gt;"Yes")+(Q183&lt;&gt;"Yes")+AND(B183="Yes",R183&lt;&gt;"Yes")+AND(OR(B183="Yes",ISNUMBER(SEARCH("grappling",F183))),S183&lt;&gt;"Yes"))&amp;" to do"))</f>
        <v/>
      </c>
      <c r="W183" s="27"/>
    </row>
    <row r="184" customFormat="false" ht="15" hidden="false" customHeight="false" outlineLevel="0" collapsed="false">
      <c r="A184" s="27"/>
      <c r="B184" s="27"/>
      <c r="C184" s="27"/>
      <c r="D184" s="27"/>
      <c r="E184" s="27"/>
      <c r="F184" s="27"/>
      <c r="G184" s="27"/>
      <c r="H184" s="27"/>
      <c r="I184" s="27"/>
      <c r="J184" s="27"/>
      <c r="K184" s="27"/>
      <c r="L184" s="32" t="str">
        <f aca="false">IF(A184="","",N(I184)+N(J184)+N(K184))</f>
        <v/>
      </c>
      <c r="M184" s="32" t="str">
        <f aca="false">IF(A184="","",IF(L184&lt;=5,"Pre-Novice",IF(L184&lt;=10,"Novice","Open")))</f>
        <v/>
      </c>
      <c r="N184" s="27"/>
      <c r="O184" s="27"/>
      <c r="P184" s="27"/>
      <c r="Q184" s="27"/>
      <c r="R184" s="27"/>
      <c r="S184" s="27"/>
      <c r="T184" s="27"/>
      <c r="U184" s="27"/>
      <c r="V184" s="33" t="str">
        <f aca="false">IF(A184="","",IF(((O184&lt;&gt;"Yes")+(P184&lt;&gt;"Yes")+(Q184&lt;&gt;"Yes")+AND(B184="Yes",R184&lt;&gt;"Yes")+AND(OR(B184="Yes",ISNUMBER(SEARCH("grappling",F184))),S184&lt;&gt;"Yes"))=0,"READY",((O184&lt;&gt;"Yes")+(P184&lt;&gt;"Yes")+(Q184&lt;&gt;"Yes")+AND(B184="Yes",R184&lt;&gt;"Yes")+AND(OR(B184="Yes",ISNUMBER(SEARCH("grappling",F184))),S184&lt;&gt;"Yes"))&amp;" to do"))</f>
        <v/>
      </c>
      <c r="W184" s="27"/>
    </row>
    <row r="185" customFormat="false" ht="15" hidden="false" customHeight="false" outlineLevel="0" collapsed="false">
      <c r="A185" s="27"/>
      <c r="B185" s="27"/>
      <c r="C185" s="27"/>
      <c r="D185" s="27"/>
      <c r="E185" s="27"/>
      <c r="F185" s="27"/>
      <c r="G185" s="27"/>
      <c r="H185" s="27"/>
      <c r="I185" s="27"/>
      <c r="J185" s="27"/>
      <c r="K185" s="27"/>
      <c r="L185" s="32" t="str">
        <f aca="false">IF(A185="","",N(I185)+N(J185)+N(K185))</f>
        <v/>
      </c>
      <c r="M185" s="32" t="str">
        <f aca="false">IF(A185="","",IF(L185&lt;=5,"Pre-Novice",IF(L185&lt;=10,"Novice","Open")))</f>
        <v/>
      </c>
      <c r="N185" s="27"/>
      <c r="O185" s="27"/>
      <c r="P185" s="27"/>
      <c r="Q185" s="27"/>
      <c r="R185" s="27"/>
      <c r="S185" s="27"/>
      <c r="T185" s="27"/>
      <c r="U185" s="27"/>
      <c r="V185" s="33" t="str">
        <f aca="false">IF(A185="","",IF(((O185&lt;&gt;"Yes")+(P185&lt;&gt;"Yes")+(Q185&lt;&gt;"Yes")+AND(B185="Yes",R185&lt;&gt;"Yes")+AND(OR(B185="Yes",ISNUMBER(SEARCH("grappling",F185))),S185&lt;&gt;"Yes"))=0,"READY",((O185&lt;&gt;"Yes")+(P185&lt;&gt;"Yes")+(Q185&lt;&gt;"Yes")+AND(B185="Yes",R185&lt;&gt;"Yes")+AND(OR(B185="Yes",ISNUMBER(SEARCH("grappling",F185))),S185&lt;&gt;"Yes"))&amp;" to do"))</f>
        <v/>
      </c>
      <c r="W185" s="27"/>
    </row>
    <row r="186" customFormat="false" ht="15" hidden="false" customHeight="false" outlineLevel="0" collapsed="false">
      <c r="A186" s="27"/>
      <c r="B186" s="27"/>
      <c r="C186" s="27"/>
      <c r="D186" s="27"/>
      <c r="E186" s="27"/>
      <c r="F186" s="27"/>
      <c r="G186" s="27"/>
      <c r="H186" s="27"/>
      <c r="I186" s="27"/>
      <c r="J186" s="27"/>
      <c r="K186" s="27"/>
      <c r="L186" s="32" t="str">
        <f aca="false">IF(A186="","",N(I186)+N(J186)+N(K186))</f>
        <v/>
      </c>
      <c r="M186" s="32" t="str">
        <f aca="false">IF(A186="","",IF(L186&lt;=5,"Pre-Novice",IF(L186&lt;=10,"Novice","Open")))</f>
        <v/>
      </c>
      <c r="N186" s="27"/>
      <c r="O186" s="27"/>
      <c r="P186" s="27"/>
      <c r="Q186" s="27"/>
      <c r="R186" s="27"/>
      <c r="S186" s="27"/>
      <c r="T186" s="27"/>
      <c r="U186" s="27"/>
      <c r="V186" s="33" t="str">
        <f aca="false">IF(A186="","",IF(((O186&lt;&gt;"Yes")+(P186&lt;&gt;"Yes")+(Q186&lt;&gt;"Yes")+AND(B186="Yes",R186&lt;&gt;"Yes")+AND(OR(B186="Yes",ISNUMBER(SEARCH("grappling",F186))),S186&lt;&gt;"Yes"))=0,"READY",((O186&lt;&gt;"Yes")+(P186&lt;&gt;"Yes")+(Q186&lt;&gt;"Yes")+AND(B186="Yes",R186&lt;&gt;"Yes")+AND(OR(B186="Yes",ISNUMBER(SEARCH("grappling",F186))),S186&lt;&gt;"Yes"))&amp;" to do"))</f>
        <v/>
      </c>
      <c r="W186" s="27"/>
    </row>
    <row r="187" customFormat="false" ht="15" hidden="false" customHeight="false" outlineLevel="0" collapsed="false">
      <c r="A187" s="27"/>
      <c r="B187" s="27"/>
      <c r="C187" s="27"/>
      <c r="D187" s="27"/>
      <c r="E187" s="27"/>
      <c r="F187" s="27"/>
      <c r="G187" s="27"/>
      <c r="H187" s="27"/>
      <c r="I187" s="27"/>
      <c r="J187" s="27"/>
      <c r="K187" s="27"/>
      <c r="L187" s="32" t="str">
        <f aca="false">IF(A187="","",N(I187)+N(J187)+N(K187))</f>
        <v/>
      </c>
      <c r="M187" s="32" t="str">
        <f aca="false">IF(A187="","",IF(L187&lt;=5,"Pre-Novice",IF(L187&lt;=10,"Novice","Open")))</f>
        <v/>
      </c>
      <c r="N187" s="27"/>
      <c r="O187" s="27"/>
      <c r="P187" s="27"/>
      <c r="Q187" s="27"/>
      <c r="R187" s="27"/>
      <c r="S187" s="27"/>
      <c r="T187" s="27"/>
      <c r="U187" s="27"/>
      <c r="V187" s="33" t="str">
        <f aca="false">IF(A187="","",IF(((O187&lt;&gt;"Yes")+(P187&lt;&gt;"Yes")+(Q187&lt;&gt;"Yes")+AND(B187="Yes",R187&lt;&gt;"Yes")+AND(OR(B187="Yes",ISNUMBER(SEARCH("grappling",F187))),S187&lt;&gt;"Yes"))=0,"READY",((O187&lt;&gt;"Yes")+(P187&lt;&gt;"Yes")+(Q187&lt;&gt;"Yes")+AND(B187="Yes",R187&lt;&gt;"Yes")+AND(OR(B187="Yes",ISNUMBER(SEARCH("grappling",F187))),S187&lt;&gt;"Yes"))&amp;" to do"))</f>
        <v/>
      </c>
      <c r="W187" s="27"/>
    </row>
    <row r="188" customFormat="false" ht="15" hidden="false" customHeight="false" outlineLevel="0" collapsed="false">
      <c r="A188" s="27"/>
      <c r="B188" s="27"/>
      <c r="C188" s="27"/>
      <c r="D188" s="27"/>
      <c r="E188" s="27"/>
      <c r="F188" s="27"/>
      <c r="G188" s="27"/>
      <c r="H188" s="27"/>
      <c r="I188" s="27"/>
      <c r="J188" s="27"/>
      <c r="K188" s="27"/>
      <c r="L188" s="32" t="str">
        <f aca="false">IF(A188="","",N(I188)+N(J188)+N(K188))</f>
        <v/>
      </c>
      <c r="M188" s="32" t="str">
        <f aca="false">IF(A188="","",IF(L188&lt;=5,"Pre-Novice",IF(L188&lt;=10,"Novice","Open")))</f>
        <v/>
      </c>
      <c r="N188" s="27"/>
      <c r="O188" s="27"/>
      <c r="P188" s="27"/>
      <c r="Q188" s="27"/>
      <c r="R188" s="27"/>
      <c r="S188" s="27"/>
      <c r="T188" s="27"/>
      <c r="U188" s="27"/>
      <c r="V188" s="33" t="str">
        <f aca="false">IF(A188="","",IF(((O188&lt;&gt;"Yes")+(P188&lt;&gt;"Yes")+(Q188&lt;&gt;"Yes")+AND(B188="Yes",R188&lt;&gt;"Yes")+AND(OR(B188="Yes",ISNUMBER(SEARCH("grappling",F188))),S188&lt;&gt;"Yes"))=0,"READY",((O188&lt;&gt;"Yes")+(P188&lt;&gt;"Yes")+(Q188&lt;&gt;"Yes")+AND(B188="Yes",R188&lt;&gt;"Yes")+AND(OR(B188="Yes",ISNUMBER(SEARCH("grappling",F188))),S188&lt;&gt;"Yes"))&amp;" to do"))</f>
        <v/>
      </c>
      <c r="W188" s="27"/>
    </row>
    <row r="189" customFormat="false" ht="15" hidden="false" customHeight="false" outlineLevel="0" collapsed="false">
      <c r="A189" s="27"/>
      <c r="B189" s="27"/>
      <c r="C189" s="27"/>
      <c r="D189" s="27"/>
      <c r="E189" s="27"/>
      <c r="F189" s="27"/>
      <c r="G189" s="27"/>
      <c r="H189" s="27"/>
      <c r="I189" s="27"/>
      <c r="J189" s="27"/>
      <c r="K189" s="27"/>
      <c r="L189" s="32" t="str">
        <f aca="false">IF(A189="","",N(I189)+N(J189)+N(K189))</f>
        <v/>
      </c>
      <c r="M189" s="32" t="str">
        <f aca="false">IF(A189="","",IF(L189&lt;=5,"Pre-Novice",IF(L189&lt;=10,"Novice","Open")))</f>
        <v/>
      </c>
      <c r="N189" s="27"/>
      <c r="O189" s="27"/>
      <c r="P189" s="27"/>
      <c r="Q189" s="27"/>
      <c r="R189" s="27"/>
      <c r="S189" s="27"/>
      <c r="T189" s="27"/>
      <c r="U189" s="27"/>
      <c r="V189" s="33" t="str">
        <f aca="false">IF(A189="","",IF(((O189&lt;&gt;"Yes")+(P189&lt;&gt;"Yes")+(Q189&lt;&gt;"Yes")+AND(B189="Yes",R189&lt;&gt;"Yes")+AND(OR(B189="Yes",ISNUMBER(SEARCH("grappling",F189))),S189&lt;&gt;"Yes"))=0,"READY",((O189&lt;&gt;"Yes")+(P189&lt;&gt;"Yes")+(Q189&lt;&gt;"Yes")+AND(B189="Yes",R189&lt;&gt;"Yes")+AND(OR(B189="Yes",ISNUMBER(SEARCH("grappling",F189))),S189&lt;&gt;"Yes"))&amp;" to do"))</f>
        <v/>
      </c>
      <c r="W189" s="27"/>
    </row>
    <row r="190" customFormat="false" ht="15" hidden="false" customHeight="false" outlineLevel="0" collapsed="false">
      <c r="A190" s="27"/>
      <c r="B190" s="27"/>
      <c r="C190" s="27"/>
      <c r="D190" s="27"/>
      <c r="E190" s="27"/>
      <c r="F190" s="27"/>
      <c r="G190" s="27"/>
      <c r="H190" s="27"/>
      <c r="I190" s="27"/>
      <c r="J190" s="27"/>
      <c r="K190" s="27"/>
      <c r="L190" s="32" t="str">
        <f aca="false">IF(A190="","",N(I190)+N(J190)+N(K190))</f>
        <v/>
      </c>
      <c r="M190" s="32" t="str">
        <f aca="false">IF(A190="","",IF(L190&lt;=5,"Pre-Novice",IF(L190&lt;=10,"Novice","Open")))</f>
        <v/>
      </c>
      <c r="N190" s="27"/>
      <c r="O190" s="27"/>
      <c r="P190" s="27"/>
      <c r="Q190" s="27"/>
      <c r="R190" s="27"/>
      <c r="S190" s="27"/>
      <c r="T190" s="27"/>
      <c r="U190" s="27"/>
      <c r="V190" s="33" t="str">
        <f aca="false">IF(A190="","",IF(((O190&lt;&gt;"Yes")+(P190&lt;&gt;"Yes")+(Q190&lt;&gt;"Yes")+AND(B190="Yes",R190&lt;&gt;"Yes")+AND(OR(B190="Yes",ISNUMBER(SEARCH("grappling",F190))),S190&lt;&gt;"Yes"))=0,"READY",((O190&lt;&gt;"Yes")+(P190&lt;&gt;"Yes")+(Q190&lt;&gt;"Yes")+AND(B190="Yes",R190&lt;&gt;"Yes")+AND(OR(B190="Yes",ISNUMBER(SEARCH("grappling",F190))),S190&lt;&gt;"Yes"))&amp;" to do"))</f>
        <v/>
      </c>
      <c r="W190" s="27"/>
    </row>
    <row r="191" customFormat="false" ht="15" hidden="false" customHeight="false" outlineLevel="0" collapsed="false">
      <c r="A191" s="27"/>
      <c r="B191" s="27"/>
      <c r="C191" s="27"/>
      <c r="D191" s="27"/>
      <c r="E191" s="27"/>
      <c r="F191" s="27"/>
      <c r="G191" s="27"/>
      <c r="H191" s="27"/>
      <c r="I191" s="27"/>
      <c r="J191" s="27"/>
      <c r="K191" s="27"/>
      <c r="L191" s="32" t="str">
        <f aca="false">IF(A191="","",N(I191)+N(J191)+N(K191))</f>
        <v/>
      </c>
      <c r="M191" s="32" t="str">
        <f aca="false">IF(A191="","",IF(L191&lt;=5,"Pre-Novice",IF(L191&lt;=10,"Novice","Open")))</f>
        <v/>
      </c>
      <c r="N191" s="27"/>
      <c r="O191" s="27"/>
      <c r="P191" s="27"/>
      <c r="Q191" s="27"/>
      <c r="R191" s="27"/>
      <c r="S191" s="27"/>
      <c r="T191" s="27"/>
      <c r="U191" s="27"/>
      <c r="V191" s="33" t="str">
        <f aca="false">IF(A191="","",IF(((O191&lt;&gt;"Yes")+(P191&lt;&gt;"Yes")+(Q191&lt;&gt;"Yes")+AND(B191="Yes",R191&lt;&gt;"Yes")+AND(OR(B191="Yes",ISNUMBER(SEARCH("grappling",F191))),S191&lt;&gt;"Yes"))=0,"READY",((O191&lt;&gt;"Yes")+(P191&lt;&gt;"Yes")+(Q191&lt;&gt;"Yes")+AND(B191="Yes",R191&lt;&gt;"Yes")+AND(OR(B191="Yes",ISNUMBER(SEARCH("grappling",F191))),S191&lt;&gt;"Yes"))&amp;" to do"))</f>
        <v/>
      </c>
      <c r="W191" s="27"/>
    </row>
    <row r="192" customFormat="false" ht="15" hidden="false" customHeight="false" outlineLevel="0" collapsed="false">
      <c r="A192" s="27"/>
      <c r="B192" s="27"/>
      <c r="C192" s="27"/>
      <c r="D192" s="27"/>
      <c r="E192" s="27"/>
      <c r="F192" s="27"/>
      <c r="G192" s="27"/>
      <c r="H192" s="27"/>
      <c r="I192" s="27"/>
      <c r="J192" s="27"/>
      <c r="K192" s="27"/>
      <c r="L192" s="32" t="str">
        <f aca="false">IF(A192="","",N(I192)+N(J192)+N(K192))</f>
        <v/>
      </c>
      <c r="M192" s="32" t="str">
        <f aca="false">IF(A192="","",IF(L192&lt;=5,"Pre-Novice",IF(L192&lt;=10,"Novice","Open")))</f>
        <v/>
      </c>
      <c r="N192" s="27"/>
      <c r="O192" s="27"/>
      <c r="P192" s="27"/>
      <c r="Q192" s="27"/>
      <c r="R192" s="27"/>
      <c r="S192" s="27"/>
      <c r="T192" s="27"/>
      <c r="U192" s="27"/>
      <c r="V192" s="33" t="str">
        <f aca="false">IF(A192="","",IF(((O192&lt;&gt;"Yes")+(P192&lt;&gt;"Yes")+(Q192&lt;&gt;"Yes")+AND(B192="Yes",R192&lt;&gt;"Yes")+AND(OR(B192="Yes",ISNUMBER(SEARCH("grappling",F192))),S192&lt;&gt;"Yes"))=0,"READY",((O192&lt;&gt;"Yes")+(P192&lt;&gt;"Yes")+(Q192&lt;&gt;"Yes")+AND(B192="Yes",R192&lt;&gt;"Yes")+AND(OR(B192="Yes",ISNUMBER(SEARCH("grappling",F192))),S192&lt;&gt;"Yes"))&amp;" to do"))</f>
        <v/>
      </c>
      <c r="W192" s="27"/>
    </row>
    <row r="193" customFormat="false" ht="15" hidden="false" customHeight="false" outlineLevel="0" collapsed="false">
      <c r="A193" s="27"/>
      <c r="B193" s="27"/>
      <c r="C193" s="27"/>
      <c r="D193" s="27"/>
      <c r="E193" s="27"/>
      <c r="F193" s="27"/>
      <c r="G193" s="27"/>
      <c r="H193" s="27"/>
      <c r="I193" s="27"/>
      <c r="J193" s="27"/>
      <c r="K193" s="27"/>
      <c r="L193" s="32" t="str">
        <f aca="false">IF(A193="","",N(I193)+N(J193)+N(K193))</f>
        <v/>
      </c>
      <c r="M193" s="32" t="str">
        <f aca="false">IF(A193="","",IF(L193&lt;=5,"Pre-Novice",IF(L193&lt;=10,"Novice","Open")))</f>
        <v/>
      </c>
      <c r="N193" s="27"/>
      <c r="O193" s="27"/>
      <c r="P193" s="27"/>
      <c r="Q193" s="27"/>
      <c r="R193" s="27"/>
      <c r="S193" s="27"/>
      <c r="T193" s="27"/>
      <c r="U193" s="27"/>
      <c r="V193" s="33" t="str">
        <f aca="false">IF(A193="","",IF(((O193&lt;&gt;"Yes")+(P193&lt;&gt;"Yes")+(Q193&lt;&gt;"Yes")+AND(B193="Yes",R193&lt;&gt;"Yes")+AND(OR(B193="Yes",ISNUMBER(SEARCH("grappling",F193))),S193&lt;&gt;"Yes"))=0,"READY",((O193&lt;&gt;"Yes")+(P193&lt;&gt;"Yes")+(Q193&lt;&gt;"Yes")+AND(B193="Yes",R193&lt;&gt;"Yes")+AND(OR(B193="Yes",ISNUMBER(SEARCH("grappling",F193))),S193&lt;&gt;"Yes"))&amp;" to do"))</f>
        <v/>
      </c>
      <c r="W193" s="27"/>
    </row>
    <row r="194" customFormat="false" ht="15" hidden="false" customHeight="false" outlineLevel="0" collapsed="false">
      <c r="A194" s="27"/>
      <c r="B194" s="27"/>
      <c r="C194" s="27"/>
      <c r="D194" s="27"/>
      <c r="E194" s="27"/>
      <c r="F194" s="27"/>
      <c r="G194" s="27"/>
      <c r="H194" s="27"/>
      <c r="I194" s="27"/>
      <c r="J194" s="27"/>
      <c r="K194" s="27"/>
      <c r="L194" s="32" t="str">
        <f aca="false">IF(A194="","",N(I194)+N(J194)+N(K194))</f>
        <v/>
      </c>
      <c r="M194" s="32" t="str">
        <f aca="false">IF(A194="","",IF(L194&lt;=5,"Pre-Novice",IF(L194&lt;=10,"Novice","Open")))</f>
        <v/>
      </c>
      <c r="N194" s="27"/>
      <c r="O194" s="27"/>
      <c r="P194" s="27"/>
      <c r="Q194" s="27"/>
      <c r="R194" s="27"/>
      <c r="S194" s="27"/>
      <c r="T194" s="27"/>
      <c r="U194" s="27"/>
      <c r="V194" s="33" t="str">
        <f aca="false">IF(A194="","",IF(((O194&lt;&gt;"Yes")+(P194&lt;&gt;"Yes")+(Q194&lt;&gt;"Yes")+AND(B194="Yes",R194&lt;&gt;"Yes")+AND(OR(B194="Yes",ISNUMBER(SEARCH("grappling",F194))),S194&lt;&gt;"Yes"))=0,"READY",((O194&lt;&gt;"Yes")+(P194&lt;&gt;"Yes")+(Q194&lt;&gt;"Yes")+AND(B194="Yes",R194&lt;&gt;"Yes")+AND(OR(B194="Yes",ISNUMBER(SEARCH("grappling",F194))),S194&lt;&gt;"Yes"))&amp;" to do"))</f>
        <v/>
      </c>
      <c r="W194" s="27"/>
    </row>
    <row r="195" customFormat="false" ht="15" hidden="false" customHeight="false" outlineLevel="0" collapsed="false">
      <c r="A195" s="27"/>
      <c r="B195" s="27"/>
      <c r="C195" s="27"/>
      <c r="D195" s="27"/>
      <c r="E195" s="27"/>
      <c r="F195" s="27"/>
      <c r="G195" s="27"/>
      <c r="H195" s="27"/>
      <c r="I195" s="27"/>
      <c r="J195" s="27"/>
      <c r="K195" s="27"/>
      <c r="L195" s="32" t="str">
        <f aca="false">IF(A195="","",N(I195)+N(J195)+N(K195))</f>
        <v/>
      </c>
      <c r="M195" s="32" t="str">
        <f aca="false">IF(A195="","",IF(L195&lt;=5,"Pre-Novice",IF(L195&lt;=10,"Novice","Open")))</f>
        <v/>
      </c>
      <c r="N195" s="27"/>
      <c r="O195" s="27"/>
      <c r="P195" s="27"/>
      <c r="Q195" s="27"/>
      <c r="R195" s="27"/>
      <c r="S195" s="27"/>
      <c r="T195" s="27"/>
      <c r="U195" s="27"/>
      <c r="V195" s="33" t="str">
        <f aca="false">IF(A195="","",IF(((O195&lt;&gt;"Yes")+(P195&lt;&gt;"Yes")+(Q195&lt;&gt;"Yes")+AND(B195="Yes",R195&lt;&gt;"Yes")+AND(OR(B195="Yes",ISNUMBER(SEARCH("grappling",F195))),S195&lt;&gt;"Yes"))=0,"READY",((O195&lt;&gt;"Yes")+(P195&lt;&gt;"Yes")+(Q195&lt;&gt;"Yes")+AND(B195="Yes",R195&lt;&gt;"Yes")+AND(OR(B195="Yes",ISNUMBER(SEARCH("grappling",F195))),S195&lt;&gt;"Yes"))&amp;" to do"))</f>
        <v/>
      </c>
      <c r="W195" s="27"/>
    </row>
    <row r="196" customFormat="false" ht="15" hidden="false" customHeight="false" outlineLevel="0" collapsed="false">
      <c r="A196" s="27"/>
      <c r="B196" s="27"/>
      <c r="C196" s="27"/>
      <c r="D196" s="27"/>
      <c r="E196" s="27"/>
      <c r="F196" s="27"/>
      <c r="G196" s="27"/>
      <c r="H196" s="27"/>
      <c r="I196" s="27"/>
      <c r="J196" s="27"/>
      <c r="K196" s="27"/>
      <c r="L196" s="32" t="str">
        <f aca="false">IF(A196="","",N(I196)+N(J196)+N(K196))</f>
        <v/>
      </c>
      <c r="M196" s="32" t="str">
        <f aca="false">IF(A196="","",IF(L196&lt;=5,"Pre-Novice",IF(L196&lt;=10,"Novice","Open")))</f>
        <v/>
      </c>
      <c r="N196" s="27"/>
      <c r="O196" s="27"/>
      <c r="P196" s="27"/>
      <c r="Q196" s="27"/>
      <c r="R196" s="27"/>
      <c r="S196" s="27"/>
      <c r="T196" s="27"/>
      <c r="U196" s="27"/>
      <c r="V196" s="33" t="str">
        <f aca="false">IF(A196="","",IF(((O196&lt;&gt;"Yes")+(P196&lt;&gt;"Yes")+(Q196&lt;&gt;"Yes")+AND(B196="Yes",R196&lt;&gt;"Yes")+AND(OR(B196="Yes",ISNUMBER(SEARCH("grappling",F196))),S196&lt;&gt;"Yes"))=0,"READY",((O196&lt;&gt;"Yes")+(P196&lt;&gt;"Yes")+(Q196&lt;&gt;"Yes")+AND(B196="Yes",R196&lt;&gt;"Yes")+AND(OR(B196="Yes",ISNUMBER(SEARCH("grappling",F196))),S196&lt;&gt;"Yes"))&amp;" to do"))</f>
        <v/>
      </c>
      <c r="W196" s="27"/>
    </row>
    <row r="197" customFormat="false" ht="15" hidden="false" customHeight="false" outlineLevel="0" collapsed="false">
      <c r="A197" s="27"/>
      <c r="B197" s="27"/>
      <c r="C197" s="27"/>
      <c r="D197" s="27"/>
      <c r="E197" s="27"/>
      <c r="F197" s="27"/>
      <c r="G197" s="27"/>
      <c r="H197" s="27"/>
      <c r="I197" s="27"/>
      <c r="J197" s="27"/>
      <c r="K197" s="27"/>
      <c r="L197" s="32" t="str">
        <f aca="false">IF(A197="","",N(I197)+N(J197)+N(K197))</f>
        <v/>
      </c>
      <c r="M197" s="32" t="str">
        <f aca="false">IF(A197="","",IF(L197&lt;=5,"Pre-Novice",IF(L197&lt;=10,"Novice","Open")))</f>
        <v/>
      </c>
      <c r="N197" s="27"/>
      <c r="O197" s="27"/>
      <c r="P197" s="27"/>
      <c r="Q197" s="27"/>
      <c r="R197" s="27"/>
      <c r="S197" s="27"/>
      <c r="T197" s="27"/>
      <c r="U197" s="27"/>
      <c r="V197" s="33" t="str">
        <f aca="false">IF(A197="","",IF(((O197&lt;&gt;"Yes")+(P197&lt;&gt;"Yes")+(Q197&lt;&gt;"Yes")+AND(B197="Yes",R197&lt;&gt;"Yes")+AND(OR(B197="Yes",ISNUMBER(SEARCH("grappling",F197))),S197&lt;&gt;"Yes"))=0,"READY",((O197&lt;&gt;"Yes")+(P197&lt;&gt;"Yes")+(Q197&lt;&gt;"Yes")+AND(B197="Yes",R197&lt;&gt;"Yes")+AND(OR(B197="Yes",ISNUMBER(SEARCH("grappling",F197))),S197&lt;&gt;"Yes"))&amp;" to do"))</f>
        <v/>
      </c>
      <c r="W197" s="27"/>
    </row>
    <row r="198" customFormat="false" ht="15" hidden="false" customHeight="false" outlineLevel="0" collapsed="false">
      <c r="A198" s="27"/>
      <c r="B198" s="27"/>
      <c r="C198" s="27"/>
      <c r="D198" s="27"/>
      <c r="E198" s="27"/>
      <c r="F198" s="27"/>
      <c r="G198" s="27"/>
      <c r="H198" s="27"/>
      <c r="I198" s="27"/>
      <c r="J198" s="27"/>
      <c r="K198" s="27"/>
      <c r="L198" s="32" t="str">
        <f aca="false">IF(A198="","",N(I198)+N(J198)+N(K198))</f>
        <v/>
      </c>
      <c r="M198" s="32" t="str">
        <f aca="false">IF(A198="","",IF(L198&lt;=5,"Pre-Novice",IF(L198&lt;=10,"Novice","Open")))</f>
        <v/>
      </c>
      <c r="N198" s="27"/>
      <c r="O198" s="27"/>
      <c r="P198" s="27"/>
      <c r="Q198" s="27"/>
      <c r="R198" s="27"/>
      <c r="S198" s="27"/>
      <c r="T198" s="27"/>
      <c r="U198" s="27"/>
      <c r="V198" s="33" t="str">
        <f aca="false">IF(A198="","",IF(((O198&lt;&gt;"Yes")+(P198&lt;&gt;"Yes")+(Q198&lt;&gt;"Yes")+AND(B198="Yes",R198&lt;&gt;"Yes")+AND(OR(B198="Yes",ISNUMBER(SEARCH("grappling",F198))),S198&lt;&gt;"Yes"))=0,"READY",((O198&lt;&gt;"Yes")+(P198&lt;&gt;"Yes")+(Q198&lt;&gt;"Yes")+AND(B198="Yes",R198&lt;&gt;"Yes")+AND(OR(B198="Yes",ISNUMBER(SEARCH("grappling",F198))),S198&lt;&gt;"Yes"))&amp;" to do"))</f>
        <v/>
      </c>
      <c r="W198" s="27"/>
    </row>
    <row r="199" customFormat="false" ht="15" hidden="false" customHeight="false" outlineLevel="0" collapsed="false">
      <c r="A199" s="27"/>
      <c r="B199" s="27"/>
      <c r="C199" s="27"/>
      <c r="D199" s="27"/>
      <c r="E199" s="27"/>
      <c r="F199" s="27"/>
      <c r="G199" s="27"/>
      <c r="H199" s="27"/>
      <c r="I199" s="27"/>
      <c r="J199" s="27"/>
      <c r="K199" s="27"/>
      <c r="L199" s="32" t="str">
        <f aca="false">IF(A199="","",N(I199)+N(J199)+N(K199))</f>
        <v/>
      </c>
      <c r="M199" s="32" t="str">
        <f aca="false">IF(A199="","",IF(L199&lt;=5,"Pre-Novice",IF(L199&lt;=10,"Novice","Open")))</f>
        <v/>
      </c>
      <c r="N199" s="27"/>
      <c r="O199" s="27"/>
      <c r="P199" s="27"/>
      <c r="Q199" s="27"/>
      <c r="R199" s="27"/>
      <c r="S199" s="27"/>
      <c r="T199" s="27"/>
      <c r="U199" s="27"/>
      <c r="V199" s="33" t="str">
        <f aca="false">IF(A199="","",IF(((O199&lt;&gt;"Yes")+(P199&lt;&gt;"Yes")+(Q199&lt;&gt;"Yes")+AND(B199="Yes",R199&lt;&gt;"Yes")+AND(OR(B199="Yes",ISNUMBER(SEARCH("grappling",F199))),S199&lt;&gt;"Yes"))=0,"READY",((O199&lt;&gt;"Yes")+(P199&lt;&gt;"Yes")+(Q199&lt;&gt;"Yes")+AND(B199="Yes",R199&lt;&gt;"Yes")+AND(OR(B199="Yes",ISNUMBER(SEARCH("grappling",F199))),S199&lt;&gt;"Yes"))&amp;" to do"))</f>
        <v/>
      </c>
      <c r="W199" s="27"/>
    </row>
    <row r="200" customFormat="false" ht="15" hidden="false" customHeight="false" outlineLevel="0" collapsed="false">
      <c r="A200" s="27"/>
      <c r="B200" s="27"/>
      <c r="C200" s="27"/>
      <c r="D200" s="27"/>
      <c r="E200" s="27"/>
      <c r="F200" s="27"/>
      <c r="G200" s="27"/>
      <c r="H200" s="27"/>
      <c r="I200" s="27"/>
      <c r="J200" s="27"/>
      <c r="K200" s="27"/>
      <c r="L200" s="32" t="str">
        <f aca="false">IF(A200="","",N(I200)+N(J200)+N(K200))</f>
        <v/>
      </c>
      <c r="M200" s="32" t="str">
        <f aca="false">IF(A200="","",IF(L200&lt;=5,"Pre-Novice",IF(L200&lt;=10,"Novice","Open")))</f>
        <v/>
      </c>
      <c r="N200" s="27"/>
      <c r="O200" s="27"/>
      <c r="P200" s="27"/>
      <c r="Q200" s="27"/>
      <c r="R200" s="27"/>
      <c r="S200" s="27"/>
      <c r="T200" s="27"/>
      <c r="U200" s="27"/>
      <c r="V200" s="33" t="str">
        <f aca="false">IF(A200="","",IF(((O200&lt;&gt;"Yes")+(P200&lt;&gt;"Yes")+(Q200&lt;&gt;"Yes")+AND(B200="Yes",R200&lt;&gt;"Yes")+AND(OR(B200="Yes",ISNUMBER(SEARCH("grappling",F200))),S200&lt;&gt;"Yes"))=0,"READY",((O200&lt;&gt;"Yes")+(P200&lt;&gt;"Yes")+(Q200&lt;&gt;"Yes")+AND(B200="Yes",R200&lt;&gt;"Yes")+AND(OR(B200="Yes",ISNUMBER(SEARCH("grappling",F200))),S200&lt;&gt;"Yes"))&amp;" to do"))</f>
        <v/>
      </c>
      <c r="W200" s="27"/>
    </row>
    <row r="201" customFormat="false" ht="15" hidden="false" customHeight="false" outlineLevel="0" collapsed="false">
      <c r="A201" s="27"/>
      <c r="B201" s="27"/>
      <c r="C201" s="27"/>
      <c r="D201" s="27"/>
      <c r="E201" s="27"/>
      <c r="F201" s="27"/>
      <c r="G201" s="27"/>
      <c r="H201" s="27"/>
      <c r="I201" s="27"/>
      <c r="J201" s="27"/>
      <c r="K201" s="27"/>
      <c r="L201" s="32" t="str">
        <f aca="false">IF(A201="","",N(I201)+N(J201)+N(K201))</f>
        <v/>
      </c>
      <c r="M201" s="32" t="str">
        <f aca="false">IF(A201="","",IF(L201&lt;=5,"Pre-Novice",IF(L201&lt;=10,"Novice","Open")))</f>
        <v/>
      </c>
      <c r="N201" s="27"/>
      <c r="O201" s="27"/>
      <c r="P201" s="27"/>
      <c r="Q201" s="27"/>
      <c r="R201" s="27"/>
      <c r="S201" s="27"/>
      <c r="T201" s="27"/>
      <c r="U201" s="27"/>
      <c r="V201" s="33" t="str">
        <f aca="false">IF(A201="","",IF(((O201&lt;&gt;"Yes")+(P201&lt;&gt;"Yes")+(Q201&lt;&gt;"Yes")+AND(B201="Yes",R201&lt;&gt;"Yes")+AND(OR(B201="Yes",ISNUMBER(SEARCH("grappling",F201))),S201&lt;&gt;"Yes"))=0,"READY",((O201&lt;&gt;"Yes")+(P201&lt;&gt;"Yes")+(Q201&lt;&gt;"Yes")+AND(B201="Yes",R201&lt;&gt;"Yes")+AND(OR(B201="Yes",ISNUMBER(SEARCH("grappling",F201))),S201&lt;&gt;"Yes"))&amp;" to do"))</f>
        <v/>
      </c>
      <c r="W201" s="27"/>
    </row>
    <row r="202" customFormat="false" ht="15" hidden="false" customHeight="false" outlineLevel="0" collapsed="false">
      <c r="A202" s="27"/>
      <c r="B202" s="27"/>
      <c r="C202" s="27"/>
      <c r="D202" s="27"/>
      <c r="E202" s="27"/>
      <c r="F202" s="27"/>
      <c r="G202" s="27"/>
      <c r="H202" s="27"/>
      <c r="I202" s="27"/>
      <c r="J202" s="27"/>
      <c r="K202" s="27"/>
      <c r="L202" s="32" t="str">
        <f aca="false">IF(A202="","",N(I202)+N(J202)+N(K202))</f>
        <v/>
      </c>
      <c r="M202" s="32" t="str">
        <f aca="false">IF(A202="","",IF(L202&lt;=5,"Pre-Novice",IF(L202&lt;=10,"Novice","Open")))</f>
        <v/>
      </c>
      <c r="N202" s="27"/>
      <c r="O202" s="27"/>
      <c r="P202" s="27"/>
      <c r="Q202" s="27"/>
      <c r="R202" s="27"/>
      <c r="S202" s="27"/>
      <c r="T202" s="27"/>
      <c r="U202" s="27"/>
      <c r="V202" s="33" t="str">
        <f aca="false">IF(A202="","",IF(((O202&lt;&gt;"Yes")+(P202&lt;&gt;"Yes")+(Q202&lt;&gt;"Yes")+AND(B202="Yes",R202&lt;&gt;"Yes")+AND(OR(B202="Yes",ISNUMBER(SEARCH("grappling",F202))),S202&lt;&gt;"Yes"))=0,"READY",((O202&lt;&gt;"Yes")+(P202&lt;&gt;"Yes")+(Q202&lt;&gt;"Yes")+AND(B202="Yes",R202&lt;&gt;"Yes")+AND(OR(B202="Yes",ISNUMBER(SEARCH("grappling",F202))),S202&lt;&gt;"Yes"))&amp;" to do"))</f>
        <v/>
      </c>
      <c r="W202" s="27"/>
    </row>
    <row r="203" customFormat="false" ht="15" hidden="false" customHeight="false" outlineLevel="0" collapsed="false">
      <c r="A203" s="27"/>
      <c r="B203" s="27"/>
      <c r="C203" s="27"/>
      <c r="D203" s="27"/>
      <c r="E203" s="27"/>
      <c r="F203" s="27"/>
      <c r="G203" s="27"/>
      <c r="H203" s="27"/>
      <c r="I203" s="27"/>
      <c r="J203" s="27"/>
      <c r="K203" s="27"/>
      <c r="L203" s="32" t="str">
        <f aca="false">IF(A203="","",N(I203)+N(J203)+N(K203))</f>
        <v/>
      </c>
      <c r="M203" s="32" t="str">
        <f aca="false">IF(A203="","",IF(L203&lt;=5,"Pre-Novice",IF(L203&lt;=10,"Novice","Open")))</f>
        <v/>
      </c>
      <c r="N203" s="27"/>
      <c r="O203" s="27"/>
      <c r="P203" s="27"/>
      <c r="Q203" s="27"/>
      <c r="R203" s="27"/>
      <c r="S203" s="27"/>
      <c r="T203" s="27"/>
      <c r="U203" s="27"/>
      <c r="V203" s="33" t="str">
        <f aca="false">IF(A203="","",IF(((O203&lt;&gt;"Yes")+(P203&lt;&gt;"Yes")+(Q203&lt;&gt;"Yes")+AND(B203="Yes",R203&lt;&gt;"Yes")+AND(OR(B203="Yes",ISNUMBER(SEARCH("grappling",F203))),S203&lt;&gt;"Yes"))=0,"READY",((O203&lt;&gt;"Yes")+(P203&lt;&gt;"Yes")+(Q203&lt;&gt;"Yes")+AND(B203="Yes",R203&lt;&gt;"Yes")+AND(OR(B203="Yes",ISNUMBER(SEARCH("grappling",F203))),S203&lt;&gt;"Yes"))&amp;" to do"))</f>
        <v/>
      </c>
      <c r="W203" s="27"/>
    </row>
    <row r="204" customFormat="false" ht="15" hidden="false" customHeight="false" outlineLevel="0" collapsed="false">
      <c r="A204" s="27"/>
      <c r="B204" s="27"/>
      <c r="C204" s="27"/>
      <c r="D204" s="27"/>
      <c r="E204" s="27"/>
      <c r="F204" s="27"/>
      <c r="G204" s="27"/>
      <c r="H204" s="27"/>
      <c r="I204" s="27"/>
      <c r="J204" s="27"/>
      <c r="K204" s="27"/>
      <c r="L204" s="32" t="str">
        <f aca="false">IF(A204="","",N(I204)+N(J204)+N(K204))</f>
        <v/>
      </c>
      <c r="M204" s="32" t="str">
        <f aca="false">IF(A204="","",IF(L204&lt;=5,"Pre-Novice",IF(L204&lt;=10,"Novice","Open")))</f>
        <v/>
      </c>
      <c r="N204" s="27"/>
      <c r="O204" s="27"/>
      <c r="P204" s="27"/>
      <c r="Q204" s="27"/>
      <c r="R204" s="27"/>
      <c r="S204" s="27"/>
      <c r="T204" s="27"/>
      <c r="U204" s="27"/>
      <c r="V204" s="33" t="str">
        <f aca="false">IF(A204="","",IF(((O204&lt;&gt;"Yes")+(P204&lt;&gt;"Yes")+(Q204&lt;&gt;"Yes")+AND(B204="Yes",R204&lt;&gt;"Yes")+AND(OR(B204="Yes",ISNUMBER(SEARCH("grappling",F204))),S204&lt;&gt;"Yes"))=0,"READY",((O204&lt;&gt;"Yes")+(P204&lt;&gt;"Yes")+(Q204&lt;&gt;"Yes")+AND(B204="Yes",R204&lt;&gt;"Yes")+AND(OR(B204="Yes",ISNUMBER(SEARCH("grappling",F204))),S204&lt;&gt;"Yes"))&amp;" to do"))</f>
        <v/>
      </c>
      <c r="W204" s="27"/>
    </row>
  </sheetData>
  <autoFilter ref="A4:W204"/>
  <mergeCells count="2">
    <mergeCell ref="A1:W1"/>
    <mergeCell ref="A2:W2"/>
  </mergeCells>
  <conditionalFormatting sqref="V5:V204">
    <cfRule type="cellIs" priority="2" operator="equal" aboveAverage="0" equalAverage="0" bottom="0" percent="0" rank="0" text="" dxfId="0">
      <formula>"READY"</formula>
    </cfRule>
    <cfRule type="expression" priority="3" aboveAverage="0" equalAverage="0" bottom="0" percent="0" rank="0" text="" dxfId="2">
      <formula>RIGHT(V5,5)="to do"</formula>
    </cfRule>
  </conditionalFormatting>
  <dataValidations count="10">
    <dataValidation allowBlank="true" errorStyle="stop" operator="between" showDropDown="false" showErrorMessage="false" showInputMessage="false" sqref="B5:B204" type="list">
      <formula1>"Yes,No"</formula1>
      <formula2>0</formula2>
    </dataValidation>
    <dataValidation allowBlank="true" errorStyle="stop" operator="between" showDropDown="false" showErrorMessage="false" showInputMessage="false" sqref="F5:F204" type="list">
      <formula1>Lists!$A$2:$A$4</formula1>
      <formula2>0</formula2>
    </dataValidation>
    <dataValidation allowBlank="true" errorStyle="stop" operator="between" showDropDown="false" showErrorMessage="false" showInputMessage="false" sqref="G5:G204" type="list">
      <formula1>Lists!$B$2:$B$6</formula1>
      <formula2>0</formula2>
    </dataValidation>
    <dataValidation allowBlank="true" errorStyle="stop" operator="between" showDropDown="false" showErrorMessage="false" showInputMessage="false" sqref="N5:N204" type="list">
      <formula1>Lists!$C$2:$C$4</formula1>
      <formula2>0</formula2>
    </dataValidation>
    <dataValidation allowBlank="true" errorStyle="stop" operator="between" showDropDown="false" showErrorMessage="false" showInputMessage="false" sqref="O5:O204" type="list">
      <formula1>"Yes,No,Pending"</formula1>
      <formula2>0</formula2>
    </dataValidation>
    <dataValidation allowBlank="true" errorStyle="stop" operator="between" showDropDown="false" showErrorMessage="false" showInputMessage="false" sqref="P5:P204" type="list">
      <formula1>"Yes,No"</formula1>
      <formula2>0</formula2>
    </dataValidation>
    <dataValidation allowBlank="true" errorStyle="stop" operator="between" showDropDown="false" showErrorMessage="false" showInputMessage="false" sqref="Q5:Q204" type="list">
      <formula1>"Yes,No"</formula1>
      <formula2>0</formula2>
    </dataValidation>
    <dataValidation allowBlank="true" errorStyle="stop" operator="between" showDropDown="false" showErrorMessage="false" showInputMessage="false" sqref="R5:R204" type="list">
      <formula1>"Yes,No,N/A"</formula1>
      <formula2>0</formula2>
    </dataValidation>
    <dataValidation allowBlank="true" errorStyle="stop" operator="between" showDropDown="false" showErrorMessage="false" showInputMessage="false" sqref="S5:S204" type="list">
      <formula1>"Yes,No,N/A"</formula1>
      <formula2>0</formula2>
    </dataValidation>
    <dataValidation allowBlank="true" errorStyle="stop" operator="between" showDropDown="false" showErrorMessage="false" showInputMessage="false" sqref="T5:T204" type="list">
      <formula1>Lists!$D$2:$D$7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E2221"/>
    <pageSetUpPr fitToPage="true"/>
  </sheetPr>
  <dimension ref="A1:T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7"/>
    <col collapsed="false" customWidth="true" hidden="false" outlineLevel="0" max="5" min="4" style="0" width="22"/>
    <col collapsed="false" customWidth="true" hidden="false" outlineLevel="0" max="9" min="6" style="0" width="8"/>
    <col collapsed="false" customWidth="true" hidden="false" outlineLevel="0" max="11" min="10" style="0" width="10"/>
    <col collapsed="false" customWidth="true" hidden="false" outlineLevel="0" max="12" min="12" style="0" width="9"/>
    <col collapsed="false" customWidth="true" hidden="false" outlineLevel="0" max="13" min="13" style="0" width="30"/>
    <col collapsed="false" customWidth="true" hidden="false" outlineLevel="0" max="15" min="14" style="0" width="9"/>
    <col collapsed="false" customWidth="true" hidden="false" outlineLevel="0" max="16" min="16" style="0" width="18"/>
    <col collapsed="false" customWidth="true" hidden="false" outlineLevel="0" max="17" min="17" style="0" width="16"/>
    <col collapsed="false" customWidth="true" hidden="false" outlineLevel="0" max="18" min="18" style="0" width="6"/>
    <col collapsed="false" customWidth="true" hidden="false" outlineLevel="0" max="19" min="19" style="0" width="7"/>
    <col collapsed="false" customWidth="true" hidden="false" outlineLevel="0" max="20" min="20" style="0" width="26"/>
  </cols>
  <sheetData>
    <row r="1" customFormat="false" ht="30" hidden="false" customHeight="true" outlineLevel="0" collapsed="false">
      <c r="A1" s="1" t="s">
        <v>371</v>
      </c>
      <c r="B1" s="1"/>
      <c r="C1" s="1"/>
      <c r="D1" s="1"/>
      <c r="E1" s="1"/>
      <c r="F1" s="1"/>
      <c r="G1" s="1"/>
      <c r="H1" s="1"/>
      <c r="I1" s="1"/>
      <c r="J1" s="1"/>
      <c r="K1" s="1"/>
      <c r="L1" s="1"/>
      <c r="M1" s="1"/>
      <c r="N1" s="1"/>
      <c r="O1" s="1"/>
      <c r="P1" s="1"/>
      <c r="Q1" s="1"/>
      <c r="R1" s="1"/>
      <c r="S1" s="1"/>
      <c r="T1" s="1"/>
    </row>
    <row r="2" customFormat="false" ht="33.75" hidden="false" customHeight="true" outlineLevel="0" collapsed="false">
      <c r="A2" s="2" t="s">
        <v>372</v>
      </c>
      <c r="B2" s="2"/>
      <c r="C2" s="2"/>
      <c r="D2" s="2"/>
      <c r="E2" s="2"/>
      <c r="F2" s="2"/>
      <c r="G2" s="2"/>
      <c r="H2" s="2"/>
      <c r="I2" s="2"/>
      <c r="J2" s="2"/>
      <c r="K2" s="2"/>
      <c r="L2" s="2"/>
      <c r="M2" s="2"/>
      <c r="N2" s="2"/>
      <c r="O2" s="2"/>
      <c r="P2" s="2"/>
      <c r="Q2" s="2"/>
      <c r="R2" s="2"/>
      <c r="S2" s="2"/>
      <c r="T2" s="2"/>
    </row>
    <row r="4" customFormat="false" ht="15" hidden="false" customHeight="false" outlineLevel="0" collapsed="false">
      <c r="A4" s="34" t="s">
        <v>373</v>
      </c>
      <c r="B4" s="34"/>
      <c r="C4" s="34"/>
      <c r="D4" s="34"/>
      <c r="E4" s="34"/>
      <c r="F4" s="34" t="s">
        <v>374</v>
      </c>
      <c r="G4" s="34"/>
      <c r="H4" s="34"/>
      <c r="I4" s="34"/>
      <c r="J4" s="34"/>
      <c r="M4" s="34" t="s">
        <v>375</v>
      </c>
      <c r="N4" s="34"/>
      <c r="O4" s="34"/>
      <c r="P4" s="34"/>
      <c r="Q4" s="34"/>
    </row>
    <row r="5" customFormat="false" ht="17.35" hidden="false" customHeight="false" outlineLevel="0" collapsed="false">
      <c r="A5" s="35" t="n">
        <f aca="false">COUNTIF(D8:D37,"?*")</f>
        <v>0</v>
      </c>
      <c r="F5" s="35" t="n">
        <f aca="false">COUNTIFS(D8:D37,"?*",N8:N37,"Yes",O8:O37,"Yes")</f>
        <v>0</v>
      </c>
      <c r="M5" s="35" t="n">
        <f aca="false">COUNTIF(M8:M37,"?*")-COUNTIF(M8:M37,"OK")</f>
        <v>0</v>
      </c>
    </row>
    <row r="7" customFormat="false" ht="43.5" hidden="false" customHeight="true" outlineLevel="0" collapsed="false">
      <c r="A7" s="21" t="s">
        <v>376</v>
      </c>
      <c r="B7" s="21" t="s">
        <v>377</v>
      </c>
      <c r="C7" s="21" t="s">
        <v>34</v>
      </c>
      <c r="D7" s="21" t="s">
        <v>378</v>
      </c>
      <c r="E7" s="21" t="s">
        <v>379</v>
      </c>
      <c r="F7" s="21" t="s">
        <v>380</v>
      </c>
      <c r="G7" s="21" t="s">
        <v>381</v>
      </c>
      <c r="H7" s="21" t="s">
        <v>382</v>
      </c>
      <c r="I7" s="21" t="s">
        <v>383</v>
      </c>
      <c r="J7" s="21" t="s">
        <v>384</v>
      </c>
      <c r="K7" s="21" t="s">
        <v>385</v>
      </c>
      <c r="L7" s="21" t="s">
        <v>386</v>
      </c>
      <c r="M7" s="21" t="s">
        <v>387</v>
      </c>
      <c r="N7" s="21" t="s">
        <v>388</v>
      </c>
      <c r="O7" s="21" t="s">
        <v>389</v>
      </c>
      <c r="P7" s="21" t="s">
        <v>390</v>
      </c>
      <c r="Q7" s="21" t="s">
        <v>391</v>
      </c>
      <c r="R7" s="21" t="s">
        <v>392</v>
      </c>
      <c r="S7" s="21" t="s">
        <v>393</v>
      </c>
      <c r="T7" s="21" t="s">
        <v>95</v>
      </c>
    </row>
    <row r="8" customFormat="false" ht="30" hidden="false" customHeight="true" outlineLevel="0" collapsed="false">
      <c r="A8" s="32" t="n">
        <v>1</v>
      </c>
      <c r="B8" s="27"/>
      <c r="C8" s="27"/>
      <c r="D8" s="27"/>
      <c r="E8" s="27"/>
      <c r="F8" s="36" t="str">
        <f aca="false">IF(D8="","",IFERROR(INDEX(Fighters!$H$5:$H$204,MATCH(D8,Fighters!$A$5:$A$204,0)),""))</f>
        <v/>
      </c>
      <c r="G8" s="36" t="str">
        <f aca="false">IF(E8="","",IFERROR(INDEX(Fighters!$H$5:$H$204,MATCH(E8,Fighters!$A$5:$A$204,0)),""))</f>
        <v/>
      </c>
      <c r="H8" s="36" t="str">
        <f aca="false">IF(OR(F8="",G8=""),"",ABS(F8-G8))</f>
        <v/>
      </c>
      <c r="I8" s="36" t="str">
        <f aca="false">IF(OR(F8="",G8=""),"",IF(LEFT(C8,11)="Amateur MMA",INDEX(Lists!$K$2:$K$6,MATCH(MIN(F8,G8),Lists!$J$2:$J$6,1)),'Show Setup'!$B$23))</f>
        <v/>
      </c>
      <c r="J8" s="32" t="str">
        <f aca="false">IF(D8="","",IFERROR(INDEX(Fighters!$M$5:$M$204,MATCH(D8,Fighters!$A$5:$A$204,0)),""))</f>
        <v/>
      </c>
      <c r="K8" s="32" t="str">
        <f aca="false">IF(E8="","",IFERROR(INDEX(Fighters!$M$5:$M$204,MATCH(E8,Fighters!$A$5:$A$204,0)),""))</f>
        <v/>
      </c>
      <c r="L8" s="33" t="str">
        <f aca="false">IF(OR(D8="",E8=""),"",IF(AND(IFERROR(INDEX(Fighters!$V$5:$V$204,MATCH(D8,Fighters!$A$5:$A$204,0)),"")="READY",IFERROR(INDEX(Fighters!$V$5:$V$204,MATCH(E8,Fighters!$A$5:$A$204,0)),"")="READY"),"Yes","Not yet"))</f>
        <v/>
      </c>
      <c r="M8" s="37" t="str">
        <f aca="false">IF(OR(D8="",E8=""),"",IF((IF(OR(H8="",I8=""),"",IF(H8&gt;I8,"Weight gap over the limit. ",""))&amp;IF(AND(LEFT(C8,11)="Amateur MMA",J8&lt;&gt;"",K8&lt;&gt;"",J8&lt;&gt;K8),"Different experience classes (needs the Commissioner's OK). ","")&amp;IF(IFERROR(INDEX(Fighters!$G$5:$G$204,MATCH(D8,Fighters!$A$5:$A$204,0)),"")&lt;&gt;IFERROR(INDEX(Fighters!$G$5:$G$204,MATCH(E8,Fighters!$A$5:$A$204,0)),""),"Different age divisions. ","")&amp;IF(AND(LEFT(C8,11)="Amateur MMA",OR(LEFT(IFERROR(INDEX(Fighters!$G$5:$G$204,MATCH(D8,Fighters!$A$5:$A$204,0)),""),5)="Under",LEFT(IFERROR(INDEX(Fighters!$G$5:$G$204,MATCH(E8,Fighters!$A$5:$A$204,0)),""),5)="Under")),"Under 12 can't do MMA. ","")&amp;IF(AND(C8="Amateur MMA (Senior)",OR(LEFT(IFERROR(INDEX(Fighters!$G$5:$G$204,MATCH(D8,Fighters!$A$5:$A$204,0)),""),5)="Youth",LEFT(IFERROR(INDEX(Fighters!$G$5:$G$204,MATCH(E8,Fighters!$A$5:$A$204,0)),""),5)="Youth")),"Youth on Senior rules. ","")&amp;IF(D8=E8,"Same fighter twice. ","")&amp;IF(COUNTIF($D$8:$E$37,D8)+COUNTIF($D$8:$E$37,E8)&gt;2,"A fighter is in two bouts. ","")&amp;IF(L8="Not yet","Paperwork not done. ","")&amp;IF(C8="","Pick the rules. ",""))="","OK",IF(OR(H8="",I8=""),"",IF(H8&gt;I8,"Weight gap over the limit. ",""))&amp;IF(AND(LEFT(C8,11)="Amateur MMA",J8&lt;&gt;"",K8&lt;&gt;"",J8&lt;&gt;K8),"Different experience classes (needs the Commissioner's OK). ","")&amp;IF(IFERROR(INDEX(Fighters!$G$5:$G$204,MATCH(D8,Fighters!$A$5:$A$204,0)),"")&lt;&gt;IFERROR(INDEX(Fighters!$G$5:$G$204,MATCH(E8,Fighters!$A$5:$A$204,0)),""),"Different age divisions. ","")&amp;IF(AND(LEFT(C8,11)="Amateur MMA",OR(LEFT(IFERROR(INDEX(Fighters!$G$5:$G$204,MATCH(D8,Fighters!$A$5:$A$204,0)),""),5)="Under",LEFT(IFERROR(INDEX(Fighters!$G$5:$G$204,MATCH(E8,Fighters!$A$5:$A$204,0)),""),5)="Under")),"Under 12 can't do MMA. ","")&amp;IF(AND(C8="Amateur MMA (Senior)",OR(LEFT(IFERROR(INDEX(Fighters!$G$5:$G$204,MATCH(D8,Fighters!$A$5:$A$204,0)),""),5)="Youth",LEFT(IFERROR(INDEX(Fighters!$G$5:$G$204,MATCH(E8,Fighters!$A$5:$A$204,0)),""),5)="Youth")),"Youth on Senior rules. ","")&amp;IF(D8=E8,"Same fighter twice. ","")&amp;IF(COUNTIF($D$8:$E$37,D8)+COUNTIF($D$8:$E$37,E8)&gt;2,"A fighter is in two bouts. ","")&amp;IF(L8="Not yet","Paperwork not done. ","")&amp;IF(C8="","Pick the rules. ","")))</f>
        <v/>
      </c>
      <c r="N8" s="27"/>
      <c r="O8" s="27"/>
      <c r="P8" s="27"/>
      <c r="Q8" s="27"/>
      <c r="R8" s="27"/>
      <c r="S8" s="27"/>
      <c r="T8" s="27"/>
    </row>
    <row r="9" customFormat="false" ht="30" hidden="false" customHeight="true" outlineLevel="0" collapsed="false">
      <c r="A9" s="32" t="n">
        <v>2</v>
      </c>
      <c r="B9" s="27"/>
      <c r="C9" s="27"/>
      <c r="D9" s="27"/>
      <c r="E9" s="27"/>
      <c r="F9" s="36" t="str">
        <f aca="false">IF(D9="","",IFERROR(INDEX(Fighters!$H$5:$H$204,MATCH(D9,Fighters!$A$5:$A$204,0)),""))</f>
        <v/>
      </c>
      <c r="G9" s="36" t="str">
        <f aca="false">IF(E9="","",IFERROR(INDEX(Fighters!$H$5:$H$204,MATCH(E9,Fighters!$A$5:$A$204,0)),""))</f>
        <v/>
      </c>
      <c r="H9" s="36" t="str">
        <f aca="false">IF(OR(F9="",G9=""),"",ABS(F9-G9))</f>
        <v/>
      </c>
      <c r="I9" s="36" t="str">
        <f aca="false">IF(OR(F9="",G9=""),"",IF(LEFT(C9,11)="Amateur MMA",INDEX(Lists!$K$2:$K$6,MATCH(MIN(F9,G9),Lists!$J$2:$J$6,1)),'Show Setup'!$B$23))</f>
        <v/>
      </c>
      <c r="J9" s="32" t="str">
        <f aca="false">IF(D9="","",IFERROR(INDEX(Fighters!$M$5:$M$204,MATCH(D9,Fighters!$A$5:$A$204,0)),""))</f>
        <v/>
      </c>
      <c r="K9" s="32" t="str">
        <f aca="false">IF(E9="","",IFERROR(INDEX(Fighters!$M$5:$M$204,MATCH(E9,Fighters!$A$5:$A$204,0)),""))</f>
        <v/>
      </c>
      <c r="L9" s="33" t="str">
        <f aca="false">IF(OR(D9="",E9=""),"",IF(AND(IFERROR(INDEX(Fighters!$V$5:$V$204,MATCH(D9,Fighters!$A$5:$A$204,0)),"")="READY",IFERROR(INDEX(Fighters!$V$5:$V$204,MATCH(E9,Fighters!$A$5:$A$204,0)),"")="READY"),"Yes","Not yet"))</f>
        <v/>
      </c>
      <c r="M9" s="37" t="str">
        <f aca="false">IF(OR(D9="",E9=""),"",IF((IF(OR(H9="",I9=""),"",IF(H9&gt;I9,"Weight gap over the limit. ",""))&amp;IF(AND(LEFT(C9,11)="Amateur MMA",J9&lt;&gt;"",K9&lt;&gt;"",J9&lt;&gt;K9),"Different experience classes (needs the Commissioner's OK). ","")&amp;IF(IFERROR(INDEX(Fighters!$G$5:$G$204,MATCH(D9,Fighters!$A$5:$A$204,0)),"")&lt;&gt;IFERROR(INDEX(Fighters!$G$5:$G$204,MATCH(E9,Fighters!$A$5:$A$204,0)),""),"Different age divisions. ","")&amp;IF(AND(LEFT(C9,11)="Amateur MMA",OR(LEFT(IFERROR(INDEX(Fighters!$G$5:$G$204,MATCH(D9,Fighters!$A$5:$A$204,0)),""),5)="Under",LEFT(IFERROR(INDEX(Fighters!$G$5:$G$204,MATCH(E9,Fighters!$A$5:$A$204,0)),""),5)="Under")),"Under 12 can't do MMA. ","")&amp;IF(AND(C9="Amateur MMA (Senior)",OR(LEFT(IFERROR(INDEX(Fighters!$G$5:$G$204,MATCH(D9,Fighters!$A$5:$A$204,0)),""),5)="Youth",LEFT(IFERROR(INDEX(Fighters!$G$5:$G$204,MATCH(E9,Fighters!$A$5:$A$204,0)),""),5)="Youth")),"Youth on Senior rules. ","")&amp;IF(D9=E9,"Same fighter twice. ","")&amp;IF(COUNTIF($D$8:$E$37,D9)+COUNTIF($D$8:$E$37,E9)&gt;2,"A fighter is in two bouts. ","")&amp;IF(L9="Not yet","Paperwork not done. ","")&amp;IF(C9="","Pick the rules. ",""))="","OK",IF(OR(H9="",I9=""),"",IF(H9&gt;I9,"Weight gap over the limit. ",""))&amp;IF(AND(LEFT(C9,11)="Amateur MMA",J9&lt;&gt;"",K9&lt;&gt;"",J9&lt;&gt;K9),"Different experience classes (needs the Commissioner's OK). ","")&amp;IF(IFERROR(INDEX(Fighters!$G$5:$G$204,MATCH(D9,Fighters!$A$5:$A$204,0)),"")&lt;&gt;IFERROR(INDEX(Fighters!$G$5:$G$204,MATCH(E9,Fighters!$A$5:$A$204,0)),""),"Different age divisions. ","")&amp;IF(AND(LEFT(C9,11)="Amateur MMA",OR(LEFT(IFERROR(INDEX(Fighters!$G$5:$G$204,MATCH(D9,Fighters!$A$5:$A$204,0)),""),5)="Under",LEFT(IFERROR(INDEX(Fighters!$G$5:$G$204,MATCH(E9,Fighters!$A$5:$A$204,0)),""),5)="Under")),"Under 12 can't do MMA. ","")&amp;IF(AND(C9="Amateur MMA (Senior)",OR(LEFT(IFERROR(INDEX(Fighters!$G$5:$G$204,MATCH(D9,Fighters!$A$5:$A$204,0)),""),5)="Youth",LEFT(IFERROR(INDEX(Fighters!$G$5:$G$204,MATCH(E9,Fighters!$A$5:$A$204,0)),""),5)="Youth")),"Youth on Senior rules. ","")&amp;IF(D9=E9,"Same fighter twice. ","")&amp;IF(COUNTIF($D$8:$E$37,D9)+COUNTIF($D$8:$E$37,E9)&gt;2,"A fighter is in two bouts. ","")&amp;IF(L9="Not yet","Paperwork not done. ","")&amp;IF(C9="","Pick the rules. ","")))</f>
        <v/>
      </c>
      <c r="N9" s="27"/>
      <c r="O9" s="27"/>
      <c r="P9" s="27"/>
      <c r="Q9" s="27"/>
      <c r="R9" s="27"/>
      <c r="S9" s="27"/>
      <c r="T9" s="27"/>
    </row>
    <row r="10" customFormat="false" ht="30" hidden="false" customHeight="true" outlineLevel="0" collapsed="false">
      <c r="A10" s="32" t="n">
        <v>3</v>
      </c>
      <c r="B10" s="27"/>
      <c r="C10" s="27"/>
      <c r="D10" s="27"/>
      <c r="E10" s="27"/>
      <c r="F10" s="36" t="str">
        <f aca="false">IF(D10="","",IFERROR(INDEX(Fighters!$H$5:$H$204,MATCH(D10,Fighters!$A$5:$A$204,0)),""))</f>
        <v/>
      </c>
      <c r="G10" s="36" t="str">
        <f aca="false">IF(E10="","",IFERROR(INDEX(Fighters!$H$5:$H$204,MATCH(E10,Fighters!$A$5:$A$204,0)),""))</f>
        <v/>
      </c>
      <c r="H10" s="36" t="str">
        <f aca="false">IF(OR(F10="",G10=""),"",ABS(F10-G10))</f>
        <v/>
      </c>
      <c r="I10" s="36" t="str">
        <f aca="false">IF(OR(F10="",G10=""),"",IF(LEFT(C10,11)="Amateur MMA",INDEX(Lists!$K$2:$K$6,MATCH(MIN(F10,G10),Lists!$J$2:$J$6,1)),'Show Setup'!$B$23))</f>
        <v/>
      </c>
      <c r="J10" s="32" t="str">
        <f aca="false">IF(D10="","",IFERROR(INDEX(Fighters!$M$5:$M$204,MATCH(D10,Fighters!$A$5:$A$204,0)),""))</f>
        <v/>
      </c>
      <c r="K10" s="32" t="str">
        <f aca="false">IF(E10="","",IFERROR(INDEX(Fighters!$M$5:$M$204,MATCH(E10,Fighters!$A$5:$A$204,0)),""))</f>
        <v/>
      </c>
      <c r="L10" s="33" t="str">
        <f aca="false">IF(OR(D10="",E10=""),"",IF(AND(IFERROR(INDEX(Fighters!$V$5:$V$204,MATCH(D10,Fighters!$A$5:$A$204,0)),"")="READY",IFERROR(INDEX(Fighters!$V$5:$V$204,MATCH(E10,Fighters!$A$5:$A$204,0)),"")="READY"),"Yes","Not yet"))</f>
        <v/>
      </c>
      <c r="M10" s="37" t="str">
        <f aca="false">IF(OR(D10="",E10=""),"",IF((IF(OR(H10="",I10=""),"",IF(H10&gt;I10,"Weight gap over the limit. ",""))&amp;IF(AND(LEFT(C10,11)="Amateur MMA",J10&lt;&gt;"",K10&lt;&gt;"",J10&lt;&gt;K10),"Different experience classes (needs the Commissioner's OK). ","")&amp;IF(IFERROR(INDEX(Fighters!$G$5:$G$204,MATCH(D10,Fighters!$A$5:$A$204,0)),"")&lt;&gt;IFERROR(INDEX(Fighters!$G$5:$G$204,MATCH(E10,Fighters!$A$5:$A$204,0)),""),"Different age divisions. ","")&amp;IF(AND(LEFT(C10,11)="Amateur MMA",OR(LEFT(IFERROR(INDEX(Fighters!$G$5:$G$204,MATCH(D10,Fighters!$A$5:$A$204,0)),""),5)="Under",LEFT(IFERROR(INDEX(Fighters!$G$5:$G$204,MATCH(E10,Fighters!$A$5:$A$204,0)),""),5)="Under")),"Under 12 can't do MMA. ","")&amp;IF(AND(C10="Amateur MMA (Senior)",OR(LEFT(IFERROR(INDEX(Fighters!$G$5:$G$204,MATCH(D10,Fighters!$A$5:$A$204,0)),""),5)="Youth",LEFT(IFERROR(INDEX(Fighters!$G$5:$G$204,MATCH(E10,Fighters!$A$5:$A$204,0)),""),5)="Youth")),"Youth on Senior rules. ","")&amp;IF(D10=E10,"Same fighter twice. ","")&amp;IF(COUNTIF($D$8:$E$37,D10)+COUNTIF($D$8:$E$37,E10)&gt;2,"A fighter is in two bouts. ","")&amp;IF(L10="Not yet","Paperwork not done. ","")&amp;IF(C10="","Pick the rules. ",""))="","OK",IF(OR(H10="",I10=""),"",IF(H10&gt;I10,"Weight gap over the limit. ",""))&amp;IF(AND(LEFT(C10,11)="Amateur MMA",J10&lt;&gt;"",K10&lt;&gt;"",J10&lt;&gt;K10),"Different experience classes (needs the Commissioner's OK). ","")&amp;IF(IFERROR(INDEX(Fighters!$G$5:$G$204,MATCH(D10,Fighters!$A$5:$A$204,0)),"")&lt;&gt;IFERROR(INDEX(Fighters!$G$5:$G$204,MATCH(E10,Fighters!$A$5:$A$204,0)),""),"Different age divisions. ","")&amp;IF(AND(LEFT(C10,11)="Amateur MMA",OR(LEFT(IFERROR(INDEX(Fighters!$G$5:$G$204,MATCH(D10,Fighters!$A$5:$A$204,0)),""),5)="Under",LEFT(IFERROR(INDEX(Fighters!$G$5:$G$204,MATCH(E10,Fighters!$A$5:$A$204,0)),""),5)="Under")),"Under 12 can't do MMA. ","")&amp;IF(AND(C10="Amateur MMA (Senior)",OR(LEFT(IFERROR(INDEX(Fighters!$G$5:$G$204,MATCH(D10,Fighters!$A$5:$A$204,0)),""),5)="Youth",LEFT(IFERROR(INDEX(Fighters!$G$5:$G$204,MATCH(E10,Fighters!$A$5:$A$204,0)),""),5)="Youth")),"Youth on Senior rules. ","")&amp;IF(D10=E10,"Same fighter twice. ","")&amp;IF(COUNTIF($D$8:$E$37,D10)+COUNTIF($D$8:$E$37,E10)&gt;2,"A fighter is in two bouts. ","")&amp;IF(L10="Not yet","Paperwork not done. ","")&amp;IF(C10="","Pick the rules. ","")))</f>
        <v/>
      </c>
      <c r="N10" s="27"/>
      <c r="O10" s="27"/>
      <c r="P10" s="27"/>
      <c r="Q10" s="27"/>
      <c r="R10" s="27"/>
      <c r="S10" s="27"/>
      <c r="T10" s="27"/>
    </row>
    <row r="11" customFormat="false" ht="30" hidden="false" customHeight="true" outlineLevel="0" collapsed="false">
      <c r="A11" s="32" t="n">
        <v>4</v>
      </c>
      <c r="B11" s="27"/>
      <c r="C11" s="27"/>
      <c r="D11" s="27"/>
      <c r="E11" s="27"/>
      <c r="F11" s="36" t="str">
        <f aca="false">IF(D11="","",IFERROR(INDEX(Fighters!$H$5:$H$204,MATCH(D11,Fighters!$A$5:$A$204,0)),""))</f>
        <v/>
      </c>
      <c r="G11" s="36" t="str">
        <f aca="false">IF(E11="","",IFERROR(INDEX(Fighters!$H$5:$H$204,MATCH(E11,Fighters!$A$5:$A$204,0)),""))</f>
        <v/>
      </c>
      <c r="H11" s="36" t="str">
        <f aca="false">IF(OR(F11="",G11=""),"",ABS(F11-G11))</f>
        <v/>
      </c>
      <c r="I11" s="36" t="str">
        <f aca="false">IF(OR(F11="",G11=""),"",IF(LEFT(C11,11)="Amateur MMA",INDEX(Lists!$K$2:$K$6,MATCH(MIN(F11,G11),Lists!$J$2:$J$6,1)),'Show Setup'!$B$23))</f>
        <v/>
      </c>
      <c r="J11" s="32" t="str">
        <f aca="false">IF(D11="","",IFERROR(INDEX(Fighters!$M$5:$M$204,MATCH(D11,Fighters!$A$5:$A$204,0)),""))</f>
        <v/>
      </c>
      <c r="K11" s="32" t="str">
        <f aca="false">IF(E11="","",IFERROR(INDEX(Fighters!$M$5:$M$204,MATCH(E11,Fighters!$A$5:$A$204,0)),""))</f>
        <v/>
      </c>
      <c r="L11" s="33" t="str">
        <f aca="false">IF(OR(D11="",E11=""),"",IF(AND(IFERROR(INDEX(Fighters!$V$5:$V$204,MATCH(D11,Fighters!$A$5:$A$204,0)),"")="READY",IFERROR(INDEX(Fighters!$V$5:$V$204,MATCH(E11,Fighters!$A$5:$A$204,0)),"")="READY"),"Yes","Not yet"))</f>
        <v/>
      </c>
      <c r="M11" s="37" t="str">
        <f aca="false">IF(OR(D11="",E11=""),"",IF((IF(OR(H11="",I11=""),"",IF(H11&gt;I11,"Weight gap over the limit. ",""))&amp;IF(AND(LEFT(C11,11)="Amateur MMA",J11&lt;&gt;"",K11&lt;&gt;"",J11&lt;&gt;K11),"Different experience classes (needs the Commissioner's OK). ","")&amp;IF(IFERROR(INDEX(Fighters!$G$5:$G$204,MATCH(D11,Fighters!$A$5:$A$204,0)),"")&lt;&gt;IFERROR(INDEX(Fighters!$G$5:$G$204,MATCH(E11,Fighters!$A$5:$A$204,0)),""),"Different age divisions. ","")&amp;IF(AND(LEFT(C11,11)="Amateur MMA",OR(LEFT(IFERROR(INDEX(Fighters!$G$5:$G$204,MATCH(D11,Fighters!$A$5:$A$204,0)),""),5)="Under",LEFT(IFERROR(INDEX(Fighters!$G$5:$G$204,MATCH(E11,Fighters!$A$5:$A$204,0)),""),5)="Under")),"Under 12 can't do MMA. ","")&amp;IF(AND(C11="Amateur MMA (Senior)",OR(LEFT(IFERROR(INDEX(Fighters!$G$5:$G$204,MATCH(D11,Fighters!$A$5:$A$204,0)),""),5)="Youth",LEFT(IFERROR(INDEX(Fighters!$G$5:$G$204,MATCH(E11,Fighters!$A$5:$A$204,0)),""),5)="Youth")),"Youth on Senior rules. ","")&amp;IF(D11=E11,"Same fighter twice. ","")&amp;IF(COUNTIF($D$8:$E$37,D11)+COUNTIF($D$8:$E$37,E11)&gt;2,"A fighter is in two bouts. ","")&amp;IF(L11="Not yet","Paperwork not done. ","")&amp;IF(C11="","Pick the rules. ",""))="","OK",IF(OR(H11="",I11=""),"",IF(H11&gt;I11,"Weight gap over the limit. ",""))&amp;IF(AND(LEFT(C11,11)="Amateur MMA",J11&lt;&gt;"",K11&lt;&gt;"",J11&lt;&gt;K11),"Different experience classes (needs the Commissioner's OK). ","")&amp;IF(IFERROR(INDEX(Fighters!$G$5:$G$204,MATCH(D11,Fighters!$A$5:$A$204,0)),"")&lt;&gt;IFERROR(INDEX(Fighters!$G$5:$G$204,MATCH(E11,Fighters!$A$5:$A$204,0)),""),"Different age divisions. ","")&amp;IF(AND(LEFT(C11,11)="Amateur MMA",OR(LEFT(IFERROR(INDEX(Fighters!$G$5:$G$204,MATCH(D11,Fighters!$A$5:$A$204,0)),""),5)="Under",LEFT(IFERROR(INDEX(Fighters!$G$5:$G$204,MATCH(E11,Fighters!$A$5:$A$204,0)),""),5)="Under")),"Under 12 can't do MMA. ","")&amp;IF(AND(C11="Amateur MMA (Senior)",OR(LEFT(IFERROR(INDEX(Fighters!$G$5:$G$204,MATCH(D11,Fighters!$A$5:$A$204,0)),""),5)="Youth",LEFT(IFERROR(INDEX(Fighters!$G$5:$G$204,MATCH(E11,Fighters!$A$5:$A$204,0)),""),5)="Youth")),"Youth on Senior rules. ","")&amp;IF(D11=E11,"Same fighter twice. ","")&amp;IF(COUNTIF($D$8:$E$37,D11)+COUNTIF($D$8:$E$37,E11)&gt;2,"A fighter is in two bouts. ","")&amp;IF(L11="Not yet","Paperwork not done. ","")&amp;IF(C11="","Pick the rules. ","")))</f>
        <v/>
      </c>
      <c r="N11" s="27"/>
      <c r="O11" s="27"/>
      <c r="P11" s="27"/>
      <c r="Q11" s="27"/>
      <c r="R11" s="27"/>
      <c r="S11" s="27"/>
      <c r="T11" s="27"/>
    </row>
    <row r="12" customFormat="false" ht="30" hidden="false" customHeight="true" outlineLevel="0" collapsed="false">
      <c r="A12" s="32" t="n">
        <v>5</v>
      </c>
      <c r="B12" s="27"/>
      <c r="C12" s="27"/>
      <c r="D12" s="27"/>
      <c r="E12" s="27"/>
      <c r="F12" s="36" t="str">
        <f aca="false">IF(D12="","",IFERROR(INDEX(Fighters!$H$5:$H$204,MATCH(D12,Fighters!$A$5:$A$204,0)),""))</f>
        <v/>
      </c>
      <c r="G12" s="36" t="str">
        <f aca="false">IF(E12="","",IFERROR(INDEX(Fighters!$H$5:$H$204,MATCH(E12,Fighters!$A$5:$A$204,0)),""))</f>
        <v/>
      </c>
      <c r="H12" s="36" t="str">
        <f aca="false">IF(OR(F12="",G12=""),"",ABS(F12-G12))</f>
        <v/>
      </c>
      <c r="I12" s="36" t="str">
        <f aca="false">IF(OR(F12="",G12=""),"",IF(LEFT(C12,11)="Amateur MMA",INDEX(Lists!$K$2:$K$6,MATCH(MIN(F12,G12),Lists!$J$2:$J$6,1)),'Show Setup'!$B$23))</f>
        <v/>
      </c>
      <c r="J12" s="32" t="str">
        <f aca="false">IF(D12="","",IFERROR(INDEX(Fighters!$M$5:$M$204,MATCH(D12,Fighters!$A$5:$A$204,0)),""))</f>
        <v/>
      </c>
      <c r="K12" s="32" t="str">
        <f aca="false">IF(E12="","",IFERROR(INDEX(Fighters!$M$5:$M$204,MATCH(E12,Fighters!$A$5:$A$204,0)),""))</f>
        <v/>
      </c>
      <c r="L12" s="33" t="str">
        <f aca="false">IF(OR(D12="",E12=""),"",IF(AND(IFERROR(INDEX(Fighters!$V$5:$V$204,MATCH(D12,Fighters!$A$5:$A$204,0)),"")="READY",IFERROR(INDEX(Fighters!$V$5:$V$204,MATCH(E12,Fighters!$A$5:$A$204,0)),"")="READY"),"Yes","Not yet"))</f>
        <v/>
      </c>
      <c r="M12" s="37" t="str">
        <f aca="false">IF(OR(D12="",E12=""),"",IF((IF(OR(H12="",I12=""),"",IF(H12&gt;I12,"Weight gap over the limit. ",""))&amp;IF(AND(LEFT(C12,11)="Amateur MMA",J12&lt;&gt;"",K12&lt;&gt;"",J12&lt;&gt;K12),"Different experience classes (needs the Commissioner's OK). ","")&amp;IF(IFERROR(INDEX(Fighters!$G$5:$G$204,MATCH(D12,Fighters!$A$5:$A$204,0)),"")&lt;&gt;IFERROR(INDEX(Fighters!$G$5:$G$204,MATCH(E12,Fighters!$A$5:$A$204,0)),""),"Different age divisions. ","")&amp;IF(AND(LEFT(C12,11)="Amateur MMA",OR(LEFT(IFERROR(INDEX(Fighters!$G$5:$G$204,MATCH(D12,Fighters!$A$5:$A$204,0)),""),5)="Under",LEFT(IFERROR(INDEX(Fighters!$G$5:$G$204,MATCH(E12,Fighters!$A$5:$A$204,0)),""),5)="Under")),"Under 12 can't do MMA. ","")&amp;IF(AND(C12="Amateur MMA (Senior)",OR(LEFT(IFERROR(INDEX(Fighters!$G$5:$G$204,MATCH(D12,Fighters!$A$5:$A$204,0)),""),5)="Youth",LEFT(IFERROR(INDEX(Fighters!$G$5:$G$204,MATCH(E12,Fighters!$A$5:$A$204,0)),""),5)="Youth")),"Youth on Senior rules. ","")&amp;IF(D12=E12,"Same fighter twice. ","")&amp;IF(COUNTIF($D$8:$E$37,D12)+COUNTIF($D$8:$E$37,E12)&gt;2,"A fighter is in two bouts. ","")&amp;IF(L12="Not yet","Paperwork not done. ","")&amp;IF(C12="","Pick the rules. ",""))="","OK",IF(OR(H12="",I12=""),"",IF(H12&gt;I12,"Weight gap over the limit. ",""))&amp;IF(AND(LEFT(C12,11)="Amateur MMA",J12&lt;&gt;"",K12&lt;&gt;"",J12&lt;&gt;K12),"Different experience classes (needs the Commissioner's OK). ","")&amp;IF(IFERROR(INDEX(Fighters!$G$5:$G$204,MATCH(D12,Fighters!$A$5:$A$204,0)),"")&lt;&gt;IFERROR(INDEX(Fighters!$G$5:$G$204,MATCH(E12,Fighters!$A$5:$A$204,0)),""),"Different age divisions. ","")&amp;IF(AND(LEFT(C12,11)="Amateur MMA",OR(LEFT(IFERROR(INDEX(Fighters!$G$5:$G$204,MATCH(D12,Fighters!$A$5:$A$204,0)),""),5)="Under",LEFT(IFERROR(INDEX(Fighters!$G$5:$G$204,MATCH(E12,Fighters!$A$5:$A$204,0)),""),5)="Under")),"Under 12 can't do MMA. ","")&amp;IF(AND(C12="Amateur MMA (Senior)",OR(LEFT(IFERROR(INDEX(Fighters!$G$5:$G$204,MATCH(D12,Fighters!$A$5:$A$204,0)),""),5)="Youth",LEFT(IFERROR(INDEX(Fighters!$G$5:$G$204,MATCH(E12,Fighters!$A$5:$A$204,0)),""),5)="Youth")),"Youth on Senior rules. ","")&amp;IF(D12=E12,"Same fighter twice. ","")&amp;IF(COUNTIF($D$8:$E$37,D12)+COUNTIF($D$8:$E$37,E12)&gt;2,"A fighter is in two bouts. ","")&amp;IF(L12="Not yet","Paperwork not done. ","")&amp;IF(C12="","Pick the rules. ","")))</f>
        <v/>
      </c>
      <c r="N12" s="27"/>
      <c r="O12" s="27"/>
      <c r="P12" s="27"/>
      <c r="Q12" s="27"/>
      <c r="R12" s="27"/>
      <c r="S12" s="27"/>
      <c r="T12" s="27"/>
    </row>
    <row r="13" customFormat="false" ht="30" hidden="false" customHeight="true" outlineLevel="0" collapsed="false">
      <c r="A13" s="32" t="n">
        <v>6</v>
      </c>
      <c r="B13" s="27"/>
      <c r="C13" s="27"/>
      <c r="D13" s="27"/>
      <c r="E13" s="27"/>
      <c r="F13" s="36" t="str">
        <f aca="false">IF(D13="","",IFERROR(INDEX(Fighters!$H$5:$H$204,MATCH(D13,Fighters!$A$5:$A$204,0)),""))</f>
        <v/>
      </c>
      <c r="G13" s="36" t="str">
        <f aca="false">IF(E13="","",IFERROR(INDEX(Fighters!$H$5:$H$204,MATCH(E13,Fighters!$A$5:$A$204,0)),""))</f>
        <v/>
      </c>
      <c r="H13" s="36" t="str">
        <f aca="false">IF(OR(F13="",G13=""),"",ABS(F13-G13))</f>
        <v/>
      </c>
      <c r="I13" s="36" t="str">
        <f aca="false">IF(OR(F13="",G13=""),"",IF(LEFT(C13,11)="Amateur MMA",INDEX(Lists!$K$2:$K$6,MATCH(MIN(F13,G13),Lists!$J$2:$J$6,1)),'Show Setup'!$B$23))</f>
        <v/>
      </c>
      <c r="J13" s="32" t="str">
        <f aca="false">IF(D13="","",IFERROR(INDEX(Fighters!$M$5:$M$204,MATCH(D13,Fighters!$A$5:$A$204,0)),""))</f>
        <v/>
      </c>
      <c r="K13" s="32" t="str">
        <f aca="false">IF(E13="","",IFERROR(INDEX(Fighters!$M$5:$M$204,MATCH(E13,Fighters!$A$5:$A$204,0)),""))</f>
        <v/>
      </c>
      <c r="L13" s="33" t="str">
        <f aca="false">IF(OR(D13="",E13=""),"",IF(AND(IFERROR(INDEX(Fighters!$V$5:$V$204,MATCH(D13,Fighters!$A$5:$A$204,0)),"")="READY",IFERROR(INDEX(Fighters!$V$5:$V$204,MATCH(E13,Fighters!$A$5:$A$204,0)),"")="READY"),"Yes","Not yet"))</f>
        <v/>
      </c>
      <c r="M13" s="37" t="str">
        <f aca="false">IF(OR(D13="",E13=""),"",IF((IF(OR(H13="",I13=""),"",IF(H13&gt;I13,"Weight gap over the limit. ",""))&amp;IF(AND(LEFT(C13,11)="Amateur MMA",J13&lt;&gt;"",K13&lt;&gt;"",J13&lt;&gt;K13),"Different experience classes (needs the Commissioner's OK). ","")&amp;IF(IFERROR(INDEX(Fighters!$G$5:$G$204,MATCH(D13,Fighters!$A$5:$A$204,0)),"")&lt;&gt;IFERROR(INDEX(Fighters!$G$5:$G$204,MATCH(E13,Fighters!$A$5:$A$204,0)),""),"Different age divisions. ","")&amp;IF(AND(LEFT(C13,11)="Amateur MMA",OR(LEFT(IFERROR(INDEX(Fighters!$G$5:$G$204,MATCH(D13,Fighters!$A$5:$A$204,0)),""),5)="Under",LEFT(IFERROR(INDEX(Fighters!$G$5:$G$204,MATCH(E13,Fighters!$A$5:$A$204,0)),""),5)="Under")),"Under 12 can't do MMA. ","")&amp;IF(AND(C13="Amateur MMA (Senior)",OR(LEFT(IFERROR(INDEX(Fighters!$G$5:$G$204,MATCH(D13,Fighters!$A$5:$A$204,0)),""),5)="Youth",LEFT(IFERROR(INDEX(Fighters!$G$5:$G$204,MATCH(E13,Fighters!$A$5:$A$204,0)),""),5)="Youth")),"Youth on Senior rules. ","")&amp;IF(D13=E13,"Same fighter twice. ","")&amp;IF(COUNTIF($D$8:$E$37,D13)+COUNTIF($D$8:$E$37,E13)&gt;2,"A fighter is in two bouts. ","")&amp;IF(L13="Not yet","Paperwork not done. ","")&amp;IF(C13="","Pick the rules. ",""))="","OK",IF(OR(H13="",I13=""),"",IF(H13&gt;I13,"Weight gap over the limit. ",""))&amp;IF(AND(LEFT(C13,11)="Amateur MMA",J13&lt;&gt;"",K13&lt;&gt;"",J13&lt;&gt;K13),"Different experience classes (needs the Commissioner's OK). ","")&amp;IF(IFERROR(INDEX(Fighters!$G$5:$G$204,MATCH(D13,Fighters!$A$5:$A$204,0)),"")&lt;&gt;IFERROR(INDEX(Fighters!$G$5:$G$204,MATCH(E13,Fighters!$A$5:$A$204,0)),""),"Different age divisions. ","")&amp;IF(AND(LEFT(C13,11)="Amateur MMA",OR(LEFT(IFERROR(INDEX(Fighters!$G$5:$G$204,MATCH(D13,Fighters!$A$5:$A$204,0)),""),5)="Under",LEFT(IFERROR(INDEX(Fighters!$G$5:$G$204,MATCH(E13,Fighters!$A$5:$A$204,0)),""),5)="Under")),"Under 12 can't do MMA. ","")&amp;IF(AND(C13="Amateur MMA (Senior)",OR(LEFT(IFERROR(INDEX(Fighters!$G$5:$G$204,MATCH(D13,Fighters!$A$5:$A$204,0)),""),5)="Youth",LEFT(IFERROR(INDEX(Fighters!$G$5:$G$204,MATCH(E13,Fighters!$A$5:$A$204,0)),""),5)="Youth")),"Youth on Senior rules. ","")&amp;IF(D13=E13,"Same fighter twice. ","")&amp;IF(COUNTIF($D$8:$E$37,D13)+COUNTIF($D$8:$E$37,E13)&gt;2,"A fighter is in two bouts. ","")&amp;IF(L13="Not yet","Paperwork not done. ","")&amp;IF(C13="","Pick the rules. ","")))</f>
        <v/>
      </c>
      <c r="N13" s="27"/>
      <c r="O13" s="27"/>
      <c r="P13" s="27"/>
      <c r="Q13" s="27"/>
      <c r="R13" s="27"/>
      <c r="S13" s="27"/>
      <c r="T13" s="27"/>
    </row>
    <row r="14" customFormat="false" ht="30" hidden="false" customHeight="true" outlineLevel="0" collapsed="false">
      <c r="A14" s="32" t="n">
        <v>7</v>
      </c>
      <c r="B14" s="27"/>
      <c r="C14" s="27"/>
      <c r="D14" s="27"/>
      <c r="E14" s="27"/>
      <c r="F14" s="36" t="str">
        <f aca="false">IF(D14="","",IFERROR(INDEX(Fighters!$H$5:$H$204,MATCH(D14,Fighters!$A$5:$A$204,0)),""))</f>
        <v/>
      </c>
      <c r="G14" s="36" t="str">
        <f aca="false">IF(E14="","",IFERROR(INDEX(Fighters!$H$5:$H$204,MATCH(E14,Fighters!$A$5:$A$204,0)),""))</f>
        <v/>
      </c>
      <c r="H14" s="36" t="str">
        <f aca="false">IF(OR(F14="",G14=""),"",ABS(F14-G14))</f>
        <v/>
      </c>
      <c r="I14" s="36" t="str">
        <f aca="false">IF(OR(F14="",G14=""),"",IF(LEFT(C14,11)="Amateur MMA",INDEX(Lists!$K$2:$K$6,MATCH(MIN(F14,G14),Lists!$J$2:$J$6,1)),'Show Setup'!$B$23))</f>
        <v/>
      </c>
      <c r="J14" s="32" t="str">
        <f aca="false">IF(D14="","",IFERROR(INDEX(Fighters!$M$5:$M$204,MATCH(D14,Fighters!$A$5:$A$204,0)),""))</f>
        <v/>
      </c>
      <c r="K14" s="32" t="str">
        <f aca="false">IF(E14="","",IFERROR(INDEX(Fighters!$M$5:$M$204,MATCH(E14,Fighters!$A$5:$A$204,0)),""))</f>
        <v/>
      </c>
      <c r="L14" s="33" t="str">
        <f aca="false">IF(OR(D14="",E14=""),"",IF(AND(IFERROR(INDEX(Fighters!$V$5:$V$204,MATCH(D14,Fighters!$A$5:$A$204,0)),"")="READY",IFERROR(INDEX(Fighters!$V$5:$V$204,MATCH(E14,Fighters!$A$5:$A$204,0)),"")="READY"),"Yes","Not yet"))</f>
        <v/>
      </c>
      <c r="M14" s="37" t="str">
        <f aca="false">IF(OR(D14="",E14=""),"",IF((IF(OR(H14="",I14=""),"",IF(H14&gt;I14,"Weight gap over the limit. ",""))&amp;IF(AND(LEFT(C14,11)="Amateur MMA",J14&lt;&gt;"",K14&lt;&gt;"",J14&lt;&gt;K14),"Different experience classes (needs the Commissioner's OK). ","")&amp;IF(IFERROR(INDEX(Fighters!$G$5:$G$204,MATCH(D14,Fighters!$A$5:$A$204,0)),"")&lt;&gt;IFERROR(INDEX(Fighters!$G$5:$G$204,MATCH(E14,Fighters!$A$5:$A$204,0)),""),"Different age divisions. ","")&amp;IF(AND(LEFT(C14,11)="Amateur MMA",OR(LEFT(IFERROR(INDEX(Fighters!$G$5:$G$204,MATCH(D14,Fighters!$A$5:$A$204,0)),""),5)="Under",LEFT(IFERROR(INDEX(Fighters!$G$5:$G$204,MATCH(E14,Fighters!$A$5:$A$204,0)),""),5)="Under")),"Under 12 can't do MMA. ","")&amp;IF(AND(C14="Amateur MMA (Senior)",OR(LEFT(IFERROR(INDEX(Fighters!$G$5:$G$204,MATCH(D14,Fighters!$A$5:$A$204,0)),""),5)="Youth",LEFT(IFERROR(INDEX(Fighters!$G$5:$G$204,MATCH(E14,Fighters!$A$5:$A$204,0)),""),5)="Youth")),"Youth on Senior rules. ","")&amp;IF(D14=E14,"Same fighter twice. ","")&amp;IF(COUNTIF($D$8:$E$37,D14)+COUNTIF($D$8:$E$37,E14)&gt;2,"A fighter is in two bouts. ","")&amp;IF(L14="Not yet","Paperwork not done. ","")&amp;IF(C14="","Pick the rules. ",""))="","OK",IF(OR(H14="",I14=""),"",IF(H14&gt;I14,"Weight gap over the limit. ",""))&amp;IF(AND(LEFT(C14,11)="Amateur MMA",J14&lt;&gt;"",K14&lt;&gt;"",J14&lt;&gt;K14),"Different experience classes (needs the Commissioner's OK). ","")&amp;IF(IFERROR(INDEX(Fighters!$G$5:$G$204,MATCH(D14,Fighters!$A$5:$A$204,0)),"")&lt;&gt;IFERROR(INDEX(Fighters!$G$5:$G$204,MATCH(E14,Fighters!$A$5:$A$204,0)),""),"Different age divisions. ","")&amp;IF(AND(LEFT(C14,11)="Amateur MMA",OR(LEFT(IFERROR(INDEX(Fighters!$G$5:$G$204,MATCH(D14,Fighters!$A$5:$A$204,0)),""),5)="Under",LEFT(IFERROR(INDEX(Fighters!$G$5:$G$204,MATCH(E14,Fighters!$A$5:$A$204,0)),""),5)="Under")),"Under 12 can't do MMA. ","")&amp;IF(AND(C14="Amateur MMA (Senior)",OR(LEFT(IFERROR(INDEX(Fighters!$G$5:$G$204,MATCH(D14,Fighters!$A$5:$A$204,0)),""),5)="Youth",LEFT(IFERROR(INDEX(Fighters!$G$5:$G$204,MATCH(E14,Fighters!$A$5:$A$204,0)),""),5)="Youth")),"Youth on Senior rules. ","")&amp;IF(D14=E14,"Same fighter twice. ","")&amp;IF(COUNTIF($D$8:$E$37,D14)+COUNTIF($D$8:$E$37,E14)&gt;2,"A fighter is in two bouts. ","")&amp;IF(L14="Not yet","Paperwork not done. ","")&amp;IF(C14="","Pick the rules. ","")))</f>
        <v/>
      </c>
      <c r="N14" s="27"/>
      <c r="O14" s="27"/>
      <c r="P14" s="27"/>
      <c r="Q14" s="27"/>
      <c r="R14" s="27"/>
      <c r="S14" s="27"/>
      <c r="T14" s="27"/>
    </row>
    <row r="15" customFormat="false" ht="30" hidden="false" customHeight="true" outlineLevel="0" collapsed="false">
      <c r="A15" s="32" t="n">
        <v>8</v>
      </c>
      <c r="B15" s="27"/>
      <c r="C15" s="27"/>
      <c r="D15" s="27"/>
      <c r="E15" s="27"/>
      <c r="F15" s="36" t="str">
        <f aca="false">IF(D15="","",IFERROR(INDEX(Fighters!$H$5:$H$204,MATCH(D15,Fighters!$A$5:$A$204,0)),""))</f>
        <v/>
      </c>
      <c r="G15" s="36" t="str">
        <f aca="false">IF(E15="","",IFERROR(INDEX(Fighters!$H$5:$H$204,MATCH(E15,Fighters!$A$5:$A$204,0)),""))</f>
        <v/>
      </c>
      <c r="H15" s="36" t="str">
        <f aca="false">IF(OR(F15="",G15=""),"",ABS(F15-G15))</f>
        <v/>
      </c>
      <c r="I15" s="36" t="str">
        <f aca="false">IF(OR(F15="",G15=""),"",IF(LEFT(C15,11)="Amateur MMA",INDEX(Lists!$K$2:$K$6,MATCH(MIN(F15,G15),Lists!$J$2:$J$6,1)),'Show Setup'!$B$23))</f>
        <v/>
      </c>
      <c r="J15" s="32" t="str">
        <f aca="false">IF(D15="","",IFERROR(INDEX(Fighters!$M$5:$M$204,MATCH(D15,Fighters!$A$5:$A$204,0)),""))</f>
        <v/>
      </c>
      <c r="K15" s="32" t="str">
        <f aca="false">IF(E15="","",IFERROR(INDEX(Fighters!$M$5:$M$204,MATCH(E15,Fighters!$A$5:$A$204,0)),""))</f>
        <v/>
      </c>
      <c r="L15" s="33" t="str">
        <f aca="false">IF(OR(D15="",E15=""),"",IF(AND(IFERROR(INDEX(Fighters!$V$5:$V$204,MATCH(D15,Fighters!$A$5:$A$204,0)),"")="READY",IFERROR(INDEX(Fighters!$V$5:$V$204,MATCH(E15,Fighters!$A$5:$A$204,0)),"")="READY"),"Yes","Not yet"))</f>
        <v/>
      </c>
      <c r="M15" s="37" t="str">
        <f aca="false">IF(OR(D15="",E15=""),"",IF((IF(OR(H15="",I15=""),"",IF(H15&gt;I15,"Weight gap over the limit. ",""))&amp;IF(AND(LEFT(C15,11)="Amateur MMA",J15&lt;&gt;"",K15&lt;&gt;"",J15&lt;&gt;K15),"Different experience classes (needs the Commissioner's OK). ","")&amp;IF(IFERROR(INDEX(Fighters!$G$5:$G$204,MATCH(D15,Fighters!$A$5:$A$204,0)),"")&lt;&gt;IFERROR(INDEX(Fighters!$G$5:$G$204,MATCH(E15,Fighters!$A$5:$A$204,0)),""),"Different age divisions. ","")&amp;IF(AND(LEFT(C15,11)="Amateur MMA",OR(LEFT(IFERROR(INDEX(Fighters!$G$5:$G$204,MATCH(D15,Fighters!$A$5:$A$204,0)),""),5)="Under",LEFT(IFERROR(INDEX(Fighters!$G$5:$G$204,MATCH(E15,Fighters!$A$5:$A$204,0)),""),5)="Under")),"Under 12 can't do MMA. ","")&amp;IF(AND(C15="Amateur MMA (Senior)",OR(LEFT(IFERROR(INDEX(Fighters!$G$5:$G$204,MATCH(D15,Fighters!$A$5:$A$204,0)),""),5)="Youth",LEFT(IFERROR(INDEX(Fighters!$G$5:$G$204,MATCH(E15,Fighters!$A$5:$A$204,0)),""),5)="Youth")),"Youth on Senior rules. ","")&amp;IF(D15=E15,"Same fighter twice. ","")&amp;IF(COUNTIF($D$8:$E$37,D15)+COUNTIF($D$8:$E$37,E15)&gt;2,"A fighter is in two bouts. ","")&amp;IF(L15="Not yet","Paperwork not done. ","")&amp;IF(C15="","Pick the rules. ",""))="","OK",IF(OR(H15="",I15=""),"",IF(H15&gt;I15,"Weight gap over the limit. ",""))&amp;IF(AND(LEFT(C15,11)="Amateur MMA",J15&lt;&gt;"",K15&lt;&gt;"",J15&lt;&gt;K15),"Different experience classes (needs the Commissioner's OK). ","")&amp;IF(IFERROR(INDEX(Fighters!$G$5:$G$204,MATCH(D15,Fighters!$A$5:$A$204,0)),"")&lt;&gt;IFERROR(INDEX(Fighters!$G$5:$G$204,MATCH(E15,Fighters!$A$5:$A$204,0)),""),"Different age divisions. ","")&amp;IF(AND(LEFT(C15,11)="Amateur MMA",OR(LEFT(IFERROR(INDEX(Fighters!$G$5:$G$204,MATCH(D15,Fighters!$A$5:$A$204,0)),""),5)="Under",LEFT(IFERROR(INDEX(Fighters!$G$5:$G$204,MATCH(E15,Fighters!$A$5:$A$204,0)),""),5)="Under")),"Under 12 can't do MMA. ","")&amp;IF(AND(C15="Amateur MMA (Senior)",OR(LEFT(IFERROR(INDEX(Fighters!$G$5:$G$204,MATCH(D15,Fighters!$A$5:$A$204,0)),""),5)="Youth",LEFT(IFERROR(INDEX(Fighters!$G$5:$G$204,MATCH(E15,Fighters!$A$5:$A$204,0)),""),5)="Youth")),"Youth on Senior rules. ","")&amp;IF(D15=E15,"Same fighter twice. ","")&amp;IF(COUNTIF($D$8:$E$37,D15)+COUNTIF($D$8:$E$37,E15)&gt;2,"A fighter is in two bouts. ","")&amp;IF(L15="Not yet","Paperwork not done. ","")&amp;IF(C15="","Pick the rules. ","")))</f>
        <v/>
      </c>
      <c r="N15" s="27"/>
      <c r="O15" s="27"/>
      <c r="P15" s="27"/>
      <c r="Q15" s="27"/>
      <c r="R15" s="27"/>
      <c r="S15" s="27"/>
      <c r="T15" s="27"/>
    </row>
    <row r="16" customFormat="false" ht="30" hidden="false" customHeight="true" outlineLevel="0" collapsed="false">
      <c r="A16" s="32" t="n">
        <v>9</v>
      </c>
      <c r="B16" s="27"/>
      <c r="C16" s="27"/>
      <c r="D16" s="27"/>
      <c r="E16" s="27"/>
      <c r="F16" s="36" t="str">
        <f aca="false">IF(D16="","",IFERROR(INDEX(Fighters!$H$5:$H$204,MATCH(D16,Fighters!$A$5:$A$204,0)),""))</f>
        <v/>
      </c>
      <c r="G16" s="36" t="str">
        <f aca="false">IF(E16="","",IFERROR(INDEX(Fighters!$H$5:$H$204,MATCH(E16,Fighters!$A$5:$A$204,0)),""))</f>
        <v/>
      </c>
      <c r="H16" s="36" t="str">
        <f aca="false">IF(OR(F16="",G16=""),"",ABS(F16-G16))</f>
        <v/>
      </c>
      <c r="I16" s="36" t="str">
        <f aca="false">IF(OR(F16="",G16=""),"",IF(LEFT(C16,11)="Amateur MMA",INDEX(Lists!$K$2:$K$6,MATCH(MIN(F16,G16),Lists!$J$2:$J$6,1)),'Show Setup'!$B$23))</f>
        <v/>
      </c>
      <c r="J16" s="32" t="str">
        <f aca="false">IF(D16="","",IFERROR(INDEX(Fighters!$M$5:$M$204,MATCH(D16,Fighters!$A$5:$A$204,0)),""))</f>
        <v/>
      </c>
      <c r="K16" s="32" t="str">
        <f aca="false">IF(E16="","",IFERROR(INDEX(Fighters!$M$5:$M$204,MATCH(E16,Fighters!$A$5:$A$204,0)),""))</f>
        <v/>
      </c>
      <c r="L16" s="33" t="str">
        <f aca="false">IF(OR(D16="",E16=""),"",IF(AND(IFERROR(INDEX(Fighters!$V$5:$V$204,MATCH(D16,Fighters!$A$5:$A$204,0)),"")="READY",IFERROR(INDEX(Fighters!$V$5:$V$204,MATCH(E16,Fighters!$A$5:$A$204,0)),"")="READY"),"Yes","Not yet"))</f>
        <v/>
      </c>
      <c r="M16" s="37" t="str">
        <f aca="false">IF(OR(D16="",E16=""),"",IF((IF(OR(H16="",I16=""),"",IF(H16&gt;I16,"Weight gap over the limit. ",""))&amp;IF(AND(LEFT(C16,11)="Amateur MMA",J16&lt;&gt;"",K16&lt;&gt;"",J16&lt;&gt;K16),"Different experience classes (needs the Commissioner's OK). ","")&amp;IF(IFERROR(INDEX(Fighters!$G$5:$G$204,MATCH(D16,Fighters!$A$5:$A$204,0)),"")&lt;&gt;IFERROR(INDEX(Fighters!$G$5:$G$204,MATCH(E16,Fighters!$A$5:$A$204,0)),""),"Different age divisions. ","")&amp;IF(AND(LEFT(C16,11)="Amateur MMA",OR(LEFT(IFERROR(INDEX(Fighters!$G$5:$G$204,MATCH(D16,Fighters!$A$5:$A$204,0)),""),5)="Under",LEFT(IFERROR(INDEX(Fighters!$G$5:$G$204,MATCH(E16,Fighters!$A$5:$A$204,0)),""),5)="Under")),"Under 12 can't do MMA. ","")&amp;IF(AND(C16="Amateur MMA (Senior)",OR(LEFT(IFERROR(INDEX(Fighters!$G$5:$G$204,MATCH(D16,Fighters!$A$5:$A$204,0)),""),5)="Youth",LEFT(IFERROR(INDEX(Fighters!$G$5:$G$204,MATCH(E16,Fighters!$A$5:$A$204,0)),""),5)="Youth")),"Youth on Senior rules. ","")&amp;IF(D16=E16,"Same fighter twice. ","")&amp;IF(COUNTIF($D$8:$E$37,D16)+COUNTIF($D$8:$E$37,E16)&gt;2,"A fighter is in two bouts. ","")&amp;IF(L16="Not yet","Paperwork not done. ","")&amp;IF(C16="","Pick the rules. ",""))="","OK",IF(OR(H16="",I16=""),"",IF(H16&gt;I16,"Weight gap over the limit. ",""))&amp;IF(AND(LEFT(C16,11)="Amateur MMA",J16&lt;&gt;"",K16&lt;&gt;"",J16&lt;&gt;K16),"Different experience classes (needs the Commissioner's OK). ","")&amp;IF(IFERROR(INDEX(Fighters!$G$5:$G$204,MATCH(D16,Fighters!$A$5:$A$204,0)),"")&lt;&gt;IFERROR(INDEX(Fighters!$G$5:$G$204,MATCH(E16,Fighters!$A$5:$A$204,0)),""),"Different age divisions. ","")&amp;IF(AND(LEFT(C16,11)="Amateur MMA",OR(LEFT(IFERROR(INDEX(Fighters!$G$5:$G$204,MATCH(D16,Fighters!$A$5:$A$204,0)),""),5)="Under",LEFT(IFERROR(INDEX(Fighters!$G$5:$G$204,MATCH(E16,Fighters!$A$5:$A$204,0)),""),5)="Under")),"Under 12 can't do MMA. ","")&amp;IF(AND(C16="Amateur MMA (Senior)",OR(LEFT(IFERROR(INDEX(Fighters!$G$5:$G$204,MATCH(D16,Fighters!$A$5:$A$204,0)),""),5)="Youth",LEFT(IFERROR(INDEX(Fighters!$G$5:$G$204,MATCH(E16,Fighters!$A$5:$A$204,0)),""),5)="Youth")),"Youth on Senior rules. ","")&amp;IF(D16=E16,"Same fighter twice. ","")&amp;IF(COUNTIF($D$8:$E$37,D16)+COUNTIF($D$8:$E$37,E16)&gt;2,"A fighter is in two bouts. ","")&amp;IF(L16="Not yet","Paperwork not done. ","")&amp;IF(C16="","Pick the rules. ","")))</f>
        <v/>
      </c>
      <c r="N16" s="27"/>
      <c r="O16" s="27"/>
      <c r="P16" s="27"/>
      <c r="Q16" s="27"/>
      <c r="R16" s="27"/>
      <c r="S16" s="27"/>
      <c r="T16" s="27"/>
    </row>
    <row r="17" customFormat="false" ht="30" hidden="false" customHeight="true" outlineLevel="0" collapsed="false">
      <c r="A17" s="32" t="n">
        <v>10</v>
      </c>
      <c r="B17" s="27"/>
      <c r="C17" s="27"/>
      <c r="D17" s="27"/>
      <c r="E17" s="27"/>
      <c r="F17" s="36" t="str">
        <f aca="false">IF(D17="","",IFERROR(INDEX(Fighters!$H$5:$H$204,MATCH(D17,Fighters!$A$5:$A$204,0)),""))</f>
        <v/>
      </c>
      <c r="G17" s="36" t="str">
        <f aca="false">IF(E17="","",IFERROR(INDEX(Fighters!$H$5:$H$204,MATCH(E17,Fighters!$A$5:$A$204,0)),""))</f>
        <v/>
      </c>
      <c r="H17" s="36" t="str">
        <f aca="false">IF(OR(F17="",G17=""),"",ABS(F17-G17))</f>
        <v/>
      </c>
      <c r="I17" s="36" t="str">
        <f aca="false">IF(OR(F17="",G17=""),"",IF(LEFT(C17,11)="Amateur MMA",INDEX(Lists!$K$2:$K$6,MATCH(MIN(F17,G17),Lists!$J$2:$J$6,1)),'Show Setup'!$B$23))</f>
        <v/>
      </c>
      <c r="J17" s="32" t="str">
        <f aca="false">IF(D17="","",IFERROR(INDEX(Fighters!$M$5:$M$204,MATCH(D17,Fighters!$A$5:$A$204,0)),""))</f>
        <v/>
      </c>
      <c r="K17" s="32" t="str">
        <f aca="false">IF(E17="","",IFERROR(INDEX(Fighters!$M$5:$M$204,MATCH(E17,Fighters!$A$5:$A$204,0)),""))</f>
        <v/>
      </c>
      <c r="L17" s="33" t="str">
        <f aca="false">IF(OR(D17="",E17=""),"",IF(AND(IFERROR(INDEX(Fighters!$V$5:$V$204,MATCH(D17,Fighters!$A$5:$A$204,0)),"")="READY",IFERROR(INDEX(Fighters!$V$5:$V$204,MATCH(E17,Fighters!$A$5:$A$204,0)),"")="READY"),"Yes","Not yet"))</f>
        <v/>
      </c>
      <c r="M17" s="37" t="str">
        <f aca="false">IF(OR(D17="",E17=""),"",IF((IF(OR(H17="",I17=""),"",IF(H17&gt;I17,"Weight gap over the limit. ",""))&amp;IF(AND(LEFT(C17,11)="Amateur MMA",J17&lt;&gt;"",K17&lt;&gt;"",J17&lt;&gt;K17),"Different experience classes (needs the Commissioner's OK). ","")&amp;IF(IFERROR(INDEX(Fighters!$G$5:$G$204,MATCH(D17,Fighters!$A$5:$A$204,0)),"")&lt;&gt;IFERROR(INDEX(Fighters!$G$5:$G$204,MATCH(E17,Fighters!$A$5:$A$204,0)),""),"Different age divisions. ","")&amp;IF(AND(LEFT(C17,11)="Amateur MMA",OR(LEFT(IFERROR(INDEX(Fighters!$G$5:$G$204,MATCH(D17,Fighters!$A$5:$A$204,0)),""),5)="Under",LEFT(IFERROR(INDEX(Fighters!$G$5:$G$204,MATCH(E17,Fighters!$A$5:$A$204,0)),""),5)="Under")),"Under 12 can't do MMA. ","")&amp;IF(AND(C17="Amateur MMA (Senior)",OR(LEFT(IFERROR(INDEX(Fighters!$G$5:$G$204,MATCH(D17,Fighters!$A$5:$A$204,0)),""),5)="Youth",LEFT(IFERROR(INDEX(Fighters!$G$5:$G$204,MATCH(E17,Fighters!$A$5:$A$204,0)),""),5)="Youth")),"Youth on Senior rules. ","")&amp;IF(D17=E17,"Same fighter twice. ","")&amp;IF(COUNTIF($D$8:$E$37,D17)+COUNTIF($D$8:$E$37,E17)&gt;2,"A fighter is in two bouts. ","")&amp;IF(L17="Not yet","Paperwork not done. ","")&amp;IF(C17="","Pick the rules. ",""))="","OK",IF(OR(H17="",I17=""),"",IF(H17&gt;I17,"Weight gap over the limit. ",""))&amp;IF(AND(LEFT(C17,11)="Amateur MMA",J17&lt;&gt;"",K17&lt;&gt;"",J17&lt;&gt;K17),"Different experience classes (needs the Commissioner's OK). ","")&amp;IF(IFERROR(INDEX(Fighters!$G$5:$G$204,MATCH(D17,Fighters!$A$5:$A$204,0)),"")&lt;&gt;IFERROR(INDEX(Fighters!$G$5:$G$204,MATCH(E17,Fighters!$A$5:$A$204,0)),""),"Different age divisions. ","")&amp;IF(AND(LEFT(C17,11)="Amateur MMA",OR(LEFT(IFERROR(INDEX(Fighters!$G$5:$G$204,MATCH(D17,Fighters!$A$5:$A$204,0)),""),5)="Under",LEFT(IFERROR(INDEX(Fighters!$G$5:$G$204,MATCH(E17,Fighters!$A$5:$A$204,0)),""),5)="Under")),"Under 12 can't do MMA. ","")&amp;IF(AND(C17="Amateur MMA (Senior)",OR(LEFT(IFERROR(INDEX(Fighters!$G$5:$G$204,MATCH(D17,Fighters!$A$5:$A$204,0)),""),5)="Youth",LEFT(IFERROR(INDEX(Fighters!$G$5:$G$204,MATCH(E17,Fighters!$A$5:$A$204,0)),""),5)="Youth")),"Youth on Senior rules. ","")&amp;IF(D17=E17,"Same fighter twice. ","")&amp;IF(COUNTIF($D$8:$E$37,D17)+COUNTIF($D$8:$E$37,E17)&gt;2,"A fighter is in two bouts. ","")&amp;IF(L17="Not yet","Paperwork not done. ","")&amp;IF(C17="","Pick the rules. ","")))</f>
        <v/>
      </c>
      <c r="N17" s="27"/>
      <c r="O17" s="27"/>
      <c r="P17" s="27"/>
      <c r="Q17" s="27"/>
      <c r="R17" s="27"/>
      <c r="S17" s="27"/>
      <c r="T17" s="27"/>
    </row>
    <row r="18" customFormat="false" ht="30" hidden="false" customHeight="true" outlineLevel="0" collapsed="false">
      <c r="A18" s="32" t="n">
        <v>11</v>
      </c>
      <c r="B18" s="27"/>
      <c r="C18" s="27"/>
      <c r="D18" s="27"/>
      <c r="E18" s="27"/>
      <c r="F18" s="36" t="str">
        <f aca="false">IF(D18="","",IFERROR(INDEX(Fighters!$H$5:$H$204,MATCH(D18,Fighters!$A$5:$A$204,0)),""))</f>
        <v/>
      </c>
      <c r="G18" s="36" t="str">
        <f aca="false">IF(E18="","",IFERROR(INDEX(Fighters!$H$5:$H$204,MATCH(E18,Fighters!$A$5:$A$204,0)),""))</f>
        <v/>
      </c>
      <c r="H18" s="36" t="str">
        <f aca="false">IF(OR(F18="",G18=""),"",ABS(F18-G18))</f>
        <v/>
      </c>
      <c r="I18" s="36" t="str">
        <f aca="false">IF(OR(F18="",G18=""),"",IF(LEFT(C18,11)="Amateur MMA",INDEX(Lists!$K$2:$K$6,MATCH(MIN(F18,G18),Lists!$J$2:$J$6,1)),'Show Setup'!$B$23))</f>
        <v/>
      </c>
      <c r="J18" s="32" t="str">
        <f aca="false">IF(D18="","",IFERROR(INDEX(Fighters!$M$5:$M$204,MATCH(D18,Fighters!$A$5:$A$204,0)),""))</f>
        <v/>
      </c>
      <c r="K18" s="32" t="str">
        <f aca="false">IF(E18="","",IFERROR(INDEX(Fighters!$M$5:$M$204,MATCH(E18,Fighters!$A$5:$A$204,0)),""))</f>
        <v/>
      </c>
      <c r="L18" s="33" t="str">
        <f aca="false">IF(OR(D18="",E18=""),"",IF(AND(IFERROR(INDEX(Fighters!$V$5:$V$204,MATCH(D18,Fighters!$A$5:$A$204,0)),"")="READY",IFERROR(INDEX(Fighters!$V$5:$V$204,MATCH(E18,Fighters!$A$5:$A$204,0)),"")="READY"),"Yes","Not yet"))</f>
        <v/>
      </c>
      <c r="M18" s="37" t="str">
        <f aca="false">IF(OR(D18="",E18=""),"",IF((IF(OR(H18="",I18=""),"",IF(H18&gt;I18,"Weight gap over the limit. ",""))&amp;IF(AND(LEFT(C18,11)="Amateur MMA",J18&lt;&gt;"",K18&lt;&gt;"",J18&lt;&gt;K18),"Different experience classes (needs the Commissioner's OK). ","")&amp;IF(IFERROR(INDEX(Fighters!$G$5:$G$204,MATCH(D18,Fighters!$A$5:$A$204,0)),"")&lt;&gt;IFERROR(INDEX(Fighters!$G$5:$G$204,MATCH(E18,Fighters!$A$5:$A$204,0)),""),"Different age divisions. ","")&amp;IF(AND(LEFT(C18,11)="Amateur MMA",OR(LEFT(IFERROR(INDEX(Fighters!$G$5:$G$204,MATCH(D18,Fighters!$A$5:$A$204,0)),""),5)="Under",LEFT(IFERROR(INDEX(Fighters!$G$5:$G$204,MATCH(E18,Fighters!$A$5:$A$204,0)),""),5)="Under")),"Under 12 can't do MMA. ","")&amp;IF(AND(C18="Amateur MMA (Senior)",OR(LEFT(IFERROR(INDEX(Fighters!$G$5:$G$204,MATCH(D18,Fighters!$A$5:$A$204,0)),""),5)="Youth",LEFT(IFERROR(INDEX(Fighters!$G$5:$G$204,MATCH(E18,Fighters!$A$5:$A$204,0)),""),5)="Youth")),"Youth on Senior rules. ","")&amp;IF(D18=E18,"Same fighter twice. ","")&amp;IF(COUNTIF($D$8:$E$37,D18)+COUNTIF($D$8:$E$37,E18)&gt;2,"A fighter is in two bouts. ","")&amp;IF(L18="Not yet","Paperwork not done. ","")&amp;IF(C18="","Pick the rules. ",""))="","OK",IF(OR(H18="",I18=""),"",IF(H18&gt;I18,"Weight gap over the limit. ",""))&amp;IF(AND(LEFT(C18,11)="Amateur MMA",J18&lt;&gt;"",K18&lt;&gt;"",J18&lt;&gt;K18),"Different experience classes (needs the Commissioner's OK). ","")&amp;IF(IFERROR(INDEX(Fighters!$G$5:$G$204,MATCH(D18,Fighters!$A$5:$A$204,0)),"")&lt;&gt;IFERROR(INDEX(Fighters!$G$5:$G$204,MATCH(E18,Fighters!$A$5:$A$204,0)),""),"Different age divisions. ","")&amp;IF(AND(LEFT(C18,11)="Amateur MMA",OR(LEFT(IFERROR(INDEX(Fighters!$G$5:$G$204,MATCH(D18,Fighters!$A$5:$A$204,0)),""),5)="Under",LEFT(IFERROR(INDEX(Fighters!$G$5:$G$204,MATCH(E18,Fighters!$A$5:$A$204,0)),""),5)="Under")),"Under 12 can't do MMA. ","")&amp;IF(AND(C18="Amateur MMA (Senior)",OR(LEFT(IFERROR(INDEX(Fighters!$G$5:$G$204,MATCH(D18,Fighters!$A$5:$A$204,0)),""),5)="Youth",LEFT(IFERROR(INDEX(Fighters!$G$5:$G$204,MATCH(E18,Fighters!$A$5:$A$204,0)),""),5)="Youth")),"Youth on Senior rules. ","")&amp;IF(D18=E18,"Same fighter twice. ","")&amp;IF(COUNTIF($D$8:$E$37,D18)+COUNTIF($D$8:$E$37,E18)&gt;2,"A fighter is in two bouts. ","")&amp;IF(L18="Not yet","Paperwork not done. ","")&amp;IF(C18="","Pick the rules. ","")))</f>
        <v/>
      </c>
      <c r="N18" s="27"/>
      <c r="O18" s="27"/>
      <c r="P18" s="27"/>
      <c r="Q18" s="27"/>
      <c r="R18" s="27"/>
      <c r="S18" s="27"/>
      <c r="T18" s="27"/>
    </row>
    <row r="19" customFormat="false" ht="30" hidden="false" customHeight="true" outlineLevel="0" collapsed="false">
      <c r="A19" s="32" t="n">
        <v>12</v>
      </c>
      <c r="B19" s="27"/>
      <c r="C19" s="27"/>
      <c r="D19" s="27"/>
      <c r="E19" s="27"/>
      <c r="F19" s="36" t="str">
        <f aca="false">IF(D19="","",IFERROR(INDEX(Fighters!$H$5:$H$204,MATCH(D19,Fighters!$A$5:$A$204,0)),""))</f>
        <v/>
      </c>
      <c r="G19" s="36" t="str">
        <f aca="false">IF(E19="","",IFERROR(INDEX(Fighters!$H$5:$H$204,MATCH(E19,Fighters!$A$5:$A$204,0)),""))</f>
        <v/>
      </c>
      <c r="H19" s="36" t="str">
        <f aca="false">IF(OR(F19="",G19=""),"",ABS(F19-G19))</f>
        <v/>
      </c>
      <c r="I19" s="36" t="str">
        <f aca="false">IF(OR(F19="",G19=""),"",IF(LEFT(C19,11)="Amateur MMA",INDEX(Lists!$K$2:$K$6,MATCH(MIN(F19,G19),Lists!$J$2:$J$6,1)),'Show Setup'!$B$23))</f>
        <v/>
      </c>
      <c r="J19" s="32" t="str">
        <f aca="false">IF(D19="","",IFERROR(INDEX(Fighters!$M$5:$M$204,MATCH(D19,Fighters!$A$5:$A$204,0)),""))</f>
        <v/>
      </c>
      <c r="K19" s="32" t="str">
        <f aca="false">IF(E19="","",IFERROR(INDEX(Fighters!$M$5:$M$204,MATCH(E19,Fighters!$A$5:$A$204,0)),""))</f>
        <v/>
      </c>
      <c r="L19" s="33" t="str">
        <f aca="false">IF(OR(D19="",E19=""),"",IF(AND(IFERROR(INDEX(Fighters!$V$5:$V$204,MATCH(D19,Fighters!$A$5:$A$204,0)),"")="READY",IFERROR(INDEX(Fighters!$V$5:$V$204,MATCH(E19,Fighters!$A$5:$A$204,0)),"")="READY"),"Yes","Not yet"))</f>
        <v/>
      </c>
      <c r="M19" s="37" t="str">
        <f aca="false">IF(OR(D19="",E19=""),"",IF((IF(OR(H19="",I19=""),"",IF(H19&gt;I19,"Weight gap over the limit. ",""))&amp;IF(AND(LEFT(C19,11)="Amateur MMA",J19&lt;&gt;"",K19&lt;&gt;"",J19&lt;&gt;K19),"Different experience classes (needs the Commissioner's OK). ","")&amp;IF(IFERROR(INDEX(Fighters!$G$5:$G$204,MATCH(D19,Fighters!$A$5:$A$204,0)),"")&lt;&gt;IFERROR(INDEX(Fighters!$G$5:$G$204,MATCH(E19,Fighters!$A$5:$A$204,0)),""),"Different age divisions. ","")&amp;IF(AND(LEFT(C19,11)="Amateur MMA",OR(LEFT(IFERROR(INDEX(Fighters!$G$5:$G$204,MATCH(D19,Fighters!$A$5:$A$204,0)),""),5)="Under",LEFT(IFERROR(INDEX(Fighters!$G$5:$G$204,MATCH(E19,Fighters!$A$5:$A$204,0)),""),5)="Under")),"Under 12 can't do MMA. ","")&amp;IF(AND(C19="Amateur MMA (Senior)",OR(LEFT(IFERROR(INDEX(Fighters!$G$5:$G$204,MATCH(D19,Fighters!$A$5:$A$204,0)),""),5)="Youth",LEFT(IFERROR(INDEX(Fighters!$G$5:$G$204,MATCH(E19,Fighters!$A$5:$A$204,0)),""),5)="Youth")),"Youth on Senior rules. ","")&amp;IF(D19=E19,"Same fighter twice. ","")&amp;IF(COUNTIF($D$8:$E$37,D19)+COUNTIF($D$8:$E$37,E19)&gt;2,"A fighter is in two bouts. ","")&amp;IF(L19="Not yet","Paperwork not done. ","")&amp;IF(C19="","Pick the rules. ",""))="","OK",IF(OR(H19="",I19=""),"",IF(H19&gt;I19,"Weight gap over the limit. ",""))&amp;IF(AND(LEFT(C19,11)="Amateur MMA",J19&lt;&gt;"",K19&lt;&gt;"",J19&lt;&gt;K19),"Different experience classes (needs the Commissioner's OK). ","")&amp;IF(IFERROR(INDEX(Fighters!$G$5:$G$204,MATCH(D19,Fighters!$A$5:$A$204,0)),"")&lt;&gt;IFERROR(INDEX(Fighters!$G$5:$G$204,MATCH(E19,Fighters!$A$5:$A$204,0)),""),"Different age divisions. ","")&amp;IF(AND(LEFT(C19,11)="Amateur MMA",OR(LEFT(IFERROR(INDEX(Fighters!$G$5:$G$204,MATCH(D19,Fighters!$A$5:$A$204,0)),""),5)="Under",LEFT(IFERROR(INDEX(Fighters!$G$5:$G$204,MATCH(E19,Fighters!$A$5:$A$204,0)),""),5)="Under")),"Under 12 can't do MMA. ","")&amp;IF(AND(C19="Amateur MMA (Senior)",OR(LEFT(IFERROR(INDEX(Fighters!$G$5:$G$204,MATCH(D19,Fighters!$A$5:$A$204,0)),""),5)="Youth",LEFT(IFERROR(INDEX(Fighters!$G$5:$G$204,MATCH(E19,Fighters!$A$5:$A$204,0)),""),5)="Youth")),"Youth on Senior rules. ","")&amp;IF(D19=E19,"Same fighter twice. ","")&amp;IF(COUNTIF($D$8:$E$37,D19)+COUNTIF($D$8:$E$37,E19)&gt;2,"A fighter is in two bouts. ","")&amp;IF(L19="Not yet","Paperwork not done. ","")&amp;IF(C19="","Pick the rules. ","")))</f>
        <v/>
      </c>
      <c r="N19" s="27"/>
      <c r="O19" s="27"/>
      <c r="P19" s="27"/>
      <c r="Q19" s="27"/>
      <c r="R19" s="27"/>
      <c r="S19" s="27"/>
      <c r="T19" s="27"/>
    </row>
    <row r="20" customFormat="false" ht="30" hidden="false" customHeight="true" outlineLevel="0" collapsed="false">
      <c r="A20" s="32" t="n">
        <v>13</v>
      </c>
      <c r="B20" s="27"/>
      <c r="C20" s="27"/>
      <c r="D20" s="27"/>
      <c r="E20" s="27"/>
      <c r="F20" s="36" t="str">
        <f aca="false">IF(D20="","",IFERROR(INDEX(Fighters!$H$5:$H$204,MATCH(D20,Fighters!$A$5:$A$204,0)),""))</f>
        <v/>
      </c>
      <c r="G20" s="36" t="str">
        <f aca="false">IF(E20="","",IFERROR(INDEX(Fighters!$H$5:$H$204,MATCH(E20,Fighters!$A$5:$A$204,0)),""))</f>
        <v/>
      </c>
      <c r="H20" s="36" t="str">
        <f aca="false">IF(OR(F20="",G20=""),"",ABS(F20-G20))</f>
        <v/>
      </c>
      <c r="I20" s="36" t="str">
        <f aca="false">IF(OR(F20="",G20=""),"",IF(LEFT(C20,11)="Amateur MMA",INDEX(Lists!$K$2:$K$6,MATCH(MIN(F20,G20),Lists!$J$2:$J$6,1)),'Show Setup'!$B$23))</f>
        <v/>
      </c>
      <c r="J20" s="32" t="str">
        <f aca="false">IF(D20="","",IFERROR(INDEX(Fighters!$M$5:$M$204,MATCH(D20,Fighters!$A$5:$A$204,0)),""))</f>
        <v/>
      </c>
      <c r="K20" s="32" t="str">
        <f aca="false">IF(E20="","",IFERROR(INDEX(Fighters!$M$5:$M$204,MATCH(E20,Fighters!$A$5:$A$204,0)),""))</f>
        <v/>
      </c>
      <c r="L20" s="33" t="str">
        <f aca="false">IF(OR(D20="",E20=""),"",IF(AND(IFERROR(INDEX(Fighters!$V$5:$V$204,MATCH(D20,Fighters!$A$5:$A$204,0)),"")="READY",IFERROR(INDEX(Fighters!$V$5:$V$204,MATCH(E20,Fighters!$A$5:$A$204,0)),"")="READY"),"Yes","Not yet"))</f>
        <v/>
      </c>
      <c r="M20" s="37" t="str">
        <f aca="false">IF(OR(D20="",E20=""),"",IF((IF(OR(H20="",I20=""),"",IF(H20&gt;I20,"Weight gap over the limit. ",""))&amp;IF(AND(LEFT(C20,11)="Amateur MMA",J20&lt;&gt;"",K20&lt;&gt;"",J20&lt;&gt;K20),"Different experience classes (needs the Commissioner's OK). ","")&amp;IF(IFERROR(INDEX(Fighters!$G$5:$G$204,MATCH(D20,Fighters!$A$5:$A$204,0)),"")&lt;&gt;IFERROR(INDEX(Fighters!$G$5:$G$204,MATCH(E20,Fighters!$A$5:$A$204,0)),""),"Different age divisions. ","")&amp;IF(AND(LEFT(C20,11)="Amateur MMA",OR(LEFT(IFERROR(INDEX(Fighters!$G$5:$G$204,MATCH(D20,Fighters!$A$5:$A$204,0)),""),5)="Under",LEFT(IFERROR(INDEX(Fighters!$G$5:$G$204,MATCH(E20,Fighters!$A$5:$A$204,0)),""),5)="Under")),"Under 12 can't do MMA. ","")&amp;IF(AND(C20="Amateur MMA (Senior)",OR(LEFT(IFERROR(INDEX(Fighters!$G$5:$G$204,MATCH(D20,Fighters!$A$5:$A$204,0)),""),5)="Youth",LEFT(IFERROR(INDEX(Fighters!$G$5:$G$204,MATCH(E20,Fighters!$A$5:$A$204,0)),""),5)="Youth")),"Youth on Senior rules. ","")&amp;IF(D20=E20,"Same fighter twice. ","")&amp;IF(COUNTIF($D$8:$E$37,D20)+COUNTIF($D$8:$E$37,E20)&gt;2,"A fighter is in two bouts. ","")&amp;IF(L20="Not yet","Paperwork not done. ","")&amp;IF(C20="","Pick the rules. ",""))="","OK",IF(OR(H20="",I20=""),"",IF(H20&gt;I20,"Weight gap over the limit. ",""))&amp;IF(AND(LEFT(C20,11)="Amateur MMA",J20&lt;&gt;"",K20&lt;&gt;"",J20&lt;&gt;K20),"Different experience classes (needs the Commissioner's OK). ","")&amp;IF(IFERROR(INDEX(Fighters!$G$5:$G$204,MATCH(D20,Fighters!$A$5:$A$204,0)),"")&lt;&gt;IFERROR(INDEX(Fighters!$G$5:$G$204,MATCH(E20,Fighters!$A$5:$A$204,0)),""),"Different age divisions. ","")&amp;IF(AND(LEFT(C20,11)="Amateur MMA",OR(LEFT(IFERROR(INDEX(Fighters!$G$5:$G$204,MATCH(D20,Fighters!$A$5:$A$204,0)),""),5)="Under",LEFT(IFERROR(INDEX(Fighters!$G$5:$G$204,MATCH(E20,Fighters!$A$5:$A$204,0)),""),5)="Under")),"Under 12 can't do MMA. ","")&amp;IF(AND(C20="Amateur MMA (Senior)",OR(LEFT(IFERROR(INDEX(Fighters!$G$5:$G$204,MATCH(D20,Fighters!$A$5:$A$204,0)),""),5)="Youth",LEFT(IFERROR(INDEX(Fighters!$G$5:$G$204,MATCH(E20,Fighters!$A$5:$A$204,0)),""),5)="Youth")),"Youth on Senior rules. ","")&amp;IF(D20=E20,"Same fighter twice. ","")&amp;IF(COUNTIF($D$8:$E$37,D20)+COUNTIF($D$8:$E$37,E20)&gt;2,"A fighter is in two bouts. ","")&amp;IF(L20="Not yet","Paperwork not done. ","")&amp;IF(C20="","Pick the rules. ","")))</f>
        <v/>
      </c>
      <c r="N20" s="27"/>
      <c r="O20" s="27"/>
      <c r="P20" s="27"/>
      <c r="Q20" s="27"/>
      <c r="R20" s="27"/>
      <c r="S20" s="27"/>
      <c r="T20" s="27"/>
    </row>
    <row r="21" customFormat="false" ht="30" hidden="false" customHeight="true" outlineLevel="0" collapsed="false">
      <c r="A21" s="32" t="n">
        <v>14</v>
      </c>
      <c r="B21" s="27"/>
      <c r="C21" s="27"/>
      <c r="D21" s="27"/>
      <c r="E21" s="27"/>
      <c r="F21" s="36" t="str">
        <f aca="false">IF(D21="","",IFERROR(INDEX(Fighters!$H$5:$H$204,MATCH(D21,Fighters!$A$5:$A$204,0)),""))</f>
        <v/>
      </c>
      <c r="G21" s="36" t="str">
        <f aca="false">IF(E21="","",IFERROR(INDEX(Fighters!$H$5:$H$204,MATCH(E21,Fighters!$A$5:$A$204,0)),""))</f>
        <v/>
      </c>
      <c r="H21" s="36" t="str">
        <f aca="false">IF(OR(F21="",G21=""),"",ABS(F21-G21))</f>
        <v/>
      </c>
      <c r="I21" s="36" t="str">
        <f aca="false">IF(OR(F21="",G21=""),"",IF(LEFT(C21,11)="Amateur MMA",INDEX(Lists!$K$2:$K$6,MATCH(MIN(F21,G21),Lists!$J$2:$J$6,1)),'Show Setup'!$B$23))</f>
        <v/>
      </c>
      <c r="J21" s="32" t="str">
        <f aca="false">IF(D21="","",IFERROR(INDEX(Fighters!$M$5:$M$204,MATCH(D21,Fighters!$A$5:$A$204,0)),""))</f>
        <v/>
      </c>
      <c r="K21" s="32" t="str">
        <f aca="false">IF(E21="","",IFERROR(INDEX(Fighters!$M$5:$M$204,MATCH(E21,Fighters!$A$5:$A$204,0)),""))</f>
        <v/>
      </c>
      <c r="L21" s="33" t="str">
        <f aca="false">IF(OR(D21="",E21=""),"",IF(AND(IFERROR(INDEX(Fighters!$V$5:$V$204,MATCH(D21,Fighters!$A$5:$A$204,0)),"")="READY",IFERROR(INDEX(Fighters!$V$5:$V$204,MATCH(E21,Fighters!$A$5:$A$204,0)),"")="READY"),"Yes","Not yet"))</f>
        <v/>
      </c>
      <c r="M21" s="37" t="str">
        <f aca="false">IF(OR(D21="",E21=""),"",IF((IF(OR(H21="",I21=""),"",IF(H21&gt;I21,"Weight gap over the limit. ",""))&amp;IF(AND(LEFT(C21,11)="Amateur MMA",J21&lt;&gt;"",K21&lt;&gt;"",J21&lt;&gt;K21),"Different experience classes (needs the Commissioner's OK). ","")&amp;IF(IFERROR(INDEX(Fighters!$G$5:$G$204,MATCH(D21,Fighters!$A$5:$A$204,0)),"")&lt;&gt;IFERROR(INDEX(Fighters!$G$5:$G$204,MATCH(E21,Fighters!$A$5:$A$204,0)),""),"Different age divisions. ","")&amp;IF(AND(LEFT(C21,11)="Amateur MMA",OR(LEFT(IFERROR(INDEX(Fighters!$G$5:$G$204,MATCH(D21,Fighters!$A$5:$A$204,0)),""),5)="Under",LEFT(IFERROR(INDEX(Fighters!$G$5:$G$204,MATCH(E21,Fighters!$A$5:$A$204,0)),""),5)="Under")),"Under 12 can't do MMA. ","")&amp;IF(AND(C21="Amateur MMA (Senior)",OR(LEFT(IFERROR(INDEX(Fighters!$G$5:$G$204,MATCH(D21,Fighters!$A$5:$A$204,0)),""),5)="Youth",LEFT(IFERROR(INDEX(Fighters!$G$5:$G$204,MATCH(E21,Fighters!$A$5:$A$204,0)),""),5)="Youth")),"Youth on Senior rules. ","")&amp;IF(D21=E21,"Same fighter twice. ","")&amp;IF(COUNTIF($D$8:$E$37,D21)+COUNTIF($D$8:$E$37,E21)&gt;2,"A fighter is in two bouts. ","")&amp;IF(L21="Not yet","Paperwork not done. ","")&amp;IF(C21="","Pick the rules. ",""))="","OK",IF(OR(H21="",I21=""),"",IF(H21&gt;I21,"Weight gap over the limit. ",""))&amp;IF(AND(LEFT(C21,11)="Amateur MMA",J21&lt;&gt;"",K21&lt;&gt;"",J21&lt;&gt;K21),"Different experience classes (needs the Commissioner's OK). ","")&amp;IF(IFERROR(INDEX(Fighters!$G$5:$G$204,MATCH(D21,Fighters!$A$5:$A$204,0)),"")&lt;&gt;IFERROR(INDEX(Fighters!$G$5:$G$204,MATCH(E21,Fighters!$A$5:$A$204,0)),""),"Different age divisions. ","")&amp;IF(AND(LEFT(C21,11)="Amateur MMA",OR(LEFT(IFERROR(INDEX(Fighters!$G$5:$G$204,MATCH(D21,Fighters!$A$5:$A$204,0)),""),5)="Under",LEFT(IFERROR(INDEX(Fighters!$G$5:$G$204,MATCH(E21,Fighters!$A$5:$A$204,0)),""),5)="Under")),"Under 12 can't do MMA. ","")&amp;IF(AND(C21="Amateur MMA (Senior)",OR(LEFT(IFERROR(INDEX(Fighters!$G$5:$G$204,MATCH(D21,Fighters!$A$5:$A$204,0)),""),5)="Youth",LEFT(IFERROR(INDEX(Fighters!$G$5:$G$204,MATCH(E21,Fighters!$A$5:$A$204,0)),""),5)="Youth")),"Youth on Senior rules. ","")&amp;IF(D21=E21,"Same fighter twice. ","")&amp;IF(COUNTIF($D$8:$E$37,D21)+COUNTIF($D$8:$E$37,E21)&gt;2,"A fighter is in two bouts. ","")&amp;IF(L21="Not yet","Paperwork not done. ","")&amp;IF(C21="","Pick the rules. ","")))</f>
        <v/>
      </c>
      <c r="N21" s="27"/>
      <c r="O21" s="27"/>
      <c r="P21" s="27"/>
      <c r="Q21" s="27"/>
      <c r="R21" s="27"/>
      <c r="S21" s="27"/>
      <c r="T21" s="27"/>
    </row>
    <row r="22" customFormat="false" ht="30" hidden="false" customHeight="true" outlineLevel="0" collapsed="false">
      <c r="A22" s="32" t="n">
        <v>15</v>
      </c>
      <c r="B22" s="27"/>
      <c r="C22" s="27"/>
      <c r="D22" s="27"/>
      <c r="E22" s="27"/>
      <c r="F22" s="36" t="str">
        <f aca="false">IF(D22="","",IFERROR(INDEX(Fighters!$H$5:$H$204,MATCH(D22,Fighters!$A$5:$A$204,0)),""))</f>
        <v/>
      </c>
      <c r="G22" s="36" t="str">
        <f aca="false">IF(E22="","",IFERROR(INDEX(Fighters!$H$5:$H$204,MATCH(E22,Fighters!$A$5:$A$204,0)),""))</f>
        <v/>
      </c>
      <c r="H22" s="36" t="str">
        <f aca="false">IF(OR(F22="",G22=""),"",ABS(F22-G22))</f>
        <v/>
      </c>
      <c r="I22" s="36" t="str">
        <f aca="false">IF(OR(F22="",G22=""),"",IF(LEFT(C22,11)="Amateur MMA",INDEX(Lists!$K$2:$K$6,MATCH(MIN(F22,G22),Lists!$J$2:$J$6,1)),'Show Setup'!$B$23))</f>
        <v/>
      </c>
      <c r="J22" s="32" t="str">
        <f aca="false">IF(D22="","",IFERROR(INDEX(Fighters!$M$5:$M$204,MATCH(D22,Fighters!$A$5:$A$204,0)),""))</f>
        <v/>
      </c>
      <c r="K22" s="32" t="str">
        <f aca="false">IF(E22="","",IFERROR(INDEX(Fighters!$M$5:$M$204,MATCH(E22,Fighters!$A$5:$A$204,0)),""))</f>
        <v/>
      </c>
      <c r="L22" s="33" t="str">
        <f aca="false">IF(OR(D22="",E22=""),"",IF(AND(IFERROR(INDEX(Fighters!$V$5:$V$204,MATCH(D22,Fighters!$A$5:$A$204,0)),"")="READY",IFERROR(INDEX(Fighters!$V$5:$V$204,MATCH(E22,Fighters!$A$5:$A$204,0)),"")="READY"),"Yes","Not yet"))</f>
        <v/>
      </c>
      <c r="M22" s="37" t="str">
        <f aca="false">IF(OR(D22="",E22=""),"",IF((IF(OR(H22="",I22=""),"",IF(H22&gt;I22,"Weight gap over the limit. ",""))&amp;IF(AND(LEFT(C22,11)="Amateur MMA",J22&lt;&gt;"",K22&lt;&gt;"",J22&lt;&gt;K22),"Different experience classes (needs the Commissioner's OK). ","")&amp;IF(IFERROR(INDEX(Fighters!$G$5:$G$204,MATCH(D22,Fighters!$A$5:$A$204,0)),"")&lt;&gt;IFERROR(INDEX(Fighters!$G$5:$G$204,MATCH(E22,Fighters!$A$5:$A$204,0)),""),"Different age divisions. ","")&amp;IF(AND(LEFT(C22,11)="Amateur MMA",OR(LEFT(IFERROR(INDEX(Fighters!$G$5:$G$204,MATCH(D22,Fighters!$A$5:$A$204,0)),""),5)="Under",LEFT(IFERROR(INDEX(Fighters!$G$5:$G$204,MATCH(E22,Fighters!$A$5:$A$204,0)),""),5)="Under")),"Under 12 can't do MMA. ","")&amp;IF(AND(C22="Amateur MMA (Senior)",OR(LEFT(IFERROR(INDEX(Fighters!$G$5:$G$204,MATCH(D22,Fighters!$A$5:$A$204,0)),""),5)="Youth",LEFT(IFERROR(INDEX(Fighters!$G$5:$G$204,MATCH(E22,Fighters!$A$5:$A$204,0)),""),5)="Youth")),"Youth on Senior rules. ","")&amp;IF(D22=E22,"Same fighter twice. ","")&amp;IF(COUNTIF($D$8:$E$37,D22)+COUNTIF($D$8:$E$37,E22)&gt;2,"A fighter is in two bouts. ","")&amp;IF(L22="Not yet","Paperwork not done. ","")&amp;IF(C22="","Pick the rules. ",""))="","OK",IF(OR(H22="",I22=""),"",IF(H22&gt;I22,"Weight gap over the limit. ",""))&amp;IF(AND(LEFT(C22,11)="Amateur MMA",J22&lt;&gt;"",K22&lt;&gt;"",J22&lt;&gt;K22),"Different experience classes (needs the Commissioner's OK). ","")&amp;IF(IFERROR(INDEX(Fighters!$G$5:$G$204,MATCH(D22,Fighters!$A$5:$A$204,0)),"")&lt;&gt;IFERROR(INDEX(Fighters!$G$5:$G$204,MATCH(E22,Fighters!$A$5:$A$204,0)),""),"Different age divisions. ","")&amp;IF(AND(LEFT(C22,11)="Amateur MMA",OR(LEFT(IFERROR(INDEX(Fighters!$G$5:$G$204,MATCH(D22,Fighters!$A$5:$A$204,0)),""),5)="Under",LEFT(IFERROR(INDEX(Fighters!$G$5:$G$204,MATCH(E22,Fighters!$A$5:$A$204,0)),""),5)="Under")),"Under 12 can't do MMA. ","")&amp;IF(AND(C22="Amateur MMA (Senior)",OR(LEFT(IFERROR(INDEX(Fighters!$G$5:$G$204,MATCH(D22,Fighters!$A$5:$A$204,0)),""),5)="Youth",LEFT(IFERROR(INDEX(Fighters!$G$5:$G$204,MATCH(E22,Fighters!$A$5:$A$204,0)),""),5)="Youth")),"Youth on Senior rules. ","")&amp;IF(D22=E22,"Same fighter twice. ","")&amp;IF(COUNTIF($D$8:$E$37,D22)+COUNTIF($D$8:$E$37,E22)&gt;2,"A fighter is in two bouts. ","")&amp;IF(L22="Not yet","Paperwork not done. ","")&amp;IF(C22="","Pick the rules. ","")))</f>
        <v/>
      </c>
      <c r="N22" s="27"/>
      <c r="O22" s="27"/>
      <c r="P22" s="27"/>
      <c r="Q22" s="27"/>
      <c r="R22" s="27"/>
      <c r="S22" s="27"/>
      <c r="T22" s="27"/>
    </row>
    <row r="23" customFormat="false" ht="30" hidden="false" customHeight="true" outlineLevel="0" collapsed="false">
      <c r="A23" s="32" t="n">
        <v>16</v>
      </c>
      <c r="B23" s="27"/>
      <c r="C23" s="27"/>
      <c r="D23" s="27"/>
      <c r="E23" s="27"/>
      <c r="F23" s="36" t="str">
        <f aca="false">IF(D23="","",IFERROR(INDEX(Fighters!$H$5:$H$204,MATCH(D23,Fighters!$A$5:$A$204,0)),""))</f>
        <v/>
      </c>
      <c r="G23" s="36" t="str">
        <f aca="false">IF(E23="","",IFERROR(INDEX(Fighters!$H$5:$H$204,MATCH(E23,Fighters!$A$5:$A$204,0)),""))</f>
        <v/>
      </c>
      <c r="H23" s="36" t="str">
        <f aca="false">IF(OR(F23="",G23=""),"",ABS(F23-G23))</f>
        <v/>
      </c>
      <c r="I23" s="36" t="str">
        <f aca="false">IF(OR(F23="",G23=""),"",IF(LEFT(C23,11)="Amateur MMA",INDEX(Lists!$K$2:$K$6,MATCH(MIN(F23,G23),Lists!$J$2:$J$6,1)),'Show Setup'!$B$23))</f>
        <v/>
      </c>
      <c r="J23" s="32" t="str">
        <f aca="false">IF(D23="","",IFERROR(INDEX(Fighters!$M$5:$M$204,MATCH(D23,Fighters!$A$5:$A$204,0)),""))</f>
        <v/>
      </c>
      <c r="K23" s="32" t="str">
        <f aca="false">IF(E23="","",IFERROR(INDEX(Fighters!$M$5:$M$204,MATCH(E23,Fighters!$A$5:$A$204,0)),""))</f>
        <v/>
      </c>
      <c r="L23" s="33" t="str">
        <f aca="false">IF(OR(D23="",E23=""),"",IF(AND(IFERROR(INDEX(Fighters!$V$5:$V$204,MATCH(D23,Fighters!$A$5:$A$204,0)),"")="READY",IFERROR(INDEX(Fighters!$V$5:$V$204,MATCH(E23,Fighters!$A$5:$A$204,0)),"")="READY"),"Yes","Not yet"))</f>
        <v/>
      </c>
      <c r="M23" s="37" t="str">
        <f aca="false">IF(OR(D23="",E23=""),"",IF((IF(OR(H23="",I23=""),"",IF(H23&gt;I23,"Weight gap over the limit. ",""))&amp;IF(AND(LEFT(C23,11)="Amateur MMA",J23&lt;&gt;"",K23&lt;&gt;"",J23&lt;&gt;K23),"Different experience classes (needs the Commissioner's OK). ","")&amp;IF(IFERROR(INDEX(Fighters!$G$5:$G$204,MATCH(D23,Fighters!$A$5:$A$204,0)),"")&lt;&gt;IFERROR(INDEX(Fighters!$G$5:$G$204,MATCH(E23,Fighters!$A$5:$A$204,0)),""),"Different age divisions. ","")&amp;IF(AND(LEFT(C23,11)="Amateur MMA",OR(LEFT(IFERROR(INDEX(Fighters!$G$5:$G$204,MATCH(D23,Fighters!$A$5:$A$204,0)),""),5)="Under",LEFT(IFERROR(INDEX(Fighters!$G$5:$G$204,MATCH(E23,Fighters!$A$5:$A$204,0)),""),5)="Under")),"Under 12 can't do MMA. ","")&amp;IF(AND(C23="Amateur MMA (Senior)",OR(LEFT(IFERROR(INDEX(Fighters!$G$5:$G$204,MATCH(D23,Fighters!$A$5:$A$204,0)),""),5)="Youth",LEFT(IFERROR(INDEX(Fighters!$G$5:$G$204,MATCH(E23,Fighters!$A$5:$A$204,0)),""),5)="Youth")),"Youth on Senior rules. ","")&amp;IF(D23=E23,"Same fighter twice. ","")&amp;IF(COUNTIF($D$8:$E$37,D23)+COUNTIF($D$8:$E$37,E23)&gt;2,"A fighter is in two bouts. ","")&amp;IF(L23="Not yet","Paperwork not done. ","")&amp;IF(C23="","Pick the rules. ",""))="","OK",IF(OR(H23="",I23=""),"",IF(H23&gt;I23,"Weight gap over the limit. ",""))&amp;IF(AND(LEFT(C23,11)="Amateur MMA",J23&lt;&gt;"",K23&lt;&gt;"",J23&lt;&gt;K23),"Different experience classes (needs the Commissioner's OK). ","")&amp;IF(IFERROR(INDEX(Fighters!$G$5:$G$204,MATCH(D23,Fighters!$A$5:$A$204,0)),"")&lt;&gt;IFERROR(INDEX(Fighters!$G$5:$G$204,MATCH(E23,Fighters!$A$5:$A$204,0)),""),"Different age divisions. ","")&amp;IF(AND(LEFT(C23,11)="Amateur MMA",OR(LEFT(IFERROR(INDEX(Fighters!$G$5:$G$204,MATCH(D23,Fighters!$A$5:$A$204,0)),""),5)="Under",LEFT(IFERROR(INDEX(Fighters!$G$5:$G$204,MATCH(E23,Fighters!$A$5:$A$204,0)),""),5)="Under")),"Under 12 can't do MMA. ","")&amp;IF(AND(C23="Amateur MMA (Senior)",OR(LEFT(IFERROR(INDEX(Fighters!$G$5:$G$204,MATCH(D23,Fighters!$A$5:$A$204,0)),""),5)="Youth",LEFT(IFERROR(INDEX(Fighters!$G$5:$G$204,MATCH(E23,Fighters!$A$5:$A$204,0)),""),5)="Youth")),"Youth on Senior rules. ","")&amp;IF(D23=E23,"Same fighter twice. ","")&amp;IF(COUNTIF($D$8:$E$37,D23)+COUNTIF($D$8:$E$37,E23)&gt;2,"A fighter is in two bouts. ","")&amp;IF(L23="Not yet","Paperwork not done. ","")&amp;IF(C23="","Pick the rules. ","")))</f>
        <v/>
      </c>
      <c r="N23" s="27"/>
      <c r="O23" s="27"/>
      <c r="P23" s="27"/>
      <c r="Q23" s="27"/>
      <c r="R23" s="27"/>
      <c r="S23" s="27"/>
      <c r="T23" s="27"/>
    </row>
    <row r="24" customFormat="false" ht="30" hidden="false" customHeight="true" outlineLevel="0" collapsed="false">
      <c r="A24" s="32" t="n">
        <v>17</v>
      </c>
      <c r="B24" s="27"/>
      <c r="C24" s="27"/>
      <c r="D24" s="27"/>
      <c r="E24" s="27"/>
      <c r="F24" s="36" t="str">
        <f aca="false">IF(D24="","",IFERROR(INDEX(Fighters!$H$5:$H$204,MATCH(D24,Fighters!$A$5:$A$204,0)),""))</f>
        <v/>
      </c>
      <c r="G24" s="36" t="str">
        <f aca="false">IF(E24="","",IFERROR(INDEX(Fighters!$H$5:$H$204,MATCH(E24,Fighters!$A$5:$A$204,0)),""))</f>
        <v/>
      </c>
      <c r="H24" s="36" t="str">
        <f aca="false">IF(OR(F24="",G24=""),"",ABS(F24-G24))</f>
        <v/>
      </c>
      <c r="I24" s="36" t="str">
        <f aca="false">IF(OR(F24="",G24=""),"",IF(LEFT(C24,11)="Amateur MMA",INDEX(Lists!$K$2:$K$6,MATCH(MIN(F24,G24),Lists!$J$2:$J$6,1)),'Show Setup'!$B$23))</f>
        <v/>
      </c>
      <c r="J24" s="32" t="str">
        <f aca="false">IF(D24="","",IFERROR(INDEX(Fighters!$M$5:$M$204,MATCH(D24,Fighters!$A$5:$A$204,0)),""))</f>
        <v/>
      </c>
      <c r="K24" s="32" t="str">
        <f aca="false">IF(E24="","",IFERROR(INDEX(Fighters!$M$5:$M$204,MATCH(E24,Fighters!$A$5:$A$204,0)),""))</f>
        <v/>
      </c>
      <c r="L24" s="33" t="str">
        <f aca="false">IF(OR(D24="",E24=""),"",IF(AND(IFERROR(INDEX(Fighters!$V$5:$V$204,MATCH(D24,Fighters!$A$5:$A$204,0)),"")="READY",IFERROR(INDEX(Fighters!$V$5:$V$204,MATCH(E24,Fighters!$A$5:$A$204,0)),"")="READY"),"Yes","Not yet"))</f>
        <v/>
      </c>
      <c r="M24" s="37" t="str">
        <f aca="false">IF(OR(D24="",E24=""),"",IF((IF(OR(H24="",I24=""),"",IF(H24&gt;I24,"Weight gap over the limit. ",""))&amp;IF(AND(LEFT(C24,11)="Amateur MMA",J24&lt;&gt;"",K24&lt;&gt;"",J24&lt;&gt;K24),"Different experience classes (needs the Commissioner's OK). ","")&amp;IF(IFERROR(INDEX(Fighters!$G$5:$G$204,MATCH(D24,Fighters!$A$5:$A$204,0)),"")&lt;&gt;IFERROR(INDEX(Fighters!$G$5:$G$204,MATCH(E24,Fighters!$A$5:$A$204,0)),""),"Different age divisions. ","")&amp;IF(AND(LEFT(C24,11)="Amateur MMA",OR(LEFT(IFERROR(INDEX(Fighters!$G$5:$G$204,MATCH(D24,Fighters!$A$5:$A$204,0)),""),5)="Under",LEFT(IFERROR(INDEX(Fighters!$G$5:$G$204,MATCH(E24,Fighters!$A$5:$A$204,0)),""),5)="Under")),"Under 12 can't do MMA. ","")&amp;IF(AND(C24="Amateur MMA (Senior)",OR(LEFT(IFERROR(INDEX(Fighters!$G$5:$G$204,MATCH(D24,Fighters!$A$5:$A$204,0)),""),5)="Youth",LEFT(IFERROR(INDEX(Fighters!$G$5:$G$204,MATCH(E24,Fighters!$A$5:$A$204,0)),""),5)="Youth")),"Youth on Senior rules. ","")&amp;IF(D24=E24,"Same fighter twice. ","")&amp;IF(COUNTIF($D$8:$E$37,D24)+COUNTIF($D$8:$E$37,E24)&gt;2,"A fighter is in two bouts. ","")&amp;IF(L24="Not yet","Paperwork not done. ","")&amp;IF(C24="","Pick the rules. ",""))="","OK",IF(OR(H24="",I24=""),"",IF(H24&gt;I24,"Weight gap over the limit. ",""))&amp;IF(AND(LEFT(C24,11)="Amateur MMA",J24&lt;&gt;"",K24&lt;&gt;"",J24&lt;&gt;K24),"Different experience classes (needs the Commissioner's OK). ","")&amp;IF(IFERROR(INDEX(Fighters!$G$5:$G$204,MATCH(D24,Fighters!$A$5:$A$204,0)),"")&lt;&gt;IFERROR(INDEX(Fighters!$G$5:$G$204,MATCH(E24,Fighters!$A$5:$A$204,0)),""),"Different age divisions. ","")&amp;IF(AND(LEFT(C24,11)="Amateur MMA",OR(LEFT(IFERROR(INDEX(Fighters!$G$5:$G$204,MATCH(D24,Fighters!$A$5:$A$204,0)),""),5)="Under",LEFT(IFERROR(INDEX(Fighters!$G$5:$G$204,MATCH(E24,Fighters!$A$5:$A$204,0)),""),5)="Under")),"Under 12 can't do MMA. ","")&amp;IF(AND(C24="Amateur MMA (Senior)",OR(LEFT(IFERROR(INDEX(Fighters!$G$5:$G$204,MATCH(D24,Fighters!$A$5:$A$204,0)),""),5)="Youth",LEFT(IFERROR(INDEX(Fighters!$G$5:$G$204,MATCH(E24,Fighters!$A$5:$A$204,0)),""),5)="Youth")),"Youth on Senior rules. ","")&amp;IF(D24=E24,"Same fighter twice. ","")&amp;IF(COUNTIF($D$8:$E$37,D24)+COUNTIF($D$8:$E$37,E24)&gt;2,"A fighter is in two bouts. ","")&amp;IF(L24="Not yet","Paperwork not done. ","")&amp;IF(C24="","Pick the rules. ","")))</f>
        <v/>
      </c>
      <c r="N24" s="27"/>
      <c r="O24" s="27"/>
      <c r="P24" s="27"/>
      <c r="Q24" s="27"/>
      <c r="R24" s="27"/>
      <c r="S24" s="27"/>
      <c r="T24" s="27"/>
    </row>
    <row r="25" customFormat="false" ht="30" hidden="false" customHeight="true" outlineLevel="0" collapsed="false">
      <c r="A25" s="32" t="n">
        <v>18</v>
      </c>
      <c r="B25" s="27"/>
      <c r="C25" s="27"/>
      <c r="D25" s="27"/>
      <c r="E25" s="27"/>
      <c r="F25" s="36" t="str">
        <f aca="false">IF(D25="","",IFERROR(INDEX(Fighters!$H$5:$H$204,MATCH(D25,Fighters!$A$5:$A$204,0)),""))</f>
        <v/>
      </c>
      <c r="G25" s="36" t="str">
        <f aca="false">IF(E25="","",IFERROR(INDEX(Fighters!$H$5:$H$204,MATCH(E25,Fighters!$A$5:$A$204,0)),""))</f>
        <v/>
      </c>
      <c r="H25" s="36" t="str">
        <f aca="false">IF(OR(F25="",G25=""),"",ABS(F25-G25))</f>
        <v/>
      </c>
      <c r="I25" s="36" t="str">
        <f aca="false">IF(OR(F25="",G25=""),"",IF(LEFT(C25,11)="Amateur MMA",INDEX(Lists!$K$2:$K$6,MATCH(MIN(F25,G25),Lists!$J$2:$J$6,1)),'Show Setup'!$B$23))</f>
        <v/>
      </c>
      <c r="J25" s="32" t="str">
        <f aca="false">IF(D25="","",IFERROR(INDEX(Fighters!$M$5:$M$204,MATCH(D25,Fighters!$A$5:$A$204,0)),""))</f>
        <v/>
      </c>
      <c r="K25" s="32" t="str">
        <f aca="false">IF(E25="","",IFERROR(INDEX(Fighters!$M$5:$M$204,MATCH(E25,Fighters!$A$5:$A$204,0)),""))</f>
        <v/>
      </c>
      <c r="L25" s="33" t="str">
        <f aca="false">IF(OR(D25="",E25=""),"",IF(AND(IFERROR(INDEX(Fighters!$V$5:$V$204,MATCH(D25,Fighters!$A$5:$A$204,0)),"")="READY",IFERROR(INDEX(Fighters!$V$5:$V$204,MATCH(E25,Fighters!$A$5:$A$204,0)),"")="READY"),"Yes","Not yet"))</f>
        <v/>
      </c>
      <c r="M25" s="37" t="str">
        <f aca="false">IF(OR(D25="",E25=""),"",IF((IF(OR(H25="",I25=""),"",IF(H25&gt;I25,"Weight gap over the limit. ",""))&amp;IF(AND(LEFT(C25,11)="Amateur MMA",J25&lt;&gt;"",K25&lt;&gt;"",J25&lt;&gt;K25),"Different experience classes (needs the Commissioner's OK). ","")&amp;IF(IFERROR(INDEX(Fighters!$G$5:$G$204,MATCH(D25,Fighters!$A$5:$A$204,0)),"")&lt;&gt;IFERROR(INDEX(Fighters!$G$5:$G$204,MATCH(E25,Fighters!$A$5:$A$204,0)),""),"Different age divisions. ","")&amp;IF(AND(LEFT(C25,11)="Amateur MMA",OR(LEFT(IFERROR(INDEX(Fighters!$G$5:$G$204,MATCH(D25,Fighters!$A$5:$A$204,0)),""),5)="Under",LEFT(IFERROR(INDEX(Fighters!$G$5:$G$204,MATCH(E25,Fighters!$A$5:$A$204,0)),""),5)="Under")),"Under 12 can't do MMA. ","")&amp;IF(AND(C25="Amateur MMA (Senior)",OR(LEFT(IFERROR(INDEX(Fighters!$G$5:$G$204,MATCH(D25,Fighters!$A$5:$A$204,0)),""),5)="Youth",LEFT(IFERROR(INDEX(Fighters!$G$5:$G$204,MATCH(E25,Fighters!$A$5:$A$204,0)),""),5)="Youth")),"Youth on Senior rules. ","")&amp;IF(D25=E25,"Same fighter twice. ","")&amp;IF(COUNTIF($D$8:$E$37,D25)+COUNTIF($D$8:$E$37,E25)&gt;2,"A fighter is in two bouts. ","")&amp;IF(L25="Not yet","Paperwork not done. ","")&amp;IF(C25="","Pick the rules. ",""))="","OK",IF(OR(H25="",I25=""),"",IF(H25&gt;I25,"Weight gap over the limit. ",""))&amp;IF(AND(LEFT(C25,11)="Amateur MMA",J25&lt;&gt;"",K25&lt;&gt;"",J25&lt;&gt;K25),"Different experience classes (needs the Commissioner's OK). ","")&amp;IF(IFERROR(INDEX(Fighters!$G$5:$G$204,MATCH(D25,Fighters!$A$5:$A$204,0)),"")&lt;&gt;IFERROR(INDEX(Fighters!$G$5:$G$204,MATCH(E25,Fighters!$A$5:$A$204,0)),""),"Different age divisions. ","")&amp;IF(AND(LEFT(C25,11)="Amateur MMA",OR(LEFT(IFERROR(INDEX(Fighters!$G$5:$G$204,MATCH(D25,Fighters!$A$5:$A$204,0)),""),5)="Under",LEFT(IFERROR(INDEX(Fighters!$G$5:$G$204,MATCH(E25,Fighters!$A$5:$A$204,0)),""),5)="Under")),"Under 12 can't do MMA. ","")&amp;IF(AND(C25="Amateur MMA (Senior)",OR(LEFT(IFERROR(INDEX(Fighters!$G$5:$G$204,MATCH(D25,Fighters!$A$5:$A$204,0)),""),5)="Youth",LEFT(IFERROR(INDEX(Fighters!$G$5:$G$204,MATCH(E25,Fighters!$A$5:$A$204,0)),""),5)="Youth")),"Youth on Senior rules. ","")&amp;IF(D25=E25,"Same fighter twice. ","")&amp;IF(COUNTIF($D$8:$E$37,D25)+COUNTIF($D$8:$E$37,E25)&gt;2,"A fighter is in two bouts. ","")&amp;IF(L25="Not yet","Paperwork not done. ","")&amp;IF(C25="","Pick the rules. ","")))</f>
        <v/>
      </c>
      <c r="N25" s="27"/>
      <c r="O25" s="27"/>
      <c r="P25" s="27"/>
      <c r="Q25" s="27"/>
      <c r="R25" s="27"/>
      <c r="S25" s="27"/>
      <c r="T25" s="27"/>
    </row>
    <row r="26" customFormat="false" ht="30" hidden="false" customHeight="true" outlineLevel="0" collapsed="false">
      <c r="A26" s="32" t="n">
        <v>19</v>
      </c>
      <c r="B26" s="27"/>
      <c r="C26" s="27"/>
      <c r="D26" s="27"/>
      <c r="E26" s="27"/>
      <c r="F26" s="36" t="str">
        <f aca="false">IF(D26="","",IFERROR(INDEX(Fighters!$H$5:$H$204,MATCH(D26,Fighters!$A$5:$A$204,0)),""))</f>
        <v/>
      </c>
      <c r="G26" s="36" t="str">
        <f aca="false">IF(E26="","",IFERROR(INDEX(Fighters!$H$5:$H$204,MATCH(E26,Fighters!$A$5:$A$204,0)),""))</f>
        <v/>
      </c>
      <c r="H26" s="36" t="str">
        <f aca="false">IF(OR(F26="",G26=""),"",ABS(F26-G26))</f>
        <v/>
      </c>
      <c r="I26" s="36" t="str">
        <f aca="false">IF(OR(F26="",G26=""),"",IF(LEFT(C26,11)="Amateur MMA",INDEX(Lists!$K$2:$K$6,MATCH(MIN(F26,G26),Lists!$J$2:$J$6,1)),'Show Setup'!$B$23))</f>
        <v/>
      </c>
      <c r="J26" s="32" t="str">
        <f aca="false">IF(D26="","",IFERROR(INDEX(Fighters!$M$5:$M$204,MATCH(D26,Fighters!$A$5:$A$204,0)),""))</f>
        <v/>
      </c>
      <c r="K26" s="32" t="str">
        <f aca="false">IF(E26="","",IFERROR(INDEX(Fighters!$M$5:$M$204,MATCH(E26,Fighters!$A$5:$A$204,0)),""))</f>
        <v/>
      </c>
      <c r="L26" s="33" t="str">
        <f aca="false">IF(OR(D26="",E26=""),"",IF(AND(IFERROR(INDEX(Fighters!$V$5:$V$204,MATCH(D26,Fighters!$A$5:$A$204,0)),"")="READY",IFERROR(INDEX(Fighters!$V$5:$V$204,MATCH(E26,Fighters!$A$5:$A$204,0)),"")="READY"),"Yes","Not yet"))</f>
        <v/>
      </c>
      <c r="M26" s="37" t="str">
        <f aca="false">IF(OR(D26="",E26=""),"",IF((IF(OR(H26="",I26=""),"",IF(H26&gt;I26,"Weight gap over the limit. ",""))&amp;IF(AND(LEFT(C26,11)="Amateur MMA",J26&lt;&gt;"",K26&lt;&gt;"",J26&lt;&gt;K26),"Different experience classes (needs the Commissioner's OK). ","")&amp;IF(IFERROR(INDEX(Fighters!$G$5:$G$204,MATCH(D26,Fighters!$A$5:$A$204,0)),"")&lt;&gt;IFERROR(INDEX(Fighters!$G$5:$G$204,MATCH(E26,Fighters!$A$5:$A$204,0)),""),"Different age divisions. ","")&amp;IF(AND(LEFT(C26,11)="Amateur MMA",OR(LEFT(IFERROR(INDEX(Fighters!$G$5:$G$204,MATCH(D26,Fighters!$A$5:$A$204,0)),""),5)="Under",LEFT(IFERROR(INDEX(Fighters!$G$5:$G$204,MATCH(E26,Fighters!$A$5:$A$204,0)),""),5)="Under")),"Under 12 can't do MMA. ","")&amp;IF(AND(C26="Amateur MMA (Senior)",OR(LEFT(IFERROR(INDEX(Fighters!$G$5:$G$204,MATCH(D26,Fighters!$A$5:$A$204,0)),""),5)="Youth",LEFT(IFERROR(INDEX(Fighters!$G$5:$G$204,MATCH(E26,Fighters!$A$5:$A$204,0)),""),5)="Youth")),"Youth on Senior rules. ","")&amp;IF(D26=E26,"Same fighter twice. ","")&amp;IF(COUNTIF($D$8:$E$37,D26)+COUNTIF($D$8:$E$37,E26)&gt;2,"A fighter is in two bouts. ","")&amp;IF(L26="Not yet","Paperwork not done. ","")&amp;IF(C26="","Pick the rules. ",""))="","OK",IF(OR(H26="",I26=""),"",IF(H26&gt;I26,"Weight gap over the limit. ",""))&amp;IF(AND(LEFT(C26,11)="Amateur MMA",J26&lt;&gt;"",K26&lt;&gt;"",J26&lt;&gt;K26),"Different experience classes (needs the Commissioner's OK). ","")&amp;IF(IFERROR(INDEX(Fighters!$G$5:$G$204,MATCH(D26,Fighters!$A$5:$A$204,0)),"")&lt;&gt;IFERROR(INDEX(Fighters!$G$5:$G$204,MATCH(E26,Fighters!$A$5:$A$204,0)),""),"Different age divisions. ","")&amp;IF(AND(LEFT(C26,11)="Amateur MMA",OR(LEFT(IFERROR(INDEX(Fighters!$G$5:$G$204,MATCH(D26,Fighters!$A$5:$A$204,0)),""),5)="Under",LEFT(IFERROR(INDEX(Fighters!$G$5:$G$204,MATCH(E26,Fighters!$A$5:$A$204,0)),""),5)="Under")),"Under 12 can't do MMA. ","")&amp;IF(AND(C26="Amateur MMA (Senior)",OR(LEFT(IFERROR(INDEX(Fighters!$G$5:$G$204,MATCH(D26,Fighters!$A$5:$A$204,0)),""),5)="Youth",LEFT(IFERROR(INDEX(Fighters!$G$5:$G$204,MATCH(E26,Fighters!$A$5:$A$204,0)),""),5)="Youth")),"Youth on Senior rules. ","")&amp;IF(D26=E26,"Same fighter twice. ","")&amp;IF(COUNTIF($D$8:$E$37,D26)+COUNTIF($D$8:$E$37,E26)&gt;2,"A fighter is in two bouts. ","")&amp;IF(L26="Not yet","Paperwork not done. ","")&amp;IF(C26="","Pick the rules. ","")))</f>
        <v/>
      </c>
      <c r="N26" s="27"/>
      <c r="O26" s="27"/>
      <c r="P26" s="27"/>
      <c r="Q26" s="27"/>
      <c r="R26" s="27"/>
      <c r="S26" s="27"/>
      <c r="T26" s="27"/>
    </row>
    <row r="27" customFormat="false" ht="30" hidden="false" customHeight="true" outlineLevel="0" collapsed="false">
      <c r="A27" s="32" t="n">
        <v>20</v>
      </c>
      <c r="B27" s="27"/>
      <c r="C27" s="27"/>
      <c r="D27" s="27"/>
      <c r="E27" s="27"/>
      <c r="F27" s="36" t="str">
        <f aca="false">IF(D27="","",IFERROR(INDEX(Fighters!$H$5:$H$204,MATCH(D27,Fighters!$A$5:$A$204,0)),""))</f>
        <v/>
      </c>
      <c r="G27" s="36" t="str">
        <f aca="false">IF(E27="","",IFERROR(INDEX(Fighters!$H$5:$H$204,MATCH(E27,Fighters!$A$5:$A$204,0)),""))</f>
        <v/>
      </c>
      <c r="H27" s="36" t="str">
        <f aca="false">IF(OR(F27="",G27=""),"",ABS(F27-G27))</f>
        <v/>
      </c>
      <c r="I27" s="36" t="str">
        <f aca="false">IF(OR(F27="",G27=""),"",IF(LEFT(C27,11)="Amateur MMA",INDEX(Lists!$K$2:$K$6,MATCH(MIN(F27,G27),Lists!$J$2:$J$6,1)),'Show Setup'!$B$23))</f>
        <v/>
      </c>
      <c r="J27" s="32" t="str">
        <f aca="false">IF(D27="","",IFERROR(INDEX(Fighters!$M$5:$M$204,MATCH(D27,Fighters!$A$5:$A$204,0)),""))</f>
        <v/>
      </c>
      <c r="K27" s="32" t="str">
        <f aca="false">IF(E27="","",IFERROR(INDEX(Fighters!$M$5:$M$204,MATCH(E27,Fighters!$A$5:$A$204,0)),""))</f>
        <v/>
      </c>
      <c r="L27" s="33" t="str">
        <f aca="false">IF(OR(D27="",E27=""),"",IF(AND(IFERROR(INDEX(Fighters!$V$5:$V$204,MATCH(D27,Fighters!$A$5:$A$204,0)),"")="READY",IFERROR(INDEX(Fighters!$V$5:$V$204,MATCH(E27,Fighters!$A$5:$A$204,0)),"")="READY"),"Yes","Not yet"))</f>
        <v/>
      </c>
      <c r="M27" s="37" t="str">
        <f aca="false">IF(OR(D27="",E27=""),"",IF((IF(OR(H27="",I27=""),"",IF(H27&gt;I27,"Weight gap over the limit. ",""))&amp;IF(AND(LEFT(C27,11)="Amateur MMA",J27&lt;&gt;"",K27&lt;&gt;"",J27&lt;&gt;K27),"Different experience classes (needs the Commissioner's OK). ","")&amp;IF(IFERROR(INDEX(Fighters!$G$5:$G$204,MATCH(D27,Fighters!$A$5:$A$204,0)),"")&lt;&gt;IFERROR(INDEX(Fighters!$G$5:$G$204,MATCH(E27,Fighters!$A$5:$A$204,0)),""),"Different age divisions. ","")&amp;IF(AND(LEFT(C27,11)="Amateur MMA",OR(LEFT(IFERROR(INDEX(Fighters!$G$5:$G$204,MATCH(D27,Fighters!$A$5:$A$204,0)),""),5)="Under",LEFT(IFERROR(INDEX(Fighters!$G$5:$G$204,MATCH(E27,Fighters!$A$5:$A$204,0)),""),5)="Under")),"Under 12 can't do MMA. ","")&amp;IF(AND(C27="Amateur MMA (Senior)",OR(LEFT(IFERROR(INDEX(Fighters!$G$5:$G$204,MATCH(D27,Fighters!$A$5:$A$204,0)),""),5)="Youth",LEFT(IFERROR(INDEX(Fighters!$G$5:$G$204,MATCH(E27,Fighters!$A$5:$A$204,0)),""),5)="Youth")),"Youth on Senior rules. ","")&amp;IF(D27=E27,"Same fighter twice. ","")&amp;IF(COUNTIF($D$8:$E$37,D27)+COUNTIF($D$8:$E$37,E27)&gt;2,"A fighter is in two bouts. ","")&amp;IF(L27="Not yet","Paperwork not done. ","")&amp;IF(C27="","Pick the rules. ",""))="","OK",IF(OR(H27="",I27=""),"",IF(H27&gt;I27,"Weight gap over the limit. ",""))&amp;IF(AND(LEFT(C27,11)="Amateur MMA",J27&lt;&gt;"",K27&lt;&gt;"",J27&lt;&gt;K27),"Different experience classes (needs the Commissioner's OK). ","")&amp;IF(IFERROR(INDEX(Fighters!$G$5:$G$204,MATCH(D27,Fighters!$A$5:$A$204,0)),"")&lt;&gt;IFERROR(INDEX(Fighters!$G$5:$G$204,MATCH(E27,Fighters!$A$5:$A$204,0)),""),"Different age divisions. ","")&amp;IF(AND(LEFT(C27,11)="Amateur MMA",OR(LEFT(IFERROR(INDEX(Fighters!$G$5:$G$204,MATCH(D27,Fighters!$A$5:$A$204,0)),""),5)="Under",LEFT(IFERROR(INDEX(Fighters!$G$5:$G$204,MATCH(E27,Fighters!$A$5:$A$204,0)),""),5)="Under")),"Under 12 can't do MMA. ","")&amp;IF(AND(C27="Amateur MMA (Senior)",OR(LEFT(IFERROR(INDEX(Fighters!$G$5:$G$204,MATCH(D27,Fighters!$A$5:$A$204,0)),""),5)="Youth",LEFT(IFERROR(INDEX(Fighters!$G$5:$G$204,MATCH(E27,Fighters!$A$5:$A$204,0)),""),5)="Youth")),"Youth on Senior rules. ","")&amp;IF(D27=E27,"Same fighter twice. ","")&amp;IF(COUNTIF($D$8:$E$37,D27)+COUNTIF($D$8:$E$37,E27)&gt;2,"A fighter is in two bouts. ","")&amp;IF(L27="Not yet","Paperwork not done. ","")&amp;IF(C27="","Pick the rules. ","")))</f>
        <v/>
      </c>
      <c r="N27" s="27"/>
      <c r="O27" s="27"/>
      <c r="P27" s="27"/>
      <c r="Q27" s="27"/>
      <c r="R27" s="27"/>
      <c r="S27" s="27"/>
      <c r="T27" s="27"/>
    </row>
    <row r="28" customFormat="false" ht="30" hidden="false" customHeight="true" outlineLevel="0" collapsed="false">
      <c r="A28" s="32" t="n">
        <v>21</v>
      </c>
      <c r="B28" s="27"/>
      <c r="C28" s="27"/>
      <c r="D28" s="27"/>
      <c r="E28" s="27"/>
      <c r="F28" s="36" t="str">
        <f aca="false">IF(D28="","",IFERROR(INDEX(Fighters!$H$5:$H$204,MATCH(D28,Fighters!$A$5:$A$204,0)),""))</f>
        <v/>
      </c>
      <c r="G28" s="36" t="str">
        <f aca="false">IF(E28="","",IFERROR(INDEX(Fighters!$H$5:$H$204,MATCH(E28,Fighters!$A$5:$A$204,0)),""))</f>
        <v/>
      </c>
      <c r="H28" s="36" t="str">
        <f aca="false">IF(OR(F28="",G28=""),"",ABS(F28-G28))</f>
        <v/>
      </c>
      <c r="I28" s="36" t="str">
        <f aca="false">IF(OR(F28="",G28=""),"",IF(LEFT(C28,11)="Amateur MMA",INDEX(Lists!$K$2:$K$6,MATCH(MIN(F28,G28),Lists!$J$2:$J$6,1)),'Show Setup'!$B$23))</f>
        <v/>
      </c>
      <c r="J28" s="32" t="str">
        <f aca="false">IF(D28="","",IFERROR(INDEX(Fighters!$M$5:$M$204,MATCH(D28,Fighters!$A$5:$A$204,0)),""))</f>
        <v/>
      </c>
      <c r="K28" s="32" t="str">
        <f aca="false">IF(E28="","",IFERROR(INDEX(Fighters!$M$5:$M$204,MATCH(E28,Fighters!$A$5:$A$204,0)),""))</f>
        <v/>
      </c>
      <c r="L28" s="33" t="str">
        <f aca="false">IF(OR(D28="",E28=""),"",IF(AND(IFERROR(INDEX(Fighters!$V$5:$V$204,MATCH(D28,Fighters!$A$5:$A$204,0)),"")="READY",IFERROR(INDEX(Fighters!$V$5:$V$204,MATCH(E28,Fighters!$A$5:$A$204,0)),"")="READY"),"Yes","Not yet"))</f>
        <v/>
      </c>
      <c r="M28" s="37" t="str">
        <f aca="false">IF(OR(D28="",E28=""),"",IF((IF(OR(H28="",I28=""),"",IF(H28&gt;I28,"Weight gap over the limit. ",""))&amp;IF(AND(LEFT(C28,11)="Amateur MMA",J28&lt;&gt;"",K28&lt;&gt;"",J28&lt;&gt;K28),"Different experience classes (needs the Commissioner's OK). ","")&amp;IF(IFERROR(INDEX(Fighters!$G$5:$G$204,MATCH(D28,Fighters!$A$5:$A$204,0)),"")&lt;&gt;IFERROR(INDEX(Fighters!$G$5:$G$204,MATCH(E28,Fighters!$A$5:$A$204,0)),""),"Different age divisions. ","")&amp;IF(AND(LEFT(C28,11)="Amateur MMA",OR(LEFT(IFERROR(INDEX(Fighters!$G$5:$G$204,MATCH(D28,Fighters!$A$5:$A$204,0)),""),5)="Under",LEFT(IFERROR(INDEX(Fighters!$G$5:$G$204,MATCH(E28,Fighters!$A$5:$A$204,0)),""),5)="Under")),"Under 12 can't do MMA. ","")&amp;IF(AND(C28="Amateur MMA (Senior)",OR(LEFT(IFERROR(INDEX(Fighters!$G$5:$G$204,MATCH(D28,Fighters!$A$5:$A$204,0)),""),5)="Youth",LEFT(IFERROR(INDEX(Fighters!$G$5:$G$204,MATCH(E28,Fighters!$A$5:$A$204,0)),""),5)="Youth")),"Youth on Senior rules. ","")&amp;IF(D28=E28,"Same fighter twice. ","")&amp;IF(COUNTIF($D$8:$E$37,D28)+COUNTIF($D$8:$E$37,E28)&gt;2,"A fighter is in two bouts. ","")&amp;IF(L28="Not yet","Paperwork not done. ","")&amp;IF(C28="","Pick the rules. ",""))="","OK",IF(OR(H28="",I28=""),"",IF(H28&gt;I28,"Weight gap over the limit. ",""))&amp;IF(AND(LEFT(C28,11)="Amateur MMA",J28&lt;&gt;"",K28&lt;&gt;"",J28&lt;&gt;K28),"Different experience classes (needs the Commissioner's OK). ","")&amp;IF(IFERROR(INDEX(Fighters!$G$5:$G$204,MATCH(D28,Fighters!$A$5:$A$204,0)),"")&lt;&gt;IFERROR(INDEX(Fighters!$G$5:$G$204,MATCH(E28,Fighters!$A$5:$A$204,0)),""),"Different age divisions. ","")&amp;IF(AND(LEFT(C28,11)="Amateur MMA",OR(LEFT(IFERROR(INDEX(Fighters!$G$5:$G$204,MATCH(D28,Fighters!$A$5:$A$204,0)),""),5)="Under",LEFT(IFERROR(INDEX(Fighters!$G$5:$G$204,MATCH(E28,Fighters!$A$5:$A$204,0)),""),5)="Under")),"Under 12 can't do MMA. ","")&amp;IF(AND(C28="Amateur MMA (Senior)",OR(LEFT(IFERROR(INDEX(Fighters!$G$5:$G$204,MATCH(D28,Fighters!$A$5:$A$204,0)),""),5)="Youth",LEFT(IFERROR(INDEX(Fighters!$G$5:$G$204,MATCH(E28,Fighters!$A$5:$A$204,0)),""),5)="Youth")),"Youth on Senior rules. ","")&amp;IF(D28=E28,"Same fighter twice. ","")&amp;IF(COUNTIF($D$8:$E$37,D28)+COUNTIF($D$8:$E$37,E28)&gt;2,"A fighter is in two bouts. ","")&amp;IF(L28="Not yet","Paperwork not done. ","")&amp;IF(C28="","Pick the rules. ","")))</f>
        <v/>
      </c>
      <c r="N28" s="27"/>
      <c r="O28" s="27"/>
      <c r="P28" s="27"/>
      <c r="Q28" s="27"/>
      <c r="R28" s="27"/>
      <c r="S28" s="27"/>
      <c r="T28" s="27"/>
    </row>
    <row r="29" customFormat="false" ht="30" hidden="false" customHeight="true" outlineLevel="0" collapsed="false">
      <c r="A29" s="32" t="n">
        <v>22</v>
      </c>
      <c r="B29" s="27"/>
      <c r="C29" s="27"/>
      <c r="D29" s="27"/>
      <c r="E29" s="27"/>
      <c r="F29" s="36" t="str">
        <f aca="false">IF(D29="","",IFERROR(INDEX(Fighters!$H$5:$H$204,MATCH(D29,Fighters!$A$5:$A$204,0)),""))</f>
        <v/>
      </c>
      <c r="G29" s="36" t="str">
        <f aca="false">IF(E29="","",IFERROR(INDEX(Fighters!$H$5:$H$204,MATCH(E29,Fighters!$A$5:$A$204,0)),""))</f>
        <v/>
      </c>
      <c r="H29" s="36" t="str">
        <f aca="false">IF(OR(F29="",G29=""),"",ABS(F29-G29))</f>
        <v/>
      </c>
      <c r="I29" s="36" t="str">
        <f aca="false">IF(OR(F29="",G29=""),"",IF(LEFT(C29,11)="Amateur MMA",INDEX(Lists!$K$2:$K$6,MATCH(MIN(F29,G29),Lists!$J$2:$J$6,1)),'Show Setup'!$B$23))</f>
        <v/>
      </c>
      <c r="J29" s="32" t="str">
        <f aca="false">IF(D29="","",IFERROR(INDEX(Fighters!$M$5:$M$204,MATCH(D29,Fighters!$A$5:$A$204,0)),""))</f>
        <v/>
      </c>
      <c r="K29" s="32" t="str">
        <f aca="false">IF(E29="","",IFERROR(INDEX(Fighters!$M$5:$M$204,MATCH(E29,Fighters!$A$5:$A$204,0)),""))</f>
        <v/>
      </c>
      <c r="L29" s="33" t="str">
        <f aca="false">IF(OR(D29="",E29=""),"",IF(AND(IFERROR(INDEX(Fighters!$V$5:$V$204,MATCH(D29,Fighters!$A$5:$A$204,0)),"")="READY",IFERROR(INDEX(Fighters!$V$5:$V$204,MATCH(E29,Fighters!$A$5:$A$204,0)),"")="READY"),"Yes","Not yet"))</f>
        <v/>
      </c>
      <c r="M29" s="37" t="str">
        <f aca="false">IF(OR(D29="",E29=""),"",IF((IF(OR(H29="",I29=""),"",IF(H29&gt;I29,"Weight gap over the limit. ",""))&amp;IF(AND(LEFT(C29,11)="Amateur MMA",J29&lt;&gt;"",K29&lt;&gt;"",J29&lt;&gt;K29),"Different experience classes (needs the Commissioner's OK). ","")&amp;IF(IFERROR(INDEX(Fighters!$G$5:$G$204,MATCH(D29,Fighters!$A$5:$A$204,0)),"")&lt;&gt;IFERROR(INDEX(Fighters!$G$5:$G$204,MATCH(E29,Fighters!$A$5:$A$204,0)),""),"Different age divisions. ","")&amp;IF(AND(LEFT(C29,11)="Amateur MMA",OR(LEFT(IFERROR(INDEX(Fighters!$G$5:$G$204,MATCH(D29,Fighters!$A$5:$A$204,0)),""),5)="Under",LEFT(IFERROR(INDEX(Fighters!$G$5:$G$204,MATCH(E29,Fighters!$A$5:$A$204,0)),""),5)="Under")),"Under 12 can't do MMA. ","")&amp;IF(AND(C29="Amateur MMA (Senior)",OR(LEFT(IFERROR(INDEX(Fighters!$G$5:$G$204,MATCH(D29,Fighters!$A$5:$A$204,0)),""),5)="Youth",LEFT(IFERROR(INDEX(Fighters!$G$5:$G$204,MATCH(E29,Fighters!$A$5:$A$204,0)),""),5)="Youth")),"Youth on Senior rules. ","")&amp;IF(D29=E29,"Same fighter twice. ","")&amp;IF(COUNTIF($D$8:$E$37,D29)+COUNTIF($D$8:$E$37,E29)&gt;2,"A fighter is in two bouts. ","")&amp;IF(L29="Not yet","Paperwork not done. ","")&amp;IF(C29="","Pick the rules. ",""))="","OK",IF(OR(H29="",I29=""),"",IF(H29&gt;I29,"Weight gap over the limit. ",""))&amp;IF(AND(LEFT(C29,11)="Amateur MMA",J29&lt;&gt;"",K29&lt;&gt;"",J29&lt;&gt;K29),"Different experience classes (needs the Commissioner's OK). ","")&amp;IF(IFERROR(INDEX(Fighters!$G$5:$G$204,MATCH(D29,Fighters!$A$5:$A$204,0)),"")&lt;&gt;IFERROR(INDEX(Fighters!$G$5:$G$204,MATCH(E29,Fighters!$A$5:$A$204,0)),""),"Different age divisions. ","")&amp;IF(AND(LEFT(C29,11)="Amateur MMA",OR(LEFT(IFERROR(INDEX(Fighters!$G$5:$G$204,MATCH(D29,Fighters!$A$5:$A$204,0)),""),5)="Under",LEFT(IFERROR(INDEX(Fighters!$G$5:$G$204,MATCH(E29,Fighters!$A$5:$A$204,0)),""),5)="Under")),"Under 12 can't do MMA. ","")&amp;IF(AND(C29="Amateur MMA (Senior)",OR(LEFT(IFERROR(INDEX(Fighters!$G$5:$G$204,MATCH(D29,Fighters!$A$5:$A$204,0)),""),5)="Youth",LEFT(IFERROR(INDEX(Fighters!$G$5:$G$204,MATCH(E29,Fighters!$A$5:$A$204,0)),""),5)="Youth")),"Youth on Senior rules. ","")&amp;IF(D29=E29,"Same fighter twice. ","")&amp;IF(COUNTIF($D$8:$E$37,D29)+COUNTIF($D$8:$E$37,E29)&gt;2,"A fighter is in two bouts. ","")&amp;IF(L29="Not yet","Paperwork not done. ","")&amp;IF(C29="","Pick the rules. ","")))</f>
        <v/>
      </c>
      <c r="N29" s="27"/>
      <c r="O29" s="27"/>
      <c r="P29" s="27"/>
      <c r="Q29" s="27"/>
      <c r="R29" s="27"/>
      <c r="S29" s="27"/>
      <c r="T29" s="27"/>
    </row>
    <row r="30" customFormat="false" ht="30" hidden="false" customHeight="true" outlineLevel="0" collapsed="false">
      <c r="A30" s="32" t="n">
        <v>23</v>
      </c>
      <c r="B30" s="27"/>
      <c r="C30" s="27"/>
      <c r="D30" s="27"/>
      <c r="E30" s="27"/>
      <c r="F30" s="36" t="str">
        <f aca="false">IF(D30="","",IFERROR(INDEX(Fighters!$H$5:$H$204,MATCH(D30,Fighters!$A$5:$A$204,0)),""))</f>
        <v/>
      </c>
      <c r="G30" s="36" t="str">
        <f aca="false">IF(E30="","",IFERROR(INDEX(Fighters!$H$5:$H$204,MATCH(E30,Fighters!$A$5:$A$204,0)),""))</f>
        <v/>
      </c>
      <c r="H30" s="36" t="str">
        <f aca="false">IF(OR(F30="",G30=""),"",ABS(F30-G30))</f>
        <v/>
      </c>
      <c r="I30" s="36" t="str">
        <f aca="false">IF(OR(F30="",G30=""),"",IF(LEFT(C30,11)="Amateur MMA",INDEX(Lists!$K$2:$K$6,MATCH(MIN(F30,G30),Lists!$J$2:$J$6,1)),'Show Setup'!$B$23))</f>
        <v/>
      </c>
      <c r="J30" s="32" t="str">
        <f aca="false">IF(D30="","",IFERROR(INDEX(Fighters!$M$5:$M$204,MATCH(D30,Fighters!$A$5:$A$204,0)),""))</f>
        <v/>
      </c>
      <c r="K30" s="32" t="str">
        <f aca="false">IF(E30="","",IFERROR(INDEX(Fighters!$M$5:$M$204,MATCH(E30,Fighters!$A$5:$A$204,0)),""))</f>
        <v/>
      </c>
      <c r="L30" s="33" t="str">
        <f aca="false">IF(OR(D30="",E30=""),"",IF(AND(IFERROR(INDEX(Fighters!$V$5:$V$204,MATCH(D30,Fighters!$A$5:$A$204,0)),"")="READY",IFERROR(INDEX(Fighters!$V$5:$V$204,MATCH(E30,Fighters!$A$5:$A$204,0)),"")="READY"),"Yes","Not yet"))</f>
        <v/>
      </c>
      <c r="M30" s="37" t="str">
        <f aca="false">IF(OR(D30="",E30=""),"",IF((IF(OR(H30="",I30=""),"",IF(H30&gt;I30,"Weight gap over the limit. ",""))&amp;IF(AND(LEFT(C30,11)="Amateur MMA",J30&lt;&gt;"",K30&lt;&gt;"",J30&lt;&gt;K30),"Different experience classes (needs the Commissioner's OK). ","")&amp;IF(IFERROR(INDEX(Fighters!$G$5:$G$204,MATCH(D30,Fighters!$A$5:$A$204,0)),"")&lt;&gt;IFERROR(INDEX(Fighters!$G$5:$G$204,MATCH(E30,Fighters!$A$5:$A$204,0)),""),"Different age divisions. ","")&amp;IF(AND(LEFT(C30,11)="Amateur MMA",OR(LEFT(IFERROR(INDEX(Fighters!$G$5:$G$204,MATCH(D30,Fighters!$A$5:$A$204,0)),""),5)="Under",LEFT(IFERROR(INDEX(Fighters!$G$5:$G$204,MATCH(E30,Fighters!$A$5:$A$204,0)),""),5)="Under")),"Under 12 can't do MMA. ","")&amp;IF(AND(C30="Amateur MMA (Senior)",OR(LEFT(IFERROR(INDEX(Fighters!$G$5:$G$204,MATCH(D30,Fighters!$A$5:$A$204,0)),""),5)="Youth",LEFT(IFERROR(INDEX(Fighters!$G$5:$G$204,MATCH(E30,Fighters!$A$5:$A$204,0)),""),5)="Youth")),"Youth on Senior rules. ","")&amp;IF(D30=E30,"Same fighter twice. ","")&amp;IF(COUNTIF($D$8:$E$37,D30)+COUNTIF($D$8:$E$37,E30)&gt;2,"A fighter is in two bouts. ","")&amp;IF(L30="Not yet","Paperwork not done. ","")&amp;IF(C30="","Pick the rules. ",""))="","OK",IF(OR(H30="",I30=""),"",IF(H30&gt;I30,"Weight gap over the limit. ",""))&amp;IF(AND(LEFT(C30,11)="Amateur MMA",J30&lt;&gt;"",K30&lt;&gt;"",J30&lt;&gt;K30),"Different experience classes (needs the Commissioner's OK). ","")&amp;IF(IFERROR(INDEX(Fighters!$G$5:$G$204,MATCH(D30,Fighters!$A$5:$A$204,0)),"")&lt;&gt;IFERROR(INDEX(Fighters!$G$5:$G$204,MATCH(E30,Fighters!$A$5:$A$204,0)),""),"Different age divisions. ","")&amp;IF(AND(LEFT(C30,11)="Amateur MMA",OR(LEFT(IFERROR(INDEX(Fighters!$G$5:$G$204,MATCH(D30,Fighters!$A$5:$A$204,0)),""),5)="Under",LEFT(IFERROR(INDEX(Fighters!$G$5:$G$204,MATCH(E30,Fighters!$A$5:$A$204,0)),""),5)="Under")),"Under 12 can't do MMA. ","")&amp;IF(AND(C30="Amateur MMA (Senior)",OR(LEFT(IFERROR(INDEX(Fighters!$G$5:$G$204,MATCH(D30,Fighters!$A$5:$A$204,0)),""),5)="Youth",LEFT(IFERROR(INDEX(Fighters!$G$5:$G$204,MATCH(E30,Fighters!$A$5:$A$204,0)),""),5)="Youth")),"Youth on Senior rules. ","")&amp;IF(D30=E30,"Same fighter twice. ","")&amp;IF(COUNTIF($D$8:$E$37,D30)+COUNTIF($D$8:$E$37,E30)&gt;2,"A fighter is in two bouts. ","")&amp;IF(L30="Not yet","Paperwork not done. ","")&amp;IF(C30="","Pick the rules. ","")))</f>
        <v/>
      </c>
      <c r="N30" s="27"/>
      <c r="O30" s="27"/>
      <c r="P30" s="27"/>
      <c r="Q30" s="27"/>
      <c r="R30" s="27"/>
      <c r="S30" s="27"/>
      <c r="T30" s="27"/>
    </row>
    <row r="31" customFormat="false" ht="30" hidden="false" customHeight="true" outlineLevel="0" collapsed="false">
      <c r="A31" s="32" t="n">
        <v>24</v>
      </c>
      <c r="B31" s="27"/>
      <c r="C31" s="27"/>
      <c r="D31" s="27"/>
      <c r="E31" s="27"/>
      <c r="F31" s="36" t="str">
        <f aca="false">IF(D31="","",IFERROR(INDEX(Fighters!$H$5:$H$204,MATCH(D31,Fighters!$A$5:$A$204,0)),""))</f>
        <v/>
      </c>
      <c r="G31" s="36" t="str">
        <f aca="false">IF(E31="","",IFERROR(INDEX(Fighters!$H$5:$H$204,MATCH(E31,Fighters!$A$5:$A$204,0)),""))</f>
        <v/>
      </c>
      <c r="H31" s="36" t="str">
        <f aca="false">IF(OR(F31="",G31=""),"",ABS(F31-G31))</f>
        <v/>
      </c>
      <c r="I31" s="36" t="str">
        <f aca="false">IF(OR(F31="",G31=""),"",IF(LEFT(C31,11)="Amateur MMA",INDEX(Lists!$K$2:$K$6,MATCH(MIN(F31,G31),Lists!$J$2:$J$6,1)),'Show Setup'!$B$23))</f>
        <v/>
      </c>
      <c r="J31" s="32" t="str">
        <f aca="false">IF(D31="","",IFERROR(INDEX(Fighters!$M$5:$M$204,MATCH(D31,Fighters!$A$5:$A$204,0)),""))</f>
        <v/>
      </c>
      <c r="K31" s="32" t="str">
        <f aca="false">IF(E31="","",IFERROR(INDEX(Fighters!$M$5:$M$204,MATCH(E31,Fighters!$A$5:$A$204,0)),""))</f>
        <v/>
      </c>
      <c r="L31" s="33" t="str">
        <f aca="false">IF(OR(D31="",E31=""),"",IF(AND(IFERROR(INDEX(Fighters!$V$5:$V$204,MATCH(D31,Fighters!$A$5:$A$204,0)),"")="READY",IFERROR(INDEX(Fighters!$V$5:$V$204,MATCH(E31,Fighters!$A$5:$A$204,0)),"")="READY"),"Yes","Not yet"))</f>
        <v/>
      </c>
      <c r="M31" s="37" t="str">
        <f aca="false">IF(OR(D31="",E31=""),"",IF((IF(OR(H31="",I31=""),"",IF(H31&gt;I31,"Weight gap over the limit. ",""))&amp;IF(AND(LEFT(C31,11)="Amateur MMA",J31&lt;&gt;"",K31&lt;&gt;"",J31&lt;&gt;K31),"Different experience classes (needs the Commissioner's OK). ","")&amp;IF(IFERROR(INDEX(Fighters!$G$5:$G$204,MATCH(D31,Fighters!$A$5:$A$204,0)),"")&lt;&gt;IFERROR(INDEX(Fighters!$G$5:$G$204,MATCH(E31,Fighters!$A$5:$A$204,0)),""),"Different age divisions. ","")&amp;IF(AND(LEFT(C31,11)="Amateur MMA",OR(LEFT(IFERROR(INDEX(Fighters!$G$5:$G$204,MATCH(D31,Fighters!$A$5:$A$204,0)),""),5)="Under",LEFT(IFERROR(INDEX(Fighters!$G$5:$G$204,MATCH(E31,Fighters!$A$5:$A$204,0)),""),5)="Under")),"Under 12 can't do MMA. ","")&amp;IF(AND(C31="Amateur MMA (Senior)",OR(LEFT(IFERROR(INDEX(Fighters!$G$5:$G$204,MATCH(D31,Fighters!$A$5:$A$204,0)),""),5)="Youth",LEFT(IFERROR(INDEX(Fighters!$G$5:$G$204,MATCH(E31,Fighters!$A$5:$A$204,0)),""),5)="Youth")),"Youth on Senior rules. ","")&amp;IF(D31=E31,"Same fighter twice. ","")&amp;IF(COUNTIF($D$8:$E$37,D31)+COUNTIF($D$8:$E$37,E31)&gt;2,"A fighter is in two bouts. ","")&amp;IF(L31="Not yet","Paperwork not done. ","")&amp;IF(C31="","Pick the rules. ",""))="","OK",IF(OR(H31="",I31=""),"",IF(H31&gt;I31,"Weight gap over the limit. ",""))&amp;IF(AND(LEFT(C31,11)="Amateur MMA",J31&lt;&gt;"",K31&lt;&gt;"",J31&lt;&gt;K31),"Different experience classes (needs the Commissioner's OK). ","")&amp;IF(IFERROR(INDEX(Fighters!$G$5:$G$204,MATCH(D31,Fighters!$A$5:$A$204,0)),"")&lt;&gt;IFERROR(INDEX(Fighters!$G$5:$G$204,MATCH(E31,Fighters!$A$5:$A$204,0)),""),"Different age divisions. ","")&amp;IF(AND(LEFT(C31,11)="Amateur MMA",OR(LEFT(IFERROR(INDEX(Fighters!$G$5:$G$204,MATCH(D31,Fighters!$A$5:$A$204,0)),""),5)="Under",LEFT(IFERROR(INDEX(Fighters!$G$5:$G$204,MATCH(E31,Fighters!$A$5:$A$204,0)),""),5)="Under")),"Under 12 can't do MMA. ","")&amp;IF(AND(C31="Amateur MMA (Senior)",OR(LEFT(IFERROR(INDEX(Fighters!$G$5:$G$204,MATCH(D31,Fighters!$A$5:$A$204,0)),""),5)="Youth",LEFT(IFERROR(INDEX(Fighters!$G$5:$G$204,MATCH(E31,Fighters!$A$5:$A$204,0)),""),5)="Youth")),"Youth on Senior rules. ","")&amp;IF(D31=E31,"Same fighter twice. ","")&amp;IF(COUNTIF($D$8:$E$37,D31)+COUNTIF($D$8:$E$37,E31)&gt;2,"A fighter is in two bouts. ","")&amp;IF(L31="Not yet","Paperwork not done. ","")&amp;IF(C31="","Pick the rules. ","")))</f>
        <v/>
      </c>
      <c r="N31" s="27"/>
      <c r="O31" s="27"/>
      <c r="P31" s="27"/>
      <c r="Q31" s="27"/>
      <c r="R31" s="27"/>
      <c r="S31" s="27"/>
      <c r="T31" s="27"/>
    </row>
    <row r="32" customFormat="false" ht="30" hidden="false" customHeight="true" outlineLevel="0" collapsed="false">
      <c r="A32" s="32" t="n">
        <v>25</v>
      </c>
      <c r="B32" s="27"/>
      <c r="C32" s="27"/>
      <c r="D32" s="27"/>
      <c r="E32" s="27"/>
      <c r="F32" s="36" t="str">
        <f aca="false">IF(D32="","",IFERROR(INDEX(Fighters!$H$5:$H$204,MATCH(D32,Fighters!$A$5:$A$204,0)),""))</f>
        <v/>
      </c>
      <c r="G32" s="36" t="str">
        <f aca="false">IF(E32="","",IFERROR(INDEX(Fighters!$H$5:$H$204,MATCH(E32,Fighters!$A$5:$A$204,0)),""))</f>
        <v/>
      </c>
      <c r="H32" s="36" t="str">
        <f aca="false">IF(OR(F32="",G32=""),"",ABS(F32-G32))</f>
        <v/>
      </c>
      <c r="I32" s="36" t="str">
        <f aca="false">IF(OR(F32="",G32=""),"",IF(LEFT(C32,11)="Amateur MMA",INDEX(Lists!$K$2:$K$6,MATCH(MIN(F32,G32),Lists!$J$2:$J$6,1)),'Show Setup'!$B$23))</f>
        <v/>
      </c>
      <c r="J32" s="32" t="str">
        <f aca="false">IF(D32="","",IFERROR(INDEX(Fighters!$M$5:$M$204,MATCH(D32,Fighters!$A$5:$A$204,0)),""))</f>
        <v/>
      </c>
      <c r="K32" s="32" t="str">
        <f aca="false">IF(E32="","",IFERROR(INDEX(Fighters!$M$5:$M$204,MATCH(E32,Fighters!$A$5:$A$204,0)),""))</f>
        <v/>
      </c>
      <c r="L32" s="33" t="str">
        <f aca="false">IF(OR(D32="",E32=""),"",IF(AND(IFERROR(INDEX(Fighters!$V$5:$V$204,MATCH(D32,Fighters!$A$5:$A$204,0)),"")="READY",IFERROR(INDEX(Fighters!$V$5:$V$204,MATCH(E32,Fighters!$A$5:$A$204,0)),"")="READY"),"Yes","Not yet"))</f>
        <v/>
      </c>
      <c r="M32" s="37" t="str">
        <f aca="false">IF(OR(D32="",E32=""),"",IF((IF(OR(H32="",I32=""),"",IF(H32&gt;I32,"Weight gap over the limit. ",""))&amp;IF(AND(LEFT(C32,11)="Amateur MMA",J32&lt;&gt;"",K32&lt;&gt;"",J32&lt;&gt;K32),"Different experience classes (needs the Commissioner's OK). ","")&amp;IF(IFERROR(INDEX(Fighters!$G$5:$G$204,MATCH(D32,Fighters!$A$5:$A$204,0)),"")&lt;&gt;IFERROR(INDEX(Fighters!$G$5:$G$204,MATCH(E32,Fighters!$A$5:$A$204,0)),""),"Different age divisions. ","")&amp;IF(AND(LEFT(C32,11)="Amateur MMA",OR(LEFT(IFERROR(INDEX(Fighters!$G$5:$G$204,MATCH(D32,Fighters!$A$5:$A$204,0)),""),5)="Under",LEFT(IFERROR(INDEX(Fighters!$G$5:$G$204,MATCH(E32,Fighters!$A$5:$A$204,0)),""),5)="Under")),"Under 12 can't do MMA. ","")&amp;IF(AND(C32="Amateur MMA (Senior)",OR(LEFT(IFERROR(INDEX(Fighters!$G$5:$G$204,MATCH(D32,Fighters!$A$5:$A$204,0)),""),5)="Youth",LEFT(IFERROR(INDEX(Fighters!$G$5:$G$204,MATCH(E32,Fighters!$A$5:$A$204,0)),""),5)="Youth")),"Youth on Senior rules. ","")&amp;IF(D32=E32,"Same fighter twice. ","")&amp;IF(COUNTIF($D$8:$E$37,D32)+COUNTIF($D$8:$E$37,E32)&gt;2,"A fighter is in two bouts. ","")&amp;IF(L32="Not yet","Paperwork not done. ","")&amp;IF(C32="","Pick the rules. ",""))="","OK",IF(OR(H32="",I32=""),"",IF(H32&gt;I32,"Weight gap over the limit. ",""))&amp;IF(AND(LEFT(C32,11)="Amateur MMA",J32&lt;&gt;"",K32&lt;&gt;"",J32&lt;&gt;K32),"Different experience classes (needs the Commissioner's OK). ","")&amp;IF(IFERROR(INDEX(Fighters!$G$5:$G$204,MATCH(D32,Fighters!$A$5:$A$204,0)),"")&lt;&gt;IFERROR(INDEX(Fighters!$G$5:$G$204,MATCH(E32,Fighters!$A$5:$A$204,0)),""),"Different age divisions. ","")&amp;IF(AND(LEFT(C32,11)="Amateur MMA",OR(LEFT(IFERROR(INDEX(Fighters!$G$5:$G$204,MATCH(D32,Fighters!$A$5:$A$204,0)),""),5)="Under",LEFT(IFERROR(INDEX(Fighters!$G$5:$G$204,MATCH(E32,Fighters!$A$5:$A$204,0)),""),5)="Under")),"Under 12 can't do MMA. ","")&amp;IF(AND(C32="Amateur MMA (Senior)",OR(LEFT(IFERROR(INDEX(Fighters!$G$5:$G$204,MATCH(D32,Fighters!$A$5:$A$204,0)),""),5)="Youth",LEFT(IFERROR(INDEX(Fighters!$G$5:$G$204,MATCH(E32,Fighters!$A$5:$A$204,0)),""),5)="Youth")),"Youth on Senior rules. ","")&amp;IF(D32=E32,"Same fighter twice. ","")&amp;IF(COUNTIF($D$8:$E$37,D32)+COUNTIF($D$8:$E$37,E32)&gt;2,"A fighter is in two bouts. ","")&amp;IF(L32="Not yet","Paperwork not done. ","")&amp;IF(C32="","Pick the rules. ","")))</f>
        <v/>
      </c>
      <c r="N32" s="27"/>
      <c r="O32" s="27"/>
      <c r="P32" s="27"/>
      <c r="Q32" s="27"/>
      <c r="R32" s="27"/>
      <c r="S32" s="27"/>
      <c r="T32" s="27"/>
    </row>
    <row r="33" customFormat="false" ht="30" hidden="false" customHeight="true" outlineLevel="0" collapsed="false">
      <c r="A33" s="32" t="n">
        <v>26</v>
      </c>
      <c r="B33" s="27"/>
      <c r="C33" s="27"/>
      <c r="D33" s="27"/>
      <c r="E33" s="27"/>
      <c r="F33" s="36" t="str">
        <f aca="false">IF(D33="","",IFERROR(INDEX(Fighters!$H$5:$H$204,MATCH(D33,Fighters!$A$5:$A$204,0)),""))</f>
        <v/>
      </c>
      <c r="G33" s="36" t="str">
        <f aca="false">IF(E33="","",IFERROR(INDEX(Fighters!$H$5:$H$204,MATCH(E33,Fighters!$A$5:$A$204,0)),""))</f>
        <v/>
      </c>
      <c r="H33" s="36" t="str">
        <f aca="false">IF(OR(F33="",G33=""),"",ABS(F33-G33))</f>
        <v/>
      </c>
      <c r="I33" s="36" t="str">
        <f aca="false">IF(OR(F33="",G33=""),"",IF(LEFT(C33,11)="Amateur MMA",INDEX(Lists!$K$2:$K$6,MATCH(MIN(F33,G33),Lists!$J$2:$J$6,1)),'Show Setup'!$B$23))</f>
        <v/>
      </c>
      <c r="J33" s="32" t="str">
        <f aca="false">IF(D33="","",IFERROR(INDEX(Fighters!$M$5:$M$204,MATCH(D33,Fighters!$A$5:$A$204,0)),""))</f>
        <v/>
      </c>
      <c r="K33" s="32" t="str">
        <f aca="false">IF(E33="","",IFERROR(INDEX(Fighters!$M$5:$M$204,MATCH(E33,Fighters!$A$5:$A$204,0)),""))</f>
        <v/>
      </c>
      <c r="L33" s="33" t="str">
        <f aca="false">IF(OR(D33="",E33=""),"",IF(AND(IFERROR(INDEX(Fighters!$V$5:$V$204,MATCH(D33,Fighters!$A$5:$A$204,0)),"")="READY",IFERROR(INDEX(Fighters!$V$5:$V$204,MATCH(E33,Fighters!$A$5:$A$204,0)),"")="READY"),"Yes","Not yet"))</f>
        <v/>
      </c>
      <c r="M33" s="37" t="str">
        <f aca="false">IF(OR(D33="",E33=""),"",IF((IF(OR(H33="",I33=""),"",IF(H33&gt;I33,"Weight gap over the limit. ",""))&amp;IF(AND(LEFT(C33,11)="Amateur MMA",J33&lt;&gt;"",K33&lt;&gt;"",J33&lt;&gt;K33),"Different experience classes (needs the Commissioner's OK). ","")&amp;IF(IFERROR(INDEX(Fighters!$G$5:$G$204,MATCH(D33,Fighters!$A$5:$A$204,0)),"")&lt;&gt;IFERROR(INDEX(Fighters!$G$5:$G$204,MATCH(E33,Fighters!$A$5:$A$204,0)),""),"Different age divisions. ","")&amp;IF(AND(LEFT(C33,11)="Amateur MMA",OR(LEFT(IFERROR(INDEX(Fighters!$G$5:$G$204,MATCH(D33,Fighters!$A$5:$A$204,0)),""),5)="Under",LEFT(IFERROR(INDEX(Fighters!$G$5:$G$204,MATCH(E33,Fighters!$A$5:$A$204,0)),""),5)="Under")),"Under 12 can't do MMA. ","")&amp;IF(AND(C33="Amateur MMA (Senior)",OR(LEFT(IFERROR(INDEX(Fighters!$G$5:$G$204,MATCH(D33,Fighters!$A$5:$A$204,0)),""),5)="Youth",LEFT(IFERROR(INDEX(Fighters!$G$5:$G$204,MATCH(E33,Fighters!$A$5:$A$204,0)),""),5)="Youth")),"Youth on Senior rules. ","")&amp;IF(D33=E33,"Same fighter twice. ","")&amp;IF(COUNTIF($D$8:$E$37,D33)+COUNTIF($D$8:$E$37,E33)&gt;2,"A fighter is in two bouts. ","")&amp;IF(L33="Not yet","Paperwork not done. ","")&amp;IF(C33="","Pick the rules. ",""))="","OK",IF(OR(H33="",I33=""),"",IF(H33&gt;I33,"Weight gap over the limit. ",""))&amp;IF(AND(LEFT(C33,11)="Amateur MMA",J33&lt;&gt;"",K33&lt;&gt;"",J33&lt;&gt;K33),"Different experience classes (needs the Commissioner's OK). ","")&amp;IF(IFERROR(INDEX(Fighters!$G$5:$G$204,MATCH(D33,Fighters!$A$5:$A$204,0)),"")&lt;&gt;IFERROR(INDEX(Fighters!$G$5:$G$204,MATCH(E33,Fighters!$A$5:$A$204,0)),""),"Different age divisions. ","")&amp;IF(AND(LEFT(C33,11)="Amateur MMA",OR(LEFT(IFERROR(INDEX(Fighters!$G$5:$G$204,MATCH(D33,Fighters!$A$5:$A$204,0)),""),5)="Under",LEFT(IFERROR(INDEX(Fighters!$G$5:$G$204,MATCH(E33,Fighters!$A$5:$A$204,0)),""),5)="Under")),"Under 12 can't do MMA. ","")&amp;IF(AND(C33="Amateur MMA (Senior)",OR(LEFT(IFERROR(INDEX(Fighters!$G$5:$G$204,MATCH(D33,Fighters!$A$5:$A$204,0)),""),5)="Youth",LEFT(IFERROR(INDEX(Fighters!$G$5:$G$204,MATCH(E33,Fighters!$A$5:$A$204,0)),""),5)="Youth")),"Youth on Senior rules. ","")&amp;IF(D33=E33,"Same fighter twice. ","")&amp;IF(COUNTIF($D$8:$E$37,D33)+COUNTIF($D$8:$E$37,E33)&gt;2,"A fighter is in two bouts. ","")&amp;IF(L33="Not yet","Paperwork not done. ","")&amp;IF(C33="","Pick the rules. ","")))</f>
        <v/>
      </c>
      <c r="N33" s="27"/>
      <c r="O33" s="27"/>
      <c r="P33" s="27"/>
      <c r="Q33" s="27"/>
      <c r="R33" s="27"/>
      <c r="S33" s="27"/>
      <c r="T33" s="27"/>
    </row>
    <row r="34" customFormat="false" ht="30" hidden="false" customHeight="true" outlineLevel="0" collapsed="false">
      <c r="A34" s="32" t="n">
        <v>27</v>
      </c>
      <c r="B34" s="27"/>
      <c r="C34" s="27"/>
      <c r="D34" s="27"/>
      <c r="E34" s="27"/>
      <c r="F34" s="36" t="str">
        <f aca="false">IF(D34="","",IFERROR(INDEX(Fighters!$H$5:$H$204,MATCH(D34,Fighters!$A$5:$A$204,0)),""))</f>
        <v/>
      </c>
      <c r="G34" s="36" t="str">
        <f aca="false">IF(E34="","",IFERROR(INDEX(Fighters!$H$5:$H$204,MATCH(E34,Fighters!$A$5:$A$204,0)),""))</f>
        <v/>
      </c>
      <c r="H34" s="36" t="str">
        <f aca="false">IF(OR(F34="",G34=""),"",ABS(F34-G34))</f>
        <v/>
      </c>
      <c r="I34" s="36" t="str">
        <f aca="false">IF(OR(F34="",G34=""),"",IF(LEFT(C34,11)="Amateur MMA",INDEX(Lists!$K$2:$K$6,MATCH(MIN(F34,G34),Lists!$J$2:$J$6,1)),'Show Setup'!$B$23))</f>
        <v/>
      </c>
      <c r="J34" s="32" t="str">
        <f aca="false">IF(D34="","",IFERROR(INDEX(Fighters!$M$5:$M$204,MATCH(D34,Fighters!$A$5:$A$204,0)),""))</f>
        <v/>
      </c>
      <c r="K34" s="32" t="str">
        <f aca="false">IF(E34="","",IFERROR(INDEX(Fighters!$M$5:$M$204,MATCH(E34,Fighters!$A$5:$A$204,0)),""))</f>
        <v/>
      </c>
      <c r="L34" s="33" t="str">
        <f aca="false">IF(OR(D34="",E34=""),"",IF(AND(IFERROR(INDEX(Fighters!$V$5:$V$204,MATCH(D34,Fighters!$A$5:$A$204,0)),"")="READY",IFERROR(INDEX(Fighters!$V$5:$V$204,MATCH(E34,Fighters!$A$5:$A$204,0)),"")="READY"),"Yes","Not yet"))</f>
        <v/>
      </c>
      <c r="M34" s="37" t="str">
        <f aca="false">IF(OR(D34="",E34=""),"",IF((IF(OR(H34="",I34=""),"",IF(H34&gt;I34,"Weight gap over the limit. ",""))&amp;IF(AND(LEFT(C34,11)="Amateur MMA",J34&lt;&gt;"",K34&lt;&gt;"",J34&lt;&gt;K34),"Different experience classes (needs the Commissioner's OK). ","")&amp;IF(IFERROR(INDEX(Fighters!$G$5:$G$204,MATCH(D34,Fighters!$A$5:$A$204,0)),"")&lt;&gt;IFERROR(INDEX(Fighters!$G$5:$G$204,MATCH(E34,Fighters!$A$5:$A$204,0)),""),"Different age divisions. ","")&amp;IF(AND(LEFT(C34,11)="Amateur MMA",OR(LEFT(IFERROR(INDEX(Fighters!$G$5:$G$204,MATCH(D34,Fighters!$A$5:$A$204,0)),""),5)="Under",LEFT(IFERROR(INDEX(Fighters!$G$5:$G$204,MATCH(E34,Fighters!$A$5:$A$204,0)),""),5)="Under")),"Under 12 can't do MMA. ","")&amp;IF(AND(C34="Amateur MMA (Senior)",OR(LEFT(IFERROR(INDEX(Fighters!$G$5:$G$204,MATCH(D34,Fighters!$A$5:$A$204,0)),""),5)="Youth",LEFT(IFERROR(INDEX(Fighters!$G$5:$G$204,MATCH(E34,Fighters!$A$5:$A$204,0)),""),5)="Youth")),"Youth on Senior rules. ","")&amp;IF(D34=E34,"Same fighter twice. ","")&amp;IF(COUNTIF($D$8:$E$37,D34)+COUNTIF($D$8:$E$37,E34)&gt;2,"A fighter is in two bouts. ","")&amp;IF(L34="Not yet","Paperwork not done. ","")&amp;IF(C34="","Pick the rules. ",""))="","OK",IF(OR(H34="",I34=""),"",IF(H34&gt;I34,"Weight gap over the limit. ",""))&amp;IF(AND(LEFT(C34,11)="Amateur MMA",J34&lt;&gt;"",K34&lt;&gt;"",J34&lt;&gt;K34),"Different experience classes (needs the Commissioner's OK). ","")&amp;IF(IFERROR(INDEX(Fighters!$G$5:$G$204,MATCH(D34,Fighters!$A$5:$A$204,0)),"")&lt;&gt;IFERROR(INDEX(Fighters!$G$5:$G$204,MATCH(E34,Fighters!$A$5:$A$204,0)),""),"Different age divisions. ","")&amp;IF(AND(LEFT(C34,11)="Amateur MMA",OR(LEFT(IFERROR(INDEX(Fighters!$G$5:$G$204,MATCH(D34,Fighters!$A$5:$A$204,0)),""),5)="Under",LEFT(IFERROR(INDEX(Fighters!$G$5:$G$204,MATCH(E34,Fighters!$A$5:$A$204,0)),""),5)="Under")),"Under 12 can't do MMA. ","")&amp;IF(AND(C34="Amateur MMA (Senior)",OR(LEFT(IFERROR(INDEX(Fighters!$G$5:$G$204,MATCH(D34,Fighters!$A$5:$A$204,0)),""),5)="Youth",LEFT(IFERROR(INDEX(Fighters!$G$5:$G$204,MATCH(E34,Fighters!$A$5:$A$204,0)),""),5)="Youth")),"Youth on Senior rules. ","")&amp;IF(D34=E34,"Same fighter twice. ","")&amp;IF(COUNTIF($D$8:$E$37,D34)+COUNTIF($D$8:$E$37,E34)&gt;2,"A fighter is in two bouts. ","")&amp;IF(L34="Not yet","Paperwork not done. ","")&amp;IF(C34="","Pick the rules. ","")))</f>
        <v/>
      </c>
      <c r="N34" s="27"/>
      <c r="O34" s="27"/>
      <c r="P34" s="27"/>
      <c r="Q34" s="27"/>
      <c r="R34" s="27"/>
      <c r="S34" s="27"/>
      <c r="T34" s="27"/>
    </row>
    <row r="35" customFormat="false" ht="30" hidden="false" customHeight="true" outlineLevel="0" collapsed="false">
      <c r="A35" s="32" t="n">
        <v>28</v>
      </c>
      <c r="B35" s="27"/>
      <c r="C35" s="27"/>
      <c r="D35" s="27"/>
      <c r="E35" s="27"/>
      <c r="F35" s="36" t="str">
        <f aca="false">IF(D35="","",IFERROR(INDEX(Fighters!$H$5:$H$204,MATCH(D35,Fighters!$A$5:$A$204,0)),""))</f>
        <v/>
      </c>
      <c r="G35" s="36" t="str">
        <f aca="false">IF(E35="","",IFERROR(INDEX(Fighters!$H$5:$H$204,MATCH(E35,Fighters!$A$5:$A$204,0)),""))</f>
        <v/>
      </c>
      <c r="H35" s="36" t="str">
        <f aca="false">IF(OR(F35="",G35=""),"",ABS(F35-G35))</f>
        <v/>
      </c>
      <c r="I35" s="36" t="str">
        <f aca="false">IF(OR(F35="",G35=""),"",IF(LEFT(C35,11)="Amateur MMA",INDEX(Lists!$K$2:$K$6,MATCH(MIN(F35,G35),Lists!$J$2:$J$6,1)),'Show Setup'!$B$23))</f>
        <v/>
      </c>
      <c r="J35" s="32" t="str">
        <f aca="false">IF(D35="","",IFERROR(INDEX(Fighters!$M$5:$M$204,MATCH(D35,Fighters!$A$5:$A$204,0)),""))</f>
        <v/>
      </c>
      <c r="K35" s="32" t="str">
        <f aca="false">IF(E35="","",IFERROR(INDEX(Fighters!$M$5:$M$204,MATCH(E35,Fighters!$A$5:$A$204,0)),""))</f>
        <v/>
      </c>
      <c r="L35" s="33" t="str">
        <f aca="false">IF(OR(D35="",E35=""),"",IF(AND(IFERROR(INDEX(Fighters!$V$5:$V$204,MATCH(D35,Fighters!$A$5:$A$204,0)),"")="READY",IFERROR(INDEX(Fighters!$V$5:$V$204,MATCH(E35,Fighters!$A$5:$A$204,0)),"")="READY"),"Yes","Not yet"))</f>
        <v/>
      </c>
      <c r="M35" s="37" t="str">
        <f aca="false">IF(OR(D35="",E35=""),"",IF((IF(OR(H35="",I35=""),"",IF(H35&gt;I35,"Weight gap over the limit. ",""))&amp;IF(AND(LEFT(C35,11)="Amateur MMA",J35&lt;&gt;"",K35&lt;&gt;"",J35&lt;&gt;K35),"Different experience classes (needs the Commissioner's OK). ","")&amp;IF(IFERROR(INDEX(Fighters!$G$5:$G$204,MATCH(D35,Fighters!$A$5:$A$204,0)),"")&lt;&gt;IFERROR(INDEX(Fighters!$G$5:$G$204,MATCH(E35,Fighters!$A$5:$A$204,0)),""),"Different age divisions. ","")&amp;IF(AND(LEFT(C35,11)="Amateur MMA",OR(LEFT(IFERROR(INDEX(Fighters!$G$5:$G$204,MATCH(D35,Fighters!$A$5:$A$204,0)),""),5)="Under",LEFT(IFERROR(INDEX(Fighters!$G$5:$G$204,MATCH(E35,Fighters!$A$5:$A$204,0)),""),5)="Under")),"Under 12 can't do MMA. ","")&amp;IF(AND(C35="Amateur MMA (Senior)",OR(LEFT(IFERROR(INDEX(Fighters!$G$5:$G$204,MATCH(D35,Fighters!$A$5:$A$204,0)),""),5)="Youth",LEFT(IFERROR(INDEX(Fighters!$G$5:$G$204,MATCH(E35,Fighters!$A$5:$A$204,0)),""),5)="Youth")),"Youth on Senior rules. ","")&amp;IF(D35=E35,"Same fighter twice. ","")&amp;IF(COUNTIF($D$8:$E$37,D35)+COUNTIF($D$8:$E$37,E35)&gt;2,"A fighter is in two bouts. ","")&amp;IF(L35="Not yet","Paperwork not done. ","")&amp;IF(C35="","Pick the rules. ",""))="","OK",IF(OR(H35="",I35=""),"",IF(H35&gt;I35,"Weight gap over the limit. ",""))&amp;IF(AND(LEFT(C35,11)="Amateur MMA",J35&lt;&gt;"",K35&lt;&gt;"",J35&lt;&gt;K35),"Different experience classes (needs the Commissioner's OK). ","")&amp;IF(IFERROR(INDEX(Fighters!$G$5:$G$204,MATCH(D35,Fighters!$A$5:$A$204,0)),"")&lt;&gt;IFERROR(INDEX(Fighters!$G$5:$G$204,MATCH(E35,Fighters!$A$5:$A$204,0)),""),"Different age divisions. ","")&amp;IF(AND(LEFT(C35,11)="Amateur MMA",OR(LEFT(IFERROR(INDEX(Fighters!$G$5:$G$204,MATCH(D35,Fighters!$A$5:$A$204,0)),""),5)="Under",LEFT(IFERROR(INDEX(Fighters!$G$5:$G$204,MATCH(E35,Fighters!$A$5:$A$204,0)),""),5)="Under")),"Under 12 can't do MMA. ","")&amp;IF(AND(C35="Amateur MMA (Senior)",OR(LEFT(IFERROR(INDEX(Fighters!$G$5:$G$204,MATCH(D35,Fighters!$A$5:$A$204,0)),""),5)="Youth",LEFT(IFERROR(INDEX(Fighters!$G$5:$G$204,MATCH(E35,Fighters!$A$5:$A$204,0)),""),5)="Youth")),"Youth on Senior rules. ","")&amp;IF(D35=E35,"Same fighter twice. ","")&amp;IF(COUNTIF($D$8:$E$37,D35)+COUNTIF($D$8:$E$37,E35)&gt;2,"A fighter is in two bouts. ","")&amp;IF(L35="Not yet","Paperwork not done. ","")&amp;IF(C35="","Pick the rules. ","")))</f>
        <v/>
      </c>
      <c r="N35" s="27"/>
      <c r="O35" s="27"/>
      <c r="P35" s="27"/>
      <c r="Q35" s="27"/>
      <c r="R35" s="27"/>
      <c r="S35" s="27"/>
      <c r="T35" s="27"/>
    </row>
    <row r="36" customFormat="false" ht="30" hidden="false" customHeight="true" outlineLevel="0" collapsed="false">
      <c r="A36" s="32" t="n">
        <v>29</v>
      </c>
      <c r="B36" s="27"/>
      <c r="C36" s="27"/>
      <c r="D36" s="27"/>
      <c r="E36" s="27"/>
      <c r="F36" s="36" t="str">
        <f aca="false">IF(D36="","",IFERROR(INDEX(Fighters!$H$5:$H$204,MATCH(D36,Fighters!$A$5:$A$204,0)),""))</f>
        <v/>
      </c>
      <c r="G36" s="36" t="str">
        <f aca="false">IF(E36="","",IFERROR(INDEX(Fighters!$H$5:$H$204,MATCH(E36,Fighters!$A$5:$A$204,0)),""))</f>
        <v/>
      </c>
      <c r="H36" s="36" t="str">
        <f aca="false">IF(OR(F36="",G36=""),"",ABS(F36-G36))</f>
        <v/>
      </c>
      <c r="I36" s="36" t="str">
        <f aca="false">IF(OR(F36="",G36=""),"",IF(LEFT(C36,11)="Amateur MMA",INDEX(Lists!$K$2:$K$6,MATCH(MIN(F36,G36),Lists!$J$2:$J$6,1)),'Show Setup'!$B$23))</f>
        <v/>
      </c>
      <c r="J36" s="32" t="str">
        <f aca="false">IF(D36="","",IFERROR(INDEX(Fighters!$M$5:$M$204,MATCH(D36,Fighters!$A$5:$A$204,0)),""))</f>
        <v/>
      </c>
      <c r="K36" s="32" t="str">
        <f aca="false">IF(E36="","",IFERROR(INDEX(Fighters!$M$5:$M$204,MATCH(E36,Fighters!$A$5:$A$204,0)),""))</f>
        <v/>
      </c>
      <c r="L36" s="33" t="str">
        <f aca="false">IF(OR(D36="",E36=""),"",IF(AND(IFERROR(INDEX(Fighters!$V$5:$V$204,MATCH(D36,Fighters!$A$5:$A$204,0)),"")="READY",IFERROR(INDEX(Fighters!$V$5:$V$204,MATCH(E36,Fighters!$A$5:$A$204,0)),"")="READY"),"Yes","Not yet"))</f>
        <v/>
      </c>
      <c r="M36" s="37" t="str">
        <f aca="false">IF(OR(D36="",E36=""),"",IF((IF(OR(H36="",I36=""),"",IF(H36&gt;I36,"Weight gap over the limit. ",""))&amp;IF(AND(LEFT(C36,11)="Amateur MMA",J36&lt;&gt;"",K36&lt;&gt;"",J36&lt;&gt;K36),"Different experience classes (needs the Commissioner's OK). ","")&amp;IF(IFERROR(INDEX(Fighters!$G$5:$G$204,MATCH(D36,Fighters!$A$5:$A$204,0)),"")&lt;&gt;IFERROR(INDEX(Fighters!$G$5:$G$204,MATCH(E36,Fighters!$A$5:$A$204,0)),""),"Different age divisions. ","")&amp;IF(AND(LEFT(C36,11)="Amateur MMA",OR(LEFT(IFERROR(INDEX(Fighters!$G$5:$G$204,MATCH(D36,Fighters!$A$5:$A$204,0)),""),5)="Under",LEFT(IFERROR(INDEX(Fighters!$G$5:$G$204,MATCH(E36,Fighters!$A$5:$A$204,0)),""),5)="Under")),"Under 12 can't do MMA. ","")&amp;IF(AND(C36="Amateur MMA (Senior)",OR(LEFT(IFERROR(INDEX(Fighters!$G$5:$G$204,MATCH(D36,Fighters!$A$5:$A$204,0)),""),5)="Youth",LEFT(IFERROR(INDEX(Fighters!$G$5:$G$204,MATCH(E36,Fighters!$A$5:$A$204,0)),""),5)="Youth")),"Youth on Senior rules. ","")&amp;IF(D36=E36,"Same fighter twice. ","")&amp;IF(COUNTIF($D$8:$E$37,D36)+COUNTIF($D$8:$E$37,E36)&gt;2,"A fighter is in two bouts. ","")&amp;IF(L36="Not yet","Paperwork not done. ","")&amp;IF(C36="","Pick the rules. ",""))="","OK",IF(OR(H36="",I36=""),"",IF(H36&gt;I36,"Weight gap over the limit. ",""))&amp;IF(AND(LEFT(C36,11)="Amateur MMA",J36&lt;&gt;"",K36&lt;&gt;"",J36&lt;&gt;K36),"Different experience classes (needs the Commissioner's OK). ","")&amp;IF(IFERROR(INDEX(Fighters!$G$5:$G$204,MATCH(D36,Fighters!$A$5:$A$204,0)),"")&lt;&gt;IFERROR(INDEX(Fighters!$G$5:$G$204,MATCH(E36,Fighters!$A$5:$A$204,0)),""),"Different age divisions. ","")&amp;IF(AND(LEFT(C36,11)="Amateur MMA",OR(LEFT(IFERROR(INDEX(Fighters!$G$5:$G$204,MATCH(D36,Fighters!$A$5:$A$204,0)),""),5)="Under",LEFT(IFERROR(INDEX(Fighters!$G$5:$G$204,MATCH(E36,Fighters!$A$5:$A$204,0)),""),5)="Under")),"Under 12 can't do MMA. ","")&amp;IF(AND(C36="Amateur MMA (Senior)",OR(LEFT(IFERROR(INDEX(Fighters!$G$5:$G$204,MATCH(D36,Fighters!$A$5:$A$204,0)),""),5)="Youth",LEFT(IFERROR(INDEX(Fighters!$G$5:$G$204,MATCH(E36,Fighters!$A$5:$A$204,0)),""),5)="Youth")),"Youth on Senior rules. ","")&amp;IF(D36=E36,"Same fighter twice. ","")&amp;IF(COUNTIF($D$8:$E$37,D36)+COUNTIF($D$8:$E$37,E36)&gt;2,"A fighter is in two bouts. ","")&amp;IF(L36="Not yet","Paperwork not done. ","")&amp;IF(C36="","Pick the rules. ","")))</f>
        <v/>
      </c>
      <c r="N36" s="27"/>
      <c r="O36" s="27"/>
      <c r="P36" s="27"/>
      <c r="Q36" s="27"/>
      <c r="R36" s="27"/>
      <c r="S36" s="27"/>
      <c r="T36" s="27"/>
    </row>
    <row r="37" customFormat="false" ht="30" hidden="false" customHeight="true" outlineLevel="0" collapsed="false">
      <c r="A37" s="32" t="n">
        <v>30</v>
      </c>
      <c r="B37" s="27"/>
      <c r="C37" s="27"/>
      <c r="D37" s="27"/>
      <c r="E37" s="27"/>
      <c r="F37" s="36" t="str">
        <f aca="false">IF(D37="","",IFERROR(INDEX(Fighters!$H$5:$H$204,MATCH(D37,Fighters!$A$5:$A$204,0)),""))</f>
        <v/>
      </c>
      <c r="G37" s="36" t="str">
        <f aca="false">IF(E37="","",IFERROR(INDEX(Fighters!$H$5:$H$204,MATCH(E37,Fighters!$A$5:$A$204,0)),""))</f>
        <v/>
      </c>
      <c r="H37" s="36" t="str">
        <f aca="false">IF(OR(F37="",G37=""),"",ABS(F37-G37))</f>
        <v/>
      </c>
      <c r="I37" s="36" t="str">
        <f aca="false">IF(OR(F37="",G37=""),"",IF(LEFT(C37,11)="Amateur MMA",INDEX(Lists!$K$2:$K$6,MATCH(MIN(F37,G37),Lists!$J$2:$J$6,1)),'Show Setup'!$B$23))</f>
        <v/>
      </c>
      <c r="J37" s="32" t="str">
        <f aca="false">IF(D37="","",IFERROR(INDEX(Fighters!$M$5:$M$204,MATCH(D37,Fighters!$A$5:$A$204,0)),""))</f>
        <v/>
      </c>
      <c r="K37" s="32" t="str">
        <f aca="false">IF(E37="","",IFERROR(INDEX(Fighters!$M$5:$M$204,MATCH(E37,Fighters!$A$5:$A$204,0)),""))</f>
        <v/>
      </c>
      <c r="L37" s="33" t="str">
        <f aca="false">IF(OR(D37="",E37=""),"",IF(AND(IFERROR(INDEX(Fighters!$V$5:$V$204,MATCH(D37,Fighters!$A$5:$A$204,0)),"")="READY",IFERROR(INDEX(Fighters!$V$5:$V$204,MATCH(E37,Fighters!$A$5:$A$204,0)),"")="READY"),"Yes","Not yet"))</f>
        <v/>
      </c>
      <c r="M37" s="37" t="str">
        <f aca="false">IF(OR(D37="",E37=""),"",IF((IF(OR(H37="",I37=""),"",IF(H37&gt;I37,"Weight gap over the limit. ",""))&amp;IF(AND(LEFT(C37,11)="Amateur MMA",J37&lt;&gt;"",K37&lt;&gt;"",J37&lt;&gt;K37),"Different experience classes (needs the Commissioner's OK). ","")&amp;IF(IFERROR(INDEX(Fighters!$G$5:$G$204,MATCH(D37,Fighters!$A$5:$A$204,0)),"")&lt;&gt;IFERROR(INDEX(Fighters!$G$5:$G$204,MATCH(E37,Fighters!$A$5:$A$204,0)),""),"Different age divisions. ","")&amp;IF(AND(LEFT(C37,11)="Amateur MMA",OR(LEFT(IFERROR(INDEX(Fighters!$G$5:$G$204,MATCH(D37,Fighters!$A$5:$A$204,0)),""),5)="Under",LEFT(IFERROR(INDEX(Fighters!$G$5:$G$204,MATCH(E37,Fighters!$A$5:$A$204,0)),""),5)="Under")),"Under 12 can't do MMA. ","")&amp;IF(AND(C37="Amateur MMA (Senior)",OR(LEFT(IFERROR(INDEX(Fighters!$G$5:$G$204,MATCH(D37,Fighters!$A$5:$A$204,0)),""),5)="Youth",LEFT(IFERROR(INDEX(Fighters!$G$5:$G$204,MATCH(E37,Fighters!$A$5:$A$204,0)),""),5)="Youth")),"Youth on Senior rules. ","")&amp;IF(D37=E37,"Same fighter twice. ","")&amp;IF(COUNTIF($D$8:$E$37,D37)+COUNTIF($D$8:$E$37,E37)&gt;2,"A fighter is in two bouts. ","")&amp;IF(L37="Not yet","Paperwork not done. ","")&amp;IF(C37="","Pick the rules. ",""))="","OK",IF(OR(H37="",I37=""),"",IF(H37&gt;I37,"Weight gap over the limit. ",""))&amp;IF(AND(LEFT(C37,11)="Amateur MMA",J37&lt;&gt;"",K37&lt;&gt;"",J37&lt;&gt;K37),"Different experience classes (needs the Commissioner's OK). ","")&amp;IF(IFERROR(INDEX(Fighters!$G$5:$G$204,MATCH(D37,Fighters!$A$5:$A$204,0)),"")&lt;&gt;IFERROR(INDEX(Fighters!$G$5:$G$204,MATCH(E37,Fighters!$A$5:$A$204,0)),""),"Different age divisions. ","")&amp;IF(AND(LEFT(C37,11)="Amateur MMA",OR(LEFT(IFERROR(INDEX(Fighters!$G$5:$G$204,MATCH(D37,Fighters!$A$5:$A$204,0)),""),5)="Under",LEFT(IFERROR(INDEX(Fighters!$G$5:$G$204,MATCH(E37,Fighters!$A$5:$A$204,0)),""),5)="Under")),"Under 12 can't do MMA. ","")&amp;IF(AND(C37="Amateur MMA (Senior)",OR(LEFT(IFERROR(INDEX(Fighters!$G$5:$G$204,MATCH(D37,Fighters!$A$5:$A$204,0)),""),5)="Youth",LEFT(IFERROR(INDEX(Fighters!$G$5:$G$204,MATCH(E37,Fighters!$A$5:$A$204,0)),""),5)="Youth")),"Youth on Senior rules. ","")&amp;IF(D37=E37,"Same fighter twice. ","")&amp;IF(COUNTIF($D$8:$E$37,D37)+COUNTIF($D$8:$E$37,E37)&gt;2,"A fighter is in two bouts. ","")&amp;IF(L37="Not yet","Paperwork not done. ","")&amp;IF(C37="","Pick the rules. ","")))</f>
        <v/>
      </c>
      <c r="N37" s="27"/>
      <c r="O37" s="27"/>
      <c r="P37" s="27"/>
      <c r="Q37" s="27"/>
      <c r="R37" s="27"/>
      <c r="S37" s="27"/>
      <c r="T37" s="27"/>
    </row>
    <row r="38" customFormat="false" ht="30" hidden="false" customHeight="true" outlineLevel="0" collapsed="false">
      <c r="A38" s="38" t="s">
        <v>394</v>
      </c>
      <c r="B38" s="38"/>
      <c r="C38" s="38"/>
      <c r="D38" s="38"/>
      <c r="E38" s="38"/>
      <c r="F38" s="38"/>
      <c r="G38" s="38"/>
      <c r="H38" s="38"/>
      <c r="I38" s="38"/>
      <c r="J38" s="38"/>
      <c r="K38" s="38"/>
      <c r="L38" s="38"/>
      <c r="M38" s="38"/>
      <c r="N38" s="38"/>
      <c r="O38" s="38"/>
      <c r="P38" s="38"/>
      <c r="Q38" s="38"/>
      <c r="R38" s="38"/>
      <c r="S38" s="38"/>
      <c r="T38" s="38"/>
    </row>
  </sheetData>
  <mergeCells count="6">
    <mergeCell ref="A1:T1"/>
    <mergeCell ref="A2:T2"/>
    <mergeCell ref="A4:E4"/>
    <mergeCell ref="F4:J4"/>
    <mergeCell ref="M4:Q4"/>
    <mergeCell ref="A38:T38"/>
  </mergeCells>
  <conditionalFormatting sqref="M8:M37">
    <cfRule type="cellIs" priority="2" operator="equal" aboveAverage="0" equalAverage="0" bottom="0" percent="0" rank="0" text="" dxfId="0">
      <formula>"OK"</formula>
    </cfRule>
    <cfRule type="expression" priority="3" aboveAverage="0" equalAverage="0" bottom="0" percent="0" rank="0" text="" dxfId="11">
      <formula>AND(M8&lt;&gt;"",M8&lt;&gt;"OK")</formula>
    </cfRule>
  </conditionalFormatting>
  <conditionalFormatting sqref="L8:L37">
    <cfRule type="cellIs" priority="4" operator="equal" aboveAverage="0" equalAverage="0" bottom="0" percent="0" rank="0" text="" dxfId="0">
      <formula>"Yes"</formula>
    </cfRule>
  </conditionalFormatting>
  <dataValidations count="8">
    <dataValidation allowBlank="true" errorStyle="stop" operator="between" showDropDown="false" showErrorMessage="false" showInputMessage="false" sqref="B8:B37" type="list">
      <formula1>Lists!$E$2:$E$6</formula1>
      <formula2>0</formula2>
    </dataValidation>
    <dataValidation allowBlank="true" errorStyle="stop" operator="between" showDropDown="false" showErrorMessage="false" showInputMessage="false" sqref="C8:C37" type="list">
      <formula1>Lists!$F$2:$F$5</formula1>
      <formula2>0</formula2>
    </dataValidation>
    <dataValidation allowBlank="true" errorStyle="stop" operator="between" showDropDown="false" showErrorMessage="false" showInputMessage="false" sqref="N8:N37" type="list">
      <formula1>"Yes,No"</formula1>
      <formula2>0</formula2>
    </dataValidation>
    <dataValidation allowBlank="true" errorStyle="stop" operator="between" showDropDown="false" showErrorMessage="false" showInputMessage="false" sqref="O8:O37" type="list">
      <formula1>"Yes,No"</formula1>
      <formula2>0</formula2>
    </dataValidation>
    <dataValidation allowBlank="true" errorStyle="stop" operator="between" showDropDown="false" showErrorMessage="false" showInputMessage="false" sqref="Q8:Q37" type="list">
      <formula1>Lists!$H$2:$H$12</formula1>
      <formula2>0</formula2>
    </dataValidation>
    <dataValidation allowBlank="true" errorStyle="stop" operator="between" showDropDown="false" showErrorMessage="false" showInputMessage="false" sqref="D8:D37" type="list">
      <formula1>Fighters!$A$5:$A$204</formula1>
      <formula2>0</formula2>
    </dataValidation>
    <dataValidation allowBlank="true" errorStyle="stop" operator="between" showDropDown="false" showErrorMessage="false" showInputMessage="false" sqref="E8:E37" type="list">
      <formula1>Fighters!$A$5:$A$204</formula1>
      <formula2>0</formula2>
    </dataValidation>
    <dataValidation allowBlank="true" errorStyle="stop" operator="between" showDropDown="false" showErrorMessage="false" showInputMessage="false" sqref="P8:P37" type="list">
      <formula1>Fighters!$A$5:$A$204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2"/>
    <col collapsed="false" customWidth="true" hidden="false" outlineLevel="0" max="3" min="3" style="0" width="8"/>
    <col collapsed="false" customWidth="true" hidden="false" outlineLevel="0" max="4" min="4" style="0" width="26"/>
    <col collapsed="false" customWidth="true" hidden="false" outlineLevel="0" max="5" min="5" style="0" width="8"/>
    <col collapsed="false" customWidth="true" hidden="false" outlineLevel="0" max="6" min="6" style="0" width="14"/>
    <col collapsed="false" customWidth="true" hidden="false" outlineLevel="0" max="7" min="7" style="0" width="9"/>
    <col collapsed="false" customWidth="true" hidden="false" outlineLevel="0" max="8" min="8" style="0" width="26"/>
  </cols>
  <sheetData>
    <row r="1" customFormat="false" ht="30" hidden="false" customHeight="true" outlineLevel="0" collapsed="false">
      <c r="A1" s="1" t="s">
        <v>395</v>
      </c>
      <c r="B1" s="1"/>
      <c r="C1" s="1"/>
      <c r="D1" s="1"/>
      <c r="E1" s="1"/>
      <c r="F1" s="1"/>
      <c r="G1" s="1"/>
      <c r="H1" s="1"/>
    </row>
    <row r="2" customFormat="false" ht="33.75" hidden="false" customHeight="true" outlineLevel="0" collapsed="false">
      <c r="A2" s="2" t="s">
        <v>396</v>
      </c>
      <c r="B2" s="2"/>
      <c r="C2" s="2"/>
      <c r="D2" s="2"/>
      <c r="E2" s="2"/>
      <c r="F2" s="2"/>
      <c r="G2" s="2"/>
      <c r="H2" s="2"/>
    </row>
    <row r="4" customFormat="false" ht="33.75" hidden="false" customHeight="true" outlineLevel="0" collapsed="false">
      <c r="A4" s="21" t="s">
        <v>397</v>
      </c>
      <c r="B4" s="21" t="s">
        <v>398</v>
      </c>
      <c r="C4" s="21" t="s">
        <v>399</v>
      </c>
      <c r="D4" s="21" t="s">
        <v>400</v>
      </c>
      <c r="E4" s="21" t="s">
        <v>401</v>
      </c>
      <c r="F4" s="21" t="s">
        <v>402</v>
      </c>
      <c r="G4" s="21" t="s">
        <v>403</v>
      </c>
      <c r="H4" s="21" t="s">
        <v>95</v>
      </c>
    </row>
    <row r="5" customFormat="false" ht="30" hidden="false" customHeight="true" outlineLevel="0" collapsed="false">
      <c r="A5" s="26" t="s">
        <v>404</v>
      </c>
      <c r="B5" s="23" t="s">
        <v>405</v>
      </c>
      <c r="C5" s="22" t="n">
        <v>2</v>
      </c>
      <c r="D5" s="24"/>
      <c r="E5" s="37" t="n">
        <f aca="false">IF(D5="",0,LEN(D5)-LEN(SUBSTITUTE(D5,",",""))+1)</f>
        <v>0</v>
      </c>
      <c r="F5" s="24"/>
      <c r="G5" s="24"/>
      <c r="H5" s="24"/>
    </row>
    <row r="6" customFormat="false" ht="30" hidden="false" customHeight="true" outlineLevel="0" collapsed="false">
      <c r="A6" s="26" t="s">
        <v>406</v>
      </c>
      <c r="B6" s="23" t="s">
        <v>407</v>
      </c>
      <c r="C6" s="22" t="n">
        <v>1</v>
      </c>
      <c r="D6" s="24"/>
      <c r="E6" s="37" t="n">
        <f aca="false">IF(D6="",0,LEN(D6)-LEN(SUBSTITUTE(D6,",",""))+1)</f>
        <v>0</v>
      </c>
      <c r="F6" s="24"/>
      <c r="G6" s="24"/>
      <c r="H6" s="24"/>
    </row>
    <row r="7" customFormat="false" ht="30" hidden="false" customHeight="true" outlineLevel="0" collapsed="false">
      <c r="A7" s="26" t="s">
        <v>408</v>
      </c>
      <c r="B7" s="23" t="s">
        <v>409</v>
      </c>
      <c r="C7" s="22" t="n">
        <v>1</v>
      </c>
      <c r="D7" s="24"/>
      <c r="E7" s="37" t="n">
        <f aca="false">IF(D7="",0,LEN(D7)-LEN(SUBSTITUTE(D7,",",""))+1)</f>
        <v>0</v>
      </c>
      <c r="F7" s="24"/>
      <c r="G7" s="24"/>
      <c r="H7" s="24"/>
    </row>
    <row r="8" customFormat="false" ht="30" hidden="false" customHeight="true" outlineLevel="0" collapsed="false">
      <c r="A8" s="26" t="s">
        <v>410</v>
      </c>
      <c r="B8" s="23" t="s">
        <v>411</v>
      </c>
      <c r="C8" s="22" t="n">
        <v>2</v>
      </c>
      <c r="D8" s="24"/>
      <c r="E8" s="37" t="n">
        <f aca="false">IF(D8="",0,LEN(D8)-LEN(SUBSTITUTE(D8,",",""))+1)</f>
        <v>0</v>
      </c>
      <c r="F8" s="24"/>
      <c r="G8" s="24"/>
      <c r="H8" s="24"/>
    </row>
    <row r="9" customFormat="false" ht="30" hidden="false" customHeight="true" outlineLevel="0" collapsed="false">
      <c r="A9" s="26" t="s">
        <v>412</v>
      </c>
      <c r="B9" s="23" t="s">
        <v>413</v>
      </c>
      <c r="C9" s="22" t="n">
        <v>2</v>
      </c>
      <c r="D9" s="24"/>
      <c r="E9" s="37" t="n">
        <f aca="false">IF(D9="",0,LEN(D9)-LEN(SUBSTITUTE(D9,",",""))+1)</f>
        <v>0</v>
      </c>
      <c r="F9" s="24"/>
      <c r="G9" s="24"/>
      <c r="H9" s="24"/>
    </row>
    <row r="10" customFormat="false" ht="30" hidden="false" customHeight="true" outlineLevel="0" collapsed="false">
      <c r="A10" s="26" t="s">
        <v>414</v>
      </c>
      <c r="B10" s="23" t="s">
        <v>415</v>
      </c>
      <c r="C10" s="22" t="n">
        <v>2</v>
      </c>
      <c r="D10" s="24"/>
      <c r="E10" s="37" t="n">
        <f aca="false">IF(D10="",0,LEN(D10)-LEN(SUBSTITUTE(D10,",",""))+1)</f>
        <v>0</v>
      </c>
      <c r="F10" s="24"/>
      <c r="G10" s="24"/>
      <c r="H10" s="24"/>
    </row>
    <row r="11" customFormat="false" ht="30" hidden="false" customHeight="true" outlineLevel="0" collapsed="false">
      <c r="A11" s="26" t="s">
        <v>416</v>
      </c>
      <c r="B11" s="23" t="s">
        <v>417</v>
      </c>
      <c r="C11" s="22" t="n">
        <v>1</v>
      </c>
      <c r="D11" s="24"/>
      <c r="E11" s="37" t="n">
        <f aca="false">IF(D11="",0,LEN(D11)-LEN(SUBSTITUTE(D11,",",""))+1)</f>
        <v>0</v>
      </c>
      <c r="F11" s="24"/>
      <c r="G11" s="24"/>
      <c r="H11" s="24"/>
    </row>
    <row r="12" customFormat="false" ht="30" hidden="false" customHeight="true" outlineLevel="0" collapsed="false">
      <c r="A12" s="26" t="s">
        <v>418</v>
      </c>
      <c r="B12" s="23" t="s">
        <v>419</v>
      </c>
      <c r="C12" s="22" t="n">
        <v>2</v>
      </c>
      <c r="D12" s="24"/>
      <c r="E12" s="37" t="n">
        <f aca="false">IF(D12="",0,LEN(D12)-LEN(SUBSTITUTE(D12,",",""))+1)</f>
        <v>0</v>
      </c>
      <c r="F12" s="24"/>
      <c r="G12" s="24"/>
      <c r="H12" s="24"/>
    </row>
    <row r="13" customFormat="false" ht="30" hidden="false" customHeight="true" outlineLevel="0" collapsed="false">
      <c r="A13" s="26" t="s">
        <v>420</v>
      </c>
      <c r="B13" s="23" t="s">
        <v>421</v>
      </c>
      <c r="C13" s="22" t="n">
        <v>1</v>
      </c>
      <c r="D13" s="24"/>
      <c r="E13" s="37" t="n">
        <f aca="false">IF(D13="",0,LEN(D13)-LEN(SUBSTITUTE(D13,",",""))+1)</f>
        <v>0</v>
      </c>
      <c r="F13" s="24"/>
      <c r="G13" s="24"/>
      <c r="H13" s="24"/>
    </row>
    <row r="14" customFormat="false" ht="30" hidden="false" customHeight="true" outlineLevel="0" collapsed="false">
      <c r="A14" s="26" t="s">
        <v>422</v>
      </c>
      <c r="B14" s="23" t="s">
        <v>423</v>
      </c>
      <c r="C14" s="22" t="n">
        <v>2</v>
      </c>
      <c r="D14" s="24"/>
      <c r="E14" s="37" t="n">
        <f aca="false">IF(D14="",0,LEN(D14)-LEN(SUBSTITUTE(D14,",",""))+1)</f>
        <v>0</v>
      </c>
      <c r="F14" s="24"/>
      <c r="G14" s="24"/>
      <c r="H14" s="24"/>
    </row>
    <row r="15" customFormat="false" ht="30" hidden="false" customHeight="true" outlineLevel="0" collapsed="false">
      <c r="A15" s="26" t="s">
        <v>424</v>
      </c>
      <c r="B15" s="23" t="s">
        <v>425</v>
      </c>
      <c r="C15" s="22" t="n">
        <v>1</v>
      </c>
      <c r="D15" s="24"/>
      <c r="E15" s="37" t="n">
        <f aca="false">IF(D15="",0,LEN(D15)-LEN(SUBSTITUTE(D15,",",""))+1)</f>
        <v>0</v>
      </c>
      <c r="F15" s="24"/>
      <c r="G15" s="24"/>
      <c r="H15" s="24"/>
    </row>
    <row r="16" customFormat="false" ht="30" hidden="false" customHeight="true" outlineLevel="0" collapsed="false">
      <c r="A16" s="26" t="s">
        <v>426</v>
      </c>
      <c r="B16" s="23" t="s">
        <v>427</v>
      </c>
      <c r="C16" s="22" t="n">
        <v>6</v>
      </c>
      <c r="D16" s="24"/>
      <c r="E16" s="37" t="n">
        <f aca="false">IF(D16="",0,LEN(D16)-LEN(SUBSTITUTE(D16,",",""))+1)</f>
        <v>0</v>
      </c>
      <c r="F16" s="24"/>
      <c r="G16" s="24"/>
      <c r="H16" s="24"/>
    </row>
    <row r="17" customFormat="false" ht="15" hidden="false" customHeight="false" outlineLevel="0" collapsed="false">
      <c r="A17" s="39" t="s">
        <v>428</v>
      </c>
      <c r="C17" s="39" t="n">
        <f aca="false">SUM(C5:C16)</f>
        <v>23</v>
      </c>
      <c r="E17" s="39" t="n">
        <f aca="false">SUM(E5:E16)</f>
        <v>0</v>
      </c>
    </row>
    <row r="18" customFormat="false" ht="15" hidden="false" customHeight="true" outlineLevel="0" collapsed="false">
      <c r="A18" s="38" t="s">
        <v>429</v>
      </c>
      <c r="B18" s="38"/>
      <c r="C18" s="38"/>
      <c r="D18" s="38"/>
      <c r="E18" s="38"/>
      <c r="F18" s="38"/>
      <c r="G18" s="38"/>
      <c r="H18" s="38"/>
    </row>
  </sheetData>
  <mergeCells count="3">
    <mergeCell ref="A1:H1"/>
    <mergeCell ref="A2:H2"/>
    <mergeCell ref="A18:H18"/>
  </mergeCells>
  <conditionalFormatting sqref="E5:E16">
    <cfRule type="expression" priority="2" aboveAverage="0" equalAverage="0" bottom="0" percent="0" rank="0" text="" dxfId="1">
      <formula>E5&lt;C5</formula>
    </cfRule>
    <cfRule type="expression" priority="3" aboveAverage="0" equalAverage="0" bottom="0" percent="0" rank="0" text="" dxfId="0">
      <formula>E5&gt;=C5</formula>
    </cfRule>
  </conditionalFormatting>
  <dataValidations count="1">
    <dataValidation allowBlank="true" errorStyle="stop" operator="between" showDropDown="false" showErrorMessage="false" showInputMessage="false" sqref="G5:G1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22"/>
    <col collapsed="false" customWidth="true" hidden="false" outlineLevel="0" max="4" min="4" style="0" width="10"/>
    <col collapsed="false" customWidth="true" hidden="false" outlineLevel="0" max="5" min="5" style="0" width="9"/>
    <col collapsed="false" customWidth="true" hidden="false" outlineLevel="0" max="6" min="6" style="0" width="11"/>
    <col collapsed="false" customWidth="true" hidden="false" outlineLevel="0" max="7" min="7" style="0" width="40"/>
  </cols>
  <sheetData>
    <row r="1" customFormat="false" ht="30" hidden="false" customHeight="true" outlineLevel="0" collapsed="false">
      <c r="A1" s="1" t="s">
        <v>430</v>
      </c>
      <c r="B1" s="1"/>
      <c r="C1" s="1"/>
      <c r="D1" s="1"/>
      <c r="E1" s="1"/>
      <c r="F1" s="1"/>
      <c r="G1" s="1"/>
    </row>
    <row r="2" customFormat="false" ht="33.75" hidden="false" customHeight="true" outlineLevel="0" collapsed="false">
      <c r="A2" s="2" t="s">
        <v>431</v>
      </c>
      <c r="B2" s="2"/>
      <c r="C2" s="2"/>
      <c r="D2" s="2"/>
      <c r="E2" s="2"/>
      <c r="F2" s="2"/>
      <c r="G2" s="2"/>
    </row>
    <row r="4" customFormat="false" ht="33.75" hidden="false" customHeight="true" outlineLevel="0" collapsed="false">
      <c r="A4" s="21" t="s">
        <v>432</v>
      </c>
      <c r="B4" s="21" t="s">
        <v>90</v>
      </c>
      <c r="C4" s="21" t="s">
        <v>433</v>
      </c>
      <c r="D4" s="21" t="s">
        <v>434</v>
      </c>
      <c r="E4" s="21" t="s">
        <v>435</v>
      </c>
      <c r="F4" s="21" t="s">
        <v>436</v>
      </c>
      <c r="G4" s="21" t="s">
        <v>95</v>
      </c>
    </row>
    <row r="5" customFormat="false" ht="35.05" hidden="false" customHeight="false" outlineLevel="0" collapsed="false">
      <c r="A5" s="23" t="s">
        <v>437</v>
      </c>
      <c r="B5" s="23" t="s">
        <v>438</v>
      </c>
      <c r="C5" s="24"/>
      <c r="D5" s="40"/>
      <c r="E5" s="24"/>
      <c r="F5" s="24"/>
      <c r="G5" s="24"/>
    </row>
    <row r="6" customFormat="false" ht="15" hidden="false" customHeight="false" outlineLevel="0" collapsed="false">
      <c r="A6" s="23" t="s">
        <v>439</v>
      </c>
      <c r="B6" s="23" t="s">
        <v>438</v>
      </c>
      <c r="C6" s="24"/>
      <c r="D6" s="40"/>
      <c r="E6" s="24"/>
      <c r="F6" s="24"/>
      <c r="G6" s="24"/>
    </row>
    <row r="7" customFormat="false" ht="15" hidden="false" customHeight="false" outlineLevel="0" collapsed="false">
      <c r="A7" s="23" t="s">
        <v>440</v>
      </c>
      <c r="B7" s="23" t="s">
        <v>438</v>
      </c>
      <c r="C7" s="24"/>
      <c r="D7" s="40"/>
      <c r="E7" s="24"/>
      <c r="F7" s="24"/>
      <c r="G7" s="24"/>
    </row>
    <row r="8" customFormat="false" ht="15" hidden="false" customHeight="false" outlineLevel="0" collapsed="false">
      <c r="A8" s="23" t="s">
        <v>441</v>
      </c>
      <c r="B8" s="23" t="s">
        <v>442</v>
      </c>
      <c r="C8" s="24"/>
      <c r="D8" s="40"/>
      <c r="E8" s="24"/>
      <c r="F8" s="24"/>
      <c r="G8" s="24"/>
    </row>
    <row r="9" customFormat="false" ht="23.85" hidden="false" customHeight="false" outlineLevel="0" collapsed="false">
      <c r="A9" s="23" t="s">
        <v>443</v>
      </c>
      <c r="B9" s="23" t="s">
        <v>442</v>
      </c>
      <c r="C9" s="24"/>
      <c r="D9" s="40"/>
      <c r="E9" s="24"/>
      <c r="F9" s="24"/>
      <c r="G9" s="24"/>
    </row>
    <row r="10" customFormat="false" ht="15" hidden="false" customHeight="false" outlineLevel="0" collapsed="false">
      <c r="A10" s="23" t="s">
        <v>444</v>
      </c>
      <c r="B10" s="23" t="s">
        <v>442</v>
      </c>
      <c r="C10" s="24"/>
      <c r="D10" s="40"/>
      <c r="E10" s="24"/>
      <c r="F10" s="24"/>
      <c r="G10" s="24"/>
    </row>
    <row r="11" customFormat="false" ht="15" hidden="false" customHeight="false" outlineLevel="0" collapsed="false">
      <c r="A11" s="23" t="s">
        <v>445</v>
      </c>
      <c r="B11" s="23" t="s">
        <v>442</v>
      </c>
      <c r="C11" s="24"/>
      <c r="D11" s="40"/>
      <c r="E11" s="24"/>
      <c r="F11" s="24"/>
      <c r="G11" s="24"/>
    </row>
    <row r="12" customFormat="false" ht="35.05" hidden="false" customHeight="false" outlineLevel="0" collapsed="false">
      <c r="A12" s="23" t="s">
        <v>446</v>
      </c>
      <c r="B12" s="23" t="s">
        <v>13</v>
      </c>
      <c r="C12" s="24"/>
      <c r="D12" s="40"/>
      <c r="E12" s="24"/>
      <c r="F12" s="24"/>
      <c r="G12" s="24"/>
    </row>
    <row r="13" customFormat="false" ht="15" hidden="false" customHeight="false" outlineLevel="0" collapsed="false">
      <c r="A13" s="23" t="s">
        <v>447</v>
      </c>
      <c r="B13" s="23" t="s">
        <v>13</v>
      </c>
      <c r="C13" s="24"/>
      <c r="D13" s="40"/>
      <c r="E13" s="24"/>
      <c r="F13" s="24"/>
      <c r="G13" s="24"/>
    </row>
    <row r="14" customFormat="false" ht="23.85" hidden="false" customHeight="false" outlineLevel="0" collapsed="false">
      <c r="A14" s="23" t="s">
        <v>448</v>
      </c>
      <c r="B14" s="23" t="s">
        <v>13</v>
      </c>
      <c r="C14" s="24"/>
      <c r="D14" s="40"/>
      <c r="E14" s="24"/>
      <c r="F14" s="24"/>
      <c r="G14" s="24"/>
    </row>
    <row r="15" customFormat="false" ht="15" hidden="false" customHeight="false" outlineLevel="0" collapsed="false">
      <c r="A15" s="23" t="s">
        <v>449</v>
      </c>
      <c r="B15" s="23" t="s">
        <v>13</v>
      </c>
      <c r="C15" s="24"/>
      <c r="D15" s="40"/>
      <c r="E15" s="24"/>
      <c r="F15" s="24"/>
      <c r="G15" s="24"/>
    </row>
    <row r="16" customFormat="false" ht="15" hidden="false" customHeight="false" outlineLevel="0" collapsed="false">
      <c r="A16" s="23" t="s">
        <v>450</v>
      </c>
      <c r="B16" s="23" t="s">
        <v>13</v>
      </c>
      <c r="C16" s="24"/>
      <c r="D16" s="40"/>
      <c r="E16" s="24"/>
      <c r="F16" s="24"/>
      <c r="G16" s="24"/>
    </row>
    <row r="17" customFormat="false" ht="23.85" hidden="false" customHeight="false" outlineLevel="0" collapsed="false">
      <c r="A17" s="23" t="s">
        <v>451</v>
      </c>
      <c r="B17" s="23" t="s">
        <v>39</v>
      </c>
      <c r="C17" s="24"/>
      <c r="D17" s="40"/>
      <c r="E17" s="24"/>
      <c r="F17" s="24"/>
      <c r="G17" s="24"/>
    </row>
    <row r="18" customFormat="false" ht="23.85" hidden="false" customHeight="false" outlineLevel="0" collapsed="false">
      <c r="A18" s="23" t="s">
        <v>452</v>
      </c>
      <c r="B18" s="23" t="s">
        <v>39</v>
      </c>
      <c r="C18" s="24"/>
      <c r="D18" s="40"/>
      <c r="E18" s="24"/>
      <c r="F18" s="24"/>
      <c r="G18" s="24"/>
    </row>
    <row r="19" customFormat="false" ht="15" hidden="false" customHeight="false" outlineLevel="0" collapsed="false">
      <c r="A19" s="23" t="s">
        <v>453</v>
      </c>
      <c r="B19" s="23" t="s">
        <v>22</v>
      </c>
      <c r="C19" s="24"/>
      <c r="D19" s="40"/>
      <c r="E19" s="24"/>
      <c r="F19" s="24"/>
      <c r="G19" s="24"/>
    </row>
    <row r="20" customFormat="false" ht="15" hidden="false" customHeight="false" outlineLevel="0" collapsed="false">
      <c r="A20" s="23" t="s">
        <v>454</v>
      </c>
      <c r="B20" s="23" t="s">
        <v>22</v>
      </c>
      <c r="C20" s="24"/>
      <c r="D20" s="40"/>
      <c r="E20" s="24"/>
      <c r="F20" s="24"/>
      <c r="G20" s="24"/>
    </row>
    <row r="21" customFormat="false" ht="15" hidden="false" customHeight="false" outlineLevel="0" collapsed="false">
      <c r="A21" s="23" t="s">
        <v>455</v>
      </c>
      <c r="B21" s="23" t="s">
        <v>22</v>
      </c>
      <c r="C21" s="24"/>
      <c r="D21" s="40"/>
      <c r="E21" s="24"/>
      <c r="F21" s="24"/>
      <c r="G21" s="24"/>
    </row>
    <row r="22" customFormat="false" ht="23.85" hidden="false" customHeight="false" outlineLevel="0" collapsed="false">
      <c r="A22" s="23" t="s">
        <v>456</v>
      </c>
      <c r="B22" s="23" t="s">
        <v>22</v>
      </c>
      <c r="C22" s="24"/>
      <c r="D22" s="40"/>
      <c r="E22" s="24"/>
      <c r="F22" s="24"/>
      <c r="G22" s="24"/>
    </row>
    <row r="23" customFormat="false" ht="23.85" hidden="false" customHeight="false" outlineLevel="0" collapsed="false">
      <c r="A23" s="23" t="s">
        <v>457</v>
      </c>
      <c r="B23" s="23" t="s">
        <v>458</v>
      </c>
      <c r="C23" s="24"/>
      <c r="D23" s="40"/>
      <c r="E23" s="24"/>
      <c r="F23" s="24"/>
      <c r="G23" s="24"/>
    </row>
    <row r="24" customFormat="false" ht="23.85" hidden="false" customHeight="false" outlineLevel="0" collapsed="false">
      <c r="A24" s="23" t="s">
        <v>459</v>
      </c>
      <c r="B24" s="23" t="s">
        <v>458</v>
      </c>
      <c r="C24" s="24"/>
      <c r="D24" s="40"/>
      <c r="E24" s="24"/>
      <c r="F24" s="24"/>
      <c r="G24" s="24"/>
    </row>
    <row r="25" customFormat="false" ht="15" hidden="false" customHeight="false" outlineLevel="0" collapsed="false">
      <c r="A25" s="23" t="s">
        <v>460</v>
      </c>
      <c r="B25" s="23" t="s">
        <v>22</v>
      </c>
      <c r="C25" s="24"/>
      <c r="D25" s="40"/>
      <c r="E25" s="24"/>
      <c r="F25" s="24"/>
      <c r="G25" s="24"/>
    </row>
    <row r="26" customFormat="false" ht="15" hidden="false" customHeight="false" outlineLevel="0" collapsed="false">
      <c r="A26" s="23" t="s">
        <v>461</v>
      </c>
      <c r="B26" s="23" t="s">
        <v>103</v>
      </c>
      <c r="C26" s="24"/>
      <c r="D26" s="40"/>
      <c r="E26" s="24"/>
      <c r="F26" s="24"/>
      <c r="G26" s="24"/>
    </row>
    <row r="27" customFormat="false" ht="15" hidden="false" customHeight="false" outlineLevel="0" collapsed="false">
      <c r="A27" s="23" t="s">
        <v>462</v>
      </c>
      <c r="B27" s="23" t="s">
        <v>103</v>
      </c>
      <c r="C27" s="24"/>
      <c r="D27" s="40"/>
      <c r="E27" s="24"/>
      <c r="F27" s="24"/>
      <c r="G27" s="24"/>
    </row>
    <row r="28" customFormat="false" ht="23.85" hidden="false" customHeight="false" outlineLevel="0" collapsed="false">
      <c r="A28" s="23" t="s">
        <v>463</v>
      </c>
      <c r="B28" s="23" t="s">
        <v>464</v>
      </c>
      <c r="C28" s="24"/>
      <c r="D28" s="40"/>
      <c r="E28" s="24"/>
      <c r="F28" s="24"/>
      <c r="G28" s="24"/>
    </row>
    <row r="29" customFormat="false" ht="15" hidden="false" customHeight="false" outlineLevel="0" collapsed="false">
      <c r="A29" s="23" t="s">
        <v>465</v>
      </c>
      <c r="B29" s="23" t="s">
        <v>464</v>
      </c>
      <c r="C29" s="24"/>
      <c r="D29" s="40"/>
      <c r="E29" s="24"/>
      <c r="F29" s="24"/>
      <c r="G29" s="24"/>
    </row>
    <row r="30" customFormat="false" ht="15" hidden="false" customHeight="false" outlineLevel="0" collapsed="false">
      <c r="A30" s="23" t="s">
        <v>466</v>
      </c>
      <c r="B30" s="23" t="s">
        <v>467</v>
      </c>
      <c r="C30" s="24"/>
      <c r="D30" s="40"/>
      <c r="E30" s="24"/>
      <c r="F30" s="24"/>
      <c r="G30" s="24"/>
    </row>
    <row r="31" customFormat="false" ht="15" hidden="false" customHeight="false" outlineLevel="0" collapsed="false">
      <c r="A31" s="23" t="s">
        <v>468</v>
      </c>
      <c r="B31" s="23" t="s">
        <v>469</v>
      </c>
      <c r="C31" s="24"/>
      <c r="D31" s="40"/>
      <c r="E31" s="24"/>
      <c r="F31" s="24"/>
      <c r="G31" s="24"/>
    </row>
    <row r="32" customFormat="false" ht="15" hidden="false" customHeight="false" outlineLevel="0" collapsed="false">
      <c r="A32" s="23" t="s">
        <v>470</v>
      </c>
      <c r="B32" s="23" t="s">
        <v>62</v>
      </c>
      <c r="C32" s="24"/>
      <c r="D32" s="40"/>
      <c r="E32" s="24"/>
      <c r="F32" s="24"/>
      <c r="G32" s="24"/>
    </row>
    <row r="33" customFormat="false" ht="15" hidden="false" customHeight="false" outlineLevel="0" collapsed="false">
      <c r="A33" s="23" t="s">
        <v>471</v>
      </c>
      <c r="B33" s="23" t="s">
        <v>472</v>
      </c>
      <c r="C33" s="24"/>
      <c r="D33" s="40"/>
      <c r="E33" s="24"/>
      <c r="F33" s="24"/>
      <c r="G33" s="24"/>
    </row>
    <row r="34" customFormat="false" ht="15" hidden="false" customHeight="false" outlineLevel="0" collapsed="false">
      <c r="A34" s="27"/>
      <c r="B34" s="27"/>
      <c r="C34" s="27"/>
      <c r="D34" s="41"/>
      <c r="E34" s="27"/>
      <c r="F34" s="27"/>
      <c r="G34" s="27"/>
    </row>
    <row r="35" customFormat="false" ht="15" hidden="false" customHeight="false" outlineLevel="0" collapsed="false">
      <c r="A35" s="27"/>
      <c r="B35" s="27"/>
      <c r="C35" s="27"/>
      <c r="D35" s="41"/>
      <c r="E35" s="27"/>
      <c r="F35" s="27"/>
      <c r="G35" s="27"/>
    </row>
    <row r="36" customFormat="false" ht="15" hidden="false" customHeight="false" outlineLevel="0" collapsed="false">
      <c r="A36" s="27"/>
      <c r="B36" s="27"/>
      <c r="C36" s="27"/>
      <c r="D36" s="41"/>
      <c r="E36" s="27"/>
      <c r="F36" s="27"/>
      <c r="G36" s="27"/>
    </row>
    <row r="37" customFormat="false" ht="15" hidden="false" customHeight="false" outlineLevel="0" collapsed="false">
      <c r="A37" s="27"/>
      <c r="B37" s="27"/>
      <c r="C37" s="27"/>
      <c r="D37" s="41"/>
      <c r="E37" s="27"/>
      <c r="F37" s="27"/>
      <c r="G37" s="27"/>
    </row>
    <row r="38" customFormat="false" ht="15" hidden="false" customHeight="false" outlineLevel="0" collapsed="false">
      <c r="A38" s="27"/>
      <c r="B38" s="27"/>
      <c r="C38" s="27"/>
      <c r="D38" s="41"/>
      <c r="E38" s="27"/>
      <c r="F38" s="27"/>
      <c r="G38" s="27"/>
    </row>
    <row r="39" customFormat="false" ht="15" hidden="false" customHeight="false" outlineLevel="0" collapsed="false">
      <c r="A39" s="27"/>
      <c r="B39" s="27"/>
      <c r="C39" s="27"/>
      <c r="D39" s="41"/>
      <c r="E39" s="27"/>
      <c r="F39" s="27"/>
      <c r="G39" s="27"/>
    </row>
    <row r="40" customFormat="false" ht="15" hidden="false" customHeight="false" outlineLevel="0" collapsed="false">
      <c r="A40" s="27"/>
      <c r="B40" s="27"/>
      <c r="C40" s="27"/>
      <c r="D40" s="41"/>
      <c r="E40" s="27"/>
      <c r="F40" s="27"/>
      <c r="G40" s="27"/>
    </row>
    <row r="41" customFormat="false" ht="15" hidden="false" customHeight="false" outlineLevel="0" collapsed="false">
      <c r="A41" s="27"/>
      <c r="B41" s="27"/>
      <c r="C41" s="27"/>
      <c r="D41" s="41"/>
      <c r="E41" s="27"/>
      <c r="F41" s="27"/>
      <c r="G41" s="27"/>
    </row>
    <row r="42" customFormat="false" ht="15" hidden="false" customHeight="false" outlineLevel="0" collapsed="false">
      <c r="A42" s="27"/>
      <c r="B42" s="27"/>
      <c r="C42" s="27"/>
      <c r="D42" s="41"/>
      <c r="E42" s="27"/>
      <c r="F42" s="27"/>
      <c r="G42" s="27"/>
    </row>
    <row r="43" customFormat="false" ht="15" hidden="false" customHeight="false" outlineLevel="0" collapsed="false">
      <c r="A43" s="27"/>
      <c r="B43" s="27"/>
      <c r="C43" s="27"/>
      <c r="D43" s="41"/>
      <c r="E43" s="27"/>
      <c r="F43" s="27"/>
      <c r="G43" s="27"/>
    </row>
    <row r="44" customFormat="false" ht="15" hidden="false" customHeight="false" outlineLevel="0" collapsed="false">
      <c r="A44" s="39" t="s">
        <v>473</v>
      </c>
      <c r="D44" s="42" t="n">
        <f aca="false">SUM(D5:D43)</f>
        <v>0</v>
      </c>
    </row>
  </sheetData>
  <mergeCells count="2">
    <mergeCell ref="A1:G1"/>
    <mergeCell ref="A2:G2"/>
  </mergeCells>
  <conditionalFormatting sqref="E5:F43">
    <cfRule type="cellIs" priority="2" operator="equal" aboveAverage="0" equalAverage="0" bottom="0" percent="0" rank="0" text="" dxfId="0">
      <formula>"Yes"</formula>
    </cfRule>
  </conditionalFormatting>
  <dataValidations count="1">
    <dataValidation allowBlank="true" errorStyle="stop" operator="between" showDropDown="false" showErrorMessage="false" showInputMessage="false" sqref="E5:F4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E2221"/>
    <pageSetUpPr fitToPage="tru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4"/>
    <col collapsed="false" customWidth="true" hidden="false" outlineLevel="0" max="3" min="3" style="0" width="22"/>
    <col collapsed="false" customWidth="true" hidden="false" outlineLevel="0" max="4" min="4" style="0" width="20"/>
    <col collapsed="false" customWidth="true" hidden="false" outlineLevel="0" max="5" min="5" style="0" width="36"/>
  </cols>
  <sheetData>
    <row r="1" customFormat="false" ht="30" hidden="false" customHeight="true" outlineLevel="0" collapsed="false">
      <c r="A1" s="1" t="s">
        <v>474</v>
      </c>
      <c r="B1" s="1"/>
      <c r="C1" s="1"/>
      <c r="D1" s="1"/>
      <c r="E1" s="1"/>
    </row>
    <row r="2" customFormat="false" ht="33.75" hidden="false" customHeight="true" outlineLevel="0" collapsed="false">
      <c r="A2" s="2" t="s">
        <v>475</v>
      </c>
      <c r="B2" s="2"/>
      <c r="C2" s="2"/>
      <c r="D2" s="2"/>
      <c r="E2" s="2"/>
    </row>
    <row r="4" customFormat="false" ht="33.75" hidden="false" customHeight="true" outlineLevel="0" collapsed="false">
      <c r="A4" s="21" t="s">
        <v>393</v>
      </c>
      <c r="B4" s="21" t="s">
        <v>476</v>
      </c>
      <c r="C4" s="21" t="s">
        <v>477</v>
      </c>
      <c r="D4" s="21" t="s">
        <v>478</v>
      </c>
      <c r="E4" s="21" t="s">
        <v>95</v>
      </c>
    </row>
    <row r="5" customFormat="false" ht="19.5" hidden="false" customHeight="true" outlineLevel="0" collapsed="false">
      <c r="A5" s="7" t="s">
        <v>479</v>
      </c>
      <c r="B5" s="8"/>
      <c r="C5" s="8"/>
      <c r="D5" s="8"/>
      <c r="E5" s="8"/>
    </row>
    <row r="6" customFormat="false" ht="23.85" hidden="false" customHeight="false" outlineLevel="0" collapsed="false">
      <c r="A6" s="43" t="n">
        <f aca="false">'Show Setup'!$B$9</f>
        <v>0.416666666666667</v>
      </c>
      <c r="B6" s="23" t="s">
        <v>480</v>
      </c>
      <c r="C6" s="24" t="s">
        <v>481</v>
      </c>
      <c r="D6" s="24" t="s">
        <v>482</v>
      </c>
      <c r="E6" s="24"/>
    </row>
    <row r="7" customFormat="false" ht="15" hidden="false" customHeight="false" outlineLevel="0" collapsed="false">
      <c r="A7" s="43" t="n">
        <f aca="false">'Show Setup'!$B$9+120/1440</f>
        <v>0.5</v>
      </c>
      <c r="B7" s="23" t="s">
        <v>483</v>
      </c>
      <c r="C7" s="24" t="s">
        <v>484</v>
      </c>
      <c r="D7" s="24"/>
      <c r="E7" s="24"/>
    </row>
    <row r="8" customFormat="false" ht="23.85" hidden="false" customHeight="false" outlineLevel="0" collapsed="false">
      <c r="A8" s="43" t="n">
        <f aca="false">'Show Setup'!$B$11-150/1440</f>
        <v>0.645833333333333</v>
      </c>
      <c r="B8" s="23" t="s">
        <v>485</v>
      </c>
      <c r="C8" s="24" t="s">
        <v>97</v>
      </c>
      <c r="D8" s="24"/>
      <c r="E8" s="24"/>
    </row>
    <row r="9" customFormat="false" ht="23.85" hidden="false" customHeight="false" outlineLevel="0" collapsed="false">
      <c r="A9" s="43" t="n">
        <f aca="false">'Show Setup'!$B$11-120/1440</f>
        <v>0.666666666666667</v>
      </c>
      <c r="B9" s="23" t="s">
        <v>486</v>
      </c>
      <c r="C9" s="24" t="s">
        <v>19</v>
      </c>
      <c r="D9" s="24"/>
      <c r="E9" s="24" t="s">
        <v>487</v>
      </c>
    </row>
    <row r="10" customFormat="false" ht="35.05" hidden="false" customHeight="false" outlineLevel="0" collapsed="false">
      <c r="A10" s="44" t="n">
        <f aca="false">'Show Setup'!$B$10</f>
        <v>0.677083333333333</v>
      </c>
      <c r="B10" s="45" t="s">
        <v>488</v>
      </c>
      <c r="C10" s="46" t="s">
        <v>489</v>
      </c>
      <c r="D10" s="46" t="s">
        <v>490</v>
      </c>
      <c r="E10" s="46" t="s">
        <v>491</v>
      </c>
    </row>
    <row r="11" customFormat="false" ht="35.05" hidden="false" customHeight="false" outlineLevel="0" collapsed="false">
      <c r="A11" s="43" t="n">
        <f aca="false">'Show Setup'!$B$10+15/1440</f>
        <v>0.6875</v>
      </c>
      <c r="B11" s="23" t="s">
        <v>492</v>
      </c>
      <c r="C11" s="24" t="s">
        <v>493</v>
      </c>
      <c r="D11" s="24" t="s">
        <v>494</v>
      </c>
      <c r="E11" s="24" t="s">
        <v>495</v>
      </c>
    </row>
    <row r="12" customFormat="false" ht="46.25" hidden="false" customHeight="false" outlineLevel="0" collapsed="false">
      <c r="A12" s="43" t="n">
        <f aca="false">'Show Setup'!$B$10+30/1440</f>
        <v>0.697916666666667</v>
      </c>
      <c r="B12" s="23" t="s">
        <v>496</v>
      </c>
      <c r="C12" s="24" t="s">
        <v>497</v>
      </c>
      <c r="D12" s="24" t="s">
        <v>490</v>
      </c>
      <c r="E12" s="24" t="s">
        <v>498</v>
      </c>
    </row>
    <row r="13" customFormat="false" ht="23.85" hidden="false" customHeight="false" outlineLevel="0" collapsed="false">
      <c r="A13" s="43" t="n">
        <f aca="false">'Show Setup'!$B$11-60/1440</f>
        <v>0.708333333333333</v>
      </c>
      <c r="B13" s="23" t="s">
        <v>499</v>
      </c>
      <c r="C13" s="24" t="s">
        <v>500</v>
      </c>
      <c r="D13" s="24" t="s">
        <v>501</v>
      </c>
      <c r="E13" s="24"/>
    </row>
    <row r="14" customFormat="false" ht="23.85" hidden="false" customHeight="false" outlineLevel="0" collapsed="false">
      <c r="A14" s="43" t="n">
        <f aca="false">'Show Setup'!$B$11-45/1440</f>
        <v>0.71875</v>
      </c>
      <c r="B14" s="23" t="s">
        <v>502</v>
      </c>
      <c r="C14" s="24" t="s">
        <v>97</v>
      </c>
      <c r="D14" s="24" t="s">
        <v>503</v>
      </c>
      <c r="E14" s="24"/>
    </row>
    <row r="15" customFormat="false" ht="15" hidden="false" customHeight="false" outlineLevel="0" collapsed="false">
      <c r="A15" s="43" t="n">
        <f aca="false">'Show Setup'!$B$11-15/1440</f>
        <v>0.739583333333333</v>
      </c>
      <c r="B15" s="23" t="s">
        <v>504</v>
      </c>
      <c r="C15" s="24" t="s">
        <v>505</v>
      </c>
      <c r="D15" s="24" t="s">
        <v>503</v>
      </c>
      <c r="E15" s="24"/>
    </row>
    <row r="16" customFormat="false" ht="15" hidden="false" customHeight="false" outlineLevel="0" collapsed="false">
      <c r="A16" s="44" t="n">
        <f aca="false">'Show Setup'!$B$11</f>
        <v>0.75</v>
      </c>
      <c r="B16" s="45" t="s">
        <v>506</v>
      </c>
      <c r="C16" s="46" t="s">
        <v>505</v>
      </c>
      <c r="D16" s="46"/>
      <c r="E16" s="46"/>
    </row>
    <row r="17" customFormat="false" ht="23.85" hidden="false" customHeight="false" outlineLevel="0" collapsed="false">
      <c r="A17" s="43" t="n">
        <f aca="false">'Show Setup'!$B$12-10/1440</f>
        <v>0.784722222222222</v>
      </c>
      <c r="B17" s="23" t="s">
        <v>507</v>
      </c>
      <c r="C17" s="24" t="s">
        <v>508</v>
      </c>
      <c r="D17" s="24"/>
      <c r="E17" s="24"/>
    </row>
    <row r="18" customFormat="false" ht="23.85" hidden="false" customHeight="false" outlineLevel="0" collapsed="false">
      <c r="A18" s="43" t="n">
        <f aca="false">'Show Setup'!$B$12-5/1440</f>
        <v>0.788194444444445</v>
      </c>
      <c r="B18" s="23" t="s">
        <v>509</v>
      </c>
      <c r="C18" s="24" t="s">
        <v>455</v>
      </c>
      <c r="D18" s="24" t="s">
        <v>438</v>
      </c>
      <c r="E18" s="24" t="s">
        <v>510</v>
      </c>
    </row>
    <row r="19" customFormat="false" ht="19.5" hidden="false" customHeight="true" outlineLevel="0" collapsed="false">
      <c r="A19" s="7" t="s">
        <v>511</v>
      </c>
      <c r="B19" s="8"/>
      <c r="C19" s="8"/>
      <c r="D19" s="8"/>
      <c r="E19" s="8"/>
    </row>
    <row r="20" customFormat="false" ht="23.85" hidden="false" customHeight="false" outlineLevel="0" collapsed="false">
      <c r="A20" s="43" t="n">
        <f aca="false">'Show Setup'!$B$12</f>
        <v>0.791666666666667</v>
      </c>
      <c r="B20" s="26" t="str">
        <f aca="false">IF(INDEX('Bout Card'!$D$8:$D$37,1)="","Bout 1: (not set)","Bout 1"&amp;IF(INDEX('Bout Card'!$B$8:$B$37,1)="",""," ("&amp;INDEX('Bout Card'!$B$8:$B$37,1)&amp;")")&amp;": "&amp;INDEX('Bout Card'!$D$8:$D$37,1)&amp;" vs "&amp;INDEX('Bout Card'!$E$8:$E$37,1)&amp;IF(INDEX('Bout Card'!$C$8:$C$37,1)="",""," · "&amp;INDEX('Bout Card'!$C$8:$C$37,1)))</f>
        <v>Bout 1: (not set)</v>
      </c>
      <c r="C20" s="23" t="s">
        <v>512</v>
      </c>
      <c r="D20" s="23" t="s">
        <v>438</v>
      </c>
      <c r="E20" s="47" t="str">
        <f aca="false">IF(1='Show Setup'!$B$18,"INTERMISSION after this bout: sponsor reads, merch, washrooms","")</f>
        <v/>
      </c>
    </row>
    <row r="21" customFormat="false" ht="23.85" hidden="false" customHeight="false" outlineLevel="0" collapsed="false">
      <c r="A21" s="43" t="n">
        <f aca="false">A20+(IF(OR(LEFT(INDEX('Bout Card'!$C$8:$C$37,1),11)="Amateur MMA",INDEX('Bout Card'!$C$8:$C$37,1)=""),'Show Setup'!$B$16,'Show Setup'!$B$17)+IF(1='Show Setup'!$B$18,'Show Setup'!$B$19,0))/1440</f>
        <v>0.805555555555556</v>
      </c>
      <c r="B21" s="26" t="str">
        <f aca="false">IF(INDEX('Bout Card'!$D$8:$D$37,2)="","Bout 2: (not set)","Bout 2"&amp;IF(INDEX('Bout Card'!$B$8:$B$37,2)="",""," ("&amp;INDEX('Bout Card'!$B$8:$B$37,2)&amp;")")&amp;": "&amp;INDEX('Bout Card'!$D$8:$D$37,2)&amp;" vs "&amp;INDEX('Bout Card'!$E$8:$E$37,2)&amp;IF(INDEX('Bout Card'!$C$8:$C$37,2)="",""," · "&amp;INDEX('Bout Card'!$C$8:$C$37,2)))</f>
        <v>Bout 2: (not set)</v>
      </c>
      <c r="C21" s="23" t="s">
        <v>512</v>
      </c>
      <c r="D21" s="23" t="s">
        <v>438</v>
      </c>
      <c r="E21" s="47" t="str">
        <f aca="false">IF(2='Show Setup'!$B$18,"INTERMISSION after this bout: sponsor reads, merch, washrooms","")</f>
        <v/>
      </c>
    </row>
    <row r="22" customFormat="false" ht="23.85" hidden="false" customHeight="false" outlineLevel="0" collapsed="false">
      <c r="A22" s="43" t="n">
        <f aca="false">A21+(IF(OR(LEFT(INDEX('Bout Card'!$C$8:$C$37,2),11)="Amateur MMA",INDEX('Bout Card'!$C$8:$C$37,2)=""),'Show Setup'!$B$16,'Show Setup'!$B$17)+IF(2='Show Setup'!$B$18,'Show Setup'!$B$19,0))/1440</f>
        <v>0.819444444444445</v>
      </c>
      <c r="B22" s="26" t="str">
        <f aca="false">IF(INDEX('Bout Card'!$D$8:$D$37,3)="","Bout 3: (not set)","Bout 3"&amp;IF(INDEX('Bout Card'!$B$8:$B$37,3)="",""," ("&amp;INDEX('Bout Card'!$B$8:$B$37,3)&amp;")")&amp;": "&amp;INDEX('Bout Card'!$D$8:$D$37,3)&amp;" vs "&amp;INDEX('Bout Card'!$E$8:$E$37,3)&amp;IF(INDEX('Bout Card'!$C$8:$C$37,3)="",""," · "&amp;INDEX('Bout Card'!$C$8:$C$37,3)))</f>
        <v>Bout 3: (not set)</v>
      </c>
      <c r="C22" s="23" t="s">
        <v>512</v>
      </c>
      <c r="D22" s="23" t="s">
        <v>438</v>
      </c>
      <c r="E22" s="47" t="str">
        <f aca="false">IF(3='Show Setup'!$B$18,"INTERMISSION after this bout: sponsor reads, merch, washrooms","")</f>
        <v/>
      </c>
    </row>
    <row r="23" customFormat="false" ht="23.85" hidden="false" customHeight="false" outlineLevel="0" collapsed="false">
      <c r="A23" s="43" t="n">
        <f aca="false">A22+(IF(OR(LEFT(INDEX('Bout Card'!$C$8:$C$37,3),11)="Amateur MMA",INDEX('Bout Card'!$C$8:$C$37,3)=""),'Show Setup'!$B$16,'Show Setup'!$B$17)+IF(3='Show Setup'!$B$18,'Show Setup'!$B$19,0))/1440</f>
        <v>0.833333333333333</v>
      </c>
      <c r="B23" s="26" t="str">
        <f aca="false">IF(INDEX('Bout Card'!$D$8:$D$37,4)="","Bout 4: (not set)","Bout 4"&amp;IF(INDEX('Bout Card'!$B$8:$B$37,4)="",""," ("&amp;INDEX('Bout Card'!$B$8:$B$37,4)&amp;")")&amp;": "&amp;INDEX('Bout Card'!$D$8:$D$37,4)&amp;" vs "&amp;INDEX('Bout Card'!$E$8:$E$37,4)&amp;IF(INDEX('Bout Card'!$C$8:$C$37,4)="",""," · "&amp;INDEX('Bout Card'!$C$8:$C$37,4)))</f>
        <v>Bout 4: (not set)</v>
      </c>
      <c r="C23" s="23" t="s">
        <v>512</v>
      </c>
      <c r="D23" s="23" t="s">
        <v>438</v>
      </c>
      <c r="E23" s="47" t="str">
        <f aca="false">IF(4='Show Setup'!$B$18,"INTERMISSION after this bout: sponsor reads, merch, washrooms","")</f>
        <v/>
      </c>
    </row>
    <row r="24" customFormat="false" ht="23.85" hidden="false" customHeight="false" outlineLevel="0" collapsed="false">
      <c r="A24" s="43" t="n">
        <f aca="false">A23+(IF(OR(LEFT(INDEX('Bout Card'!$C$8:$C$37,4),11)="Amateur MMA",INDEX('Bout Card'!$C$8:$C$37,4)=""),'Show Setup'!$B$16,'Show Setup'!$B$17)+IF(4='Show Setup'!$B$18,'Show Setup'!$B$19,0))/1440</f>
        <v>0.847222222222222</v>
      </c>
      <c r="B24" s="26" t="str">
        <f aca="false">IF(INDEX('Bout Card'!$D$8:$D$37,5)="","Bout 5: (not set)","Bout 5"&amp;IF(INDEX('Bout Card'!$B$8:$B$37,5)="",""," ("&amp;INDEX('Bout Card'!$B$8:$B$37,5)&amp;")")&amp;": "&amp;INDEX('Bout Card'!$D$8:$D$37,5)&amp;" vs "&amp;INDEX('Bout Card'!$E$8:$E$37,5)&amp;IF(INDEX('Bout Card'!$C$8:$C$37,5)="",""," · "&amp;INDEX('Bout Card'!$C$8:$C$37,5)))</f>
        <v>Bout 5: (not set)</v>
      </c>
      <c r="C24" s="23" t="s">
        <v>512</v>
      </c>
      <c r="D24" s="23" t="s">
        <v>438</v>
      </c>
      <c r="E24" s="47" t="str">
        <f aca="false">IF(5='Show Setup'!$B$18,"INTERMISSION after this bout: sponsor reads, merch, washrooms","")</f>
        <v>INTERMISSION after this bout: sponsor reads, merch, washrooms</v>
      </c>
    </row>
    <row r="25" customFormat="false" ht="23.85" hidden="false" customHeight="false" outlineLevel="0" collapsed="false">
      <c r="A25" s="43" t="n">
        <f aca="false">A24+(IF(OR(LEFT(INDEX('Bout Card'!$C$8:$C$37,5),11)="Amateur MMA",INDEX('Bout Card'!$C$8:$C$37,5)=""),'Show Setup'!$B$16,'Show Setup'!$B$17)+IF(5='Show Setup'!$B$18,'Show Setup'!$B$19,0))/1440</f>
        <v>0.875</v>
      </c>
      <c r="B25" s="26" t="str">
        <f aca="false">IF(INDEX('Bout Card'!$D$8:$D$37,6)="","Bout 6: (not set)","Bout 6"&amp;IF(INDEX('Bout Card'!$B$8:$B$37,6)="",""," ("&amp;INDEX('Bout Card'!$B$8:$B$37,6)&amp;")")&amp;": "&amp;INDEX('Bout Card'!$D$8:$D$37,6)&amp;" vs "&amp;INDEX('Bout Card'!$E$8:$E$37,6)&amp;IF(INDEX('Bout Card'!$C$8:$C$37,6)="",""," · "&amp;INDEX('Bout Card'!$C$8:$C$37,6)))</f>
        <v>Bout 6: (not set)</v>
      </c>
      <c r="C25" s="23" t="s">
        <v>512</v>
      </c>
      <c r="D25" s="23" t="s">
        <v>438</v>
      </c>
      <c r="E25" s="47" t="str">
        <f aca="false">IF(6='Show Setup'!$B$18,"INTERMISSION after this bout: sponsor reads, merch, washrooms","")</f>
        <v/>
      </c>
    </row>
    <row r="26" customFormat="false" ht="23.85" hidden="false" customHeight="false" outlineLevel="0" collapsed="false">
      <c r="A26" s="43" t="n">
        <f aca="false">A25+(IF(OR(LEFT(INDEX('Bout Card'!$C$8:$C$37,6),11)="Amateur MMA",INDEX('Bout Card'!$C$8:$C$37,6)=""),'Show Setup'!$B$16,'Show Setup'!$B$17)+IF(6='Show Setup'!$B$18,'Show Setup'!$B$19,0))/1440</f>
        <v>0.888888888888889</v>
      </c>
      <c r="B26" s="26" t="str">
        <f aca="false">IF(INDEX('Bout Card'!$D$8:$D$37,7)="","Bout 7: (not set)","Bout 7"&amp;IF(INDEX('Bout Card'!$B$8:$B$37,7)="",""," ("&amp;INDEX('Bout Card'!$B$8:$B$37,7)&amp;")")&amp;": "&amp;INDEX('Bout Card'!$D$8:$D$37,7)&amp;" vs "&amp;INDEX('Bout Card'!$E$8:$E$37,7)&amp;IF(INDEX('Bout Card'!$C$8:$C$37,7)="",""," · "&amp;INDEX('Bout Card'!$C$8:$C$37,7)))</f>
        <v>Bout 7: (not set)</v>
      </c>
      <c r="C26" s="23" t="s">
        <v>512</v>
      </c>
      <c r="D26" s="23" t="s">
        <v>438</v>
      </c>
      <c r="E26" s="47" t="str">
        <f aca="false">IF(7='Show Setup'!$B$18,"INTERMISSION after this bout: sponsor reads, merch, washrooms","")</f>
        <v/>
      </c>
    </row>
    <row r="27" customFormat="false" ht="23.85" hidden="false" customHeight="false" outlineLevel="0" collapsed="false">
      <c r="A27" s="43" t="n">
        <f aca="false">A26+(IF(OR(LEFT(INDEX('Bout Card'!$C$8:$C$37,7),11)="Amateur MMA",INDEX('Bout Card'!$C$8:$C$37,7)=""),'Show Setup'!$B$16,'Show Setup'!$B$17)+IF(7='Show Setup'!$B$18,'Show Setup'!$B$19,0))/1440</f>
        <v>0.902777777777778</v>
      </c>
      <c r="B27" s="26" t="str">
        <f aca="false">IF(INDEX('Bout Card'!$D$8:$D$37,8)="","Bout 8: (not set)","Bout 8"&amp;IF(INDEX('Bout Card'!$B$8:$B$37,8)="",""," ("&amp;INDEX('Bout Card'!$B$8:$B$37,8)&amp;")")&amp;": "&amp;INDEX('Bout Card'!$D$8:$D$37,8)&amp;" vs "&amp;INDEX('Bout Card'!$E$8:$E$37,8)&amp;IF(INDEX('Bout Card'!$C$8:$C$37,8)="",""," · "&amp;INDEX('Bout Card'!$C$8:$C$37,8)))</f>
        <v>Bout 8: (not set)</v>
      </c>
      <c r="C27" s="23" t="s">
        <v>512</v>
      </c>
      <c r="D27" s="23" t="s">
        <v>438</v>
      </c>
      <c r="E27" s="47" t="str">
        <f aca="false">IF(8='Show Setup'!$B$18,"INTERMISSION after this bout: sponsor reads, merch, washrooms","")</f>
        <v/>
      </c>
    </row>
    <row r="28" customFormat="false" ht="23.85" hidden="false" customHeight="false" outlineLevel="0" collapsed="false">
      <c r="A28" s="43" t="n">
        <f aca="false">A27+(IF(OR(LEFT(INDEX('Bout Card'!$C$8:$C$37,8),11)="Amateur MMA",INDEX('Bout Card'!$C$8:$C$37,8)=""),'Show Setup'!$B$16,'Show Setup'!$B$17)+IF(8='Show Setup'!$B$18,'Show Setup'!$B$19,0))/1440</f>
        <v>0.916666666666667</v>
      </c>
      <c r="B28" s="26" t="str">
        <f aca="false">IF(INDEX('Bout Card'!$D$8:$D$37,9)="","Bout 9: (not set)","Bout 9"&amp;IF(INDEX('Bout Card'!$B$8:$B$37,9)="",""," ("&amp;INDEX('Bout Card'!$B$8:$B$37,9)&amp;")")&amp;": "&amp;INDEX('Bout Card'!$D$8:$D$37,9)&amp;" vs "&amp;INDEX('Bout Card'!$E$8:$E$37,9)&amp;IF(INDEX('Bout Card'!$C$8:$C$37,9)="",""," · "&amp;INDEX('Bout Card'!$C$8:$C$37,9)))</f>
        <v>Bout 9: (not set)</v>
      </c>
      <c r="C28" s="23" t="s">
        <v>512</v>
      </c>
      <c r="D28" s="23" t="s">
        <v>438</v>
      </c>
      <c r="E28" s="47" t="str">
        <f aca="false">IF(9='Show Setup'!$B$18,"INTERMISSION after this bout: sponsor reads, merch, washrooms","")</f>
        <v/>
      </c>
    </row>
    <row r="29" customFormat="false" ht="23.85" hidden="false" customHeight="false" outlineLevel="0" collapsed="false">
      <c r="A29" s="43" t="n">
        <f aca="false">A28+(IF(OR(LEFT(INDEX('Bout Card'!$C$8:$C$37,9),11)="Amateur MMA",INDEX('Bout Card'!$C$8:$C$37,9)=""),'Show Setup'!$B$16,'Show Setup'!$B$17)+IF(9='Show Setup'!$B$18,'Show Setup'!$B$19,0))/1440</f>
        <v>0.930555555555556</v>
      </c>
      <c r="B29" s="26" t="str">
        <f aca="false">IF(INDEX('Bout Card'!$D$8:$D$37,10)="","Bout 10: (not set)","Bout 10"&amp;IF(INDEX('Bout Card'!$B$8:$B$37,10)="",""," ("&amp;INDEX('Bout Card'!$B$8:$B$37,10)&amp;")")&amp;": "&amp;INDEX('Bout Card'!$D$8:$D$37,10)&amp;" vs "&amp;INDEX('Bout Card'!$E$8:$E$37,10)&amp;IF(INDEX('Bout Card'!$C$8:$C$37,10)="",""," · "&amp;INDEX('Bout Card'!$C$8:$C$37,10)))</f>
        <v>Bout 10: (not set)</v>
      </c>
      <c r="C29" s="23" t="s">
        <v>512</v>
      </c>
      <c r="D29" s="23" t="s">
        <v>438</v>
      </c>
      <c r="E29" s="47" t="str">
        <f aca="false">IF(10='Show Setup'!$B$18,"INTERMISSION after this bout: sponsor reads, merch, washrooms","")</f>
        <v/>
      </c>
    </row>
    <row r="30" customFormat="false" ht="23.85" hidden="false" customHeight="false" outlineLevel="0" collapsed="false">
      <c r="A30" s="43" t="n">
        <f aca="false">A29+(IF(OR(LEFT(INDEX('Bout Card'!$C$8:$C$37,10),11)="Amateur MMA",INDEX('Bout Card'!$C$8:$C$37,10)=""),'Show Setup'!$B$16,'Show Setup'!$B$17)+IF(10='Show Setup'!$B$18,'Show Setup'!$B$19,0))/1440</f>
        <v>0.944444444444445</v>
      </c>
      <c r="B30" s="26" t="str">
        <f aca="false">IF(INDEX('Bout Card'!$D$8:$D$37,11)="","Bout 11: (not set)","Bout 11"&amp;IF(INDEX('Bout Card'!$B$8:$B$37,11)="",""," ("&amp;INDEX('Bout Card'!$B$8:$B$37,11)&amp;")")&amp;": "&amp;INDEX('Bout Card'!$D$8:$D$37,11)&amp;" vs "&amp;INDEX('Bout Card'!$E$8:$E$37,11)&amp;IF(INDEX('Bout Card'!$C$8:$C$37,11)="",""," · "&amp;INDEX('Bout Card'!$C$8:$C$37,11)))</f>
        <v>Bout 11: (not set)</v>
      </c>
      <c r="C30" s="23" t="s">
        <v>512</v>
      </c>
      <c r="D30" s="23" t="s">
        <v>438</v>
      </c>
      <c r="E30" s="47" t="str">
        <f aca="false">IF(11='Show Setup'!$B$18,"INTERMISSION after this bout: sponsor reads, merch, washrooms","")</f>
        <v/>
      </c>
    </row>
    <row r="31" customFormat="false" ht="23.85" hidden="false" customHeight="false" outlineLevel="0" collapsed="false">
      <c r="A31" s="43" t="n">
        <f aca="false">A30+(IF(OR(LEFT(INDEX('Bout Card'!$C$8:$C$37,11),11)="Amateur MMA",INDEX('Bout Card'!$C$8:$C$37,11)=""),'Show Setup'!$B$16,'Show Setup'!$B$17)+IF(11='Show Setup'!$B$18,'Show Setup'!$B$19,0))/1440</f>
        <v>0.958333333333333</v>
      </c>
      <c r="B31" s="26" t="str">
        <f aca="false">IF(INDEX('Bout Card'!$D$8:$D$37,12)="","Bout 12: (not set)","Bout 12"&amp;IF(INDEX('Bout Card'!$B$8:$B$37,12)="",""," ("&amp;INDEX('Bout Card'!$B$8:$B$37,12)&amp;")")&amp;": "&amp;INDEX('Bout Card'!$D$8:$D$37,12)&amp;" vs "&amp;INDEX('Bout Card'!$E$8:$E$37,12)&amp;IF(INDEX('Bout Card'!$C$8:$C$37,12)="",""," · "&amp;INDEX('Bout Card'!$C$8:$C$37,12)))</f>
        <v>Bout 12: (not set)</v>
      </c>
      <c r="C31" s="23" t="s">
        <v>512</v>
      </c>
      <c r="D31" s="23" t="s">
        <v>438</v>
      </c>
      <c r="E31" s="47" t="str">
        <f aca="false">IF(12='Show Setup'!$B$18,"INTERMISSION after this bout: sponsor reads, merch, washrooms","")</f>
        <v/>
      </c>
    </row>
    <row r="32" customFormat="false" ht="15" hidden="false" customHeight="true" outlineLevel="0" collapsed="false">
      <c r="B32" s="38" t="s">
        <v>513</v>
      </c>
      <c r="C32" s="38"/>
      <c r="D32" s="38"/>
      <c r="E32" s="38"/>
    </row>
    <row r="33" customFormat="false" ht="19.5" hidden="false" customHeight="true" outlineLevel="0" collapsed="false">
      <c r="A33" s="7" t="s">
        <v>514</v>
      </c>
      <c r="B33" s="8"/>
      <c r="C33" s="8"/>
      <c r="D33" s="8"/>
      <c r="E33" s="8"/>
    </row>
    <row r="34" customFormat="false" ht="23.85" hidden="false" customHeight="false" outlineLevel="0" collapsed="false">
      <c r="A34" s="43" t="n">
        <f aca="false">IF(SUMPRODUCT(MAX(ISERROR(SEARCH("(not set)",B20:B31))*A20:A31))=0,A20,SUMPRODUCT(MAX(ISERROR(SEARCH("(not set)",B20:B31))*A20:A31)))+'Show Setup'!$B$16/1440</f>
        <v>0.805555555555556</v>
      </c>
      <c r="B34" s="23" t="s">
        <v>515</v>
      </c>
      <c r="C34" s="24" t="s">
        <v>516</v>
      </c>
      <c r="D34" s="24" t="s">
        <v>438</v>
      </c>
      <c r="E34" s="24"/>
    </row>
    <row r="35" customFormat="false" ht="15" hidden="false" customHeight="false" outlineLevel="0" collapsed="false">
      <c r="A35" s="43" t="n">
        <f aca="false">A34+10/1440</f>
        <v>0.8125</v>
      </c>
      <c r="B35" s="23" t="s">
        <v>517</v>
      </c>
      <c r="C35" s="24" t="s">
        <v>508</v>
      </c>
      <c r="D35" s="24"/>
      <c r="E35" s="24"/>
    </row>
    <row r="36" customFormat="false" ht="35.05" hidden="false" customHeight="false" outlineLevel="0" collapsed="false">
      <c r="A36" s="43" t="n">
        <f aca="false">A35+15/1440</f>
        <v>0.822916666666667</v>
      </c>
      <c r="B36" s="23" t="s">
        <v>518</v>
      </c>
      <c r="C36" s="24" t="s">
        <v>519</v>
      </c>
      <c r="D36" s="24"/>
      <c r="E36" s="24"/>
    </row>
    <row r="37" customFormat="false" ht="23.85" hidden="false" customHeight="false" outlineLevel="0" collapsed="false">
      <c r="A37" s="43" t="n">
        <f aca="false">A36+20/1440</f>
        <v>0.836805555555556</v>
      </c>
      <c r="B37" s="23" t="s">
        <v>520</v>
      </c>
      <c r="C37" s="24" t="s">
        <v>481</v>
      </c>
      <c r="D37" s="24"/>
      <c r="E37" s="24"/>
    </row>
  </sheetData>
  <mergeCells count="3">
    <mergeCell ref="A1:E1"/>
    <mergeCell ref="A2:E2"/>
    <mergeCell ref="B32:E3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J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18"/>
    <col collapsed="false" customWidth="true" hidden="false" outlineLevel="0" max="4" min="4" style="0" width="40"/>
    <col collapsed="false" customWidth="true" hidden="false" outlineLevel="0" max="7" min="5" style="0" width="11"/>
    <col collapsed="false" customWidth="true" hidden="false" outlineLevel="0" max="8" min="8" style="0" width="10"/>
    <col collapsed="false" customWidth="true" hidden="false" outlineLevel="0" max="10" min="9" style="0" width="30"/>
  </cols>
  <sheetData>
    <row r="1" customFormat="false" ht="30" hidden="false" customHeight="true" outlineLevel="0" collapsed="false">
      <c r="A1" s="1" t="s">
        <v>521</v>
      </c>
      <c r="B1" s="1"/>
      <c r="C1" s="1"/>
      <c r="D1" s="1"/>
      <c r="E1" s="1"/>
      <c r="F1" s="1"/>
      <c r="G1" s="1"/>
      <c r="H1" s="1"/>
      <c r="I1" s="1"/>
      <c r="J1" s="1"/>
    </row>
    <row r="2" customFormat="false" ht="33.75" hidden="false" customHeight="true" outlineLevel="0" collapsed="false">
      <c r="A2" s="2" t="s">
        <v>522</v>
      </c>
      <c r="B2" s="2"/>
      <c r="C2" s="2"/>
      <c r="D2" s="2"/>
      <c r="E2" s="2"/>
      <c r="F2" s="2"/>
      <c r="G2" s="2"/>
      <c r="H2" s="2"/>
      <c r="I2" s="2"/>
      <c r="J2" s="2"/>
    </row>
    <row r="4" customFormat="false" ht="33.75" hidden="false" customHeight="true" outlineLevel="0" collapsed="false">
      <c r="A4" s="21" t="s">
        <v>523</v>
      </c>
      <c r="B4" s="21" t="s">
        <v>524</v>
      </c>
      <c r="C4" s="21" t="s">
        <v>90</v>
      </c>
      <c r="D4" s="21" t="s">
        <v>525</v>
      </c>
      <c r="E4" s="21" t="s">
        <v>526</v>
      </c>
      <c r="F4" s="21" t="s">
        <v>527</v>
      </c>
      <c r="G4" s="21" t="s">
        <v>528</v>
      </c>
      <c r="H4" s="21" t="s">
        <v>529</v>
      </c>
      <c r="I4" s="21" t="s">
        <v>95</v>
      </c>
      <c r="J4" s="21" t="s">
        <v>155</v>
      </c>
    </row>
    <row r="5" customFormat="false" ht="42" hidden="false" customHeight="true" outlineLevel="0" collapsed="false">
      <c r="A5" s="23" t="s">
        <v>530</v>
      </c>
      <c r="B5" s="23" t="s">
        <v>531</v>
      </c>
      <c r="C5" s="23" t="s">
        <v>532</v>
      </c>
      <c r="D5" s="23" t="s">
        <v>533</v>
      </c>
      <c r="E5" s="30"/>
      <c r="F5" s="30"/>
      <c r="G5" s="30"/>
      <c r="H5" s="24"/>
      <c r="I5" s="24" t="s">
        <v>534</v>
      </c>
      <c r="J5" s="23" t="s">
        <v>535</v>
      </c>
    </row>
    <row r="6" customFormat="false" ht="42" hidden="false" customHeight="true" outlineLevel="0" collapsed="false">
      <c r="A6" s="23" t="s">
        <v>536</v>
      </c>
      <c r="B6" s="23" t="s">
        <v>537</v>
      </c>
      <c r="C6" s="23" t="s">
        <v>532</v>
      </c>
      <c r="D6" s="23" t="s">
        <v>538</v>
      </c>
      <c r="E6" s="30"/>
      <c r="F6" s="30"/>
      <c r="G6" s="30"/>
      <c r="H6" s="24"/>
      <c r="I6" s="24" t="s">
        <v>539</v>
      </c>
      <c r="J6" s="23" t="s">
        <v>540</v>
      </c>
    </row>
    <row r="7" customFormat="false" ht="42" hidden="false" customHeight="true" outlineLevel="0" collapsed="false">
      <c r="A7" s="23" t="s">
        <v>541</v>
      </c>
      <c r="B7" s="23" t="s">
        <v>531</v>
      </c>
      <c r="C7" s="23" t="s">
        <v>542</v>
      </c>
      <c r="D7" s="23" t="s">
        <v>543</v>
      </c>
      <c r="E7" s="30"/>
      <c r="F7" s="30"/>
      <c r="G7" s="30"/>
      <c r="H7" s="24"/>
      <c r="I7" s="24" t="s">
        <v>544</v>
      </c>
      <c r="J7" s="23" t="s">
        <v>545</v>
      </c>
    </row>
    <row r="8" customFormat="false" ht="42" hidden="false" customHeight="true" outlineLevel="0" collapsed="false">
      <c r="A8" s="23" t="s">
        <v>546</v>
      </c>
      <c r="B8" s="23" t="s">
        <v>531</v>
      </c>
      <c r="C8" s="23" t="s">
        <v>542</v>
      </c>
      <c r="D8" s="23" t="s">
        <v>547</v>
      </c>
      <c r="E8" s="30"/>
      <c r="F8" s="30"/>
      <c r="G8" s="30"/>
      <c r="H8" s="24"/>
      <c r="I8" s="24" t="s">
        <v>548</v>
      </c>
      <c r="J8" s="23" t="s">
        <v>549</v>
      </c>
    </row>
    <row r="9" customFormat="false" ht="42" hidden="false" customHeight="true" outlineLevel="0" collapsed="false">
      <c r="A9" s="23" t="s">
        <v>550</v>
      </c>
      <c r="B9" s="23" t="s">
        <v>531</v>
      </c>
      <c r="C9" s="23" t="s">
        <v>551</v>
      </c>
      <c r="D9" s="23" t="s">
        <v>552</v>
      </c>
      <c r="E9" s="30"/>
      <c r="F9" s="30"/>
      <c r="G9" s="30"/>
      <c r="H9" s="24"/>
      <c r="I9" s="24" t="s">
        <v>553</v>
      </c>
      <c r="J9" s="23" t="s">
        <v>554</v>
      </c>
    </row>
    <row r="10" customFormat="false" ht="42" hidden="false" customHeight="true" outlineLevel="0" collapsed="false">
      <c r="A10" s="23" t="s">
        <v>555</v>
      </c>
      <c r="B10" s="23" t="s">
        <v>537</v>
      </c>
      <c r="C10" s="23" t="s">
        <v>542</v>
      </c>
      <c r="D10" s="23" t="s">
        <v>556</v>
      </c>
      <c r="E10" s="30"/>
      <c r="F10" s="30"/>
      <c r="G10" s="30"/>
      <c r="H10" s="24"/>
      <c r="I10" s="24" t="s">
        <v>557</v>
      </c>
      <c r="J10" s="23" t="s">
        <v>558</v>
      </c>
    </row>
    <row r="11" customFormat="false" ht="42" hidden="false" customHeight="true" outlineLevel="0" collapsed="false">
      <c r="A11" s="23" t="s">
        <v>559</v>
      </c>
      <c r="B11" s="23" t="s">
        <v>537</v>
      </c>
      <c r="C11" s="23" t="s">
        <v>542</v>
      </c>
      <c r="D11" s="23" t="s">
        <v>560</v>
      </c>
      <c r="E11" s="30"/>
      <c r="F11" s="30"/>
      <c r="G11" s="30"/>
      <c r="H11" s="24"/>
      <c r="I11" s="24" t="s">
        <v>561</v>
      </c>
      <c r="J11" s="23" t="s">
        <v>562</v>
      </c>
    </row>
    <row r="12" customFormat="false" ht="42" hidden="false" customHeight="true" outlineLevel="0" collapsed="false">
      <c r="A12" s="23" t="s">
        <v>563</v>
      </c>
      <c r="B12" s="23" t="s">
        <v>564</v>
      </c>
      <c r="C12" s="23" t="s">
        <v>565</v>
      </c>
      <c r="D12" s="23" t="s">
        <v>566</v>
      </c>
      <c r="E12" s="30"/>
      <c r="F12" s="30"/>
      <c r="G12" s="30"/>
      <c r="H12" s="24"/>
      <c r="I12" s="24" t="s">
        <v>567</v>
      </c>
      <c r="J12" s="23" t="s">
        <v>568</v>
      </c>
    </row>
    <row r="13" customFormat="false" ht="42" hidden="false" customHeight="true" outlineLevel="0" collapsed="false">
      <c r="A13" s="23" t="s">
        <v>569</v>
      </c>
      <c r="B13" s="23" t="s">
        <v>564</v>
      </c>
      <c r="C13" s="23" t="s">
        <v>570</v>
      </c>
      <c r="D13" s="23" t="s">
        <v>571</v>
      </c>
      <c r="E13" s="30"/>
      <c r="F13" s="30"/>
      <c r="G13" s="30"/>
      <c r="H13" s="24"/>
      <c r="I13" s="24" t="s">
        <v>572</v>
      </c>
      <c r="J13" s="23" t="s">
        <v>573</v>
      </c>
    </row>
    <row r="14" customFormat="false" ht="42" hidden="false" customHeight="true" outlineLevel="0" collapsed="false">
      <c r="A14" s="23" t="s">
        <v>574</v>
      </c>
      <c r="B14" s="23" t="s">
        <v>564</v>
      </c>
      <c r="C14" s="23" t="s">
        <v>570</v>
      </c>
      <c r="D14" s="23" t="s">
        <v>575</v>
      </c>
      <c r="E14" s="30"/>
      <c r="F14" s="30"/>
      <c r="G14" s="30"/>
      <c r="H14" s="24"/>
      <c r="I14" s="24" t="s">
        <v>576</v>
      </c>
      <c r="J14" s="23" t="s">
        <v>577</v>
      </c>
    </row>
    <row r="15" customFormat="false" ht="42" hidden="false" customHeight="true" outlineLevel="0" collapsed="false">
      <c r="A15" s="23" t="s">
        <v>578</v>
      </c>
      <c r="B15" s="23" t="s">
        <v>579</v>
      </c>
      <c r="C15" s="23" t="s">
        <v>580</v>
      </c>
      <c r="D15" s="23" t="s">
        <v>581</v>
      </c>
      <c r="E15" s="30"/>
      <c r="F15" s="30"/>
      <c r="G15" s="30"/>
      <c r="H15" s="24"/>
      <c r="I15" s="24" t="s">
        <v>582</v>
      </c>
      <c r="J15" s="23" t="s">
        <v>583</v>
      </c>
    </row>
    <row r="16" customFormat="false" ht="42" hidden="false" customHeight="true" outlineLevel="0" collapsed="false">
      <c r="A16" s="23" t="s">
        <v>584</v>
      </c>
      <c r="B16" s="23" t="s">
        <v>531</v>
      </c>
      <c r="C16" s="23" t="s">
        <v>585</v>
      </c>
      <c r="D16" s="23" t="s">
        <v>586</v>
      </c>
      <c r="E16" s="30"/>
      <c r="F16" s="30"/>
      <c r="G16" s="30"/>
      <c r="H16" s="24"/>
      <c r="I16" s="24" t="s">
        <v>587</v>
      </c>
      <c r="J16" s="23" t="s">
        <v>588</v>
      </c>
    </row>
    <row r="17" customFormat="false" ht="42" hidden="false" customHeight="true" outlineLevel="0" collapsed="false">
      <c r="A17" s="23" t="s">
        <v>589</v>
      </c>
      <c r="B17" s="23" t="s">
        <v>564</v>
      </c>
      <c r="C17" s="23" t="s">
        <v>590</v>
      </c>
      <c r="D17" s="23" t="s">
        <v>591</v>
      </c>
      <c r="E17" s="30"/>
      <c r="F17" s="30"/>
      <c r="G17" s="30"/>
      <c r="H17" s="24"/>
      <c r="I17" s="24" t="s">
        <v>592</v>
      </c>
      <c r="J17" s="23" t="s">
        <v>593</v>
      </c>
    </row>
    <row r="18" customFormat="false" ht="42" hidden="false" customHeight="true" outlineLevel="0" collapsed="false">
      <c r="A18" s="23" t="s">
        <v>594</v>
      </c>
      <c r="B18" s="23" t="s">
        <v>595</v>
      </c>
      <c r="C18" s="23" t="s">
        <v>596</v>
      </c>
      <c r="D18" s="23" t="s">
        <v>597</v>
      </c>
      <c r="E18" s="30"/>
      <c r="F18" s="30"/>
      <c r="G18" s="30"/>
      <c r="H18" s="24"/>
      <c r="I18" s="24" t="s">
        <v>598</v>
      </c>
      <c r="J18" s="23" t="s">
        <v>599</v>
      </c>
    </row>
    <row r="19" customFormat="false" ht="42" hidden="false" customHeight="true" outlineLevel="0" collapsed="false">
      <c r="A19" s="23" t="s">
        <v>600</v>
      </c>
      <c r="B19" s="23" t="s">
        <v>537</v>
      </c>
      <c r="C19" s="23" t="s">
        <v>601</v>
      </c>
      <c r="D19" s="23" t="s">
        <v>602</v>
      </c>
      <c r="E19" s="30"/>
      <c r="F19" s="30"/>
      <c r="G19" s="30"/>
      <c r="H19" s="24"/>
      <c r="I19" s="24" t="s">
        <v>603</v>
      </c>
      <c r="J19" s="23" t="s">
        <v>604</v>
      </c>
    </row>
    <row r="20" customFormat="false" ht="42" hidden="false" customHeight="true" outlineLevel="0" collapsed="false">
      <c r="A20" s="23" t="s">
        <v>605</v>
      </c>
      <c r="B20" s="23" t="s">
        <v>564</v>
      </c>
      <c r="C20" s="23" t="s">
        <v>606</v>
      </c>
      <c r="D20" s="23" t="s">
        <v>607</v>
      </c>
      <c r="E20" s="30"/>
      <c r="F20" s="30"/>
      <c r="G20" s="30"/>
      <c r="H20" s="24"/>
      <c r="I20" s="24" t="s">
        <v>608</v>
      </c>
      <c r="J20" s="23" t="s">
        <v>609</v>
      </c>
    </row>
    <row r="21" customFormat="false" ht="42" hidden="false" customHeight="true" outlineLevel="0" collapsed="false">
      <c r="A21" s="23" t="s">
        <v>610</v>
      </c>
      <c r="B21" s="23" t="s">
        <v>531</v>
      </c>
      <c r="C21" s="23" t="s">
        <v>611</v>
      </c>
      <c r="D21" s="23" t="s">
        <v>612</v>
      </c>
      <c r="E21" s="30"/>
      <c r="F21" s="30"/>
      <c r="G21" s="30"/>
      <c r="H21" s="24"/>
      <c r="I21" s="24" t="s">
        <v>613</v>
      </c>
      <c r="J21" s="23" t="s">
        <v>614</v>
      </c>
    </row>
    <row r="22" customFormat="false" ht="42" hidden="false" customHeight="true" outlineLevel="0" collapsed="false">
      <c r="A22" s="23" t="s">
        <v>615</v>
      </c>
      <c r="B22" s="23" t="s">
        <v>564</v>
      </c>
      <c r="C22" s="23" t="s">
        <v>616</v>
      </c>
      <c r="D22" s="23" t="s">
        <v>617</v>
      </c>
      <c r="E22" s="30"/>
      <c r="F22" s="30"/>
      <c r="G22" s="30"/>
      <c r="H22" s="24"/>
      <c r="I22" s="24" t="s">
        <v>618</v>
      </c>
      <c r="J22" s="23" t="s">
        <v>619</v>
      </c>
    </row>
    <row r="23" customFormat="false" ht="42" hidden="false" customHeight="true" outlineLevel="0" collapsed="false">
      <c r="A23" s="23" t="s">
        <v>620</v>
      </c>
      <c r="B23" s="23" t="s">
        <v>579</v>
      </c>
      <c r="C23" s="23" t="s">
        <v>616</v>
      </c>
      <c r="D23" s="23" t="s">
        <v>621</v>
      </c>
      <c r="E23" s="30"/>
      <c r="F23" s="30"/>
      <c r="G23" s="30"/>
      <c r="H23" s="24"/>
      <c r="I23" s="24" t="s">
        <v>622</v>
      </c>
      <c r="J23" s="23" t="s">
        <v>583</v>
      </c>
    </row>
    <row r="24" customFormat="false" ht="42" hidden="false" customHeight="true" outlineLevel="0" collapsed="false">
      <c r="A24" s="23" t="s">
        <v>623</v>
      </c>
      <c r="B24" s="23" t="s">
        <v>531</v>
      </c>
      <c r="C24" s="23" t="s">
        <v>616</v>
      </c>
      <c r="D24" s="23" t="s">
        <v>624</v>
      </c>
      <c r="E24" s="30"/>
      <c r="F24" s="30"/>
      <c r="G24" s="30"/>
      <c r="H24" s="24"/>
      <c r="I24" s="24" t="s">
        <v>625</v>
      </c>
      <c r="J24" s="23" t="s">
        <v>626</v>
      </c>
    </row>
    <row r="25" customFormat="false" ht="42" hidden="false" customHeight="true" outlineLevel="0" collapsed="false">
      <c r="A25" s="23" t="s">
        <v>627</v>
      </c>
      <c r="B25" s="23" t="s">
        <v>579</v>
      </c>
      <c r="C25" s="23" t="s">
        <v>628</v>
      </c>
      <c r="D25" s="23" t="s">
        <v>629</v>
      </c>
      <c r="E25" s="30"/>
      <c r="F25" s="30"/>
      <c r="G25" s="30"/>
      <c r="H25" s="24"/>
      <c r="I25" s="24" t="s">
        <v>630</v>
      </c>
      <c r="J25" s="23" t="s">
        <v>583</v>
      </c>
    </row>
    <row r="26" customFormat="false" ht="42" hidden="false" customHeight="true" outlineLevel="0" collapsed="false">
      <c r="A26" s="23" t="s">
        <v>631</v>
      </c>
      <c r="B26" s="23" t="s">
        <v>595</v>
      </c>
      <c r="C26" s="23" t="s">
        <v>632</v>
      </c>
      <c r="D26" s="23" t="s">
        <v>633</v>
      </c>
      <c r="E26" s="30"/>
      <c r="F26" s="30"/>
      <c r="G26" s="30"/>
      <c r="H26" s="24"/>
      <c r="I26" s="24" t="s">
        <v>634</v>
      </c>
      <c r="J26" s="23" t="s">
        <v>635</v>
      </c>
    </row>
    <row r="27" customFormat="false" ht="42" hidden="false" customHeight="true" outlineLevel="0" collapsed="false">
      <c r="A27" s="23" t="s">
        <v>636</v>
      </c>
      <c r="B27" s="23" t="s">
        <v>595</v>
      </c>
      <c r="C27" s="23" t="s">
        <v>637</v>
      </c>
      <c r="D27" s="23" t="s">
        <v>638</v>
      </c>
      <c r="E27" s="30"/>
      <c r="F27" s="30"/>
      <c r="G27" s="30"/>
      <c r="H27" s="24"/>
      <c r="I27" s="24" t="s">
        <v>639</v>
      </c>
      <c r="J27" s="23" t="s">
        <v>640</v>
      </c>
    </row>
    <row r="28" customFormat="false" ht="42" hidden="false" customHeight="true" outlineLevel="0" collapsed="false">
      <c r="A28" s="23" t="s">
        <v>641</v>
      </c>
      <c r="B28" s="23" t="s">
        <v>564</v>
      </c>
      <c r="C28" s="23" t="s">
        <v>628</v>
      </c>
      <c r="D28" s="23" t="s">
        <v>642</v>
      </c>
      <c r="E28" s="30"/>
      <c r="F28" s="30"/>
      <c r="G28" s="30"/>
      <c r="H28" s="24"/>
      <c r="I28" s="24" t="s">
        <v>643</v>
      </c>
      <c r="J28" s="23" t="s">
        <v>644</v>
      </c>
    </row>
    <row r="29" customFormat="false" ht="42" hidden="false" customHeight="true" outlineLevel="0" collapsed="false">
      <c r="A29" s="23" t="s">
        <v>645</v>
      </c>
      <c r="B29" s="23" t="s">
        <v>537</v>
      </c>
      <c r="C29" s="23" t="s">
        <v>628</v>
      </c>
      <c r="D29" s="23" t="s">
        <v>646</v>
      </c>
      <c r="E29" s="30"/>
      <c r="F29" s="30"/>
      <c r="G29" s="30"/>
      <c r="H29" s="24"/>
      <c r="I29" s="24" t="s">
        <v>647</v>
      </c>
      <c r="J29" s="23" t="s">
        <v>648</v>
      </c>
    </row>
    <row r="30" customFormat="false" ht="42" hidden="false" customHeight="true" outlineLevel="0" collapsed="false">
      <c r="A30" s="23" t="s">
        <v>649</v>
      </c>
      <c r="B30" s="23" t="s">
        <v>650</v>
      </c>
      <c r="C30" s="23" t="s">
        <v>651</v>
      </c>
      <c r="D30" s="23" t="s">
        <v>652</v>
      </c>
      <c r="E30" s="30"/>
      <c r="F30" s="30"/>
      <c r="G30" s="30"/>
      <c r="H30" s="24"/>
      <c r="I30" s="24" t="s">
        <v>653</v>
      </c>
      <c r="J30" s="23" t="s">
        <v>654</v>
      </c>
    </row>
    <row r="31" customFormat="false" ht="42" hidden="false" customHeight="true" outlineLevel="0" collapsed="false">
      <c r="A31" s="23" t="s">
        <v>655</v>
      </c>
      <c r="B31" s="23" t="s">
        <v>650</v>
      </c>
      <c r="C31" s="23" t="s">
        <v>656</v>
      </c>
      <c r="D31" s="23" t="s">
        <v>657</v>
      </c>
      <c r="E31" s="30"/>
      <c r="F31" s="30"/>
      <c r="G31" s="30"/>
      <c r="H31" s="24"/>
      <c r="I31" s="24" t="s">
        <v>658</v>
      </c>
      <c r="J31" s="23" t="s">
        <v>659</v>
      </c>
    </row>
    <row r="32" customFormat="false" ht="42" hidden="false" customHeight="true" outlineLevel="0" collapsed="false">
      <c r="A32" s="23" t="s">
        <v>660</v>
      </c>
      <c r="B32" s="23" t="s">
        <v>650</v>
      </c>
      <c r="C32" s="23" t="s">
        <v>661</v>
      </c>
      <c r="D32" s="23" t="s">
        <v>662</v>
      </c>
      <c r="E32" s="30"/>
      <c r="F32" s="30"/>
      <c r="G32" s="30"/>
      <c r="H32" s="24"/>
      <c r="I32" s="24" t="s">
        <v>663</v>
      </c>
      <c r="J32" s="23" t="s">
        <v>664</v>
      </c>
    </row>
    <row r="33" customFormat="false" ht="42" hidden="false" customHeight="true" outlineLevel="0" collapsed="false">
      <c r="A33" s="23" t="s">
        <v>665</v>
      </c>
      <c r="B33" s="23" t="s">
        <v>650</v>
      </c>
      <c r="C33" s="23" t="s">
        <v>666</v>
      </c>
      <c r="D33" s="23" t="s">
        <v>667</v>
      </c>
      <c r="E33" s="30"/>
      <c r="F33" s="30"/>
      <c r="G33" s="30"/>
      <c r="H33" s="24"/>
      <c r="I33" s="24" t="s">
        <v>668</v>
      </c>
      <c r="J33" s="23" t="s">
        <v>669</v>
      </c>
    </row>
    <row r="34" customFormat="false" ht="15" hidden="false" customHeight="false" outlineLevel="0" collapsed="false">
      <c r="A34" s="23"/>
      <c r="B34" s="23"/>
      <c r="C34" s="23"/>
      <c r="D34" s="23"/>
      <c r="E34" s="30"/>
      <c r="F34" s="30"/>
      <c r="G34" s="30"/>
      <c r="H34" s="24"/>
      <c r="I34" s="24"/>
      <c r="J34" s="23"/>
    </row>
    <row r="35" customFormat="false" ht="15" hidden="false" customHeight="false" outlineLevel="0" collapsed="false">
      <c r="A35" s="23"/>
      <c r="B35" s="23"/>
      <c r="C35" s="23"/>
      <c r="D35" s="23"/>
      <c r="E35" s="30"/>
      <c r="F35" s="30"/>
      <c r="G35" s="30"/>
      <c r="H35" s="24"/>
      <c r="I35" s="24"/>
      <c r="J35" s="23"/>
    </row>
    <row r="36" customFormat="false" ht="15" hidden="false" customHeight="false" outlineLevel="0" collapsed="false">
      <c r="A36" s="23"/>
      <c r="B36" s="23"/>
      <c r="C36" s="23"/>
      <c r="D36" s="23"/>
      <c r="E36" s="30"/>
      <c r="F36" s="30"/>
      <c r="G36" s="30"/>
      <c r="H36" s="24"/>
      <c r="I36" s="24"/>
      <c r="J36" s="23"/>
    </row>
    <row r="37" customFormat="false" ht="15" hidden="false" customHeight="false" outlineLevel="0" collapsed="false">
      <c r="A37" s="23"/>
      <c r="B37" s="23"/>
      <c r="C37" s="23"/>
      <c r="D37" s="23"/>
      <c r="E37" s="30"/>
      <c r="F37" s="30"/>
      <c r="G37" s="30"/>
      <c r="H37" s="24"/>
      <c r="I37" s="24"/>
      <c r="J37" s="23"/>
    </row>
    <row r="38" customFormat="false" ht="15" hidden="false" customHeight="false" outlineLevel="0" collapsed="false">
      <c r="A38" s="23"/>
      <c r="B38" s="23"/>
      <c r="C38" s="23"/>
      <c r="D38" s="23"/>
      <c r="E38" s="30"/>
      <c r="F38" s="30"/>
      <c r="G38" s="30"/>
      <c r="H38" s="24"/>
      <c r="I38" s="24"/>
      <c r="J38" s="23"/>
    </row>
    <row r="39" customFormat="false" ht="15" hidden="false" customHeight="false" outlineLevel="0" collapsed="false">
      <c r="A39" s="23"/>
      <c r="B39" s="23"/>
      <c r="C39" s="23"/>
      <c r="D39" s="23"/>
      <c r="E39" s="30"/>
      <c r="F39" s="30"/>
      <c r="G39" s="30"/>
      <c r="H39" s="24"/>
      <c r="I39" s="24"/>
      <c r="J39" s="23"/>
    </row>
    <row r="40" customFormat="false" ht="15" hidden="false" customHeight="false" outlineLevel="0" collapsed="false">
      <c r="A40" s="23"/>
      <c r="B40" s="23"/>
      <c r="C40" s="23"/>
      <c r="D40" s="23"/>
      <c r="E40" s="30"/>
      <c r="F40" s="30"/>
      <c r="G40" s="30"/>
      <c r="H40" s="24"/>
      <c r="I40" s="24"/>
      <c r="J40" s="23"/>
    </row>
    <row r="41" customFormat="false" ht="15" hidden="false" customHeight="false" outlineLevel="0" collapsed="false">
      <c r="A41" s="23"/>
      <c r="B41" s="23"/>
      <c r="C41" s="23"/>
      <c r="D41" s="23"/>
      <c r="E41" s="30"/>
      <c r="F41" s="30"/>
      <c r="G41" s="30"/>
      <c r="H41" s="24"/>
      <c r="I41" s="24"/>
      <c r="J41" s="23"/>
    </row>
    <row r="42" customFormat="false" ht="15" hidden="false" customHeight="false" outlineLevel="0" collapsed="false">
      <c r="A42" s="23"/>
      <c r="B42" s="23"/>
      <c r="C42" s="23"/>
      <c r="D42" s="23"/>
      <c r="E42" s="30"/>
      <c r="F42" s="30"/>
      <c r="G42" s="30"/>
      <c r="H42" s="24"/>
      <c r="I42" s="24"/>
      <c r="J42" s="23"/>
    </row>
    <row r="43" customFormat="false" ht="15" hidden="false" customHeight="false" outlineLevel="0" collapsed="false">
      <c r="A43" s="23"/>
      <c r="B43" s="23"/>
      <c r="C43" s="23"/>
      <c r="D43" s="23"/>
      <c r="E43" s="30"/>
      <c r="F43" s="30"/>
      <c r="G43" s="30"/>
      <c r="H43" s="24"/>
      <c r="I43" s="24"/>
      <c r="J43" s="23"/>
    </row>
    <row r="44" customFormat="false" ht="15" hidden="false" customHeight="false" outlineLevel="0" collapsed="false">
      <c r="A44" s="23"/>
      <c r="B44" s="23"/>
      <c r="C44" s="23"/>
      <c r="D44" s="23"/>
      <c r="E44" s="30"/>
      <c r="F44" s="30"/>
      <c r="G44" s="30"/>
      <c r="H44" s="24"/>
      <c r="I44" s="24"/>
      <c r="J44" s="23"/>
    </row>
    <row r="45" customFormat="false" ht="15" hidden="false" customHeight="false" outlineLevel="0" collapsed="false">
      <c r="A45" s="23"/>
      <c r="B45" s="23"/>
      <c r="C45" s="23"/>
      <c r="D45" s="23"/>
      <c r="E45" s="30"/>
      <c r="F45" s="30"/>
      <c r="G45" s="30"/>
      <c r="H45" s="24"/>
      <c r="I45" s="24"/>
      <c r="J45" s="23"/>
    </row>
    <row r="46" customFormat="false" ht="15" hidden="false" customHeight="false" outlineLevel="0" collapsed="false">
      <c r="A46" s="23"/>
      <c r="B46" s="23"/>
      <c r="C46" s="23"/>
      <c r="D46" s="23"/>
      <c r="E46" s="30"/>
      <c r="F46" s="30"/>
      <c r="G46" s="30"/>
      <c r="H46" s="24"/>
      <c r="I46" s="24"/>
      <c r="J46" s="23"/>
    </row>
    <row r="47" customFormat="false" ht="15" hidden="false" customHeight="false" outlineLevel="0" collapsed="false">
      <c r="A47" s="23"/>
      <c r="B47" s="23"/>
      <c r="C47" s="23"/>
      <c r="D47" s="23"/>
      <c r="E47" s="30"/>
      <c r="F47" s="30"/>
      <c r="G47" s="30"/>
      <c r="H47" s="24"/>
      <c r="I47" s="24"/>
      <c r="J47" s="23"/>
    </row>
    <row r="48" customFormat="false" ht="15" hidden="false" customHeight="false" outlineLevel="0" collapsed="false">
      <c r="A48" s="23"/>
      <c r="B48" s="23"/>
      <c r="C48" s="23"/>
      <c r="D48" s="23"/>
      <c r="E48" s="30"/>
      <c r="F48" s="30"/>
      <c r="G48" s="30"/>
      <c r="H48" s="24"/>
      <c r="I48" s="24"/>
      <c r="J48" s="23"/>
    </row>
  </sheetData>
  <autoFilter ref="A4:J48"/>
  <mergeCells count="2">
    <mergeCell ref="A1:J1"/>
    <mergeCell ref="A2:J2"/>
  </mergeCells>
  <dataValidations count="1">
    <dataValidation allowBlank="true" errorStyle="stop" operator="between" showDropDown="false" showErrorMessage="false" showInputMessage="false" sqref="H5:H48"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E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6"/>
    <col collapsed="false" customWidth="true" hidden="false" outlineLevel="0" max="5" min="5" style="0" width="52"/>
  </cols>
  <sheetData>
    <row r="1" customFormat="false" ht="30" hidden="false" customHeight="true" outlineLevel="0" collapsed="false">
      <c r="A1" s="1" t="s">
        <v>670</v>
      </c>
      <c r="B1" s="1"/>
      <c r="C1" s="1"/>
      <c r="D1" s="1"/>
      <c r="E1" s="1"/>
    </row>
    <row r="2" customFormat="false" ht="33.75" hidden="false" customHeight="true" outlineLevel="0" collapsed="false">
      <c r="A2" s="2" t="s">
        <v>671</v>
      </c>
      <c r="B2" s="2"/>
      <c r="C2" s="2"/>
      <c r="D2" s="2"/>
      <c r="E2" s="2"/>
    </row>
    <row r="4" customFormat="false" ht="33.75" hidden="false" customHeight="true" outlineLevel="0" collapsed="false">
      <c r="A4" s="21"/>
      <c r="B4" s="21" t="s">
        <v>672</v>
      </c>
      <c r="C4" s="21" t="s">
        <v>673</v>
      </c>
      <c r="D4" s="21" t="s">
        <v>674</v>
      </c>
      <c r="E4" s="21" t="s">
        <v>675</v>
      </c>
    </row>
    <row r="5" customFormat="false" ht="19.5" hidden="false" customHeight="true" outlineLevel="0" collapsed="false">
      <c r="A5" s="7" t="s">
        <v>676</v>
      </c>
      <c r="B5" s="8"/>
      <c r="C5" s="8"/>
      <c r="D5" s="8"/>
      <c r="E5" s="8"/>
    </row>
    <row r="6" customFormat="false" ht="15" hidden="false" customHeight="false" outlineLevel="0" collapsed="false">
      <c r="A6" s="48" t="s">
        <v>677</v>
      </c>
      <c r="B6" s="49"/>
      <c r="C6" s="49"/>
      <c r="D6" s="50" t="str">
        <f aca="false">IF(OR(B6="",C6=""),"",B6-C6)</f>
        <v/>
      </c>
      <c r="E6" s="51" t="s">
        <v>678</v>
      </c>
    </row>
    <row r="7" customFormat="false" ht="15" hidden="false" customHeight="false" outlineLevel="0" collapsed="false">
      <c r="A7" s="48" t="s">
        <v>679</v>
      </c>
      <c r="B7" s="49"/>
      <c r="C7" s="49"/>
      <c r="D7" s="50" t="str">
        <f aca="false">IF(OR(B7="",C7=""),"",B7-C7)</f>
        <v/>
      </c>
      <c r="E7" s="51" t="s">
        <v>680</v>
      </c>
    </row>
    <row r="8" customFormat="false" ht="15" hidden="false" customHeight="false" outlineLevel="0" collapsed="false">
      <c r="A8" s="48" t="s">
        <v>681</v>
      </c>
      <c r="B8" s="49"/>
      <c r="C8" s="49"/>
      <c r="D8" s="50" t="str">
        <f aca="false">IF(OR(B8="",C8=""),"",B8-C8)</f>
        <v/>
      </c>
      <c r="E8" s="51" t="s">
        <v>682</v>
      </c>
    </row>
    <row r="9" customFormat="false" ht="15" hidden="false" customHeight="false" outlineLevel="0" collapsed="false">
      <c r="A9" s="48" t="s">
        <v>683</v>
      </c>
      <c r="B9" s="49"/>
      <c r="C9" s="49"/>
      <c r="D9" s="50" t="str">
        <f aca="false">IF(OR(B9="",C9=""),"",B9-C9)</f>
        <v/>
      </c>
      <c r="E9" s="51" t="s">
        <v>684</v>
      </c>
    </row>
    <row r="10" customFormat="false" ht="19.5" hidden="false" customHeight="true" outlineLevel="0" collapsed="false">
      <c r="A10" s="7" t="s">
        <v>685</v>
      </c>
      <c r="B10" s="8"/>
      <c r="C10" s="8"/>
      <c r="D10" s="8"/>
      <c r="E10" s="8"/>
    </row>
    <row r="11" customFormat="false" ht="15" hidden="false" customHeight="false" outlineLevel="0" collapsed="false">
      <c r="A11" s="48" t="s">
        <v>686</v>
      </c>
      <c r="B11" s="41"/>
      <c r="C11" s="41"/>
      <c r="D11" s="52" t="str">
        <f aca="false">IF(OR(B11="",C11=""),"",B11-C11)</f>
        <v/>
      </c>
      <c r="E11" s="51" t="s">
        <v>687</v>
      </c>
    </row>
    <row r="12" customFormat="false" ht="15" hidden="false" customHeight="false" outlineLevel="0" collapsed="false">
      <c r="A12" s="48" t="s">
        <v>688</v>
      </c>
      <c r="B12" s="41"/>
      <c r="C12" s="41"/>
      <c r="D12" s="52" t="str">
        <f aca="false">IF(OR(B12="",C12=""),"",B12-C12)</f>
        <v/>
      </c>
      <c r="E12" s="51" t="s">
        <v>689</v>
      </c>
    </row>
    <row r="13" customFormat="false" ht="15" hidden="false" customHeight="false" outlineLevel="0" collapsed="false">
      <c r="A13" s="48" t="s">
        <v>690</v>
      </c>
      <c r="B13" s="41"/>
      <c r="C13" s="41"/>
      <c r="D13" s="52" t="str">
        <f aca="false">IF(OR(B13="",C13=""),"",B13-C13)</f>
        <v/>
      </c>
      <c r="E13" s="51" t="s">
        <v>691</v>
      </c>
    </row>
    <row r="14" customFormat="false" ht="15" hidden="false" customHeight="false" outlineLevel="0" collapsed="false">
      <c r="A14" s="48" t="s">
        <v>692</v>
      </c>
      <c r="B14" s="41"/>
      <c r="C14" s="41"/>
      <c r="D14" s="52" t="str">
        <f aca="false">IF(OR(B14="",C14=""),"",B14-C14)</f>
        <v/>
      </c>
      <c r="E14" s="51" t="s">
        <v>693</v>
      </c>
    </row>
    <row r="15" customFormat="false" ht="15" hidden="false" customHeight="false" outlineLevel="0" collapsed="false">
      <c r="A15" s="48" t="s">
        <v>694</v>
      </c>
      <c r="B15" s="41"/>
      <c r="C15" s="41"/>
      <c r="D15" s="52" t="str">
        <f aca="false">IF(OR(B15="",C15=""),"",B15-C15)</f>
        <v/>
      </c>
      <c r="E15" s="51" t="s">
        <v>695</v>
      </c>
    </row>
    <row r="16" customFormat="false" ht="15" hidden="false" customHeight="false" outlineLevel="0" collapsed="false">
      <c r="A16" s="53" t="s">
        <v>696</v>
      </c>
      <c r="B16" s="54" t="n">
        <f aca="false">SUM(B11:B15)</f>
        <v>0</v>
      </c>
      <c r="C16" s="54" t="str">
        <f aca="false">IF(COUNT(C11:C15)=0,"",SUM(C11:C15))</f>
        <v/>
      </c>
      <c r="D16" s="54" t="str">
        <f aca="false">IF(OR(B16="",C16=""),"",B16-C16)</f>
        <v/>
      </c>
      <c r="E16" s="51"/>
    </row>
    <row r="17" customFormat="false" ht="19.5" hidden="false" customHeight="true" outlineLevel="0" collapsed="false">
      <c r="A17" s="7" t="s">
        <v>697</v>
      </c>
      <c r="B17" s="8"/>
      <c r="C17" s="8"/>
      <c r="D17" s="8"/>
      <c r="E17" s="8"/>
    </row>
    <row r="18" customFormat="false" ht="15" hidden="false" customHeight="false" outlineLevel="0" collapsed="false">
      <c r="A18" s="48" t="s">
        <v>698</v>
      </c>
      <c r="B18" s="41"/>
      <c r="C18" s="41"/>
      <c r="D18" s="52" t="str">
        <f aca="false">IF(OR(B18="",C18=""),"",B18-C18)</f>
        <v/>
      </c>
      <c r="E18" s="51" t="s">
        <v>699</v>
      </c>
    </row>
    <row r="19" customFormat="false" ht="15" hidden="false" customHeight="false" outlineLevel="0" collapsed="false">
      <c r="A19" s="48" t="s">
        <v>700</v>
      </c>
      <c r="B19" s="41"/>
      <c r="C19" s="41"/>
      <c r="D19" s="52" t="str">
        <f aca="false">IF(OR(B19="",C19=""),"",B19-C19)</f>
        <v/>
      </c>
      <c r="E19" s="51" t="s">
        <v>701</v>
      </c>
    </row>
    <row r="20" customFormat="false" ht="15" hidden="false" customHeight="false" outlineLevel="0" collapsed="false">
      <c r="A20" s="48" t="s">
        <v>438</v>
      </c>
      <c r="B20" s="41"/>
      <c r="C20" s="41"/>
      <c r="D20" s="52" t="str">
        <f aca="false">IF(OR(B20="",C20=""),"",B20-C20)</f>
        <v/>
      </c>
      <c r="E20" s="51" t="s">
        <v>702</v>
      </c>
    </row>
    <row r="21" customFormat="false" ht="15" hidden="false" customHeight="false" outlineLevel="0" collapsed="false">
      <c r="A21" s="48" t="s">
        <v>442</v>
      </c>
      <c r="B21" s="41"/>
      <c r="C21" s="41"/>
      <c r="D21" s="52" t="str">
        <f aca="false">IF(OR(B21="",C21=""),"",B21-C21)</f>
        <v/>
      </c>
      <c r="E21" s="51" t="s">
        <v>702</v>
      </c>
    </row>
    <row r="22" customFormat="false" ht="15" hidden="false" customHeight="false" outlineLevel="0" collapsed="false">
      <c r="A22" s="48" t="s">
        <v>39</v>
      </c>
      <c r="B22" s="41"/>
      <c r="C22" s="41"/>
      <c r="D22" s="52" t="str">
        <f aca="false">IF(OR(B22="",C22=""),"",B22-C22)</f>
        <v/>
      </c>
      <c r="E22" s="51" t="s">
        <v>703</v>
      </c>
    </row>
    <row r="23" customFormat="false" ht="15" hidden="false" customHeight="false" outlineLevel="0" collapsed="false">
      <c r="A23" s="48" t="s">
        <v>704</v>
      </c>
      <c r="B23" s="41"/>
      <c r="C23" s="41"/>
      <c r="D23" s="52" t="str">
        <f aca="false">IF(OR(B23="",C23=""),"",B23-C23)</f>
        <v/>
      </c>
      <c r="E23" s="51" t="s">
        <v>705</v>
      </c>
    </row>
    <row r="24" customFormat="false" ht="15" hidden="false" customHeight="false" outlineLevel="0" collapsed="false">
      <c r="A24" s="48" t="s">
        <v>469</v>
      </c>
      <c r="B24" s="41"/>
      <c r="C24" s="41"/>
      <c r="D24" s="52" t="str">
        <f aca="false">IF(OR(B24="",C24=""),"",B24-C24)</f>
        <v/>
      </c>
      <c r="E24" s="51" t="s">
        <v>702</v>
      </c>
    </row>
    <row r="25" customFormat="false" ht="15" hidden="false" customHeight="false" outlineLevel="0" collapsed="false">
      <c r="A25" s="48" t="s">
        <v>706</v>
      </c>
      <c r="B25" s="41"/>
      <c r="C25" s="41"/>
      <c r="D25" s="52" t="str">
        <f aca="false">IF(OR(B25="",C25=""),"",B25-C25)</f>
        <v/>
      </c>
      <c r="E25" s="51" t="s">
        <v>707</v>
      </c>
    </row>
    <row r="26" customFormat="false" ht="15" hidden="false" customHeight="false" outlineLevel="0" collapsed="false">
      <c r="A26" s="48" t="s">
        <v>708</v>
      </c>
      <c r="B26" s="41"/>
      <c r="C26" s="41"/>
      <c r="D26" s="52" t="str">
        <f aca="false">IF(OR(B26="",C26=""),"",B26-C26)</f>
        <v/>
      </c>
      <c r="E26" s="51" t="s">
        <v>709</v>
      </c>
    </row>
    <row r="27" customFormat="false" ht="15" hidden="false" customHeight="false" outlineLevel="0" collapsed="false">
      <c r="A27" s="48" t="s">
        <v>710</v>
      </c>
      <c r="B27" s="41"/>
      <c r="C27" s="41"/>
      <c r="D27" s="52" t="str">
        <f aca="false">IF(OR(B27="",C27=""),"",B27-C27)</f>
        <v/>
      </c>
      <c r="E27" s="51" t="s">
        <v>709</v>
      </c>
    </row>
    <row r="28" customFormat="false" ht="15" hidden="false" customHeight="false" outlineLevel="0" collapsed="false">
      <c r="A28" s="48" t="s">
        <v>711</v>
      </c>
      <c r="B28" s="41"/>
      <c r="C28" s="41"/>
      <c r="D28" s="52" t="str">
        <f aca="false">IF(OR(B28="",C28=""),"",B28-C28)</f>
        <v/>
      </c>
      <c r="E28" s="51" t="s">
        <v>702</v>
      </c>
    </row>
    <row r="29" customFormat="false" ht="15" hidden="false" customHeight="false" outlineLevel="0" collapsed="false">
      <c r="A29" s="48" t="s">
        <v>712</v>
      </c>
      <c r="B29" s="41"/>
      <c r="C29" s="41"/>
      <c r="D29" s="52" t="str">
        <f aca="false">IF(OR(B29="",C29=""),"",B29-C29)</f>
        <v/>
      </c>
      <c r="E29" s="51" t="s">
        <v>709</v>
      </c>
    </row>
    <row r="30" customFormat="false" ht="15" hidden="false" customHeight="false" outlineLevel="0" collapsed="false">
      <c r="A30" s="48" t="s">
        <v>713</v>
      </c>
      <c r="B30" s="41"/>
      <c r="C30" s="41"/>
      <c r="D30" s="52" t="str">
        <f aca="false">IF(OR(B30="",C30=""),"",B30-C30)</f>
        <v/>
      </c>
      <c r="E30" s="51" t="s">
        <v>703</v>
      </c>
    </row>
    <row r="31" customFormat="false" ht="15" hidden="false" customHeight="false" outlineLevel="0" collapsed="false">
      <c r="A31" s="48" t="s">
        <v>714</v>
      </c>
      <c r="B31" s="41"/>
      <c r="C31" s="41"/>
      <c r="D31" s="52" t="str">
        <f aca="false">IF(OR(B31="",C31=""),"",B31-C31)</f>
        <v/>
      </c>
      <c r="E31" s="51" t="s">
        <v>709</v>
      </c>
    </row>
    <row r="32" customFormat="false" ht="15" hidden="false" customHeight="false" outlineLevel="0" collapsed="false">
      <c r="A32" s="53" t="s">
        <v>715</v>
      </c>
      <c r="B32" s="54" t="n">
        <f aca="false">SUM(B18:B31)</f>
        <v>0</v>
      </c>
      <c r="C32" s="54" t="str">
        <f aca="false">IF(COUNT(C18:C31)=0,"",SUM(C18:C31))</f>
        <v/>
      </c>
      <c r="D32" s="54" t="str">
        <f aca="false">IF(OR(B32="",C32=""),"",B32-C32)</f>
        <v/>
      </c>
      <c r="E32" s="51"/>
    </row>
    <row r="33" customFormat="false" ht="15" hidden="false" customHeight="false" outlineLevel="0" collapsed="false">
      <c r="A33" s="53" t="s">
        <v>716</v>
      </c>
      <c r="B33" s="54" t="n">
        <f aca="false">B16-B32</f>
        <v>0</v>
      </c>
      <c r="C33" s="54" t="str">
        <f aca="false">IF(OR(C16="",C32=""),"",C16-C32)</f>
        <v/>
      </c>
      <c r="D33" s="54" t="str">
        <f aca="false">IF(OR(B33="",C33=""),"",B33-C33)</f>
        <v/>
      </c>
      <c r="E33" s="51" t="s">
        <v>717</v>
      </c>
    </row>
    <row r="35" customFormat="false" ht="19.5" hidden="false" customHeight="true" outlineLevel="0" collapsed="false">
      <c r="A35" s="7" t="s">
        <v>718</v>
      </c>
      <c r="B35" s="8"/>
      <c r="C35" s="8"/>
      <c r="D35" s="8"/>
      <c r="E35" s="8"/>
    </row>
    <row r="36" customFormat="false" ht="15" hidden="false" customHeight="false" outlineLevel="0" collapsed="false">
      <c r="A36" s="48" t="s">
        <v>719</v>
      </c>
      <c r="B36" s="55" t="n">
        <f aca="false">COUNTIF('Bout Card'!$P$8:$P$37,"?*")</f>
        <v>0</v>
      </c>
    </row>
    <row r="37" customFormat="false" ht="15" hidden="false" customHeight="false" outlineLevel="0" collapsed="false">
      <c r="A37" s="48" t="s">
        <v>720</v>
      </c>
      <c r="B37" s="55" t="n">
        <f aca="false">COUNTIF('Bout Card'!$Q$8:$Q$37,"KO")+COUNTIF('Bout Card'!$Q$8:$Q$37,"TKO")+COUNTIF('Bout Card'!$Q$8:$Q$37,"Submission")</f>
        <v>0</v>
      </c>
    </row>
    <row r="38" customFormat="false" ht="15" hidden="false" customHeight="false" outlineLevel="0" collapsed="false">
      <c r="A38" s="48" t="s">
        <v>721</v>
      </c>
      <c r="B38" s="55" t="n">
        <f aca="false">COUNTIF('Bout Card'!$Q$8:$Q$37,"Decision*")</f>
        <v>0</v>
      </c>
    </row>
    <row r="40" customFormat="false" ht="19.5" hidden="false" customHeight="true" outlineLevel="0" collapsed="false">
      <c r="A40" s="7" t="s">
        <v>722</v>
      </c>
      <c r="B40" s="8"/>
      <c r="C40" s="8"/>
      <c r="D40" s="8"/>
      <c r="E40" s="8"/>
    </row>
    <row r="41" customFormat="false" ht="15" hidden="false" customHeight="false" outlineLevel="0" collapsed="false">
      <c r="A41" s="48" t="s">
        <v>723</v>
      </c>
      <c r="B41" s="56"/>
    </row>
    <row r="42" customFormat="false" ht="15" hidden="false" customHeight="false" outlineLevel="0" collapsed="false">
      <c r="A42" s="48" t="s">
        <v>724</v>
      </c>
      <c r="B42" s="56"/>
    </row>
    <row r="43" customFormat="false" ht="15" hidden="false" customHeight="false" outlineLevel="0" collapsed="false">
      <c r="A43" s="48" t="s">
        <v>725</v>
      </c>
      <c r="B43" s="56"/>
    </row>
    <row r="44" customFormat="false" ht="48" hidden="false" customHeight="true" outlineLevel="0" collapsed="false">
      <c r="A44" s="39" t="s">
        <v>726</v>
      </c>
      <c r="B44" s="24"/>
      <c r="C44" s="24"/>
      <c r="D44" s="24"/>
      <c r="E44" s="24"/>
    </row>
    <row r="45" customFormat="false" ht="48" hidden="false" customHeight="true" outlineLevel="0" collapsed="false">
      <c r="A45" s="39" t="s">
        <v>727</v>
      </c>
      <c r="B45" s="24"/>
      <c r="C45" s="24"/>
      <c r="D45" s="24"/>
      <c r="E45" s="24"/>
    </row>
    <row r="46" customFormat="false" ht="48" hidden="false" customHeight="true" outlineLevel="0" collapsed="false">
      <c r="A46" s="39" t="s">
        <v>728</v>
      </c>
      <c r="B46" s="24"/>
      <c r="C46" s="24"/>
      <c r="D46" s="24"/>
      <c r="E46" s="24"/>
    </row>
    <row r="47" customFormat="false" ht="48" hidden="false" customHeight="true" outlineLevel="0" collapsed="false">
      <c r="A47" s="39" t="s">
        <v>729</v>
      </c>
      <c r="B47" s="24"/>
      <c r="C47" s="24"/>
      <c r="D47" s="24"/>
      <c r="E47" s="24"/>
    </row>
  </sheetData>
  <mergeCells count="6">
    <mergeCell ref="A1:E1"/>
    <mergeCell ref="A2:E2"/>
    <mergeCell ref="B44:E44"/>
    <mergeCell ref="B45:E45"/>
    <mergeCell ref="B46:E46"/>
    <mergeCell ref="B47:E47"/>
  </mergeCells>
  <conditionalFormatting sqref="B33:D33">
    <cfRule type="cellIs" priority="2" operator="lessThan" aboveAverage="0" equalAverage="0" bottom="0" percent="0" rank="0" text="" dxfId="12">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D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4"/>
    <col collapsed="false" customWidth="true" hidden="false" outlineLevel="0" max="3" min="3" style="0" width="46"/>
    <col collapsed="false" customWidth="true" hidden="false" outlineLevel="0" max="4" min="4" style="0" width="11"/>
  </cols>
  <sheetData>
    <row r="1" customFormat="false" ht="30" hidden="false" customHeight="true" outlineLevel="0" collapsed="false">
      <c r="A1" s="1" t="s">
        <v>730</v>
      </c>
      <c r="B1" s="1"/>
      <c r="C1" s="1"/>
      <c r="D1" s="1"/>
    </row>
    <row r="2" customFormat="false" ht="33.75" hidden="false" customHeight="true" outlineLevel="0" collapsed="false">
      <c r="A2" s="2" t="s">
        <v>731</v>
      </c>
      <c r="B2" s="2"/>
      <c r="C2" s="2"/>
      <c r="D2" s="2"/>
    </row>
    <row r="4" customFormat="false" ht="30" hidden="false" customHeight="true" outlineLevel="0" collapsed="false">
      <c r="A4" s="38" t="s">
        <v>732</v>
      </c>
      <c r="B4" s="38"/>
      <c r="C4" s="38"/>
      <c r="D4" s="38"/>
    </row>
    <row r="6" customFormat="false" ht="19.5" hidden="false" customHeight="true" outlineLevel="0" collapsed="false">
      <c r="A6" s="7" t="s">
        <v>733</v>
      </c>
      <c r="B6" s="8"/>
      <c r="C6" s="8"/>
      <c r="D6" s="8"/>
    </row>
    <row r="7" customFormat="false" ht="30" hidden="false" customHeight="true" outlineLevel="0" collapsed="false">
      <c r="A7" s="26" t="s">
        <v>734</v>
      </c>
      <c r="B7" s="23" t="s">
        <v>735</v>
      </c>
      <c r="C7" s="23"/>
      <c r="D7" s="23"/>
    </row>
    <row r="8" customFormat="false" ht="30" hidden="false" customHeight="true" outlineLevel="0" collapsed="false">
      <c r="A8" s="26" t="s">
        <v>736</v>
      </c>
      <c r="B8" s="23" t="s">
        <v>737</v>
      </c>
      <c r="C8" s="23"/>
      <c r="D8" s="23"/>
    </row>
    <row r="9" customFormat="false" ht="30" hidden="false" customHeight="true" outlineLevel="0" collapsed="false">
      <c r="A9" s="26" t="s">
        <v>738</v>
      </c>
      <c r="B9" s="23" t="s">
        <v>739</v>
      </c>
      <c r="C9" s="23"/>
      <c r="D9" s="23"/>
    </row>
    <row r="10" customFormat="false" ht="30" hidden="false" customHeight="true" outlineLevel="0" collapsed="false">
      <c r="A10" s="26" t="s">
        <v>740</v>
      </c>
      <c r="B10" s="23" t="s">
        <v>741</v>
      </c>
      <c r="C10" s="23"/>
      <c r="D10" s="23"/>
    </row>
    <row r="11" customFormat="false" ht="30" hidden="false" customHeight="true" outlineLevel="0" collapsed="false">
      <c r="A11" s="26" t="s">
        <v>742</v>
      </c>
      <c r="B11" s="23" t="s">
        <v>743</v>
      </c>
      <c r="C11" s="23"/>
      <c r="D11" s="23"/>
    </row>
    <row r="12" customFormat="false" ht="30" hidden="false" customHeight="true" outlineLevel="0" collapsed="false">
      <c r="A12" s="26" t="s">
        <v>744</v>
      </c>
      <c r="B12" s="23" t="s">
        <v>745</v>
      </c>
      <c r="C12" s="23"/>
      <c r="D12" s="23"/>
    </row>
    <row r="13" customFormat="false" ht="30" hidden="false" customHeight="true" outlineLevel="0" collapsed="false">
      <c r="A13" s="26" t="s">
        <v>746</v>
      </c>
      <c r="B13" s="23" t="s">
        <v>747</v>
      </c>
      <c r="C13" s="23"/>
      <c r="D13" s="23"/>
    </row>
    <row r="14" customFormat="false" ht="30" hidden="false" customHeight="true" outlineLevel="0" collapsed="false">
      <c r="A14" s="26" t="s">
        <v>748</v>
      </c>
      <c r="B14" s="23" t="s">
        <v>749</v>
      </c>
      <c r="C14" s="23"/>
      <c r="D14" s="23"/>
    </row>
    <row r="15" customFormat="false" ht="30" hidden="false" customHeight="true" outlineLevel="0" collapsed="false">
      <c r="A15" s="26" t="s">
        <v>438</v>
      </c>
      <c r="B15" s="23" t="s">
        <v>750</v>
      </c>
      <c r="C15" s="23"/>
      <c r="D15" s="23"/>
    </row>
    <row r="16" customFormat="false" ht="30" hidden="false" customHeight="true" outlineLevel="0" collapsed="false">
      <c r="A16" s="26" t="s">
        <v>751</v>
      </c>
      <c r="B16" s="23" t="s">
        <v>752</v>
      </c>
      <c r="C16" s="23"/>
      <c r="D16" s="23"/>
    </row>
    <row r="17" customFormat="false" ht="30" hidden="false" customHeight="true" outlineLevel="0" collapsed="false">
      <c r="A17" s="26" t="s">
        <v>753</v>
      </c>
      <c r="B17" s="23" t="s">
        <v>754</v>
      </c>
      <c r="C17" s="23"/>
      <c r="D17" s="23"/>
    </row>
    <row r="18" customFormat="false" ht="30" hidden="false" customHeight="true" outlineLevel="0" collapsed="false">
      <c r="A18" s="26" t="s">
        <v>755</v>
      </c>
      <c r="B18" s="23" t="s">
        <v>756</v>
      </c>
      <c r="C18" s="23"/>
      <c r="D18" s="23"/>
    </row>
    <row r="20" customFormat="false" ht="19.5" hidden="false" customHeight="true" outlineLevel="0" collapsed="false">
      <c r="A20" s="7" t="s">
        <v>757</v>
      </c>
      <c r="B20" s="8"/>
      <c r="C20" s="8"/>
      <c r="D20" s="8"/>
    </row>
    <row r="21" customFormat="false" ht="33.75" hidden="false" customHeight="true" outlineLevel="0" collapsed="false">
      <c r="A21" s="21" t="s">
        <v>758</v>
      </c>
      <c r="B21" s="21" t="s">
        <v>759</v>
      </c>
      <c r="C21" s="21" t="s">
        <v>155</v>
      </c>
      <c r="D21" s="21" t="s">
        <v>760</v>
      </c>
    </row>
    <row r="22" customFormat="false" ht="39" hidden="false" customHeight="true" outlineLevel="0" collapsed="false">
      <c r="A22" s="26" t="s">
        <v>761</v>
      </c>
      <c r="B22" s="23" t="s">
        <v>762</v>
      </c>
      <c r="C22" s="23" t="s">
        <v>763</v>
      </c>
      <c r="D22" s="23" t="s">
        <v>764</v>
      </c>
    </row>
    <row r="23" customFormat="false" ht="39" hidden="false" customHeight="true" outlineLevel="0" collapsed="false">
      <c r="A23" s="26" t="s">
        <v>765</v>
      </c>
      <c r="B23" s="23" t="s">
        <v>766</v>
      </c>
      <c r="C23" s="23" t="s">
        <v>767</v>
      </c>
      <c r="D23" s="23" t="s">
        <v>764</v>
      </c>
    </row>
    <row r="24" customFormat="false" ht="39" hidden="false" customHeight="true" outlineLevel="0" collapsed="false">
      <c r="A24" s="26" t="s">
        <v>768</v>
      </c>
      <c r="B24" s="23" t="s">
        <v>769</v>
      </c>
      <c r="C24" s="23" t="s">
        <v>763</v>
      </c>
      <c r="D24" s="23" t="s">
        <v>764</v>
      </c>
    </row>
    <row r="25" customFormat="false" ht="27.75" hidden="false" customHeight="true" outlineLevel="0" collapsed="false">
      <c r="A25" s="26" t="s">
        <v>770</v>
      </c>
      <c r="B25" s="23" t="s">
        <v>771</v>
      </c>
      <c r="C25" s="23" t="s">
        <v>772</v>
      </c>
      <c r="D25" s="23" t="s">
        <v>764</v>
      </c>
    </row>
    <row r="26" customFormat="false" ht="39" hidden="false" customHeight="true" outlineLevel="0" collapsed="false">
      <c r="A26" s="26" t="s">
        <v>773</v>
      </c>
      <c r="B26" s="23" t="s">
        <v>774</v>
      </c>
      <c r="C26" s="23" t="s">
        <v>775</v>
      </c>
      <c r="D26" s="23" t="s">
        <v>764</v>
      </c>
    </row>
    <row r="27" customFormat="false" ht="27.75" hidden="false" customHeight="true" outlineLevel="0" collapsed="false">
      <c r="A27" s="26" t="s">
        <v>740</v>
      </c>
      <c r="B27" s="23" t="s">
        <v>776</v>
      </c>
      <c r="C27" s="23" t="s">
        <v>772</v>
      </c>
      <c r="D27" s="23" t="s">
        <v>764</v>
      </c>
    </row>
    <row r="28" customFormat="false" ht="27.75" hidden="false" customHeight="true" outlineLevel="0" collapsed="false">
      <c r="A28" s="26" t="s">
        <v>777</v>
      </c>
      <c r="B28" s="23" t="s">
        <v>778</v>
      </c>
      <c r="C28" s="23" t="s">
        <v>772</v>
      </c>
      <c r="D28" s="23" t="s">
        <v>764</v>
      </c>
    </row>
    <row r="29" customFormat="false" ht="27.75" hidden="false" customHeight="true" outlineLevel="0" collapsed="false">
      <c r="A29" s="26" t="s">
        <v>779</v>
      </c>
      <c r="B29" s="23" t="s">
        <v>780</v>
      </c>
      <c r="C29" s="23" t="s">
        <v>781</v>
      </c>
      <c r="D29" s="23" t="s">
        <v>764</v>
      </c>
    </row>
    <row r="30" customFormat="false" ht="51.75" hidden="false" customHeight="true" outlineLevel="0" collapsed="false">
      <c r="A30" s="26" t="s">
        <v>782</v>
      </c>
      <c r="B30" s="23" t="s">
        <v>783</v>
      </c>
      <c r="C30" s="23" t="s">
        <v>781</v>
      </c>
      <c r="D30" s="23" t="s">
        <v>764</v>
      </c>
    </row>
    <row r="31" customFormat="false" ht="64.5" hidden="false" customHeight="true" outlineLevel="0" collapsed="false">
      <c r="A31" s="26" t="s">
        <v>784</v>
      </c>
      <c r="B31" s="23" t="s">
        <v>785</v>
      </c>
      <c r="C31" s="23" t="s">
        <v>781</v>
      </c>
      <c r="D31" s="23" t="s">
        <v>764</v>
      </c>
    </row>
    <row r="32" customFormat="false" ht="27.75" hidden="false" customHeight="true" outlineLevel="0" collapsed="false">
      <c r="A32" s="26" t="s">
        <v>786</v>
      </c>
      <c r="B32" s="23" t="s">
        <v>787</v>
      </c>
      <c r="C32" s="23" t="s">
        <v>772</v>
      </c>
      <c r="D32" s="23" t="s">
        <v>764</v>
      </c>
    </row>
    <row r="33" customFormat="false" ht="27.75" hidden="false" customHeight="true" outlineLevel="0" collapsed="false">
      <c r="A33" s="26" t="s">
        <v>788</v>
      </c>
      <c r="B33" s="23" t="s">
        <v>789</v>
      </c>
      <c r="C33" s="23" t="s">
        <v>772</v>
      </c>
      <c r="D33" s="23" t="s">
        <v>764</v>
      </c>
    </row>
    <row r="34" customFormat="false" ht="39" hidden="false" customHeight="true" outlineLevel="0" collapsed="false">
      <c r="A34" s="26" t="s">
        <v>790</v>
      </c>
      <c r="B34" s="23" t="s">
        <v>791</v>
      </c>
      <c r="C34" s="23" t="s">
        <v>772</v>
      </c>
      <c r="D34" s="23" t="s">
        <v>764</v>
      </c>
    </row>
    <row r="35" customFormat="false" ht="27.75" hidden="false" customHeight="true" outlineLevel="0" collapsed="false">
      <c r="A35" s="26" t="s">
        <v>792</v>
      </c>
      <c r="B35" s="23" t="s">
        <v>793</v>
      </c>
      <c r="C35" s="23" t="s">
        <v>772</v>
      </c>
      <c r="D35" s="23" t="s">
        <v>764</v>
      </c>
    </row>
    <row r="36" customFormat="false" ht="39" hidden="false" customHeight="true" outlineLevel="0" collapsed="false">
      <c r="A36" s="26" t="s">
        <v>794</v>
      </c>
      <c r="B36" s="23" t="s">
        <v>795</v>
      </c>
      <c r="C36" s="23" t="s">
        <v>772</v>
      </c>
      <c r="D36" s="23" t="s">
        <v>764</v>
      </c>
    </row>
    <row r="37" customFormat="false" ht="27.75" hidden="false" customHeight="true" outlineLevel="0" collapsed="false">
      <c r="A37" s="26" t="s">
        <v>796</v>
      </c>
      <c r="B37" s="23" t="s">
        <v>797</v>
      </c>
      <c r="C37" s="23" t="s">
        <v>781</v>
      </c>
      <c r="D37" s="23" t="s">
        <v>764</v>
      </c>
    </row>
    <row r="38" customFormat="false" ht="27.75" hidden="false" customHeight="true" outlineLevel="0" collapsed="false">
      <c r="A38" s="26" t="s">
        <v>798</v>
      </c>
      <c r="B38" s="23" t="s">
        <v>799</v>
      </c>
      <c r="C38" s="23" t="s">
        <v>772</v>
      </c>
      <c r="D38" s="23" t="s">
        <v>764</v>
      </c>
    </row>
    <row r="39" customFormat="false" ht="27.75" hidden="false" customHeight="true" outlineLevel="0" collapsed="false">
      <c r="A39" s="26" t="s">
        <v>800</v>
      </c>
      <c r="B39" s="23" t="s">
        <v>801</v>
      </c>
      <c r="C39" s="23" t="s">
        <v>775</v>
      </c>
      <c r="D39" s="23" t="s">
        <v>764</v>
      </c>
    </row>
    <row r="40" customFormat="false" ht="27.75" hidden="false" customHeight="true" outlineLevel="0" collapsed="false">
      <c r="A40" s="26" t="s">
        <v>802</v>
      </c>
      <c r="B40" s="23" t="s">
        <v>803</v>
      </c>
      <c r="C40" s="23" t="s">
        <v>775</v>
      </c>
      <c r="D40" s="23" t="s">
        <v>764</v>
      </c>
    </row>
    <row r="41" customFormat="false" ht="39" hidden="false" customHeight="true" outlineLevel="0" collapsed="false">
      <c r="A41" s="26" t="s">
        <v>804</v>
      </c>
      <c r="B41" s="23" t="s">
        <v>805</v>
      </c>
      <c r="C41" s="23" t="s">
        <v>772</v>
      </c>
      <c r="D41" s="23" t="s">
        <v>764</v>
      </c>
    </row>
    <row r="42" customFormat="false" ht="27.75" hidden="false" customHeight="true" outlineLevel="0" collapsed="false">
      <c r="A42" s="26" t="s">
        <v>806</v>
      </c>
      <c r="B42" s="23" t="s">
        <v>807</v>
      </c>
      <c r="C42" s="23" t="s">
        <v>772</v>
      </c>
      <c r="D42" s="23" t="s">
        <v>764</v>
      </c>
    </row>
    <row r="43" customFormat="false" ht="39" hidden="false" customHeight="true" outlineLevel="0" collapsed="false">
      <c r="A43" s="26" t="s">
        <v>808</v>
      </c>
      <c r="B43" s="23" t="s">
        <v>809</v>
      </c>
      <c r="C43" s="23" t="s">
        <v>772</v>
      </c>
      <c r="D43" s="23" t="s">
        <v>764</v>
      </c>
    </row>
    <row r="44" customFormat="false" ht="27.75" hidden="false" customHeight="true" outlineLevel="0" collapsed="false">
      <c r="A44" s="26" t="s">
        <v>810</v>
      </c>
      <c r="B44" s="23" t="s">
        <v>811</v>
      </c>
      <c r="C44" s="23" t="s">
        <v>775</v>
      </c>
      <c r="D44" s="23" t="s">
        <v>764</v>
      </c>
    </row>
    <row r="45" customFormat="false" ht="27.75" hidden="false" customHeight="true" outlineLevel="0" collapsed="false">
      <c r="A45" s="26" t="s">
        <v>812</v>
      </c>
      <c r="B45" s="23" t="s">
        <v>813</v>
      </c>
      <c r="C45" s="23" t="s">
        <v>775</v>
      </c>
      <c r="D45" s="23" t="s">
        <v>764</v>
      </c>
    </row>
    <row r="46" customFormat="false" ht="27.75" hidden="false" customHeight="true" outlineLevel="0" collapsed="false">
      <c r="A46" s="26" t="s">
        <v>814</v>
      </c>
      <c r="B46" s="23" t="s">
        <v>815</v>
      </c>
      <c r="C46" s="23" t="s">
        <v>775</v>
      </c>
      <c r="D46" s="23" t="s">
        <v>764</v>
      </c>
    </row>
    <row r="47" customFormat="false" ht="39" hidden="false" customHeight="true" outlineLevel="0" collapsed="false">
      <c r="A47" s="26" t="s">
        <v>816</v>
      </c>
      <c r="B47" s="23" t="s">
        <v>817</v>
      </c>
      <c r="C47" s="23" t="s">
        <v>775</v>
      </c>
      <c r="D47" s="23" t="s">
        <v>764</v>
      </c>
    </row>
    <row r="48" customFormat="false" ht="39" hidden="false" customHeight="true" outlineLevel="0" collapsed="false">
      <c r="A48" s="26" t="s">
        <v>818</v>
      </c>
      <c r="B48" s="23" t="s">
        <v>819</v>
      </c>
      <c r="C48" s="23" t="s">
        <v>775</v>
      </c>
      <c r="D48" s="23" t="s">
        <v>820</v>
      </c>
    </row>
    <row r="49" customFormat="false" ht="39" hidden="false" customHeight="true" outlineLevel="0" collapsed="false">
      <c r="A49" s="26" t="s">
        <v>821</v>
      </c>
      <c r="B49" s="23" t="s">
        <v>822</v>
      </c>
      <c r="C49" s="23" t="s">
        <v>772</v>
      </c>
      <c r="D49" s="23" t="s">
        <v>764</v>
      </c>
    </row>
    <row r="50" customFormat="false" ht="27.75" hidden="false" customHeight="true" outlineLevel="0" collapsed="false">
      <c r="A50" s="26" t="s">
        <v>823</v>
      </c>
      <c r="B50" s="23" t="s">
        <v>824</v>
      </c>
      <c r="C50" s="23" t="s">
        <v>775</v>
      </c>
      <c r="D50" s="23" t="s">
        <v>764</v>
      </c>
    </row>
    <row r="51" customFormat="false" ht="27.75" hidden="false" customHeight="true" outlineLevel="0" collapsed="false">
      <c r="A51" s="26" t="s">
        <v>825</v>
      </c>
      <c r="B51" s="23" t="s">
        <v>826</v>
      </c>
      <c r="C51" s="23" t="s">
        <v>775</v>
      </c>
      <c r="D51" s="23" t="s">
        <v>764</v>
      </c>
    </row>
    <row r="52" customFormat="false" ht="51.75" hidden="false" customHeight="true" outlineLevel="0" collapsed="false">
      <c r="A52" s="26" t="s">
        <v>827</v>
      </c>
      <c r="B52" s="23" t="s">
        <v>828</v>
      </c>
      <c r="C52" s="23" t="s">
        <v>775</v>
      </c>
      <c r="D52" s="23" t="s">
        <v>764</v>
      </c>
    </row>
    <row r="53" customFormat="false" ht="27.75" hidden="false" customHeight="true" outlineLevel="0" collapsed="false">
      <c r="A53" s="26" t="s">
        <v>829</v>
      </c>
      <c r="B53" s="23" t="s">
        <v>830</v>
      </c>
      <c r="C53" s="23" t="s">
        <v>775</v>
      </c>
      <c r="D53" s="23" t="s">
        <v>764</v>
      </c>
    </row>
    <row r="54" customFormat="false" ht="27.75" hidden="false" customHeight="true" outlineLevel="0" collapsed="false">
      <c r="A54" s="26" t="s">
        <v>831</v>
      </c>
      <c r="B54" s="23" t="s">
        <v>832</v>
      </c>
      <c r="C54" s="23" t="s">
        <v>775</v>
      </c>
      <c r="D54" s="23" t="s">
        <v>764</v>
      </c>
    </row>
    <row r="55" customFormat="false" ht="51.75" hidden="false" customHeight="true" outlineLevel="0" collapsed="false">
      <c r="A55" s="26" t="s">
        <v>833</v>
      </c>
      <c r="B55" s="23" t="s">
        <v>834</v>
      </c>
      <c r="C55" s="23" t="s">
        <v>775</v>
      </c>
      <c r="D55" s="23" t="s">
        <v>764</v>
      </c>
    </row>
    <row r="56" customFormat="false" ht="27.75" hidden="false" customHeight="true" outlineLevel="0" collapsed="false">
      <c r="A56" s="26" t="s">
        <v>835</v>
      </c>
      <c r="B56" s="23" t="s">
        <v>836</v>
      </c>
      <c r="C56" s="23" t="s">
        <v>772</v>
      </c>
      <c r="D56" s="23" t="s">
        <v>764</v>
      </c>
    </row>
    <row r="57" customFormat="false" ht="39" hidden="false" customHeight="true" outlineLevel="0" collapsed="false">
      <c r="A57" s="26" t="s">
        <v>837</v>
      </c>
      <c r="B57" s="23" t="s">
        <v>838</v>
      </c>
      <c r="C57" s="23" t="s">
        <v>781</v>
      </c>
      <c r="D57" s="23" t="s">
        <v>764</v>
      </c>
    </row>
    <row r="58" customFormat="false" ht="27.75" hidden="false" customHeight="true" outlineLevel="0" collapsed="false">
      <c r="A58" s="26" t="s">
        <v>839</v>
      </c>
      <c r="B58" s="23" t="s">
        <v>840</v>
      </c>
      <c r="C58" s="23" t="s">
        <v>772</v>
      </c>
      <c r="D58" s="23" t="s">
        <v>764</v>
      </c>
    </row>
    <row r="59" customFormat="false" ht="39" hidden="false" customHeight="true" outlineLevel="0" collapsed="false">
      <c r="A59" s="26" t="s">
        <v>841</v>
      </c>
      <c r="B59" s="23" t="s">
        <v>842</v>
      </c>
      <c r="C59" s="23" t="s">
        <v>781</v>
      </c>
      <c r="D59" s="23" t="s">
        <v>820</v>
      </c>
    </row>
    <row r="60" customFormat="false" ht="27.75" hidden="false" customHeight="true" outlineLevel="0" collapsed="false">
      <c r="A60" s="26" t="s">
        <v>843</v>
      </c>
      <c r="B60" s="23" t="s">
        <v>844</v>
      </c>
      <c r="C60" s="23" t="s">
        <v>772</v>
      </c>
      <c r="D60" s="23" t="s">
        <v>764</v>
      </c>
    </row>
    <row r="61" customFormat="false" ht="27.75" hidden="false" customHeight="true" outlineLevel="0" collapsed="false">
      <c r="A61" s="26" t="s">
        <v>845</v>
      </c>
      <c r="B61" s="23" t="s">
        <v>846</v>
      </c>
      <c r="C61" s="23" t="s">
        <v>781</v>
      </c>
      <c r="D61" s="23" t="s">
        <v>764</v>
      </c>
    </row>
    <row r="62" customFormat="false" ht="39" hidden="false" customHeight="true" outlineLevel="0" collapsed="false">
      <c r="A62" s="26" t="s">
        <v>847</v>
      </c>
      <c r="B62" s="23" t="s">
        <v>848</v>
      </c>
      <c r="C62" s="23" t="s">
        <v>849</v>
      </c>
      <c r="D62" s="23" t="s">
        <v>764</v>
      </c>
    </row>
    <row r="63" customFormat="false" ht="27.75" hidden="false" customHeight="true" outlineLevel="0" collapsed="false">
      <c r="A63" s="26" t="s">
        <v>850</v>
      </c>
      <c r="B63" s="23" t="s">
        <v>851</v>
      </c>
      <c r="C63" s="23" t="s">
        <v>781</v>
      </c>
      <c r="D63" s="23" t="s">
        <v>820</v>
      </c>
    </row>
    <row r="64" customFormat="false" ht="39" hidden="false" customHeight="true" outlineLevel="0" collapsed="false">
      <c r="A64" s="26" t="s">
        <v>852</v>
      </c>
      <c r="B64" s="23" t="s">
        <v>853</v>
      </c>
      <c r="C64" s="23" t="s">
        <v>781</v>
      </c>
      <c r="D64" s="23" t="s">
        <v>764</v>
      </c>
    </row>
    <row r="65" customFormat="false" ht="27.75" hidden="false" customHeight="true" outlineLevel="0" collapsed="false">
      <c r="A65" s="26" t="s">
        <v>854</v>
      </c>
      <c r="B65" s="23" t="s">
        <v>855</v>
      </c>
      <c r="C65" s="23" t="s">
        <v>781</v>
      </c>
      <c r="D65" s="23" t="s">
        <v>764</v>
      </c>
    </row>
    <row r="66" customFormat="false" ht="39" hidden="false" customHeight="true" outlineLevel="0" collapsed="false">
      <c r="A66" s="26" t="s">
        <v>856</v>
      </c>
      <c r="B66" s="23" t="s">
        <v>857</v>
      </c>
      <c r="C66" s="23" t="s">
        <v>781</v>
      </c>
      <c r="D66" s="23" t="s">
        <v>764</v>
      </c>
    </row>
    <row r="67" customFormat="false" ht="27.75" hidden="false" customHeight="true" outlineLevel="0" collapsed="false">
      <c r="A67" s="26" t="s">
        <v>858</v>
      </c>
      <c r="B67" s="23" t="s">
        <v>859</v>
      </c>
      <c r="C67" s="23" t="s">
        <v>781</v>
      </c>
      <c r="D67" s="23" t="s">
        <v>764</v>
      </c>
    </row>
    <row r="68" customFormat="false" ht="51.75" hidden="false" customHeight="true" outlineLevel="0" collapsed="false">
      <c r="A68" s="26" t="s">
        <v>860</v>
      </c>
      <c r="B68" s="23" t="s">
        <v>861</v>
      </c>
      <c r="C68" s="23" t="s">
        <v>781</v>
      </c>
      <c r="D68" s="23" t="s">
        <v>820</v>
      </c>
    </row>
    <row r="69" customFormat="false" ht="51.75" hidden="false" customHeight="true" outlineLevel="0" collapsed="false">
      <c r="A69" s="26" t="s">
        <v>862</v>
      </c>
      <c r="B69" s="23" t="s">
        <v>863</v>
      </c>
      <c r="C69" s="23" t="s">
        <v>781</v>
      </c>
      <c r="D69" s="23" t="s">
        <v>820</v>
      </c>
    </row>
    <row r="70" customFormat="false" ht="27.75" hidden="false" customHeight="true" outlineLevel="0" collapsed="false">
      <c r="A70" s="26" t="s">
        <v>864</v>
      </c>
      <c r="B70" s="23" t="s">
        <v>865</v>
      </c>
      <c r="C70" s="23" t="s">
        <v>775</v>
      </c>
      <c r="D70" s="23" t="s">
        <v>764</v>
      </c>
    </row>
    <row r="71" customFormat="false" ht="27.75" hidden="false" customHeight="true" outlineLevel="0" collapsed="false">
      <c r="A71" s="26" t="s">
        <v>866</v>
      </c>
      <c r="B71" s="23" t="s">
        <v>867</v>
      </c>
      <c r="C71" s="23" t="s">
        <v>775</v>
      </c>
      <c r="D71" s="23" t="s">
        <v>764</v>
      </c>
    </row>
    <row r="72" customFormat="false" ht="27.75" hidden="false" customHeight="true" outlineLevel="0" collapsed="false">
      <c r="A72" s="26" t="s">
        <v>868</v>
      </c>
      <c r="B72" s="23" t="s">
        <v>869</v>
      </c>
      <c r="C72" s="23" t="s">
        <v>775</v>
      </c>
      <c r="D72" s="23" t="s">
        <v>764</v>
      </c>
    </row>
    <row r="73" customFormat="false" ht="27.75" hidden="false" customHeight="true" outlineLevel="0" collapsed="false">
      <c r="A73" s="26" t="s">
        <v>870</v>
      </c>
      <c r="B73" s="23" t="s">
        <v>871</v>
      </c>
      <c r="C73" s="23" t="s">
        <v>775</v>
      </c>
      <c r="D73" s="23" t="s">
        <v>764</v>
      </c>
    </row>
    <row r="74" customFormat="false" ht="39" hidden="false" customHeight="true" outlineLevel="0" collapsed="false">
      <c r="A74" s="26" t="s">
        <v>872</v>
      </c>
      <c r="B74" s="23" t="s">
        <v>873</v>
      </c>
      <c r="C74" s="23" t="s">
        <v>772</v>
      </c>
      <c r="D74" s="23" t="s">
        <v>764</v>
      </c>
    </row>
    <row r="75" customFormat="false" ht="39" hidden="false" customHeight="true" outlineLevel="0" collapsed="false">
      <c r="A75" s="26" t="s">
        <v>874</v>
      </c>
      <c r="B75" s="23" t="s">
        <v>875</v>
      </c>
      <c r="C75" s="23" t="s">
        <v>772</v>
      </c>
      <c r="D75" s="23" t="s">
        <v>764</v>
      </c>
    </row>
    <row r="76" customFormat="false" ht="39" hidden="false" customHeight="true" outlineLevel="0" collapsed="false">
      <c r="A76" s="26" t="s">
        <v>876</v>
      </c>
      <c r="B76" s="23" t="s">
        <v>877</v>
      </c>
      <c r="C76" s="23" t="s">
        <v>772</v>
      </c>
      <c r="D76" s="23" t="s">
        <v>764</v>
      </c>
    </row>
    <row r="77" customFormat="false" ht="27.75" hidden="false" customHeight="true" outlineLevel="0" collapsed="false">
      <c r="A77" s="26" t="s">
        <v>878</v>
      </c>
      <c r="B77" s="23" t="s">
        <v>879</v>
      </c>
      <c r="C77" s="23" t="s">
        <v>772</v>
      </c>
      <c r="D77" s="23" t="s">
        <v>764</v>
      </c>
    </row>
    <row r="78" customFormat="false" ht="27.75" hidden="false" customHeight="true" outlineLevel="0" collapsed="false">
      <c r="A78" s="26" t="s">
        <v>494</v>
      </c>
      <c r="B78" s="23" t="s">
        <v>880</v>
      </c>
      <c r="C78" s="23" t="s">
        <v>772</v>
      </c>
      <c r="D78" s="23" t="s">
        <v>764</v>
      </c>
    </row>
    <row r="79" customFormat="false" ht="27.75" hidden="false" customHeight="true" outlineLevel="0" collapsed="false">
      <c r="A79" s="26" t="s">
        <v>881</v>
      </c>
      <c r="B79" s="23" t="s">
        <v>882</v>
      </c>
      <c r="C79" s="23" t="s">
        <v>772</v>
      </c>
      <c r="D79" s="23" t="s">
        <v>764</v>
      </c>
    </row>
    <row r="80" customFormat="false" ht="27.75" hidden="false" customHeight="true" outlineLevel="0" collapsed="false">
      <c r="A80" s="26" t="s">
        <v>883</v>
      </c>
      <c r="B80" s="23" t="s">
        <v>884</v>
      </c>
      <c r="C80" s="23" t="s">
        <v>781</v>
      </c>
      <c r="D80" s="23" t="s">
        <v>764</v>
      </c>
    </row>
    <row r="81" customFormat="false" ht="51.75" hidden="false" customHeight="true" outlineLevel="0" collapsed="false">
      <c r="A81" s="26" t="s">
        <v>885</v>
      </c>
      <c r="B81" s="23" t="s">
        <v>886</v>
      </c>
      <c r="C81" s="23" t="s">
        <v>781</v>
      </c>
      <c r="D81" s="23" t="s">
        <v>764</v>
      </c>
    </row>
    <row r="82" customFormat="false" ht="27.75" hidden="false" customHeight="true" outlineLevel="0" collapsed="false">
      <c r="A82" s="26" t="s">
        <v>887</v>
      </c>
      <c r="B82" s="23" t="s">
        <v>888</v>
      </c>
      <c r="C82" s="23" t="s">
        <v>781</v>
      </c>
      <c r="D82" s="23" t="s">
        <v>764</v>
      </c>
    </row>
    <row r="83" customFormat="false" ht="39" hidden="false" customHeight="true" outlineLevel="0" collapsed="false">
      <c r="A83" s="26" t="s">
        <v>889</v>
      </c>
      <c r="B83" s="23" t="s">
        <v>890</v>
      </c>
      <c r="C83" s="23" t="s">
        <v>781</v>
      </c>
      <c r="D83" s="23" t="s">
        <v>820</v>
      </c>
    </row>
    <row r="84" customFormat="false" ht="27.75" hidden="false" customHeight="true" outlineLevel="0" collapsed="false">
      <c r="A84" s="26" t="s">
        <v>891</v>
      </c>
      <c r="B84" s="23" t="s">
        <v>892</v>
      </c>
      <c r="C84" s="23" t="s">
        <v>849</v>
      </c>
      <c r="D84" s="23" t="s">
        <v>764</v>
      </c>
    </row>
    <row r="85" customFormat="false" ht="39" hidden="false" customHeight="true" outlineLevel="0" collapsed="false">
      <c r="A85" s="26" t="s">
        <v>893</v>
      </c>
      <c r="B85" s="23" t="s">
        <v>894</v>
      </c>
      <c r="C85" s="23" t="s">
        <v>895</v>
      </c>
      <c r="D85" s="23" t="s">
        <v>764</v>
      </c>
    </row>
    <row r="86" customFormat="false" ht="39" hidden="false" customHeight="true" outlineLevel="0" collapsed="false">
      <c r="A86" s="26" t="s">
        <v>896</v>
      </c>
      <c r="B86" s="23" t="s">
        <v>897</v>
      </c>
      <c r="C86" s="23" t="s">
        <v>895</v>
      </c>
      <c r="D86" s="23" t="s">
        <v>764</v>
      </c>
    </row>
    <row r="87" customFormat="false" ht="27.75" hidden="false" customHeight="true" outlineLevel="0" collapsed="false">
      <c r="A87" s="26" t="s">
        <v>898</v>
      </c>
      <c r="B87" s="23" t="s">
        <v>899</v>
      </c>
      <c r="C87" s="23" t="s">
        <v>895</v>
      </c>
      <c r="D87" s="23" t="s">
        <v>764</v>
      </c>
    </row>
    <row r="88" customFormat="false" ht="39" hidden="false" customHeight="true" outlineLevel="0" collapsed="false">
      <c r="A88" s="26" t="s">
        <v>900</v>
      </c>
      <c r="B88" s="23" t="s">
        <v>901</v>
      </c>
      <c r="C88" s="23" t="s">
        <v>895</v>
      </c>
      <c r="D88" s="23" t="s">
        <v>764</v>
      </c>
    </row>
    <row r="89" customFormat="false" ht="51.75" hidden="false" customHeight="true" outlineLevel="0" collapsed="false">
      <c r="A89" s="26" t="s">
        <v>902</v>
      </c>
      <c r="B89" s="23" t="s">
        <v>903</v>
      </c>
      <c r="C89" s="23" t="s">
        <v>895</v>
      </c>
      <c r="D89" s="23" t="s">
        <v>764</v>
      </c>
    </row>
    <row r="90" customFormat="false" ht="39" hidden="false" customHeight="true" outlineLevel="0" collapsed="false">
      <c r="A90" s="26" t="s">
        <v>904</v>
      </c>
      <c r="B90" s="23" t="s">
        <v>905</v>
      </c>
      <c r="C90" s="23" t="s">
        <v>775</v>
      </c>
      <c r="D90" s="23" t="s">
        <v>764</v>
      </c>
    </row>
    <row r="91" customFormat="false" ht="27.75" hidden="false" customHeight="true" outlineLevel="0" collapsed="false">
      <c r="A91" s="26" t="s">
        <v>906</v>
      </c>
      <c r="B91" s="23" t="s">
        <v>907</v>
      </c>
      <c r="C91" s="23" t="s">
        <v>781</v>
      </c>
      <c r="D91" s="23" t="s">
        <v>764</v>
      </c>
    </row>
    <row r="92" customFormat="false" ht="27.75" hidden="false" customHeight="true" outlineLevel="0" collapsed="false">
      <c r="A92" s="26" t="s">
        <v>908</v>
      </c>
      <c r="B92" s="23" t="s">
        <v>909</v>
      </c>
      <c r="C92" s="23" t="s">
        <v>781</v>
      </c>
      <c r="D92" s="23" t="s">
        <v>764</v>
      </c>
    </row>
    <row r="93" customFormat="false" ht="39" hidden="false" customHeight="true" outlineLevel="0" collapsed="false">
      <c r="A93" s="26" t="s">
        <v>910</v>
      </c>
      <c r="B93" s="23" t="s">
        <v>911</v>
      </c>
      <c r="C93" s="23" t="s">
        <v>781</v>
      </c>
      <c r="D93" s="23" t="s">
        <v>764</v>
      </c>
    </row>
    <row r="94" customFormat="false" ht="39" hidden="false" customHeight="true" outlineLevel="0" collapsed="false">
      <c r="A94" s="26" t="s">
        <v>912</v>
      </c>
      <c r="B94" s="23" t="s">
        <v>913</v>
      </c>
      <c r="C94" s="23" t="s">
        <v>849</v>
      </c>
      <c r="D94" s="23" t="s">
        <v>764</v>
      </c>
    </row>
    <row r="95" customFormat="false" ht="27.75" hidden="false" customHeight="true" outlineLevel="0" collapsed="false">
      <c r="A95" s="26" t="s">
        <v>914</v>
      </c>
      <c r="B95" s="23" t="s">
        <v>915</v>
      </c>
      <c r="C95" s="23" t="s">
        <v>849</v>
      </c>
      <c r="D95" s="23" t="s">
        <v>764</v>
      </c>
    </row>
    <row r="96" customFormat="false" ht="51.75" hidden="false" customHeight="true" outlineLevel="0" collapsed="false">
      <c r="A96" s="26" t="s">
        <v>916</v>
      </c>
      <c r="B96" s="23" t="s">
        <v>917</v>
      </c>
      <c r="C96" s="23" t="s">
        <v>918</v>
      </c>
      <c r="D96" s="23" t="s">
        <v>820</v>
      </c>
    </row>
    <row r="97" customFormat="false" ht="27.75" hidden="false" customHeight="true" outlineLevel="0" collapsed="false">
      <c r="A97" s="26" t="s">
        <v>919</v>
      </c>
      <c r="B97" s="23" t="s">
        <v>920</v>
      </c>
      <c r="C97" s="23" t="s">
        <v>921</v>
      </c>
      <c r="D97" s="23" t="s">
        <v>764</v>
      </c>
    </row>
    <row r="98" customFormat="false" ht="27.75" hidden="false" customHeight="true" outlineLevel="0" collapsed="false">
      <c r="A98" s="26" t="s">
        <v>922</v>
      </c>
      <c r="B98" s="23" t="s">
        <v>923</v>
      </c>
      <c r="C98" s="23" t="s">
        <v>781</v>
      </c>
      <c r="D98" s="23" t="s">
        <v>764</v>
      </c>
    </row>
    <row r="99" customFormat="false" ht="51.75" hidden="false" customHeight="true" outlineLevel="0" collapsed="false">
      <c r="A99" s="26" t="s">
        <v>924</v>
      </c>
      <c r="B99" s="23" t="s">
        <v>925</v>
      </c>
      <c r="C99" s="23" t="s">
        <v>926</v>
      </c>
      <c r="D99" s="23" t="s">
        <v>764</v>
      </c>
    </row>
    <row r="100" customFormat="false" ht="39" hidden="false" customHeight="true" outlineLevel="0" collapsed="false">
      <c r="A100" s="26" t="s">
        <v>927</v>
      </c>
      <c r="B100" s="23" t="s">
        <v>928</v>
      </c>
      <c r="C100" s="23" t="s">
        <v>929</v>
      </c>
      <c r="D100" s="23" t="s">
        <v>764</v>
      </c>
    </row>
    <row r="101" customFormat="false" ht="27.75" hidden="false" customHeight="true" outlineLevel="0" collapsed="false">
      <c r="A101" s="26" t="s">
        <v>930</v>
      </c>
      <c r="B101" s="23" t="s">
        <v>931</v>
      </c>
      <c r="C101" s="23" t="s">
        <v>926</v>
      </c>
      <c r="D101" s="23" t="s">
        <v>764</v>
      </c>
    </row>
    <row r="102" customFormat="false" ht="39" hidden="false" customHeight="true" outlineLevel="0" collapsed="false">
      <c r="A102" s="26" t="s">
        <v>932</v>
      </c>
      <c r="B102" s="23" t="s">
        <v>933</v>
      </c>
      <c r="C102" s="23" t="s">
        <v>934</v>
      </c>
      <c r="D102" s="23" t="s">
        <v>764</v>
      </c>
    </row>
    <row r="103" customFormat="false" ht="27.75" hidden="false" customHeight="true" outlineLevel="0" collapsed="false">
      <c r="A103" s="26" t="s">
        <v>935</v>
      </c>
      <c r="B103" s="23" t="s">
        <v>936</v>
      </c>
      <c r="C103" s="23" t="s">
        <v>926</v>
      </c>
      <c r="D103" s="23" t="s">
        <v>764</v>
      </c>
    </row>
    <row r="104" customFormat="false" ht="27.75" hidden="false" customHeight="true" outlineLevel="0" collapsed="false">
      <c r="A104" s="26" t="s">
        <v>937</v>
      </c>
      <c r="B104" s="23" t="s">
        <v>938</v>
      </c>
      <c r="C104" s="23" t="s">
        <v>934</v>
      </c>
      <c r="D104" s="23" t="s">
        <v>820</v>
      </c>
    </row>
    <row r="105" customFormat="false" ht="39" hidden="false" customHeight="true" outlineLevel="0" collapsed="false">
      <c r="A105" s="26" t="s">
        <v>939</v>
      </c>
      <c r="B105" s="23" t="s">
        <v>940</v>
      </c>
      <c r="C105" s="23" t="s">
        <v>941</v>
      </c>
      <c r="D105" s="23" t="s">
        <v>820</v>
      </c>
    </row>
    <row r="106" customFormat="false" ht="51.75" hidden="false" customHeight="true" outlineLevel="0" collapsed="false">
      <c r="A106" s="26" t="s">
        <v>942</v>
      </c>
      <c r="B106" s="23" t="s">
        <v>943</v>
      </c>
      <c r="C106" s="23" t="s">
        <v>944</v>
      </c>
      <c r="D106" s="23" t="s">
        <v>764</v>
      </c>
    </row>
    <row r="107" customFormat="false" ht="27.75" hidden="false" customHeight="true" outlineLevel="0" collapsed="false">
      <c r="A107" s="26" t="s">
        <v>945</v>
      </c>
      <c r="B107" s="23" t="s">
        <v>946</v>
      </c>
      <c r="C107" s="23" t="s">
        <v>944</v>
      </c>
      <c r="D107" s="23" t="s">
        <v>764</v>
      </c>
    </row>
    <row r="108" customFormat="false" ht="39" hidden="false" customHeight="true" outlineLevel="0" collapsed="false">
      <c r="A108" s="26" t="s">
        <v>947</v>
      </c>
      <c r="B108" s="23" t="s">
        <v>948</v>
      </c>
      <c r="C108" s="23" t="s">
        <v>849</v>
      </c>
      <c r="D108" s="23" t="s">
        <v>764</v>
      </c>
    </row>
    <row r="109" customFormat="false" ht="27.75" hidden="false" customHeight="true" outlineLevel="0" collapsed="false">
      <c r="A109" s="26" t="s">
        <v>949</v>
      </c>
      <c r="B109" s="23" t="s">
        <v>950</v>
      </c>
      <c r="C109" s="23" t="s">
        <v>849</v>
      </c>
      <c r="D109" s="23" t="s">
        <v>764</v>
      </c>
    </row>
    <row r="110" customFormat="false" ht="27.75" hidden="false" customHeight="true" outlineLevel="0" collapsed="false">
      <c r="A110" s="26" t="s">
        <v>951</v>
      </c>
      <c r="B110" s="23" t="s">
        <v>952</v>
      </c>
      <c r="C110" s="23" t="s">
        <v>849</v>
      </c>
      <c r="D110" s="23" t="s">
        <v>764</v>
      </c>
    </row>
    <row r="111" customFormat="false" ht="27.75" hidden="false" customHeight="true" outlineLevel="0" collapsed="false">
      <c r="A111" s="26" t="s">
        <v>953</v>
      </c>
      <c r="B111" s="23" t="s">
        <v>954</v>
      </c>
      <c r="C111" s="23" t="s">
        <v>781</v>
      </c>
      <c r="D111" s="23" t="s">
        <v>764</v>
      </c>
    </row>
    <row r="112" customFormat="false" ht="27.75" hidden="false" customHeight="true" outlineLevel="0" collapsed="false">
      <c r="A112" s="26" t="s">
        <v>955</v>
      </c>
      <c r="B112" s="23" t="s">
        <v>956</v>
      </c>
      <c r="C112" s="23" t="s">
        <v>781</v>
      </c>
      <c r="D112" s="23" t="s">
        <v>764</v>
      </c>
    </row>
    <row r="113" customFormat="false" ht="39" hidden="false" customHeight="true" outlineLevel="0" collapsed="false">
      <c r="A113" s="26" t="s">
        <v>957</v>
      </c>
      <c r="B113" s="23" t="s">
        <v>958</v>
      </c>
      <c r="C113" s="23" t="s">
        <v>781</v>
      </c>
      <c r="D113" s="23" t="s">
        <v>764</v>
      </c>
    </row>
    <row r="114" customFormat="false" ht="51.75" hidden="false" customHeight="true" outlineLevel="0" collapsed="false">
      <c r="A114" s="26" t="s">
        <v>959</v>
      </c>
      <c r="B114" s="23" t="s">
        <v>960</v>
      </c>
      <c r="C114" s="23" t="s">
        <v>781</v>
      </c>
      <c r="D114" s="23" t="s">
        <v>820</v>
      </c>
    </row>
    <row r="115" customFormat="false" ht="51.75" hidden="false" customHeight="true" outlineLevel="0" collapsed="false">
      <c r="A115" s="26" t="s">
        <v>961</v>
      </c>
      <c r="B115" s="23" t="s">
        <v>962</v>
      </c>
      <c r="C115" s="23" t="s">
        <v>781</v>
      </c>
      <c r="D115" s="23" t="s">
        <v>764</v>
      </c>
    </row>
    <row r="116" customFormat="false" ht="39" hidden="false" customHeight="true" outlineLevel="0" collapsed="false">
      <c r="A116" s="26" t="s">
        <v>963</v>
      </c>
      <c r="B116" s="23" t="s">
        <v>964</v>
      </c>
      <c r="C116" s="23" t="s">
        <v>767</v>
      </c>
      <c r="D116" s="23" t="s">
        <v>764</v>
      </c>
    </row>
    <row r="117" customFormat="false" ht="39" hidden="false" customHeight="true" outlineLevel="0" collapsed="false">
      <c r="A117" s="26" t="s">
        <v>965</v>
      </c>
      <c r="B117" s="23" t="s">
        <v>966</v>
      </c>
      <c r="C117" s="23" t="s">
        <v>781</v>
      </c>
      <c r="D117" s="23" t="s">
        <v>764</v>
      </c>
    </row>
    <row r="118" customFormat="false" ht="51.75" hidden="false" customHeight="true" outlineLevel="0" collapsed="false">
      <c r="A118" s="26" t="s">
        <v>967</v>
      </c>
      <c r="B118" s="23" t="s">
        <v>968</v>
      </c>
      <c r="C118" s="23" t="s">
        <v>781</v>
      </c>
      <c r="D118" s="23" t="s">
        <v>764</v>
      </c>
    </row>
    <row r="119" customFormat="false" ht="27.75" hidden="false" customHeight="true" outlineLevel="0" collapsed="false">
      <c r="A119" s="26" t="s">
        <v>969</v>
      </c>
      <c r="B119" s="23" t="s">
        <v>970</v>
      </c>
      <c r="C119" s="23" t="s">
        <v>781</v>
      </c>
      <c r="D119" s="23" t="s">
        <v>764</v>
      </c>
    </row>
    <row r="120" customFormat="false" ht="39" hidden="false" customHeight="true" outlineLevel="0" collapsed="false">
      <c r="A120" s="26" t="s">
        <v>971</v>
      </c>
      <c r="B120" s="23" t="s">
        <v>972</v>
      </c>
      <c r="C120" s="23" t="s">
        <v>781</v>
      </c>
      <c r="D120" s="23" t="s">
        <v>764</v>
      </c>
    </row>
    <row r="121" customFormat="false" ht="27.75" hidden="false" customHeight="true" outlineLevel="0" collapsed="false">
      <c r="A121" s="26" t="s">
        <v>973</v>
      </c>
      <c r="B121" s="23" t="s">
        <v>974</v>
      </c>
      <c r="C121" s="23" t="s">
        <v>975</v>
      </c>
      <c r="D121" s="23" t="s">
        <v>764</v>
      </c>
    </row>
    <row r="122" customFormat="false" ht="39" hidden="false" customHeight="true" outlineLevel="0" collapsed="false">
      <c r="A122" s="26" t="s">
        <v>976</v>
      </c>
      <c r="B122" s="23" t="s">
        <v>977</v>
      </c>
      <c r="C122" s="23" t="s">
        <v>781</v>
      </c>
      <c r="D122" s="23" t="s">
        <v>764</v>
      </c>
    </row>
    <row r="123" customFormat="false" ht="39" hidden="false" customHeight="true" outlineLevel="0" collapsed="false">
      <c r="A123" s="26" t="s">
        <v>978</v>
      </c>
      <c r="B123" s="23" t="s">
        <v>979</v>
      </c>
      <c r="C123" s="23" t="s">
        <v>781</v>
      </c>
      <c r="D123" s="23" t="s">
        <v>820</v>
      </c>
    </row>
    <row r="124" customFormat="false" ht="39" hidden="false" customHeight="true" outlineLevel="0" collapsed="false">
      <c r="A124" s="26" t="s">
        <v>980</v>
      </c>
      <c r="B124" s="23" t="s">
        <v>981</v>
      </c>
      <c r="C124" s="23" t="s">
        <v>982</v>
      </c>
      <c r="D124" s="23" t="s">
        <v>820</v>
      </c>
    </row>
    <row r="126" customFormat="false" ht="19.5" hidden="false" customHeight="true" outlineLevel="0" collapsed="false">
      <c r="A126" s="7" t="s">
        <v>983</v>
      </c>
      <c r="B126" s="8"/>
      <c r="C126" s="8"/>
      <c r="D126" s="8"/>
    </row>
    <row r="127" customFormat="false" ht="25.5" hidden="false" customHeight="true" outlineLevel="0" collapsed="false">
      <c r="A127" s="57" t="s">
        <v>984</v>
      </c>
      <c r="B127" s="57"/>
      <c r="C127" s="57"/>
      <c r="D127" s="57"/>
    </row>
    <row r="128" customFormat="false" ht="18" hidden="false" customHeight="true" outlineLevel="0" collapsed="false">
      <c r="A128" s="57" t="s">
        <v>985</v>
      </c>
      <c r="B128" s="57"/>
      <c r="C128" s="57"/>
      <c r="D128" s="57"/>
    </row>
    <row r="129" customFormat="false" ht="18" hidden="false" customHeight="true" outlineLevel="0" collapsed="false">
      <c r="A129" s="57" t="s">
        <v>986</v>
      </c>
      <c r="B129" s="57"/>
      <c r="C129" s="57"/>
      <c r="D129" s="57"/>
    </row>
    <row r="130" customFormat="false" ht="25.5" hidden="false" customHeight="true" outlineLevel="0" collapsed="false">
      <c r="A130" s="57" t="s">
        <v>987</v>
      </c>
      <c r="B130" s="57"/>
      <c r="C130" s="57"/>
      <c r="D130" s="57"/>
    </row>
    <row r="131" customFormat="false" ht="39" hidden="false" customHeight="true" outlineLevel="0" collapsed="false">
      <c r="A131" s="57" t="s">
        <v>988</v>
      </c>
      <c r="B131" s="57"/>
      <c r="C131" s="57"/>
      <c r="D131" s="57"/>
    </row>
    <row r="132" customFormat="false" ht="25.5" hidden="false" customHeight="true" outlineLevel="0" collapsed="false">
      <c r="A132" s="57" t="s">
        <v>989</v>
      </c>
      <c r="B132" s="57"/>
      <c r="C132" s="57"/>
      <c r="D132" s="57"/>
    </row>
    <row r="133" customFormat="false" ht="25.5" hidden="false" customHeight="true" outlineLevel="0" collapsed="false">
      <c r="A133" s="57" t="s">
        <v>990</v>
      </c>
      <c r="B133" s="57"/>
      <c r="C133" s="57"/>
      <c r="D133" s="57"/>
    </row>
    <row r="134" customFormat="false" ht="18" hidden="false" customHeight="true" outlineLevel="0" collapsed="false">
      <c r="A134" s="57" t="s">
        <v>991</v>
      </c>
      <c r="B134" s="57"/>
      <c r="C134" s="57"/>
      <c r="D134" s="57"/>
    </row>
    <row r="135" customFormat="false" ht="18" hidden="false" customHeight="true" outlineLevel="0" collapsed="false">
      <c r="A135" s="57" t="s">
        <v>992</v>
      </c>
      <c r="B135" s="57"/>
      <c r="C135" s="57"/>
      <c r="D135" s="57"/>
    </row>
    <row r="136" customFormat="false" ht="25.5" hidden="false" customHeight="true" outlineLevel="0" collapsed="false">
      <c r="A136" s="57" t="s">
        <v>993</v>
      </c>
      <c r="B136" s="57"/>
      <c r="C136" s="57"/>
      <c r="D136" s="57"/>
    </row>
    <row r="137" customFormat="false" ht="25.5" hidden="false" customHeight="true" outlineLevel="0" collapsed="false">
      <c r="A137" s="57" t="s">
        <v>994</v>
      </c>
      <c r="B137" s="57"/>
      <c r="C137" s="57"/>
      <c r="D137" s="57"/>
    </row>
    <row r="138" customFormat="false" ht="25.5" hidden="false" customHeight="true" outlineLevel="0" collapsed="false">
      <c r="A138" s="57" t="s">
        <v>995</v>
      </c>
      <c r="B138" s="57"/>
      <c r="C138" s="57"/>
      <c r="D138" s="57"/>
    </row>
    <row r="139" customFormat="false" ht="39" hidden="false" customHeight="true" outlineLevel="0" collapsed="false">
      <c r="A139" s="57" t="s">
        <v>996</v>
      </c>
      <c r="B139" s="57"/>
      <c r="C139" s="57"/>
      <c r="D139" s="57"/>
    </row>
    <row r="140" customFormat="false" ht="39" hidden="false" customHeight="true" outlineLevel="0" collapsed="false">
      <c r="A140" s="57" t="s">
        <v>997</v>
      </c>
      <c r="B140" s="57"/>
      <c r="C140" s="57"/>
      <c r="D140" s="57"/>
    </row>
    <row r="141" customFormat="false" ht="25.5" hidden="false" customHeight="true" outlineLevel="0" collapsed="false">
      <c r="A141" s="57" t="s">
        <v>998</v>
      </c>
      <c r="B141" s="57"/>
      <c r="C141" s="57"/>
      <c r="D141" s="57"/>
    </row>
    <row r="142" customFormat="false" ht="25.5" hidden="false" customHeight="true" outlineLevel="0" collapsed="false">
      <c r="A142" s="57" t="s">
        <v>999</v>
      </c>
      <c r="B142" s="57"/>
      <c r="C142" s="57"/>
      <c r="D142" s="57"/>
    </row>
    <row r="143" customFormat="false" ht="25.5" hidden="false" customHeight="true" outlineLevel="0" collapsed="false">
      <c r="A143" s="57" t="s">
        <v>1000</v>
      </c>
      <c r="B143" s="57"/>
      <c r="C143" s="57"/>
      <c r="D143" s="57"/>
    </row>
    <row r="144" customFormat="false" ht="25.5" hidden="false" customHeight="true" outlineLevel="0" collapsed="false">
      <c r="A144" s="57" t="s">
        <v>1001</v>
      </c>
      <c r="B144" s="57"/>
      <c r="C144" s="57"/>
      <c r="D144" s="57"/>
    </row>
    <row r="145" customFormat="false" ht="25.5" hidden="false" customHeight="true" outlineLevel="0" collapsed="false">
      <c r="A145" s="57" t="s">
        <v>1002</v>
      </c>
      <c r="B145" s="57"/>
      <c r="C145" s="57"/>
      <c r="D145" s="57"/>
    </row>
    <row r="146" customFormat="false" ht="25.5" hidden="false" customHeight="true" outlineLevel="0" collapsed="false">
      <c r="A146" s="57" t="s">
        <v>1003</v>
      </c>
      <c r="B146" s="57"/>
      <c r="C146" s="57"/>
      <c r="D146" s="57"/>
    </row>
  </sheetData>
  <mergeCells count="35">
    <mergeCell ref="A1:D1"/>
    <mergeCell ref="A2:D2"/>
    <mergeCell ref="A4:D4"/>
    <mergeCell ref="B7:D7"/>
    <mergeCell ref="B8:D8"/>
    <mergeCell ref="B9:D9"/>
    <mergeCell ref="B10:D10"/>
    <mergeCell ref="B11:D11"/>
    <mergeCell ref="B12:D12"/>
    <mergeCell ref="B13:D13"/>
    <mergeCell ref="B14:D14"/>
    <mergeCell ref="B15:D15"/>
    <mergeCell ref="B16:D16"/>
    <mergeCell ref="B17:D17"/>
    <mergeCell ref="B18:D18"/>
    <mergeCell ref="A127:D127"/>
    <mergeCell ref="A128:D128"/>
    <mergeCell ref="A129:D129"/>
    <mergeCell ref="A130:D130"/>
    <mergeCell ref="A131:D131"/>
    <mergeCell ref="A132:D132"/>
    <mergeCell ref="A133:D133"/>
    <mergeCell ref="A134:D134"/>
    <mergeCell ref="A135:D135"/>
    <mergeCell ref="A136:D136"/>
    <mergeCell ref="A137:D137"/>
    <mergeCell ref="A138:D138"/>
    <mergeCell ref="A139:D139"/>
    <mergeCell ref="A140:D140"/>
    <mergeCell ref="A141:D141"/>
    <mergeCell ref="A142:D142"/>
    <mergeCell ref="A143:D143"/>
    <mergeCell ref="A144:D144"/>
    <mergeCell ref="A145:D145"/>
    <mergeCell ref="A146:D14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26"/>
    <col collapsed="false" customWidth="true" hidden="false" outlineLevel="0" max="10" min="10" style="0" width="24"/>
    <col collapsed="false" customWidth="true" hidden="false" outlineLevel="0" max="11" min="11" style="0" width="20"/>
  </cols>
  <sheetData>
    <row r="1" customFormat="false" ht="15" hidden="false" customHeight="false" outlineLevel="0" collapsed="false">
      <c r="A1" s="39" t="s">
        <v>344</v>
      </c>
      <c r="B1" s="39" t="s">
        <v>345</v>
      </c>
      <c r="C1" s="39" t="s">
        <v>352</v>
      </c>
      <c r="D1" s="39" t="s">
        <v>94</v>
      </c>
      <c r="E1" s="39" t="s">
        <v>377</v>
      </c>
      <c r="F1" s="39" t="s">
        <v>34</v>
      </c>
      <c r="G1" s="39" t="s">
        <v>1004</v>
      </c>
      <c r="H1" s="39" t="s">
        <v>391</v>
      </c>
      <c r="J1" s="39" t="s">
        <v>1005</v>
      </c>
      <c r="K1" s="39" t="s">
        <v>1006</v>
      </c>
    </row>
    <row r="2" customFormat="false" ht="15" hidden="false" customHeight="false" outlineLevel="0" collapsed="false">
      <c r="A2" s="0" t="s">
        <v>364</v>
      </c>
      <c r="B2" s="0" t="s">
        <v>365</v>
      </c>
      <c r="C2" s="0" t="s">
        <v>1007</v>
      </c>
      <c r="D2" s="0" t="s">
        <v>1008</v>
      </c>
      <c r="E2" s="0" t="s">
        <v>1009</v>
      </c>
      <c r="F2" s="0" t="s">
        <v>1010</v>
      </c>
      <c r="G2" s="0" t="s">
        <v>162</v>
      </c>
      <c r="H2" s="0" t="s">
        <v>1011</v>
      </c>
      <c r="J2" s="0" t="n">
        <v>0</v>
      </c>
      <c r="K2" s="0" t="n">
        <v>4</v>
      </c>
    </row>
    <row r="3" customFormat="false" ht="15" hidden="false" customHeight="false" outlineLevel="0" collapsed="false">
      <c r="A3" s="0" t="s">
        <v>753</v>
      </c>
      <c r="B3" s="0" t="s">
        <v>1012</v>
      </c>
      <c r="C3" s="0" t="s">
        <v>1013</v>
      </c>
      <c r="D3" s="0" t="s">
        <v>1014</v>
      </c>
      <c r="E3" s="0" t="s">
        <v>1015</v>
      </c>
      <c r="F3" s="0" t="s">
        <v>1016</v>
      </c>
      <c r="G3" s="0" t="s">
        <v>1014</v>
      </c>
      <c r="H3" s="0" t="s">
        <v>1017</v>
      </c>
      <c r="J3" s="0" t="n">
        <v>148</v>
      </c>
      <c r="K3" s="0" t="n">
        <v>9</v>
      </c>
    </row>
    <row r="4" customFormat="false" ht="15" hidden="false" customHeight="false" outlineLevel="0" collapsed="false">
      <c r="A4" s="0" t="s">
        <v>1018</v>
      </c>
      <c r="B4" s="0" t="s">
        <v>1019</v>
      </c>
      <c r="C4" s="0" t="s">
        <v>1020</v>
      </c>
      <c r="D4" s="0" t="s">
        <v>369</v>
      </c>
      <c r="E4" s="0" t="s">
        <v>1021</v>
      </c>
      <c r="F4" s="0" t="s">
        <v>753</v>
      </c>
      <c r="G4" s="0" t="s">
        <v>1022</v>
      </c>
      <c r="H4" s="0" t="s">
        <v>1023</v>
      </c>
      <c r="J4" s="0" t="n">
        <v>165.01</v>
      </c>
      <c r="K4" s="0" t="n">
        <v>11</v>
      </c>
    </row>
    <row r="5" customFormat="false" ht="15" hidden="false" customHeight="false" outlineLevel="0" collapsed="false">
      <c r="B5" s="0" t="s">
        <v>1024</v>
      </c>
      <c r="D5" s="0" t="s">
        <v>1025</v>
      </c>
      <c r="E5" s="0" t="s">
        <v>1026</v>
      </c>
      <c r="F5" s="0" t="s">
        <v>1018</v>
      </c>
      <c r="G5" s="0" t="s">
        <v>1027</v>
      </c>
      <c r="H5" s="0" t="s">
        <v>1028</v>
      </c>
      <c r="J5" s="0" t="n">
        <v>200.01</v>
      </c>
      <c r="K5" s="0" t="n">
        <v>24</v>
      </c>
    </row>
    <row r="6" customFormat="false" ht="15" hidden="false" customHeight="false" outlineLevel="0" collapsed="false">
      <c r="B6" s="0" t="s">
        <v>1029</v>
      </c>
      <c r="D6" s="0" t="s">
        <v>1030</v>
      </c>
      <c r="E6" s="0" t="s">
        <v>1031</v>
      </c>
      <c r="G6" s="0" t="s">
        <v>1032</v>
      </c>
      <c r="H6" s="0" t="s">
        <v>1033</v>
      </c>
      <c r="J6" s="0" t="n">
        <v>265.01</v>
      </c>
      <c r="K6" s="0" t="n">
        <v>999</v>
      </c>
    </row>
    <row r="7" customFormat="false" ht="15" hidden="false" customHeight="false" outlineLevel="0" collapsed="false">
      <c r="D7" s="0" t="s">
        <v>1034</v>
      </c>
      <c r="H7" s="0" t="s">
        <v>1035</v>
      </c>
    </row>
    <row r="8" customFormat="false" ht="15" hidden="false" customHeight="false" outlineLevel="0" collapsed="false">
      <c r="H8" s="0" t="s">
        <v>1036</v>
      </c>
      <c r="J8" s="58" t="s">
        <v>1037</v>
      </c>
    </row>
    <row r="9" customFormat="false" ht="15" hidden="false" customHeight="false" outlineLevel="0" collapsed="false">
      <c r="H9" s="0" t="s">
        <v>878</v>
      </c>
      <c r="J9" s="58" t="s">
        <v>1038</v>
      </c>
    </row>
    <row r="10" customFormat="false" ht="15" hidden="false" customHeight="false" outlineLevel="0" collapsed="false">
      <c r="H10" s="0" t="s">
        <v>1039</v>
      </c>
    </row>
    <row r="11" customFormat="false" ht="15" hidden="false" customHeight="false" outlineLevel="0" collapsed="false">
      <c r="H11" s="0" t="s">
        <v>1040</v>
      </c>
    </row>
    <row r="12" customFormat="false" ht="15" hidden="false" customHeight="false" outlineLevel="0" collapsed="false">
      <c r="H12" s="0" t="s">
        <v>1041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2026-10-21T03:23:46Z</dcterms:created>
  <dc:creator>openpyxl</dc:creator>
  <dc:description/>
  <dc:language>en-US</dc:language>
  <cp:lastModifiedBy/>
  <dcterms:modified xsi:type="dcterms:W3CDTF">2026-10-21T03:23:46Z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