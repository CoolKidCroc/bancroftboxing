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ummary" sheetId="2" state="visible" r:id="rId4"/>
    <sheet name="Pipeline" sheetId="3" state="visible" r:id="rId5"/>
    <sheet name="Packages" sheetId="4" state="visible" r:id="rId6"/>
    <sheet name="Fulfilment" sheetId="5" state="visible" r:id="rId7"/>
  </sheets>
  <definedNames>
    <definedName function="false" hidden="true" localSheetId="2" name="_xlnm._FilterDatabase" vbProcedure="false">Pipeline!$A$4:$W$304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<sst xmlns="http://schemas.openxmlformats.org/spreadsheetml/2006/main" count="1332" uniqueCount="694">
  <si>
    <t xml:space="preserve">CCCL SPONSORSHIP PIPELINE</t>
  </si>
  <si>
    <t xml:space="preserve">Find sponsors, pitch them, follow up, collect, and deliver what was promised. Built for Cody Purtell by Kyle. Opens in Google Sheets or Excel.</t>
  </si>
  <si>
    <t xml:space="preserve">THE STAGES</t>
  </si>
  <si>
    <t xml:space="preserve">Prospect</t>
  </si>
  <si>
    <t xml:space="preserve">Researched, not contacted yet.</t>
  </si>
  <si>
    <t xml:space="preserve">Contacted</t>
  </si>
  <si>
    <t xml:space="preserve">Pitch sent or a conversation started. Set a next follow-up date.</t>
  </si>
  <si>
    <t xml:space="preserve">Interested</t>
  </si>
  <si>
    <t xml:space="preserve">They replied and want to hear more.</t>
  </si>
  <si>
    <t xml:space="preserve">Proposal sent</t>
  </si>
  <si>
    <t xml:space="preserve">They have the package and price.</t>
  </si>
  <si>
    <t xml:space="preserve">Signed</t>
  </si>
  <si>
    <t xml:space="preserve">They said yes and agreed an amount. Not money yet.</t>
  </si>
  <si>
    <t xml:space="preserve">Paid</t>
  </si>
  <si>
    <t xml:space="preserve">The money is in the account. Only this counts as revenue.</t>
  </si>
  <si>
    <t xml:space="preserve">Not now</t>
  </si>
  <si>
    <t xml:space="preserve">Said no or not this year. Leave a note and try again next season.</t>
  </si>
  <si>
    <t xml:space="preserve">EVERY WEEK (15 MINUTES)</t>
  </si>
  <si>
    <t xml:space="preserve">1</t>
  </si>
  <si>
    <t xml:space="preserve">Monday</t>
  </si>
  <si>
    <t xml:space="preserve">Open Summary. Anyone marked DUE gets a follow-up today. Claude can draft them.</t>
  </si>
  <si>
    <t xml:space="preserve">2</t>
  </si>
  <si>
    <t xml:space="preserve">New sponsor signed</t>
  </si>
  <si>
    <t xml:space="preserve">Set Stage to Signed, fill in the package and amount, and add them to the Fulfilment tab.</t>
  </si>
  <si>
    <t xml:space="preserve">3</t>
  </si>
  <si>
    <t xml:space="preserve">Money arrives</t>
  </si>
  <si>
    <t xml:space="preserve">Set Stage to Paid and fill in Amount paid.</t>
  </si>
  <si>
    <t xml:space="preserve">4</t>
  </si>
  <si>
    <t xml:space="preserve">Before the show</t>
  </si>
  <si>
    <t xml:space="preserve">Check Fulfilment: banners hung, posts done, tickets sent.</t>
  </si>
  <si>
    <t xml:space="preserve">5</t>
  </si>
  <si>
    <t xml:space="preserve">After the show</t>
  </si>
  <si>
    <t xml:space="preserve">Send every sponsor a photo and a thank-you. Mark it on Fulfilment. That's how they come back next year.</t>
  </si>
  <si>
    <t xml:space="preserve">TABS</t>
  </si>
  <si>
    <t xml:space="preserve">Summary</t>
  </si>
  <si>
    <t xml:space="preserve">Money agreed vs paid, follow-ups due, packages sold.</t>
  </si>
  <si>
    <t xml:space="preserve">Pipeline</t>
  </si>
  <si>
    <t xml:space="preserve">Every business, one row each. Yellow columns are yours. Grey columns came from research.</t>
  </si>
  <si>
    <t xml:space="preserve">Packages</t>
  </si>
  <si>
    <t xml:space="preserve">Cody's sponsor packages (Title $7,500 down to Community $300-500, plus VIP tables).</t>
  </si>
  <si>
    <t xml:space="preserve">Fulfilment</t>
  </si>
  <si>
    <t xml:space="preserve">What each sponsor was promised and whether it's done.</t>
  </si>
  <si>
    <t xml:space="preserve">ABOUT THE LIST</t>
  </si>
  <si>
    <t xml:space="preserve">Where it came from</t>
  </si>
  <si>
    <t xml:space="preserve">The 2026 Title Sponsor, 70 local businesses and 24 national and Ontario brands (rows marked 'Brand:' in the Area column), researched by Claude from public websites in October 2026. Phone numbers and emails are each business's public contact details. Check them before reaching out.</t>
  </si>
  <si>
    <t xml:space="preserve">Existing supporters</t>
  </si>
  <si>
    <t xml:space="preserve">2026 sponsors (Cody, Oct 20, 2026): Dillabough Millwrighting &amp; Welding (Title, $7,500), Dixie Lee, Pinestone Resort, IT STIX Signs &amp; Graphics and ICO; most were Bronze. Businesses marked 'Yes (logo on gym wall)' support the gym but weren't May 2 sponsors. Start with both groups: thank them first, then pitch 2027. Cody has promised some sponsors spots at future Apsley, Bancroft and Haliburton shows: check with him before pitching for those towns. Add the other 2026 sponsors when Cody lists them.</t>
  </si>
  <si>
    <t xml:space="preserve">Brands</t>
  </si>
  <si>
    <t xml:space="preserve">Start with Hayabusa (Kingston fight gear), BioSteel / Canadian Protein and MuscleTech / Six Star. Ask for product first (fighter bags, a sampling table, prize packs), then cash once there are 2027 crowd numbers. Anything a fighter receives must be worth under $300 in total (amateur rule); no raffle without a lottery licence. Alcohol and energy drinks stay away from youth bouts and kids' content; Proper No. Twelve only for a 19+ show or area, and only after checking with the AGCO and the venue.</t>
  </si>
  <si>
    <t xml:space="preserve">Show column</t>
  </si>
  <si>
    <t xml:space="preserve">No 2027 show is booked yet, so every row says 'Not booked yet'. Change it once Cody confirms a town and date. Never name a town or date in a pitch until then.</t>
  </si>
  <si>
    <t xml:space="preserve">Colour key</t>
  </si>
  <si>
    <t xml:space="preserve">Yellow cells with blue text are yours to fill in. Black text is calculated. Don't type over it.</t>
  </si>
  <si>
    <t xml:space="preserve">SPONSORSHIP SUMMARY</t>
  </si>
  <si>
    <t xml:space="preserve">Updates by itself from the Pipeline tab. Nothing to type here except the goals in yellow.</t>
  </si>
  <si>
    <t xml:space="preserve">GOALS</t>
  </si>
  <si>
    <t xml:space="preserve">Sponsorship goal for the next show ($)</t>
  </si>
  <si>
    <t xml:space="preserve">The first show raised $18,000 from 15 sponsors (Cody). With 4+ shows in 2027, set a goal for each show. The Event Profit Predictor shows how much each venue needs to break even on a low night.</t>
  </si>
  <si>
    <t xml:space="preserve">Number of sponsors wanted</t>
  </si>
  <si>
    <t xml:space="preserve">Same as 2026.</t>
  </si>
  <si>
    <t xml:space="preserve">WHERE THE MONEY IS</t>
  </si>
  <si>
    <t xml:space="preserve">Stage</t>
  </si>
  <si>
    <t xml:space="preserve">Businesses</t>
  </si>
  <si>
    <t xml:space="preserve">Dollars agreed</t>
  </si>
  <si>
    <t xml:space="preserve">Dollars paid</t>
  </si>
  <si>
    <t xml:space="preserve">Total</t>
  </si>
  <si>
    <t xml:space="preserve">SCOREBOARD</t>
  </si>
  <si>
    <t xml:space="preserve">Signed or paid ($ agreed)</t>
  </si>
  <si>
    <t xml:space="preserve">Money actually received</t>
  </si>
  <si>
    <t xml:space="preserve">Still to collect from signed sponsors</t>
  </si>
  <si>
    <t xml:space="preserve">% of goal received</t>
  </si>
  <si>
    <t xml:space="preserve">Sponsors signed or paid</t>
  </si>
  <si>
    <t xml:space="preserve">Follow-ups due today or overdue</t>
  </si>
  <si>
    <t xml:space="preserve">Businesses not contacted yet</t>
  </si>
  <si>
    <t xml:space="preserve">PACKAGES SOLD</t>
  </si>
  <si>
    <t xml:space="preserve">Package</t>
  </si>
  <si>
    <t xml:space="preserve">Price ($)</t>
  </si>
  <si>
    <t xml:space="preserve">Sold (signed or paid)</t>
  </si>
  <si>
    <t xml:space="preserve">Slots</t>
  </si>
  <si>
    <t xml:space="preserve">Left</t>
  </si>
  <si>
    <t xml:space="preserve">Title Sponsor</t>
  </si>
  <si>
    <t xml:space="preserve">Gold Sponsor</t>
  </si>
  <si>
    <t xml:space="preserve">Silver Sponsor</t>
  </si>
  <si>
    <t xml:space="preserve">Bronze Sponsor</t>
  </si>
  <si>
    <t xml:space="preserve">Community Sponsor</t>
  </si>
  <si>
    <t xml:space="preserve">In-kind Partner</t>
  </si>
  <si>
    <t xml:space="preserve">VIP Corporate Table</t>
  </si>
  <si>
    <t xml:space="preserve">One row per business. Move the Stage as things happen. Only 'Paid' counts as money in the bank. Yellow columns are yours to fill in; grey ones come from research.</t>
  </si>
  <si>
    <t xml:space="preserve">#</t>
  </si>
  <si>
    <t xml:space="preserve">Business</t>
  </si>
  <si>
    <t xml:space="preserve">Town</t>
  </si>
  <si>
    <t xml:space="preserve">Area</t>
  </si>
  <si>
    <t xml:space="preserve">Category</t>
  </si>
  <si>
    <t xml:space="preserve">Existing supporter?</t>
  </si>
  <si>
    <t xml:space="preserve">Suggested package</t>
  </si>
  <si>
    <t xml:space="preserve">Package agreed</t>
  </si>
  <si>
    <t xml:space="preserve">Amount agreed ($)</t>
  </si>
  <si>
    <t xml:space="preserve">Amount paid ($)</t>
  </si>
  <si>
    <t xml:space="preserve">Show</t>
  </si>
  <si>
    <t xml:space="preserve">Owner</t>
  </si>
  <si>
    <t xml:space="preserve">Contact person</t>
  </si>
  <si>
    <t xml:space="preserve">Phone</t>
  </si>
  <si>
    <t xml:space="preserve">Email</t>
  </si>
  <si>
    <t xml:space="preserve">Website</t>
  </si>
  <si>
    <t xml:space="preserve">Last contact</t>
  </si>
  <si>
    <t xml:space="preserve">Next follow-up</t>
  </si>
  <si>
    <t xml:space="preserve">Follow-up due?</t>
  </si>
  <si>
    <t xml:space="preserve">Why they fit</t>
  </si>
  <si>
    <t xml:space="preserve">Notes</t>
  </si>
  <si>
    <t xml:space="preserve">Source</t>
  </si>
  <si>
    <t xml:space="preserve">Dillabough Millwrighting &amp; Welding</t>
  </si>
  <si>
    <t xml:space="preserve">Bancroft</t>
  </si>
  <si>
    <t xml:space="preserve">North Hastings</t>
  </si>
  <si>
    <t xml:space="preserve">Millwright &amp; welding shop</t>
  </si>
  <si>
    <t xml:space="preserve">Yes (2026 Title Sponsor)</t>
  </si>
  <si>
    <t xml:space="preserve">Not booked yet</t>
  </si>
  <si>
    <t xml:space="preserve">Cody</t>
  </si>
  <si>
    <t xml:space="preserve">2026 Title Sponsor ($7,500). Thank them first, then offer Title again for 2027 before anyone else.</t>
  </si>
  <si>
    <t xml:space="preserve">https://www.canpages.ca/page/ON/bancroft/dillabough-millwrighting-welding/7238519</t>
  </si>
  <si>
    <t xml:space="preserve">Pinestone Resort &amp; Conference Centre</t>
  </si>
  <si>
    <t xml:space="preserve">Haliburton</t>
  </si>
  <si>
    <t xml:space="preserve">Haliburton County</t>
  </si>
  <si>
    <t xml:space="preserve">Resort / golf / conference centre</t>
  </si>
  <si>
    <t xml:space="preserve">Yes (2026 sponsor)</t>
  </si>
  <si>
    <t xml:space="preserve">705-457-1800</t>
  </si>
  <si>
    <t xml:space="preserve">reservations@pinestone-resort.com</t>
  </si>
  <si>
    <t xml:space="preserve">https://pinestone-resort.com/</t>
  </si>
  <si>
    <t xml:space="preserve">Haliburton resort with 18-hole golf, Stone 21 dining and event space a few minutes from A.J. LaRue Arena; natural fit for fighter/out-of-town guest rooms or a weigh-in/after-party venue.</t>
  </si>
  <si>
    <t xml:space="preserve">https://kawarthanow.com/venue/1511/pinestone-resort-conference-centre</t>
  </si>
  <si>
    <t xml:space="preserve">Dixie Lee Fried Chicken (Bancroft)</t>
  </si>
  <si>
    <t xml:space="preserve">Restaurant (fast food)</t>
  </si>
  <si>
    <t xml:space="preserve">613-703-7178</t>
  </si>
  <si>
    <t xml:space="preserve">https://www.dixieleefriedchicken.com/</t>
  </si>
  <si>
    <t xml:space="preserve">Bancroft fried-chicken franchise at 121 Hastings St N; easy fit for fight-night food tie-ins or a fighter-meal promo.</t>
  </si>
  <si>
    <t xml:space="preserve">https://www.circulaire-en-ligne.ca/annuaire/ON/dixie-lee-fried-chicken/bancroft-121-hastings-st-n</t>
  </si>
  <si>
    <t xml:space="preserve">IT STIX Signs &amp; Graphics Inc.</t>
  </si>
  <si>
    <t xml:space="preserve">Sign shop / graphics / web design</t>
  </si>
  <si>
    <t xml:space="preserve">613-334-5344</t>
  </si>
  <si>
    <t xml:space="preserve">itstix@itstix.ca</t>
  </si>
  <si>
    <t xml:space="preserve">https://itstix.ca/</t>
  </si>
  <si>
    <t xml:space="preserve">Bancroft sign, banner and web-design shop; ideal in-kind partner for event banners and sponsor signage in exchange for logo placement.</t>
  </si>
  <si>
    <t xml:space="preserve">https://itstix.ca/contact/</t>
  </si>
  <si>
    <t xml:space="preserve">Quality Cedar Products</t>
  </si>
  <si>
    <t xml:space="preserve">Building supply / lumber (western red cedar)</t>
  </si>
  <si>
    <t xml:space="preserve">Yes (logo on gym wall)</t>
  </si>
  <si>
    <t xml:space="preserve">289-633-3335</t>
  </si>
  <si>
    <t xml:space="preserve">sales@qualitycedarproducts.ca</t>
  </si>
  <si>
    <t xml:space="preserve">https://www.qualitycedarproducts.ca/</t>
  </si>
  <si>
    <t xml:space="preserve">Family-owned Bancroft cedar lumber supplier (decking, siding, sauna) selling to contractors across Ontario; already on the gym wall and sells to the trades crowd.</t>
  </si>
  <si>
    <t xml:space="preserve">https://www.qualitycedarproducts.ca/about</t>
  </si>
  <si>
    <t xml:space="preserve">USG Fight Gear (probable match for 'USG' logo)</t>
  </si>
  <si>
    <t xml:space="preserve">Brampton</t>
  </si>
  <si>
    <t xml:space="preserve">other</t>
  </si>
  <si>
    <t xml:space="preserve">Combat sports gear maker</t>
  </si>
  <si>
    <t xml:space="preserve">647-573-5433</t>
  </si>
  <si>
    <t xml:space="preserve">https://usgfightgear.com/</t>
  </si>
  <si>
    <t xml:space="preserve">Ontario-made boxing/MMA gloves, shin guards and walkout gear, partnered with the Canadian Boxing Federation; most likely the stylized USG logo on the wall. Good for in-kind gear, prizes or fighter kits.</t>
  </si>
  <si>
    <t xml:space="preserve">Bryan Fraser Mechanical Services (not found; closest match Bryan Fraser Contracting Inc.)</t>
  </si>
  <si>
    <t xml:space="preserve">Golden Lake (unconfirmed match)</t>
  </si>
  <si>
    <t xml:space="preserve">Contractor / trades</t>
  </si>
  <si>
    <t xml:space="preserve">613-639-5569</t>
  </si>
  <si>
    <t xml:space="preserve">bryanfraserinc@gmail.com</t>
  </si>
  <si>
    <t xml:space="preserve">https://bryanfrasercontracting.com/</t>
  </si>
  <si>
    <t xml:space="preserve">No 'Bryan Fraser Mechanical' found online. Bryan Fraser Contracting Inc. in Golden Lake (custom homes, renos, ICF, decks) exists but may be a different business; confirm with Cody.</t>
  </si>
  <si>
    <t xml:space="preserve">Unconfirmed: check the business name and details before contacting.</t>
  </si>
  <si>
    <t xml:space="preserve">ICO - International Combat Organisation</t>
  </si>
  <si>
    <t xml:space="preserve">UK-based (ICO Canada listed as 'TBA')</t>
  </si>
  <si>
    <t xml:space="preserve">Combat sports sanctioning organization</t>
  </si>
  <si>
    <t xml:space="preserve">+44 7875 138526</t>
  </si>
  <si>
    <t xml:space="preserve">https://icokickboxing.org/</t>
  </si>
  <si>
    <t xml:space="preserve">Amateur kickboxing/MMA/Muay Thai sanctioning body active in 45+ countries; its Canada branch is listed as 'TBA', so the wall logo is likely an affiliation. Treat as a credibility/affiliation partner, not a cash sponsor.</t>
  </si>
  <si>
    <t xml:space="preserve">Cody confirmed 'ICO' sponsored May 2, 2026. Which ICO is a guess from the logo: confirm the full name with Cody before contacting.</t>
  </si>
  <si>
    <t xml:space="preserve">https://icokickboxing.org/international-members/</t>
  </si>
  <si>
    <t xml:space="preserve">Unidentified '...'s Daughter' boutique (possibly 'Barber's Daughter')</t>
  </si>
  <si>
    <t xml:space="preserve">Unverified</t>
  </si>
  <si>
    <t xml:space="preserve">Clothing boutique</t>
  </si>
  <si>
    <t xml:space="preserve">No boutique ending in 'Daughter' found in the Bancroft chamber shopping list, Yellow Pages Haliburton-area clothing stores or My Haliburton Highlands; Facebook pages called 'The Barbers Daughter' exist but none confirmed local. Check the logo or ask Cody.</t>
  </si>
  <si>
    <t xml:space="preserve">https://bancroftontario.com/single-category/shopping-lifestyle/</t>
  </si>
  <si>
    <t xml:space="preserve">Lockhart Bros. (Contracting)</t>
  </si>
  <si>
    <t xml:space="preserve">Unverified (likely Bancroft area)</t>
  </si>
  <si>
    <t xml:space="preserve">https://www.facebook.com/lockhartbros/</t>
  </si>
  <si>
    <t xml:space="preserve">Logo is on the BBG gym wall; a Facebook page 'Lockhart Bros.' exists, but no directory or website confirming town or services was found. Ask Cody for the contact.</t>
  </si>
  <si>
    <t xml:space="preserve">R &amp; R Property Services</t>
  </si>
  <si>
    <t xml:space="preserve">Property services / contractor</t>
  </si>
  <si>
    <t xml:space="preserve">https://www.facebook.com/RR.PR0PERTYSERVICES/</t>
  </si>
  <si>
    <t xml:space="preserve">Logo is on the BBG gym wall; a Facebook page named 'R &amp; R Property Services' exists, but its town and services could not be confirmed online. Ask Cody for the contact.</t>
  </si>
  <si>
    <t xml:space="preserve">Thomas Contracting</t>
  </si>
  <si>
    <t xml:space="preserve">Algonquin Highlands</t>
  </si>
  <si>
    <t xml:space="preserve">Excavation / construction</t>
  </si>
  <si>
    <t xml:space="preserve">705-489-2711</t>
  </si>
  <si>
    <t xml:space="preserve">excavate@thomascontracting.ca</t>
  </si>
  <si>
    <t xml:space="preserve">Excavation and construction contractor on Hwy 35; local trades business reaching homeowners and cottagers.</t>
  </si>
  <si>
    <t xml:space="preserve">https://marketplace.thehighlander.ca/?p=405</t>
  </si>
  <si>
    <t xml:space="preserve">Total Site Services</t>
  </si>
  <si>
    <t xml:space="preserve">Dysart et al (Haliburton)</t>
  </si>
  <si>
    <t xml:space="preserve">Excavation / septic / wells</t>
  </si>
  <si>
    <t xml:space="preserve">705-457-9558</t>
  </si>
  <si>
    <t xml:space="preserve">info@totalsiteservices.ca</t>
  </si>
  <si>
    <t xml:space="preserve">Site clearing, excavation, septic and wells on Gelert Rd; heavy-equipment crews match the fight-night audience.</t>
  </si>
  <si>
    <t xml:space="preserve">Sir Sam's Inn &amp; Spa</t>
  </si>
  <si>
    <t xml:space="preserve">Eagle Lake (Haliburton)</t>
  </si>
  <si>
    <t xml:space="preserve">Resort / lodge</t>
  </si>
  <si>
    <t xml:space="preserve">800-361-2188</t>
  </si>
  <si>
    <t xml:space="preserve">info@sirsamsinn.com</t>
  </si>
  <si>
    <t xml:space="preserve">https://www.sirsamsinn.com</t>
  </si>
  <si>
    <t xml:space="preserve">Upscale Haliburton resort that hosts weddings and group events; good for fighter/VIP rooms in exchange for a sponsor package.</t>
  </si>
  <si>
    <t xml:space="preserve">CARSTAR Haliburton</t>
  </si>
  <si>
    <t xml:space="preserve">Auto repair / body shop</t>
  </si>
  <si>
    <t xml:space="preserve">6,500 sq ft collision shop at 154 Industrial Park Dr (sister to CARSTAR Lindsay); local shop wanting name recognition with drivers.</t>
  </si>
  <si>
    <t xml:space="preserve">https://www.bodyshopbusiness.com/?p=179383</t>
  </si>
  <si>
    <t xml:space="preserve">Canoe FM 100.9 (CKHA)</t>
  </si>
  <si>
    <t xml:space="preserve">Media partner</t>
  </si>
  <si>
    <t xml:space="preserve">705-457-1009</t>
  </si>
  <si>
    <t xml:space="preserve">info@canoefm.com</t>
  </si>
  <si>
    <t xml:space="preserve">https://canoefm.com</t>
  </si>
  <si>
    <t xml:space="preserve">MEDIA PARTNER: Haliburton community radio, and a proven local sponsor (sponsors the Haliburton Land Trust); propose on-air promo trade.</t>
  </si>
  <si>
    <t xml:space="preserve">https://www.canoefm.com</t>
  </si>
  <si>
    <t xml:space="preserve">Country Pickin's</t>
  </si>
  <si>
    <t xml:space="preserve">Clothing / footwear retailer</t>
  </si>
  <si>
    <t xml:space="preserve">705-457-2726</t>
  </si>
  <si>
    <t xml:space="preserve">info@countrypickinshaliburton.ca</t>
  </si>
  <si>
    <t xml:space="preserve">Haliburton footwear and fashion shop on Highland St; a local retailer reaching event-going shoppers.</t>
  </si>
  <si>
    <t xml:space="preserve">Curry Chevrolet Buick GMC Ltd</t>
  </si>
  <si>
    <t xml:space="preserve">Auto dealer</t>
  </si>
  <si>
    <t xml:space="preserve">705-457-2100</t>
  </si>
  <si>
    <t xml:space="preserve">https://currymotors.ca</t>
  </si>
  <si>
    <t xml:space="preserve">Haliburton's GM truck dealer on County Rd 21; pickups and trucks sell to the same 25-45 crowd that buys fight tickets.</t>
  </si>
  <si>
    <t xml:space="preserve">https://www.yellowpages.ca/search/si/1/Car+Dealers/Haliburton+ON</t>
  </si>
  <si>
    <t xml:space="preserve">Emmerson Lumber</t>
  </si>
  <si>
    <t xml:space="preserve">Building supply / lumber</t>
  </si>
  <si>
    <t xml:space="preserve">705-457-1550</t>
  </si>
  <si>
    <t xml:space="preserve">information@emmersonlumber.com</t>
  </si>
  <si>
    <t xml:space="preserve">https://emmersonlumber.com</t>
  </si>
  <si>
    <t xml:space="preserve">Haliburton lumber and design centre that advertises heavily in The Highlander; contractors and trades customers are core fight-night ticket buyers.</t>
  </si>
  <si>
    <t xml:space="preserve">Haliburton RPM (RPM Marinas)</t>
  </si>
  <si>
    <t xml:space="preserve">Powersports / marine dealer</t>
  </si>
  <si>
    <t xml:space="preserve">705-457-1473</t>
  </si>
  <si>
    <t xml:space="preserve">info@haliburtonrpm.com</t>
  </si>
  <si>
    <t xml:space="preserve">Yamaha and Kawasaki boat and powersports showroom on County Rd 21 serving about 3,000 customers; good audience overlap for sleds and ATVs.</t>
  </si>
  <si>
    <t xml:space="preserve">Haliburton Timber Mart</t>
  </si>
  <si>
    <t xml:space="preserve">Building supply / hardware</t>
  </si>
  <si>
    <t xml:space="preserve">705-457-2510</t>
  </si>
  <si>
    <t xml:space="preserve">https://timbermart.ca/en/</t>
  </si>
  <si>
    <t xml:space="preserve">Proven local sponsor: listed as a 'Shooting Stars' business sponsor of the Haliburton Highlands Land Trust; serves local trades.</t>
  </si>
  <si>
    <t xml:space="preserve">https://www.haliburtonlandtrust.ca/landtruststar/</t>
  </si>
  <si>
    <t xml:space="preserve">Hawk River Construction</t>
  </si>
  <si>
    <t xml:space="preserve">Excavation / site prep / septic</t>
  </si>
  <si>
    <t xml:space="preserve">705-457-1386</t>
  </si>
  <si>
    <t xml:space="preserve">info@hawkriver.ca</t>
  </si>
  <si>
    <t xml:space="preserve">Haliburton site prep, roads, septic and excavation contractor; trades employers like seeing their name in front of local crowds.</t>
  </si>
  <si>
    <t xml:space="preserve">The Highlander (newspaper)</t>
  </si>
  <si>
    <t xml:space="preserve">705-457-2900</t>
  </si>
  <si>
    <t xml:space="preserve">Sales@TheHighlander.ca</t>
  </si>
  <si>
    <t xml:space="preserve">https://thehighlander.ca</t>
  </si>
  <si>
    <t xml:space="preserve">MEDIA PARTNER: Haliburton County weekly that already covered CCCL ('Fight night coming to Haliburton County'); propose ad and coverage trade for logo placement.</t>
  </si>
  <si>
    <t xml:space="preserve">https://thehighlander.ca/advertise/</t>
  </si>
  <si>
    <t xml:space="preserve">Haliburton Highlands Brewing</t>
  </si>
  <si>
    <t xml:space="preserve">Haliburton (Abbey Gardens)</t>
  </si>
  <si>
    <t xml:space="preserve">Brewery (ALCOHOL)</t>
  </si>
  <si>
    <t xml:space="preserve">https://haliburtonhighlandsbrewing.ca</t>
  </si>
  <si>
    <t xml:space="preserve">Local craft brewery that champions Highlands events, artists and musicians. Alcohol sponsor: check venue and AGCO rules.</t>
  </si>
  <si>
    <t xml:space="preserve">ALCOHOL: Cody decides. Keep their logo off youth bouts and kids' content.</t>
  </si>
  <si>
    <t xml:space="preserve">https://haliburtonhighlandsbrewing.ca/aboutus</t>
  </si>
  <si>
    <t xml:space="preserve">Haliburton Forest &amp; Wild Life Reserve</t>
  </si>
  <si>
    <t xml:space="preserve">Haliburton (Dysart et al)</t>
  </si>
  <si>
    <t xml:space="preserve">Large regional employer / outdoor tourism</t>
  </si>
  <si>
    <t xml:space="preserve">800-631-2198</t>
  </si>
  <si>
    <t xml:space="preserve">reservations@haliburtonforest.com</t>
  </si>
  <si>
    <t xml:space="preserve">Major outdoor recreation, logging and tourism employer north of Haliburton; reaches outdoorsy locals and visitors.</t>
  </si>
  <si>
    <t xml:space="preserve">Fowler Construction</t>
  </si>
  <si>
    <t xml:space="preserve">Haliburton (head office Bracebridge)</t>
  </si>
  <si>
    <t xml:space="preserve">Large regional employer / aggregate &amp; paving</t>
  </si>
  <si>
    <t xml:space="preserve">705-457-9900</t>
  </si>
  <si>
    <t xml:space="preserve">https://fowler.ca</t>
  </si>
  <si>
    <t xml:space="preserve">Big road-building, aggregate and paving company with a Haliburton yard on Gelert Rd; large employer of exactly the crowd that fills arena seats.</t>
  </si>
  <si>
    <t xml:space="preserve">https://www.yellowpages.ca/search/si/1/Contractors/Haliburton+ON</t>
  </si>
  <si>
    <t xml:space="preserve">Foodland Haliburton and Foodland Minden</t>
  </si>
  <si>
    <t xml:space="preserve">Haliburton / Minden</t>
  </si>
  <si>
    <t xml:space="preserve">Grocery</t>
  </si>
  <si>
    <t xml:space="preserve">705-286-1121</t>
  </si>
  <si>
    <t xml:space="preserve">Proven local supporter: the two area Foodland stores sold Haliburton County Huskies merchandise (400 hats, 300 shirts), per Minden Times. Haliburton 705-457-2242.</t>
  </si>
  <si>
    <t xml:space="preserve">https://mindentimes.ca/news/huskies-return-bolstered-by-community-support/</t>
  </si>
  <si>
    <t xml:space="preserve">Hudson Henderson Insurance</t>
  </si>
  <si>
    <t xml:space="preserve">Haliburton / Minden / Bancroft / Lindsay</t>
  </si>
  <si>
    <t xml:space="preserve">Insurance broker</t>
  </si>
  <si>
    <t xml:space="preserve">888-522-4999</t>
  </si>
  <si>
    <t xml:space="preserve">info@hudsonhenderson.com</t>
  </si>
  <si>
    <t xml:space="preserve">https://www.hudsonhenderson.com/</t>
  </si>
  <si>
    <t xml:space="preserve">Cottage-country broker with offices in Haliburton, Minden, Bancroft and Lindsay, so one sponsorship covers every 2027 host town.</t>
  </si>
  <si>
    <t xml:space="preserve">Nomi Resort</t>
  </si>
  <si>
    <t xml:space="preserve">Harcourt</t>
  </si>
  <si>
    <t xml:space="preserve">Resort / restaurant / lounge</t>
  </si>
  <si>
    <t xml:space="preserve">1-888-765-9951</t>
  </si>
  <si>
    <t xml:space="preserve">stay@nomiresort.com</t>
  </si>
  <si>
    <t xml:space="preserve">https://nomiresort.com</t>
  </si>
  <si>
    <t xml:space="preserve">Luxury resort with 8fifty restaurant and lounge in Harcourt, Cody's hometown; strong hometown story for a VIP table or presenting package.</t>
  </si>
  <si>
    <t xml:space="preserve">Boshkung Brewing</t>
  </si>
  <si>
    <t xml:space="preserve">Minden</t>
  </si>
  <si>
    <t xml:space="preserve">Brewery / restaurant (ALCOHOL)</t>
  </si>
  <si>
    <t xml:space="preserve">705-286-2711</t>
  </si>
  <si>
    <t xml:space="preserve">https://boshkungbrewing.com</t>
  </si>
  <si>
    <t xml:space="preserve">Minden brewery and taproom now expanding into a full restaurant; a natural after-party or beer-garden partner. Alcohol sponsor: check venue and AGCO rules.</t>
  </si>
  <si>
    <t xml:space="preserve">https://www.boshkungbrewing.com</t>
  </si>
  <si>
    <t xml:space="preserve">Floyd Hall Limited (insurance)</t>
  </si>
  <si>
    <t xml:space="preserve">705-286-1270</t>
  </si>
  <si>
    <t xml:space="preserve">Proven local sponsor: listed as a 'Star Gazers' business sponsor of the Haliburton Highlands Land Trust.</t>
  </si>
  <si>
    <t xml:space="preserve">RE/MAX Professionals North</t>
  </si>
  <si>
    <t xml:space="preserve">Real estate brokerage</t>
  </si>
  <si>
    <t xml:space="preserve">Proven local sponsor: its Terry Carr team sponsors the Haliburton Land Trust, and at its Minden office opening the owners said they want to be involved in local events.</t>
  </si>
  <si>
    <t xml:space="preserve">https://thehighlander.ca/2020/08/25/re-max-professionals-celebrate-grand-opening/</t>
  </si>
  <si>
    <t xml:space="preserve">Ridgewood Ford Sales Ltd</t>
  </si>
  <si>
    <t xml:space="preserve">705-286-2890</t>
  </si>
  <si>
    <t xml:space="preserve">https://ridgewoodford.com</t>
  </si>
  <si>
    <t xml:space="preserve">Minden Ford dealer on Hwy 35; F-series trucks and a Haliburton County customer base fit a ringside banner.</t>
  </si>
  <si>
    <t xml:space="preserve">The Rockcliffe - Moore Falls</t>
  </si>
  <si>
    <t xml:space="preserve">Restaurant / bar (ALCOHOL)</t>
  </si>
  <si>
    <t xml:space="preserve">info@therockcliffe.ca</t>
  </si>
  <si>
    <t xml:space="preserve">Minden-area restaurant and bar that could host a viewing party or the after-party. Alcohol sponsor.</t>
  </si>
  <si>
    <t xml:space="preserve">Harper Powersports &amp; Marine</t>
  </si>
  <si>
    <t xml:space="preserve">Minden / Haliburton</t>
  </si>
  <si>
    <t xml:space="preserve">705-286-2750</t>
  </si>
  <si>
    <t xml:space="preserve">https://www.harper-marine.com</t>
  </si>
  <si>
    <t xml:space="preserve">Authorized BRP dealer (Ski-Doo, Can-Am, Sea-Doo) with Minden and Haliburton stores; sells sleds and side-by-sides to the same young rural crowd that buys fight tickets.</t>
  </si>
  <si>
    <t xml:space="preserve">Harcourt TIM-BR Mart</t>
  </si>
  <si>
    <t xml:space="preserve">Wilberforce (Harcourt area)</t>
  </si>
  <si>
    <t xml:space="preserve">705-448-2268</t>
  </si>
  <si>
    <t xml:space="preserve">Small Highlands East building centre near Harcourt, Cody's hometown; a hometown angle for a small banner.</t>
  </si>
  <si>
    <t xml:space="preserve">https://www.yellowpages.ca/search/si/1/Hardware+Stores/Bancroft+ON</t>
  </si>
  <si>
    <t xml:space="preserve">97.7 Moose FM / My Bancroft Now</t>
  </si>
  <si>
    <t xml:space="preserve">613-332-1423</t>
  </si>
  <si>
    <t xml:space="preserve">https://www.mybancroftnow.com</t>
  </si>
  <si>
    <t xml:space="preserve">MEDIA PARTNER: Bancroft's commercial radio station and news site; propose on-air ticket giveaways and promo trade.</t>
  </si>
  <si>
    <t xml:space="preserve">https://www.mybancroftnow.com/contact-us/</t>
  </si>
  <si>
    <t xml:space="preserve">Bancroft Brew Pub</t>
  </si>
  <si>
    <t xml:space="preserve">Pub / restaurant (ALCOHOL)</t>
  </si>
  <si>
    <t xml:space="preserve">https://www.bancroftbrewpub.ca/</t>
  </si>
  <si>
    <t xml:space="preserve">Downtown Bancroft pub with live entertainment; natural official after-party or watch-party venue. Alcohol sponsor.</t>
  </si>
  <si>
    <t xml:space="preserve">https://hastings.ca/adventures/experiences/bancroft-brew-pub</t>
  </si>
  <si>
    <t xml:space="preserve">Bancroft Home Hardware</t>
  </si>
  <si>
    <t xml:space="preserve">613-332-2227</t>
  </si>
  <si>
    <t xml:space="preserve">https://www.homehardware.ca</t>
  </si>
  <si>
    <t xml:space="preserve">Bancroft's 50-year hardware store (formerly 'Wade's') under new owners keen to keep serving the community.</t>
  </si>
  <si>
    <t xml:space="preserve">https://www.bancroftthisweek.com/home-hardware-starts-a-new-chapter-in-its-50-year-history/</t>
  </si>
  <si>
    <t xml:space="preserve">Bancroft This Week</t>
  </si>
  <si>
    <t xml:space="preserve">613-332-2002</t>
  </si>
  <si>
    <t xml:space="preserve">https://www.bancroftthisweek.com</t>
  </si>
  <si>
    <t xml:space="preserve">MEDIA PARTNER: Bancroft weekly that has already profiled Bancroft Boxing &amp; Grappling and CCCL; propose ad and coverage trade.</t>
  </si>
  <si>
    <t xml:space="preserve">https://www.bancroftthisweek.com/contact-information</t>
  </si>
  <si>
    <t xml:space="preserve">Boyer Chevrolet Buick GMC Bancroft</t>
  </si>
  <si>
    <t xml:space="preserve">613-332-2438</t>
  </si>
  <si>
    <t xml:space="preserve">https://www.boyergmbancroft.com/</t>
  </si>
  <si>
    <t xml:space="preserve">Proven local sponsor: sponsored the Bancroft Motors Midget Jets and the North Kawartha Knights Jr C, and Boyer Auto Group appears on the Knights' schedule; trucks fit the fight-night crowd.</t>
  </si>
  <si>
    <t xml:space="preserve">https://www.bancroftthisweek.com/boyer-auto-group-happy-to-be-in-bancroft/</t>
  </si>
  <si>
    <t xml:space="preserve">Kawartha Credit Union - Bancroft branch</t>
  </si>
  <si>
    <t xml:space="preserve">Credit union</t>
  </si>
  <si>
    <t xml:space="preserve">1-855-670-0510</t>
  </si>
  <si>
    <t xml:space="preserve">https://www.kawarthacu.com/</t>
  </si>
  <si>
    <t xml:space="preserve">Regional credit union with a Bancroft branch (it absorbed the Coe Hill branch); credit unions sponsor community events in their branch towns.</t>
  </si>
  <si>
    <t xml:space="preserve">https://www.circulaire-en-ligne.ca/annuaire/ON/kawartha-credit-union/bancroft-90c-hastings-street-north</t>
  </si>
  <si>
    <t xml:space="preserve">Lucky Duck Tattoo</t>
  </si>
  <si>
    <t xml:space="preserve">Tattoo shop</t>
  </si>
  <si>
    <t xml:space="preserve">613-332-1331</t>
  </si>
  <si>
    <t xml:space="preserve">Bancroft tattoo shop on Hastings St N; same fan overlap, and a cheap small-tier banner.</t>
  </si>
  <si>
    <t xml:space="preserve">https://www.yellowpages.ca/search/si/1/Tattoos/Bancroft+ON</t>
  </si>
  <si>
    <t xml:space="preserve">Lynval Contracting Ltd</t>
  </si>
  <si>
    <t xml:space="preserve">Excavation / aggregate / septic</t>
  </si>
  <si>
    <t xml:space="preserve">613-332-6010</t>
  </si>
  <si>
    <t xml:space="preserve">https://lynval.net</t>
  </si>
  <si>
    <t xml:space="preserve">Bancroft excavating, hydro-line, aggregate, septic and dumpster contractor; a big local trades employer.</t>
  </si>
  <si>
    <t xml:space="preserve">Niffers Clothing</t>
  </si>
  <si>
    <t xml:space="preserve">Clothing retailer</t>
  </si>
  <si>
    <t xml:space="preserve">613-334-6354</t>
  </si>
  <si>
    <t xml:space="preserve">Bancroft clothing store listed by the chamber; possible fight-night merch or apparel partner.</t>
  </si>
  <si>
    <t xml:space="preserve">https://bancroftontario.com/directory/niffers-clothing/</t>
  </si>
  <si>
    <t xml:space="preserve">North Hastings Tire &amp; Auto</t>
  </si>
  <si>
    <t xml:space="preserve">Auto repair / tires</t>
  </si>
  <si>
    <t xml:space="preserve">613-332-5337</t>
  </si>
  <si>
    <t xml:space="preserve">https://nhauto.ca</t>
  </si>
  <si>
    <t xml:space="preserve">Bancroft tire and repair shop on Hwy 62; truck and ATV owners are its customers and fight fans.</t>
  </si>
  <si>
    <t xml:space="preserve">https://www.yellowpages.ca/search/si/1/Auto+Repair/Bancroft+ON</t>
  </si>
  <si>
    <t xml:space="preserve">Paul Price Ford Sales Inc</t>
  </si>
  <si>
    <t xml:space="preserve">1-877-798-7431</t>
  </si>
  <si>
    <t xml:space="preserve">http://www.paulpriceford.com/</t>
  </si>
  <si>
    <t xml:space="preserve">Bancroft-area Ford dealer listed on Hastings St N; F-150 buyers are the core 25-45 ticket demographic.</t>
  </si>
  <si>
    <t xml:space="preserve">RONA Bancroft</t>
  </si>
  <si>
    <t xml:space="preserve">613-332-3320</t>
  </si>
  <si>
    <t xml:space="preserve">https://www.rona.ca</t>
  </si>
  <si>
    <t xml:space="preserve">Proven local sponsor: supplied lumber for tables plus a truck and forklift for the 61st Rockhound Gemboree, and organizers called it 'so supportive of the show'.</t>
  </si>
  <si>
    <t xml:space="preserve">https://www.bancroftthisweek.com/opening-ceremony-for-the-61st-rockhound-gemboree/</t>
  </si>
  <si>
    <t xml:space="preserve">SJC Cook Construction Inc</t>
  </si>
  <si>
    <t xml:space="preserve">613-334-9999</t>
  </si>
  <si>
    <t xml:space="preserve">https://scook.ca</t>
  </si>
  <si>
    <t xml:space="preserve">Bancroft general contractor; trades crews are core fight-night ticket buyers.</t>
  </si>
  <si>
    <t xml:space="preserve">https://www.yellowpages.ca/search/si/1/Contractors/Bancroft+ON</t>
  </si>
  <si>
    <t xml:space="preserve">Sharon White Real Estate Ltd., Brokerage</t>
  </si>
  <si>
    <t xml:space="preserve">613-332-5075</t>
  </si>
  <si>
    <t xml:space="preserve">http://www.sharonwhite.ca/</t>
  </si>
  <si>
    <t xml:space="preserve">Well-known Bancroft brokerage on Hastings St N; real estate teams buy local visibility at community events.</t>
  </si>
  <si>
    <t xml:space="preserve">https://www.yellowpages.ca/search/si/1/Real+Estate/Bancroft+ON</t>
  </si>
  <si>
    <t xml:space="preserve">The Painted Lady Parlour</t>
  </si>
  <si>
    <t xml:space="preserve">343-476-5239</t>
  </si>
  <si>
    <t xml:space="preserve">Bancroft tattoo studio on Bridge St W; tattoo clients overlap heavily with combat-sports fans.</t>
  </si>
  <si>
    <t xml:space="preserve">Vance Motors Dodge Chrysler Jeep Ram</t>
  </si>
  <si>
    <t xml:space="preserve">866-940-7842</t>
  </si>
  <si>
    <t xml:space="preserve">https://www.vancebancroftdodge.ca/</t>
  </si>
  <si>
    <t xml:space="preserve">Proven local sponsor: family-run since 1942, it lists about 200 groups it has supported, including Bancroft Hawks, Bancroft Minor Hockey, the Gemboree and the Tri-County Hockey Tournament. Top presenting prospect.</t>
  </si>
  <si>
    <t xml:space="preserve">https://www.vancebancroftdodge.ca/organizations-we-have-supported/</t>
  </si>
  <si>
    <t xml:space="preserve">Watts Sutherland Auto Body Ltd</t>
  </si>
  <si>
    <t xml:space="preserve">613-332-3240</t>
  </si>
  <si>
    <t xml:space="preserve">https://wattssutherlandautobody.ca</t>
  </si>
  <si>
    <t xml:space="preserve">Bancroft collision shop on Valleyview Dr; local trade business that benefits from name recognition.</t>
  </si>
  <si>
    <t xml:space="preserve">Ball Real Estate Inc. Brokerage</t>
  </si>
  <si>
    <t xml:space="preserve">Bancroft (also Apsley, Haliburton, Lakefield HQ)</t>
  </si>
  <si>
    <t xml:space="preserve">705-651-2255</t>
  </si>
  <si>
    <t xml:space="preserve">https://ballrealestate.ca</t>
  </si>
  <si>
    <t xml:space="preserve">Locally owned brokerage with 72 agents and offices in Bancroft, Apsley and Haliburton; one sponsor that covers three CCCL host towns.</t>
  </si>
  <si>
    <t xml:space="preserve">https://www.bancroftthisweek.com/having-a-ball-at-real-estate-office-grand-opening/</t>
  </si>
  <si>
    <t xml:space="preserve">Am-Tech</t>
  </si>
  <si>
    <t xml:space="preserve">Apsley</t>
  </si>
  <si>
    <t xml:space="preserve">North Kawartha</t>
  </si>
  <si>
    <t xml:space="preserve">Excavation / septic / aggregate</t>
  </si>
  <si>
    <t xml:space="preserve">705-656-8485</t>
  </si>
  <si>
    <t xml:space="preserve">https://am-tech.ca</t>
  </si>
  <si>
    <t xml:space="preserve">Apsley excavating, shoreline work, licensed septic installs and sand/gravel; local heavy-equipment business.</t>
  </si>
  <si>
    <t xml:space="preserve">https://media-001-ca.cdn.govstack.com/northkawartha-006-ca/media/ksbjbxg1/2024-colour-directory-layout-56-page.pdf</t>
  </si>
  <si>
    <t xml:space="preserve">Apsley Auto Collision</t>
  </si>
  <si>
    <t xml:space="preserve">705-656-4982</t>
  </si>
  <si>
    <t xml:space="preserve">Apsley collision shop on Wellington St; small-tier local trade sponsor.</t>
  </si>
  <si>
    <t xml:space="preserve">Apsley Home Hardware Building Centre</t>
  </si>
  <si>
    <t xml:space="preserve">705-656-4295</t>
  </si>
  <si>
    <t xml:space="preserve">http://www.apsleyhomebuildingcentre.ca</t>
  </si>
  <si>
    <t xml:space="preserve">Apsley's main building centre on Tucker St, serving the contractors and cottage builders who make up the local trades crowd.</t>
  </si>
  <si>
    <t xml:space="preserve">Eels Lake Cottages &amp; Marina</t>
  </si>
  <si>
    <t xml:space="preserve">Marina / cottages</t>
  </si>
  <si>
    <t xml:space="preserve">705-656-1103</t>
  </si>
  <si>
    <t xml:space="preserve">elcm@eelslake.com</t>
  </si>
  <si>
    <t xml:space="preserve">https://www.eelslake.com</t>
  </si>
  <si>
    <t xml:space="preserve">Marina sales and service plus cottage rentals near Apsley; reaches cottagers and boaters.</t>
  </si>
  <si>
    <t xml:space="preserve">Kemp's Garage &amp; Mark's Towing</t>
  </si>
  <si>
    <t xml:space="preserve">Towing / auto repair</t>
  </si>
  <si>
    <t xml:space="preserve">705-656-4311</t>
  </si>
  <si>
    <t xml:space="preserve">Apsley garage and towing on Burleigh St; every local driver knows the name, so a cheap high-visibility banner.</t>
  </si>
  <si>
    <t xml:space="preserve">https://www.yellowpages.ca/search/si/1/Kemp%27s+Garage/Apsley+ON</t>
  </si>
  <si>
    <t xml:space="preserve">North Kawartha Fitness Centre</t>
  </si>
  <si>
    <t xml:space="preserve">Gym / fitness</t>
  </si>
  <si>
    <t xml:space="preserve">705-656-4445</t>
  </si>
  <si>
    <t xml:space="preserve">Apsley's fitness centre, which doesn't compete with BBG in Bancroft; cross-promo partner for the fitness crowd.</t>
  </si>
  <si>
    <t xml:space="preserve">Royal LePage Frank Real Estate (Apsley office)</t>
  </si>
  <si>
    <t xml:space="preserve">705-656-1035</t>
  </si>
  <si>
    <t xml:space="preserve">Apsley real-estate office on Burleigh St; agents want visibility with locals at community events.</t>
  </si>
  <si>
    <t xml:space="preserve">Tucker's Marine</t>
  </si>
  <si>
    <t xml:space="preserve">705-656-4402</t>
  </si>
  <si>
    <t xml:space="preserve">https://www.tuckersmarine.com</t>
  </si>
  <si>
    <t xml:space="preserve">Sells Yamaha ATVs and snowmobiles plus Lund and Bennington boats on Hwy 28; same buyers as fight-night ticket holders.</t>
  </si>
  <si>
    <t xml:space="preserve">Wally's Pub</t>
  </si>
  <si>
    <t xml:space="preserve">Pub (ALCOHOL)</t>
  </si>
  <si>
    <t xml:space="preserve">705-656-4964</t>
  </si>
  <si>
    <t xml:space="preserve">Apsley pub; natural local watch-party or after-party partner for an Apsley card. Alcohol sponsor.</t>
  </si>
  <si>
    <t xml:space="preserve">Bowes &amp; Cocks Limited, Brokerage</t>
  </si>
  <si>
    <t xml:space="preserve">Apsley (also Bancroft office)</t>
  </si>
  <si>
    <t xml:space="preserve">705-656-4422</t>
  </si>
  <si>
    <t xml:space="preserve">http://www.bowesandcocks.com/</t>
  </si>
  <si>
    <t xml:space="preserve">Peterborough-area brokerage with Apsley (123 Burleigh St) and Bancroft (613-332-1300) offices, so it covers two host towns.</t>
  </si>
  <si>
    <t xml:space="preserve">Donia's TIMBER MART &amp; Ace Hardware</t>
  </si>
  <si>
    <t xml:space="preserve">Apsley area (Hwy 28)</t>
  </si>
  <si>
    <t xml:space="preserve">705-656-3100</t>
  </si>
  <si>
    <t xml:space="preserve">Second building supplier on the Hwy 28 corridor; good small-to-standard banner prospect for an Apsley show.</t>
  </si>
  <si>
    <t xml:space="preserve">Shewen Construction Limited</t>
  </si>
  <si>
    <t xml:space="preserve">Woodview</t>
  </si>
  <si>
    <t xml:space="preserve">Excavation / aggregate / contracting</t>
  </si>
  <si>
    <t xml:space="preserve">705-654-3506</t>
  </si>
  <si>
    <t xml:space="preserve">General contracting, aggregate, septic and snow plowing in Woodview; long-standing local trades employer.</t>
  </si>
  <si>
    <t xml:space="preserve">Viamede Resort</t>
  </si>
  <si>
    <t xml:space="preserve">705-654-3344</t>
  </si>
  <si>
    <t xml:space="preserve">https://www.viamede.com</t>
  </si>
  <si>
    <t xml:space="preserve">Full-service resort on Stoney Lake with groups and events business; fighter/VIP accommodation or hospitality partner for an Apsley show.</t>
  </si>
  <si>
    <t xml:space="preserve">Kawartha Dairy</t>
  </si>
  <si>
    <t xml:space="preserve">Bobcaygeon HQ (stores in Minden and Bancroft)</t>
  </si>
  <si>
    <t xml:space="preserve">Kawartha Lakes</t>
  </si>
  <si>
    <t xml:space="preserve">Large regional employer / food</t>
  </si>
  <si>
    <t xml:space="preserve">705-738-5123</t>
  </si>
  <si>
    <t xml:space="preserve">info@kawarthadairy.com</t>
  </si>
  <si>
    <t xml:space="preserve">Iconic cottage-country brand with retail stores in both Minden and Bancroft; a presenting-level name that covers two host towns.</t>
  </si>
  <si>
    <t xml:space="preserve">Bent Anchor Bar &amp; Restaurant</t>
  </si>
  <si>
    <t xml:space="preserve">Combermere</t>
  </si>
  <si>
    <t xml:space="preserve">Bar / restaurant (ALCOHOL)</t>
  </si>
  <si>
    <t xml:space="preserve">613-756-9558</t>
  </si>
  <si>
    <t xml:space="preserve">Seasonal riverside bar with live music near Barry's Bay, listed in the Bancroft chamber directory; small banner prospect for a Barry's Bay/Bancroft show. Alcohol sponsor.</t>
  </si>
  <si>
    <t xml:space="preserve">https://bancroftontario.com/directory/bent-anchor-bar-restaurant/</t>
  </si>
  <si>
    <t xml:space="preserve">Big Country MMA - Lindsay</t>
  </si>
  <si>
    <t xml:space="preserve">Lindsay</t>
  </si>
  <si>
    <t xml:space="preserve">Gym / combat sports</t>
  </si>
  <si>
    <t xml:space="preserve">705-344-2662</t>
  </si>
  <si>
    <t xml:space="preserve">bigcountrymma1@gmail.com</t>
  </si>
  <si>
    <t xml:space="preserve">https://bigcountrylindsay.gymdesk.com</t>
  </si>
  <si>
    <t xml:space="preserve">Lindsay MMA, BJJ and Muay Thai gym that had an amateur champion on the May 2 CCCL card; a combat-community partner rather than a cash sponsor.</t>
  </si>
  <si>
    <t xml:space="preserve">https://thehighlander.ca/2026/03/12/fight-night-coming-to-haliburton-county/</t>
  </si>
  <si>
    <t xml:space="preserve">Shorelines Casino Peterborough</t>
  </si>
  <si>
    <t xml:space="preserve">Peterborough</t>
  </si>
  <si>
    <t xml:space="preserve">Casino (GAMBLING)</t>
  </si>
  <si>
    <t xml:space="preserve">705-809-0880</t>
  </si>
  <si>
    <t xml:space="preserve">http://www.shorelinescasinos.com</t>
  </si>
  <si>
    <t xml:space="preserve">Regional casino whose adult entertainment audience overlaps with fight fans. Gambling sponsor: check OAC/AGCO rules and whether youth fighters are on the card.</t>
  </si>
  <si>
    <t xml:space="preserve">GAMBLING: Cody decides. Keep their logo off youth bouts and kids' content.</t>
  </si>
  <si>
    <t xml:space="preserve">https://www.worldcasinodirectory.com/casino/shorelines-casino-peterborough</t>
  </si>
  <si>
    <t xml:space="preserve">Hayabusa Fightwear</t>
  </si>
  <si>
    <t xml:space="preserve">Kingston, ON</t>
  </si>
  <si>
    <t xml:space="preserve">Brand: fight gear</t>
  </si>
  <si>
    <t xml:space="preserve">Gear</t>
  </si>
  <si>
    <t xml:space="preserve">1-888-776-1662</t>
  </si>
  <si>
    <t xml:space="preserve">https://www.hayabusafight.com/pages/sponsorship-inquiry</t>
  </si>
  <si>
    <t xml:space="preserve">The best combat-native fit. Hayabusa is an Ontario brand based in Kingston, which is one of the 2027 target cities, about 2.5 hrs from Bancroft. In Oct 2025 it began sponsoring the ADCC North America Opens &amp; Trials (grappling) with prize packages for Absolute Division winners. That model fits CCCL title fights and the youth grappling matches. It was historically Glory kickboxing's equipment provider. Its site has a public sponsorship inquiry form (options: Competition / Ambassador / Other). ASK: Official Fight Gear Partner of the CCCL 2027 series: Hayabusa gear for title-fight winners and the youth grappling medal winners (under $300 a fighter), gear in fighter bags, logo on the cage banner and livestream. Hold the Kingston show at a venue near their HQ and invite their team. Ask for in-kind worth about Silver, with cash as an upside.</t>
  </si>
  <si>
    <t xml:space="preserve">How to reach: Phone 1-888-776-1662 and live chat (https://hayabusafight.com/pages/contact-us); wholesale: https://www.hayabusafight.com/pages/wholesale-inquiry</t>
  </si>
  <si>
    <t xml:space="preserve">https://adcc-official.com/blogs/announcements/hayabusa-fightwear-announces-sponsorship</t>
  </si>
  <si>
    <t xml:space="preserve">BioSteel (BioSteel Sports Inc.)</t>
  </si>
  <si>
    <t xml:space="preserve">Windsor, ON</t>
  </si>
  <si>
    <t xml:space="preserve">Brand: protein</t>
  </si>
  <si>
    <t xml:space="preserve">Protein</t>
  </si>
  <si>
    <t xml:space="preserve">https://biosteel.ca/pages/partnerships</t>
  </si>
  <si>
    <t xml:space="preserve">The most active grassroots Ontario sponsor found. It was Football Ontario's official hydration partner for 2025: product at 10 events and camps, a sampling trailer at 6 of them, signage and digital promotion. It has a public partnerships application and a free Team Sponsorship Kit for youth teams. It's a sugar-free hydration brand, so it's safe to put next to kids (unlike alcohol or energy drinks). ASK: Official Hydration Partner of the CCCL 2027 series: hydration product for fighters, corners and officials, the sampling trailer or a booth at the biggest show (Peterborough or Oshawa), logo on the cage-side and livestream. Separately, get the BioSteel Team Kit for the youth grappling team. Pitch it together with Canadian Protein (same owner).</t>
  </si>
  <si>
    <t xml:space="preserve">How to reach: Partnership application form above; mailing address 13455 Sylvestre Dr, Windsor, ON N8N 2L9 (biosteel.ca)</t>
  </si>
  <si>
    <t xml:space="preserve">https://biosteel.ca/blogs/newsroom/biosteel-partners-with-football-ontario-to-fuel-2025-season</t>
  </si>
  <si>
    <t xml:space="preserve">Canadian Protein</t>
  </si>
  <si>
    <t xml:space="preserve">https://canadianprotein.com/pages/contact-us</t>
  </si>
  <si>
    <t xml:space="preserve">An Ontario-made protein brand with the same owner as BioSteel (Dan Crosby, per CBC). One pitch can cover protein (Canadian Protein) and hydration (BioSteel). Its value pricing fits fighters and gym members, and the 'Ontario fighters, Ontario-made protein' story is easy to tell. ASK: Protein product for fighter bags and prizes for a licensed raffle, a discount code for ticket buyers and Bancroft Boxing members, and logo on the livestream lower-third. Add a small cash Bronze if paired with BioSteel.</t>
  </si>
  <si>
    <t xml:space="preserve">How to reach: Contact form on the page above (routed via Zendesk to the right department). No sponsorship email published.</t>
  </si>
  <si>
    <t xml:space="preserve">https://www.cbc.ca/lite/story/1.7031386</t>
  </si>
  <si>
    <t xml:space="preserve">MuscleTech / Six Star (Iovate Health Sciences)</t>
  </si>
  <si>
    <t xml:space="preserve">Oakville, ON</t>
  </si>
  <si>
    <t xml:space="preserve">1-888-334-4448</t>
  </si>
  <si>
    <t xml:space="preserve">info@iovate.com</t>
  </si>
  <si>
    <t xml:space="preserve">https://www.iovate.com/contact-us/</t>
  </si>
  <si>
    <t xml:space="preserve">The 'huge protein brand' that is actually Ontario-headquartered: Iovate owns MuscleTech, Six Star, Hydroxycut and Purely Inspired. Has a track record of event sponsorship built on sampling (Gold sponsor of 33 Musclecontest events in 2023, giving samples to competitors and spectators) and signs Canadian athletes to Team MuscleTech. Team MuscleTech today is an affiliate program ('The Hive'), so individual fighters can also join it for product and commission. ASK: Year 1: Six Star/MuscleTech product for every fighter bag, plus a sampling table at each 2027 show, with logo on the weigh-in backdrop and the livestream. Move to cash (Silver) only after you can show 2026 livestream and attendance numbers. Pitch it as Ontario brand + Ontario fighters across 4 cities.</t>
  </si>
  <si>
    <t xml:space="preserve">How to reach: info@iovate.com / 1-888-334-4448 (listed on iovate.com); MuscleTech web form at https://www.muscletech.com/pages/contact-us; fighters: https://www.muscletech.com/pages/team-muscletech (affiliate)</t>
  </si>
  <si>
    <t xml:space="preserve">https://www.iovate.com/press-release/muscletech-announces-gold-sponsorship-of-musclecontest-international-events</t>
  </si>
  <si>
    <t xml:space="preserve">Allmax Nutrition</t>
  </si>
  <si>
    <t xml:space="preserve">North York</t>
  </si>
  <si>
    <t xml:space="preserve">https://www.allmaxnutrition.com/pages/allmax-show-competitors</t>
  </si>
  <si>
    <t xml:space="preserve">Toronto sports-nutrition brand that sponsors Canadian sport at a national level: title sponsor of Canada's Senior Men's National Tackle Team in 2025. Its site has a 'Business &amp; Event Inquiries' link and a separate athletes/influencer portal. ASK: Product for fighter bags plus a sampling booth at 1-2 shows. Ask for a Bronze cash add-on if they take the 'presenting sponsor of the weigh-ins' slot. Put strong fighters forward for the athlete portal.</t>
  </si>
  <si>
    <t xml:space="preserve">How to reach: Contact form: https://www.allmaxnutrition.com/pages/contact</t>
  </si>
  <si>
    <t xml:space="preserve">https://footballcanada.com/news/allmax-nutrition-becomes-title-sponsor-for-canadas-senior-mens-national-tackle-team</t>
  </si>
  <si>
    <t xml:space="preserve">STING Sports Canada</t>
  </si>
  <si>
    <t xml:space="preserve">Global HQ stated as Canada</t>
  </si>
  <si>
    <t xml:space="preserve">salesca@stingsports.com</t>
  </si>
  <si>
    <t xml:space="preserve">https://stingsports.ca/pages/contact</t>
  </si>
  <si>
    <t xml:space="preserve">Official equipment supplier and partner of Boxing Ontario (gloves and equipment for all Boxing Ontario events; Jan 2026 article) and of Boxing Canada. Says it supports local gyms and youth development. A natural partner for Bancroft Boxing as a boxing gym. ASK: Official glove/equipment supplier for CCCL (gloves, pads, headgear for youth), discounted gear for Bancroft Boxing members, prize packs. In-kind, plus a logo.</t>
  </si>
  <si>
    <t xml:space="preserve">How to reach: Contact form above; wholesale: salesca@stingsports.com (listed on stingsports.ca)</t>
  </si>
  <si>
    <t xml:space="preserve">https://stingsports.ca/blogs/news/sting-canada-boxing-ontario-partnership</t>
  </si>
  <si>
    <t xml:space="preserve">Supplement King Canada (local franchise stores)</t>
  </si>
  <si>
    <t xml:space="preserve">Halifax, NS</t>
  </si>
  <si>
    <t xml:space="preserve">Official Supplement Retail Store of the CFL (multi-year deal from 2023). In March 2024 it ran a KidSport youth-sport fundraiser in its stores, which helps the youth-grappling angle. Stores are owner-operated, so a local owner can say yes quickly. ASK: Ask the owner of the nearest store in each 2027 host city (Peterborough, Kingston, Oshawa, Lindsay) for product prizes, gift cards for fighter-of-the-night (under $300), a booth, and cross-promotion in store. Store owners are usually Community/Bronze level.</t>
  </si>
  <si>
    <t xml:space="preserve">How to reach: Local store owner (in person). No official sponsorship email verified.</t>
  </si>
  <si>
    <t xml:space="preserve">https://press.cfl.ca/supplement-king-canada-and-cfl-launch-multi-year-partnership</t>
  </si>
  <si>
    <t xml:space="preserve">Popeye's Supplements Canada (local franchise stores)</t>
  </si>
  <si>
    <t xml:space="preserve">Not verified</t>
  </si>
  <si>
    <t xml:space="preserve">Canada's largest sports-nutrition retail chain (140+ stores per a Nov 2025 Business Wire release). Official supplement provider of the CFL's Montreal Alouettes. Has stores near the 2027 targets of Kingston and Oshawa/Whitby. ASK: Local store product for fighter bags and prizes, a weigh-in sponsor slot, and a discount code for ticket buyers.</t>
  </si>
  <si>
    <t xml:space="preserve">How to reach: Local store (in person). No official sponsorship email verified. (Low confidence: check details first.)</t>
  </si>
  <si>
    <t xml:space="preserve">https://en.montrealalouettes.com/?p=347957</t>
  </si>
  <si>
    <t xml:space="preserve">PVL (Pure Vita Labs / PVL Nutrients Ltd.)</t>
  </si>
  <si>
    <t xml:space="preserve">Port Coquitlam, BC</t>
  </si>
  <si>
    <t xml:space="preserve">https://pvl.com/pages/contact</t>
  </si>
  <si>
    <t xml:space="preserve">A Canadian brand that already sponsors combat athletes: pro boxer Triston Brookes, WBC Muay Thai champion Scott Mackenzie and a Silver Gloves amateur boxer. CFL Players' Association partner since Oct 2025. Its products are third-party tested, which matters for sanctioned fighters. ASK: Product for fighter bags, and individual sponsorship of 1-2 standout CCCL fighters (gear, logo on walkout shirt). Mostly in-kind.</t>
  </si>
  <si>
    <t xml:space="preserve">How to reach: Contact page above; no sponsorship email published</t>
  </si>
  <si>
    <t xml:space="preserve">https://pvl.com/pages/athletes</t>
  </si>
  <si>
    <t xml:space="preserve">Nutrabolics</t>
  </si>
  <si>
    <t xml:space="preserve">Vancouver, BC</t>
  </si>
  <si>
    <t xml:space="preserve">https://nutrabolics.com/pages/contact</t>
  </si>
  <si>
    <t xml:space="preserve">A Canadian supplement brand with the longest MMA history found: past ambassadors include Anderson Silva, Bobby Lashley (2015 deal) and Khabib Nurmagomedov (per BIV). Its contact form has a dedicated 'Sponsorship' department. ASK: Product for fighter bags, plus a logo on the fight poster and livestream. In-kind only at this stage.</t>
  </si>
  <si>
    <t xml:space="preserve">How to reach: Web form above; mailing address #220 - 1917 West 4th Ave, Vancouver, BC V6J 1M7</t>
  </si>
  <si>
    <t xml:space="preserve">https://www.newswire.com/news/nutrabolics-signs-deal-with-mma-star-bobby-lashley</t>
  </si>
  <si>
    <t xml:space="preserve">VEGAIN</t>
  </si>
  <si>
    <t xml:space="preserve">Nanaimo, BC</t>
  </si>
  <si>
    <t xml:space="preserve">https://vegain.com</t>
  </si>
  <si>
    <t xml:space="preserve">A Canadian plant-based protein brand that signed UFC welterweight Ian Machado Garry as an ambassador in 2024, so it is open to combat sports. ASK: Product for fighter bags and prizes for a licensed raffle; in-kind.</t>
  </si>
  <si>
    <t xml:space="preserve">How to reach: Not verified. Use the contact link on vegain.com (Low confidence: check details first.)</t>
  </si>
  <si>
    <t xml:space="preserve">https://businessexaminer.ca/victoria-articles/item/nanaimo-based-vegain-inks-ufc-fighter-to-rep-sports-nutrition-brand</t>
  </si>
  <si>
    <t xml:space="preserve">Maple Leaf Foods (Maple Leaf Mighty Protein)</t>
  </si>
  <si>
    <t xml:space="preserve">Mississauga, ON</t>
  </si>
  <si>
    <t xml:space="preserve">https://www.mapleleaffoods.com/wp-content/uploads/2018/04/Community-Involvement-Policy.pdf</t>
  </si>
  <si>
    <t xml:space="preserve">A huge Ontario 'protein' brand in the food sense: four-year Official Protein Partner of Team Canada (Dec 2025), with the 'Victory. But First, Protein.' campaign. But its Community Involvement Policy is about food security and excludes for-profit businesses. Long shot. ASK: Realistically none for the for-profit show. Possible only for a non-profit youth program with a nutrition / food-security angle (in-kind).</t>
  </si>
  <si>
    <t xml:space="preserve">Funds registered charities or non-profits only: needs a non-profit partner to apply. How to reach: Request contact is listed in the policy PDF above (2018 document, may be outdated) (Low confidence: check details first.)</t>
  </si>
  <si>
    <t xml:space="preserve">https://olympic.ca/press/maple-leaf-foods-joins-team-canada-as-official-protein-partner/</t>
  </si>
  <si>
    <t xml:space="preserve">RDX Sports</t>
  </si>
  <si>
    <t xml:space="preserve">International brand</t>
  </si>
  <si>
    <t xml:space="preserve">Official equipment supplier of IMMAF, the world amateur MMA federation, renewed for 2026. Directly relevant because CCCL runs amateur MMA under the Combative Sports Act. RDX also publishes many event and academy sponsorships worldwide. ASK: Gear prize packs and discounted shin guards / MMA gloves for amateur fighters; in-kind.</t>
  </si>
  <si>
    <t xml:space="preserve">How to reach: Not verified (Low confidence: check details first.)</t>
  </si>
  <si>
    <t xml:space="preserve">https://immaf.org/?p=57969</t>
  </si>
  <si>
    <t xml:space="preserve">Proper No. Twelve Irish Whiskey (Proximo Spirits)</t>
  </si>
  <si>
    <t xml:space="preserve">Proximo Spirits: Jersey City, NJ</t>
  </si>
  <si>
    <t xml:space="preserve">Brand: alcohol</t>
  </si>
  <si>
    <t xml:space="preserve">Alcohol</t>
  </si>
  <si>
    <t xml:space="preserve">(647) 344-3838</t>
  </si>
  <si>
    <t xml:space="preserve">https://www.proximospirits.com/contact</t>
  </si>
  <si>
    <t xml:space="preserve">Cody's dream sponsor. It has combat-sports history: title sponsor of Wilder vs Fury II (2020) and official whiskey partner of PFL Europe (2023). It also has hockey deals in Canada (Bell Centre/Canadiens 2021, run by Proximo Spirits Canada). It's listed at the LCBO (#11945). But Proximo dropped Conor McGregor in Nov 2024, and the youth grappling on the card collides with alcohol marketing rules (see alcohol_rules). ASK: Only an adults-only activation: a 19+ VIP lounge/after-party sponsor or VIP table at the biggest 2027 show (no youth matches on that card). Product through the venue's licence/permit, with no fighter endorsements. Pitch Gold at most. Expect a 'not yet', and come back with 1,000+ crowd numbers.</t>
  </si>
  <si>
    <t xml:space="preserve">ALCOHOL: Cody decides. Only for a 19+ show or 19+ area, never near youth bouts or kids' content. Check with the AGCO, the Athletics Commission and the venue first. How to reach: Proximo Spirits Canada, 111 Peter St., Suite 700, Toronto, ON M5V 2H1; (647) 344-3838 (listed on proximospirits.com/contact)</t>
  </si>
  <si>
    <t xml:space="preserve">https://whiskycast.com/proper-no-twelve-whiskey-cutting-ties-with-mcgregor/</t>
  </si>
  <si>
    <t xml:space="preserve">Monster Energy</t>
  </si>
  <si>
    <t xml:space="preserve">Corona, CA</t>
  </si>
  <si>
    <t xml:space="preserve">Brand: other</t>
  </si>
  <si>
    <t xml:space="preserve">Energy drink (FLAG)</t>
  </si>
  <si>
    <t xml:space="preserve">https://www.monsterenergy.com/contact-us/</t>
  </si>
  <si>
    <t xml:space="preserve">The biggest energy-drink backer of combat sports: long-time UFC partner, and also Bellator and ONE Championship. It has a published route for event requests through its contact form. The big caveat is youth: energy drinks shouldn't be marketed or sampled to the kids competing in grappling. ASK: Product for adult fighters, crew and VIP; a branded booth or cage-side signage at adult cards. Small cash (Bronze) is a stretch for a regional show. Submit 10-12 weeks before the event.</t>
  </si>
  <si>
    <t xml:space="preserve">ENERGY DRINK: Cody decides. Keep it away from youth bouts and kids' content. How to reach: Event form above. Athlete requests by mail only: Monster Energy, Attn: Athlete Sponsorship Department, 1 Monster Way, Corona, CA 92879 (per FAQ)</t>
  </si>
  <si>
    <t xml:space="preserve">https://www.monsterenergy.com/en-us/faqs/</t>
  </si>
  <si>
    <t xml:space="preserve">GURU Organic Energy</t>
  </si>
  <si>
    <t xml:space="preserve">Montreal, QC</t>
  </si>
  <si>
    <t xml:space="preserve">sponsorships@guruenergy.com</t>
  </si>
  <si>
    <t xml:space="preserve">https://guruenergy.com/pages/sponsorships</t>
  </si>
  <si>
    <t xml:space="preserve">A Canadian energy drink that sponsors many grassroots events (30+ in summer 2022, including Ontario's Sea Otter at Blue Mountain, Vegandale Toronto, and Spartan Races). It has a dedicated sponsorship email for event organizers. Same youth caveat as Monster. ASK: Sampling product and a booth at adult cards, product for fighters and volunteers, with a logo. In-kind, or Bronze at most.</t>
  </si>
  <si>
    <t xml:space="preserve">ENERGY DRINK: Cody decides. Keep it away from youth bouts and kids' content. How to reach: sponsorships@guruenergy.com (listed on guruenergy.com)</t>
  </si>
  <si>
    <t xml:space="preserve">https://www.bevnet.com/news/2022/guru-announces-summer-event-sponsorship</t>
  </si>
  <si>
    <t xml:space="preserve">Tim Hortons</t>
  </si>
  <si>
    <t xml:space="preserve">National chain</t>
  </si>
  <si>
    <t xml:space="preserve">Other</t>
  </si>
  <si>
    <t xml:space="preserve">regionalmarketing@timhortons.com</t>
  </si>
  <si>
    <t xml:space="preserve">https://help.timhortons.ca/hc/en-ca/articles/38495526405659-How-can-I-request-a-donation-or-sponsorship-for-an-event</t>
  </si>
  <si>
    <t xml:space="preserve">The best youth-safe national brand for the kids' grappling segment. Timbits youth sports programs are sponsored by local restaurant owners. Tims also accepts event sponsorship/donation requests through regional marketing. ASK: Community level: coffee and Timbits for volunteers, officials and the youth grappling division ('Timbits Youth Grappling'), plus a logo in youth-division graphics. Email a PDF 8-10 weeks ahead with event name, date, expected attendance and the specific ask.</t>
  </si>
  <si>
    <t xml:space="preserve">How to reach: regionalmarketing@timhortons.com (per Tim Hortons help centre; reply only if interested)</t>
  </si>
  <si>
    <t xml:space="preserve">https://alliancehockey.com/Articles/5076/Timbits_Jersey_Program/</t>
  </si>
  <si>
    <t xml:space="preserve">Home Hardware</t>
  </si>
  <si>
    <t xml:space="preserve">St. Jacobs, ON</t>
  </si>
  <si>
    <t xml:space="preserve">https://www.homehardware.ca/en/flipgive-sports-teams</t>
  </si>
  <si>
    <t xml:space="preserve">An Ontario-headquartered building supplies and hardware brand with dealer-owned stores across cottage country. It runs Play More matching grants with FlipGive for youth sports teams. A local dealer is a natural trades-and-cottage-country sponsor. ASK: Local dealer in each host town: Bronze or Community level, with the logo on a 'Hardest Hitter' or 'Fight of the Night' award. The youth grappling team can raise funds through FlipGive and apply for the Play More match when it's open.</t>
  </si>
  <si>
    <t xml:space="preserve">How to reach: Local Home Hardware dealer. No national sponsorship email verified.</t>
  </si>
  <si>
    <t xml:space="preserve">https://www.newswire.ca/news-releases/home-hardware-and-flipgive-launch-grant-program-to-help-keep-kids-in-the-game-871719190.html</t>
  </si>
  <si>
    <t xml:space="preserve">Canadian Tire Jumpstart Charities</t>
  </si>
  <si>
    <t xml:space="preserve">National</t>
  </si>
  <si>
    <t xml:space="preserve">https://jumpstart.canadiantire.ca/pages/faq</t>
  </si>
  <si>
    <t xml:space="preserve">The biggest youth-sport funder in Canada. Community Development Grants go up to $25,000 (Access) and $75,000 (Youth Development) for eligible organizations using sport for kids facing barriers. It's a fit for a youth grappling program, not the show itself: eligibility is for qualified organizations, and the FAQ refers to 'qualified donees'. ASK: Not event sponsorship. A grant for a Bancroft Boxing &amp; Grappling youth program, run through or with a registered non-profit or charity partner. Local Canadian Tire dealers can separately be asked for Community-level event support.</t>
  </si>
  <si>
    <t xml:space="preserve">Funds registered charities or non-profits only: needs a non-profit partner to apply. How to reach: Through the Community Development Grant application linked from the FAQ</t>
  </si>
  <si>
    <t xml:space="preserve">Kawartha Credit Union</t>
  </si>
  <si>
    <t xml:space="preserve">Kawartha region, ON</t>
  </si>
  <si>
    <t xml:space="preserve">communications@kawarthacu.com</t>
  </si>
  <si>
    <t xml:space="preserve">https://www.kawarthacu.com/assets/pdfs/KCU%20Community%20Involvement%20Program%20-%202026%20Application%20Guidelines.pdf</t>
  </si>
  <si>
    <t xml:space="preserve">The only regional financial brand with branches in Bancroft AND three of the 2027 host cities. But its Community Involvement Program is only for registered charities and non-profits, so for-profit promoters are explicitly ineligible. Most grants are $1,000-$5,000. The 2026-funding window was Aug 25 - Oct 3, 2025. ASK: A youth-program or community-component grant through a non-profit partner (apply in the late-summer window), not a show sponsorship.</t>
  </si>
  <si>
    <t xml:space="preserve">Funds registered charities or non-profits only: needs a non-profit partner to apply. How to reach: Online application form; supporting docs to communications@kawarthacu.com (per KCU guidelines)</t>
  </si>
  <si>
    <t xml:space="preserve">Ontario Power Generation (Regional Empowerment Grant)</t>
  </si>
  <si>
    <t xml:space="preserve">Ontario</t>
  </si>
  <si>
    <t xml:space="preserve">https://www.opg.com/communities/community-investment/grants/</t>
  </si>
  <si>
    <t xml:space="preserve">Funds grassroots initiatives in its host communities with grants of $2,000-$10,000 a year. Durham is named as a host area (Darlington, Pickering), which matters for an Oshawa show. Applications go through the Benevity portal in quarterly windows (current window Oct 1 - Nov 15). Benevity generally serves registered organizations, so confirm eligibility. ASK: A grant for the community or youth part of the Oshawa show (e.g., free youth grappling clinic, accessibility seating), through an eligible organization.</t>
  </si>
  <si>
    <t xml:space="preserve">Funds registered charities or non-profits only: needs a non-profit partner to apply. How to reach: Benevity application linked from the page above</t>
  </si>
  <si>
    <t xml:space="preserve">Ford (Ford of Canada / Ontario Ford Dealers)</t>
  </si>
  <si>
    <t xml:space="preserve">Canada</t>
  </si>
  <si>
    <t xml:space="preserve">https://www.ford.ca/sponsorship/overview/</t>
  </si>
  <si>
    <t xml:space="preserve">Trucks fit the cottage-country and trades crowd. Ford Canada sponsors sport from youth hockey to pro teams. Ontario Ford Dealers signed a 3-year Royal Agricultural Winter Fair deal (Sept 2025) aimed at rural customers, and also present The Royal Rodeo. National intake was closed for 2024-2025, so local dealers are the realistic route. ASK: Local Ford dealer in each host city: Bronze or Silver with a truck display in the arena lobby and a 'Built Tough Fight of the Night' award. Watch for the national application to reopen.</t>
  </si>
  <si>
    <t xml:space="preserve">How to reach: Local Ford dealers; national application form above</t>
  </si>
  <si>
    <t xml:space="preserve">https://canadianautodealer.ca/2025/09/ontario-ford-dealers-forge-rural-ties/</t>
  </si>
  <si>
    <t xml:space="preserve">Kubota Canada</t>
  </si>
  <si>
    <t xml:space="preserve">Pickering, ON</t>
  </si>
  <si>
    <t xml:space="preserve">https://www.kubota.ca/community</t>
  </si>
  <si>
    <t xml:space="preserve">A rural equipment and trades brand headquartered next to Oshawa. It sponsors grassroots and rural Ontario properties: 4-H Ontario, the CHL and Canadian Tire Motorsport Park. Its community page has no request form; it points to local dealers. ASK: Local Kubota dealer near each host city: Community or Bronze level with an equipment display and logo. For an Oshawa show, try Kubota Canada's Pickering office through a dealer introduction.</t>
  </si>
  <si>
    <t xml:space="preserve">How to reach: Local Kubota dealer. No national sponsorship email verified.</t>
  </si>
  <si>
    <t xml:space="preserve">DeWalt (Stanley Black &amp; Decker), via a regional construction-supply dealer</t>
  </si>
  <si>
    <t xml:space="preserve">A tools brand with a combat-sports history (former UFC sponsor). An Ontario construction-supply dealer (Investments Hardware Ltd., Woodbridge) used its DeWalt relationship to run a UFC 129 customer event. The realistic route is a regional trades-supply dealer's co-op marketing, not DeWalt directly. The source is old (2011). ASK: Tool prize packs for fighter-of-the-night (under $300) or a licensed raffle, plus a logo, through a regional construction-supply store. In-kind.</t>
  </si>
  <si>
    <t xml:space="preserve">How to reach: Not verified. Approach a regional construction-supply dealer. (Low confidence: check details first.)</t>
  </si>
  <si>
    <t xml:space="preserve">https://canada.constructconnect.com/?p=52670</t>
  </si>
  <si>
    <t xml:space="preserve">SPONSOR PACKAGES</t>
  </si>
  <si>
    <t xml:space="preserve">Cody's 2026 packages, used again for 2027 until he changes them. Prices, perks and slots in yellow can be changed. Slots per show are a suggestion.</t>
  </si>
  <si>
    <t xml:space="preserve">What the sponsor gets</t>
  </si>
  <si>
    <t xml:space="preserve">Status</t>
  </si>
  <si>
    <t xml:space="preserve">Naming rights ("presented by"), top logo on the cage and banners, featured on posters, ads and social media, named at fighter introductions, own posts before and after, VIP seating, a booth or display, recognised as the leading partner. Biggest logo on the event shirt and "presented by" on the livestream.</t>
  </si>
  <si>
    <t xml:space="preserve">2026 package (Cody). Same for 2027 unless Cody changes it. 2026: Dillabough Millwrighting &amp; Welding. Cody calls this level Platinum.</t>
  </si>
  <si>
    <t xml:space="preserve">Priority logo around the cage, featured on posters and ads, social media posts, several announcer mentions, VIP tickets, room for their banner and display. Large logo on the event shirt and the livestream.</t>
  </si>
  <si>
    <t xml:space="preserve">2026 package (Cody). Same for 2027 unless Cody changes it. Shirt and livestream sizes by level: confirmed by Cody (Oct 20, 2026).</t>
  </si>
  <si>
    <t xml:space="preserve">Logo on selected posters and promos, CCCL social media mention, shared banner space at the venue, announcer mention, free tickets, listed as an official sponsor. Logo on the event shirt and the livestream.</t>
  </si>
  <si>
    <t xml:space="preserve">2026 package (Cody). Same for 2027 unless Cody changes it. Quote $2,000 (the 2026 price) until Cody confirms. He listed Silver at $2,500 in Oct 2026.</t>
  </si>
  <si>
    <t xml:space="preserve">Logo on selected ads, social media sponsor announcement, named in sponsor thank-yous, announcer mention, free admission tickets. Small logo on the event shirt and the livestream sponsor slide.</t>
  </si>
  <si>
    <t xml:space="preserve">2026 package (Cody). Same for 2027 unless Cody changes it.</t>
  </si>
  <si>
    <t xml:space="preserve">CCCL social media mention, name or logo in selected sponsor promos, listed as an official community supporter. Name on the event shirt and the livestream sponsor slide. $300-$500.</t>
  </si>
  <si>
    <t xml:space="preserve">2026 package (Cody). Same for 2027 unless Cody changes it. Price is the minimum of the $300-$500 range.</t>
  </si>
  <si>
    <t xml:space="preserve">Product, prizes or services instead of cash: fighter bags, a sampling table, gear, prize packs. Perks agreed one-on-one, roughly matching the cash level of the same value.</t>
  </si>
  <si>
    <t xml:space="preserve">For brands that give product. Agreed by Cody case by case. Only cash counts toward the sponsorship goal. Anything a fighter receives must be worth under $300 in total, or they lose amateur status; belts, medals and trophies are fine. No raffle without a lottery licence.</t>
  </si>
  <si>
    <t xml:space="preserve">Cage-side table for 8-10 guests (depends on the venue's tables) for a business to host staff or clients.</t>
  </si>
  <si>
    <t xml:space="preserve">$1,500 a table (Cody); 6 sold in 2026. Seats 8-10 depending on the venue's tables (Kyle, Oct 2026).</t>
  </si>
  <si>
    <t xml:space="preserve">SPONSOR DELIVERY CHECKLIST</t>
  </si>
  <si>
    <t xml:space="preserve">When a sponsor signs, add them here (pick from the list) and tick off each promise as it's done. Every sponsor should get everything they paid for.</t>
  </si>
  <si>
    <t xml:space="preserve">Logo file received</t>
  </si>
  <si>
    <t xml:space="preserve">Banner ordered</t>
  </si>
  <si>
    <t xml:space="preserve">Banner hung at show</t>
  </si>
  <si>
    <t xml:space="preserve">Own thank-you post</t>
  </si>
  <si>
    <t xml:space="preserve">Tagged in fight-week posts</t>
  </si>
  <si>
    <t xml:space="preserve">On poster</t>
  </si>
  <si>
    <t xml:space="preserve">On the livestream</t>
  </si>
  <si>
    <t xml:space="preserve">On the shirts</t>
  </si>
  <si>
    <t xml:space="preserve">Tickets / VIP seats sent</t>
  </si>
  <si>
    <t xml:space="preserve">Announcer shout-out</t>
  </si>
  <si>
    <t xml:space="preserve">Photo + thank-you sent after</t>
  </si>
  <si>
    <t xml:space="preserve">All done?</t>
  </si>
  <si>
    <t xml:space="preserve">(Example) Lockhart Bros Contracting</t>
  </si>
  <si>
    <t xml:space="preserve">Show 1 · 2027</t>
  </si>
  <si>
    <t xml:space="preserve">Yes</t>
  </si>
  <si>
    <t xml:space="preserve">N/A</t>
  </si>
  <si>
    <t xml:space="preserve">No</t>
  </si>
  <si>
    <t xml:space="preserve">Example row showing the format. Bronze gets a logo on ads and the shirt, not its own banner, so the two banner columns are N/A. Replace it with a real sponsor.</t>
  </si>
</sst>
</file>

<file path=xl/styles.xml><?xml version="1.0" encoding="utf-8"?>
<styleSheet xmlns="http://schemas.openxmlformats.org/spreadsheetml/2006/main">
  <numFmts count="6">
    <numFmt numFmtId="164" formatCode="General"/>
    <numFmt numFmtId="165" formatCode="\$#,##0;&quot;($&quot;#,##0\);\-"/>
    <numFmt numFmtId="166" formatCode="0"/>
    <numFmt numFmtId="167" formatCode="0%"/>
    <numFmt numFmtId="168" formatCode="General"/>
    <numFmt numFmtId="169" formatCode="mmm\ d&quot;, &quot;yyyy"/>
  </numFmts>
  <fonts count="17">
    <font>
      <sz val="11"/>
      <color theme="1"/>
      <name val="Calibri"/>
      <family val="2"/>
      <charset val="1"/>
    </font>
    <font>
      <sz val="10"/>
      <name val="Arial"/>
      <family val="0"/>
    </font>
    <font>
      <sz val="10"/>
      <name val="Arial"/>
      <family val="0"/>
    </font>
    <font>
      <sz val="10"/>
      <name val="Arial"/>
      <family val="0"/>
    </font>
    <font>
      <b val="true"/>
      <sz val="16"/>
      <color rgb="FFEAA959"/>
      <name val="Arial"/>
      <family val="0"/>
      <charset val="1"/>
    </font>
    <font>
      <sz val="10"/>
      <color rgb="FFFFFFFF"/>
      <name val="Arial"/>
      <family val="0"/>
      <charset val="1"/>
    </font>
    <font>
      <b val="true"/>
      <sz val="11"/>
      <color rgb="FF081C2B"/>
      <name val="Arial"/>
      <family val="0"/>
      <charset val="1"/>
    </font>
    <font>
      <b val="true"/>
      <sz val="10"/>
      <name val="Arial"/>
      <family val="0"/>
      <charset val="1"/>
    </font>
    <font>
      <sz val="10"/>
      <name val="Arial"/>
      <family val="0"/>
      <charset val="1"/>
    </font>
    <font>
      <b val="true"/>
      <sz val="12"/>
      <color rgb="FFEAA959"/>
      <name val="Arial"/>
      <family val="0"/>
      <charset val="1"/>
    </font>
    <font>
      <sz val="10"/>
      <color rgb="FF0000FF"/>
      <name val="Arial"/>
      <family val="0"/>
      <charset val="1"/>
    </font>
    <font>
      <i val="true"/>
      <sz val="9"/>
      <color rgb="FF555555"/>
      <name val="Arial"/>
      <family val="0"/>
      <charset val="1"/>
    </font>
    <font>
      <b val="true"/>
      <sz val="10"/>
      <color rgb="FFFFFFFF"/>
      <name val="Arial"/>
      <family val="0"/>
      <charset val="1"/>
    </font>
    <font>
      <sz val="10"/>
      <color rgb="FF000000"/>
      <name val="Arial"/>
      <family val="0"/>
      <charset val="1"/>
    </font>
    <font>
      <b val="true"/>
      <sz val="11"/>
      <name val="Arial"/>
      <family val="0"/>
      <charset val="1"/>
    </font>
    <font>
      <sz val="10"/>
      <color rgb="FF008000"/>
      <name val="Arial"/>
      <family val="0"/>
      <charset val="1"/>
    </font>
    <font>
      <b val="true"/>
      <sz val="10"/>
      <color rgb="FFC00000"/>
      <name val="Arial"/>
      <family val="0"/>
      <charset val="1"/>
    </font>
  </fonts>
  <fills count="5">
    <fill>
      <patternFill patternType="none"/>
    </fill>
    <fill>
      <patternFill patternType="gray125"/>
    </fill>
    <fill>
      <patternFill patternType="solid">
        <fgColor rgb="FF081C2B"/>
        <bgColor rgb="FF000000"/>
      </patternFill>
    </fill>
    <fill>
      <patternFill patternType="solid">
        <fgColor rgb="FFFFFF00"/>
        <bgColor rgb="FFFFFF00"/>
      </patternFill>
    </fill>
    <fill>
      <patternFill patternType="solid">
        <fgColor rgb="FFFBEBD3"/>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5" fontId="10" fillId="3" borderId="1" xfId="0" applyFont="true" applyBorder="true" applyAlignment="true" applyProtection="false">
      <alignment horizontal="general" vertical="top" textRotation="0" wrapText="false" indent="0" shrinkToFit="false"/>
      <protection locked="true" hidden="false"/>
    </xf>
    <xf numFmtId="169" fontId="10" fillId="3" borderId="1" xfId="0" applyFont="true" applyBorder="true" applyAlignment="true" applyProtection="false">
      <alignment horizontal="general" vertical="top" textRotation="0" wrapText="false" indent="0" shrinkToFit="false"/>
      <protection locked="true" hidden="false"/>
    </xf>
    <xf numFmtId="164" fontId="16" fillId="0"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9" fontId="10" fillId="3"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general" vertical="top" textRotation="0" wrapText="true" indent="0" shrinkToFit="false"/>
      <protection locked="true" hidden="false"/>
    </xf>
    <xf numFmtId="166" fontId="10"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bgColor rgb="FFF8CBAD"/>
        </patternFill>
      </fill>
    </dxf>
    <dxf>
      <fill>
        <patternFill patternType="solid">
          <fgColor rgb="FF081C2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C00000"/>
          <bgColor rgb="FF000000"/>
        </patternFill>
      </fill>
    </dxf>
    <dxf>
      <fill>
        <patternFill>
          <bgColor rgb="FFDDEBF7"/>
        </patternFill>
      </fill>
    </dxf>
    <dxf>
      <fill>
        <patternFill>
          <bgColor rgb="FFFFF2CC"/>
        </patternFill>
      </fill>
    </dxf>
    <dxf>
      <fill>
        <patternFill>
          <bgColor rgb="FFFCE4D6"/>
        </patternFill>
      </fill>
    </dxf>
    <dxf>
      <fill>
        <patternFill>
          <bgColor rgb="FFE2EFDA"/>
        </patternFill>
      </fill>
    </dxf>
    <dxf>
      <fill>
        <patternFill>
          <bgColor rgb="FFA9D08E"/>
        </patternFill>
      </fill>
    </dxf>
    <dxf>
      <fill>
        <patternFill>
          <bgColor rgb="FFE7E6E6"/>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E2EFDA"/>
      <rgbColor rgb="FFC6EFCE"/>
      <rgbColor rgb="FFFBEBD3"/>
      <rgbColor rgb="FFA9D08E"/>
      <rgbColor rgb="FFFCE4D6"/>
      <rgbColor rgb="FFCC99FF"/>
      <rgbColor rgb="FFF8CBAD"/>
      <rgbColor rgb="FF3366FF"/>
      <rgbColor rgb="FF33CCCC"/>
      <rgbColor rgb="FF99CC00"/>
      <rgbColor rgb="FFFFCC00"/>
      <rgbColor rgb="FFEAA959"/>
      <rgbColor rgb="FFFF6600"/>
      <rgbColor rgb="FF555555"/>
      <rgbColor rgb="FF969696"/>
      <rgbColor rgb="FF003366"/>
      <rgbColor rgb="FF339966"/>
      <rgbColor rgb="FF081C2B"/>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A959"/>
    <pageSetUpPr fitToPage="false"/>
  </sheetPr>
  <dimension ref="A1: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95"/>
  </cols>
  <sheetData>
    <row r="1" customFormat="false" ht="30" hidden="false" customHeight="true" outlineLevel="0" collapsed="false">
      <c r="A1" s="1" t="s">
        <v>0</v>
      </c>
      <c r="B1" s="1"/>
      <c r="C1" s="1"/>
    </row>
    <row r="2" customFormat="false" ht="30" hidden="false" customHeight="true" outlineLevel="0" collapsed="false">
      <c r="A2" s="2" t="s">
        <v>1</v>
      </c>
      <c r="B2" s="2"/>
      <c r="C2" s="2"/>
    </row>
    <row r="4" customFormat="false" ht="15" hidden="false" customHeight="false" outlineLevel="0" collapsed="false">
      <c r="B4" s="3" t="s">
        <v>2</v>
      </c>
    </row>
    <row r="5" customFormat="false" ht="15" hidden="false" customHeight="false" outlineLevel="0" collapsed="false">
      <c r="B5" s="4" t="s">
        <v>3</v>
      </c>
      <c r="C5" s="5" t="s">
        <v>4</v>
      </c>
    </row>
    <row r="6" customFormat="false" ht="15" hidden="false" customHeight="false" outlineLevel="0" collapsed="false">
      <c r="B6" s="4" t="s">
        <v>5</v>
      </c>
      <c r="C6" s="5" t="s">
        <v>6</v>
      </c>
    </row>
    <row r="7" customFormat="false" ht="15" hidden="false" customHeight="false" outlineLevel="0" collapsed="false">
      <c r="B7" s="4" t="s">
        <v>7</v>
      </c>
      <c r="C7" s="5" t="s">
        <v>8</v>
      </c>
    </row>
    <row r="8" customFormat="false" ht="15" hidden="false" customHeight="false" outlineLevel="0" collapsed="false">
      <c r="B8" s="4" t="s">
        <v>9</v>
      </c>
      <c r="C8" s="5" t="s">
        <v>10</v>
      </c>
    </row>
    <row r="9" customFormat="false" ht="15" hidden="false" customHeight="false" outlineLevel="0" collapsed="false">
      <c r="B9" s="4" t="s">
        <v>11</v>
      </c>
      <c r="C9" s="5" t="s">
        <v>12</v>
      </c>
    </row>
    <row r="10" customFormat="false" ht="15" hidden="false" customHeight="false" outlineLevel="0" collapsed="false">
      <c r="B10" s="4" t="s">
        <v>13</v>
      </c>
      <c r="C10" s="5" t="s">
        <v>14</v>
      </c>
    </row>
    <row r="11" customFormat="false" ht="15" hidden="false" customHeight="false" outlineLevel="0" collapsed="false">
      <c r="B11" s="4" t="s">
        <v>15</v>
      </c>
      <c r="C11" s="5" t="s">
        <v>16</v>
      </c>
    </row>
    <row r="13" customFormat="false" ht="15" hidden="false" customHeight="false" outlineLevel="0" collapsed="false">
      <c r="B13" s="3" t="s">
        <v>17</v>
      </c>
    </row>
    <row r="14" customFormat="false" ht="15" hidden="false" customHeight="false" outlineLevel="0" collapsed="false">
      <c r="A14" s="6" t="s">
        <v>18</v>
      </c>
      <c r="B14" s="4" t="s">
        <v>19</v>
      </c>
      <c r="C14" s="5" t="s">
        <v>20</v>
      </c>
    </row>
    <row r="15" customFormat="false" ht="15" hidden="false" customHeight="false" outlineLevel="0" collapsed="false">
      <c r="A15" s="6" t="s">
        <v>21</v>
      </c>
      <c r="B15" s="4" t="s">
        <v>22</v>
      </c>
      <c r="C15" s="5" t="s">
        <v>23</v>
      </c>
    </row>
    <row r="16" customFormat="false" ht="15" hidden="false" customHeight="false" outlineLevel="0" collapsed="false">
      <c r="A16" s="6" t="s">
        <v>24</v>
      </c>
      <c r="B16" s="4" t="s">
        <v>25</v>
      </c>
      <c r="C16" s="5" t="s">
        <v>26</v>
      </c>
    </row>
    <row r="17" customFormat="false" ht="15" hidden="false" customHeight="false" outlineLevel="0" collapsed="false">
      <c r="A17" s="6" t="s">
        <v>27</v>
      </c>
      <c r="B17" s="4" t="s">
        <v>28</v>
      </c>
      <c r="C17" s="5" t="s">
        <v>29</v>
      </c>
    </row>
    <row r="18" customFormat="false" ht="15" hidden="false" customHeight="false" outlineLevel="0" collapsed="false">
      <c r="A18" s="6" t="s">
        <v>30</v>
      </c>
      <c r="B18" s="4" t="s">
        <v>31</v>
      </c>
      <c r="C18" s="5" t="s">
        <v>32</v>
      </c>
    </row>
    <row r="20" customFormat="false" ht="15" hidden="false" customHeight="false" outlineLevel="0" collapsed="false">
      <c r="B20" s="3" t="s">
        <v>33</v>
      </c>
    </row>
    <row r="21" customFormat="false" ht="15" hidden="false" customHeight="false" outlineLevel="0" collapsed="false">
      <c r="B21" s="4" t="s">
        <v>34</v>
      </c>
      <c r="C21" s="5" t="s">
        <v>35</v>
      </c>
    </row>
    <row r="22" customFormat="false" ht="15" hidden="false" customHeight="false" outlineLevel="0" collapsed="false">
      <c r="B22" s="4" t="s">
        <v>36</v>
      </c>
      <c r="C22" s="5" t="s">
        <v>37</v>
      </c>
    </row>
    <row r="23" customFormat="false" ht="15" hidden="false" customHeight="false" outlineLevel="0" collapsed="false">
      <c r="B23" s="4" t="s">
        <v>38</v>
      </c>
      <c r="C23" s="5" t="s">
        <v>39</v>
      </c>
    </row>
    <row r="24" customFormat="false" ht="15" hidden="false" customHeight="false" outlineLevel="0" collapsed="false">
      <c r="B24" s="4" t="s">
        <v>40</v>
      </c>
      <c r="C24" s="5" t="s">
        <v>41</v>
      </c>
    </row>
    <row r="26" customFormat="false" ht="15" hidden="false" customHeight="false" outlineLevel="0" collapsed="false">
      <c r="B26" s="3" t="s">
        <v>42</v>
      </c>
    </row>
    <row r="27" customFormat="false" ht="35.05" hidden="false" customHeight="false" outlineLevel="0" collapsed="false">
      <c r="B27" s="4" t="s">
        <v>43</v>
      </c>
      <c r="C27" s="5" t="s">
        <v>44</v>
      </c>
    </row>
    <row r="28" customFormat="false" ht="57.45" hidden="false" customHeight="false" outlineLevel="0" collapsed="false">
      <c r="B28" s="4" t="s">
        <v>45</v>
      </c>
      <c r="C28" s="5" t="s">
        <v>46</v>
      </c>
    </row>
    <row r="29" customFormat="false" ht="57.45" hidden="false" customHeight="false" outlineLevel="0" collapsed="false">
      <c r="B29" s="4" t="s">
        <v>47</v>
      </c>
      <c r="C29" s="5" t="s">
        <v>48</v>
      </c>
    </row>
    <row r="30" customFormat="false" ht="23.85" hidden="false" customHeight="false" outlineLevel="0" collapsed="false">
      <c r="B30" s="4" t="s">
        <v>49</v>
      </c>
      <c r="C30" s="5" t="s">
        <v>50</v>
      </c>
    </row>
    <row r="31" customFormat="false" ht="15" hidden="false" customHeight="false" outlineLevel="0" collapsed="false">
      <c r="B31" s="4" t="s">
        <v>51</v>
      </c>
      <c r="C31" s="5" t="s">
        <v>52</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A959"/>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40"/>
  </cols>
  <sheetData>
    <row r="1" customFormat="false" ht="30" hidden="false" customHeight="true" outlineLevel="0" collapsed="false">
      <c r="A1" s="1" t="s">
        <v>53</v>
      </c>
      <c r="B1" s="1"/>
      <c r="C1" s="1"/>
      <c r="D1" s="1"/>
      <c r="E1" s="1"/>
      <c r="F1" s="1"/>
    </row>
    <row r="2" customFormat="false" ht="30" hidden="false" customHeight="true" outlineLevel="0" collapsed="false">
      <c r="A2" s="2" t="s">
        <v>54</v>
      </c>
      <c r="B2" s="2"/>
      <c r="C2" s="2"/>
      <c r="D2" s="2"/>
      <c r="E2" s="2"/>
      <c r="F2" s="2"/>
    </row>
    <row r="4" customFormat="false" ht="15" hidden="false" customHeight="false" outlineLevel="0" collapsed="false">
      <c r="A4" s="3" t="s">
        <v>55</v>
      </c>
    </row>
    <row r="5" customFormat="false" ht="30" hidden="false" customHeight="true" outlineLevel="0" collapsed="false">
      <c r="A5" s="7" t="s">
        <v>56</v>
      </c>
      <c r="B5" s="8" t="n">
        <v>18000</v>
      </c>
      <c r="F5" s="9" t="s">
        <v>57</v>
      </c>
    </row>
    <row r="6" customFormat="false" ht="30" hidden="false" customHeight="true" outlineLevel="0" collapsed="false">
      <c r="A6" s="7" t="s">
        <v>58</v>
      </c>
      <c r="B6" s="10" t="n">
        <v>15</v>
      </c>
      <c r="F6" s="9" t="s">
        <v>59</v>
      </c>
    </row>
    <row r="8" customFormat="false" ht="15" hidden="false" customHeight="false" outlineLevel="0" collapsed="false">
      <c r="A8" s="3" t="s">
        <v>60</v>
      </c>
    </row>
    <row r="9" customFormat="false" ht="15" hidden="false" customHeight="false" outlineLevel="0" collapsed="false">
      <c r="A9" s="11" t="s">
        <v>61</v>
      </c>
      <c r="B9" s="11" t="s">
        <v>62</v>
      </c>
      <c r="C9" s="11" t="s">
        <v>63</v>
      </c>
      <c r="D9" s="11" t="s">
        <v>64</v>
      </c>
    </row>
    <row r="10" customFormat="false" ht="15" hidden="false" customHeight="false" outlineLevel="0" collapsed="false">
      <c r="A10" s="12" t="s">
        <v>3</v>
      </c>
      <c r="B10" s="13" t="n">
        <f aca="false">COUNTIFS(Pipeline!$H$5:$H$304,"Prospect",Pipeline!$B$5:$B$304,"&lt;&gt;")</f>
        <v>95</v>
      </c>
      <c r="C10" s="14" t="n">
        <f aca="false">SUMIFS(Pipeline!$J$5:$J$304,Pipeline!$H$5:$H$304,"Prospect")</f>
        <v>0</v>
      </c>
      <c r="D10" s="14" t="n">
        <f aca="false">SUMIFS(Pipeline!$K$5:$K$304,Pipeline!$H$5:$H$304,"Prospect")</f>
        <v>0</v>
      </c>
    </row>
    <row r="11" customFormat="false" ht="15" hidden="false" customHeight="false" outlineLevel="0" collapsed="false">
      <c r="A11" s="12" t="s">
        <v>5</v>
      </c>
      <c r="B11" s="13" t="n">
        <f aca="false">COUNTIFS(Pipeline!$H$5:$H$304,"Contacted",Pipeline!$B$5:$B$304,"&lt;&gt;")</f>
        <v>0</v>
      </c>
      <c r="C11" s="14" t="n">
        <f aca="false">SUMIFS(Pipeline!$J$5:$J$304,Pipeline!$H$5:$H$304,"Contacted")</f>
        <v>0</v>
      </c>
      <c r="D11" s="14" t="n">
        <f aca="false">SUMIFS(Pipeline!$K$5:$K$304,Pipeline!$H$5:$H$304,"Contacted")</f>
        <v>0</v>
      </c>
    </row>
    <row r="12" customFormat="false" ht="15" hidden="false" customHeight="false" outlineLevel="0" collapsed="false">
      <c r="A12" s="12" t="s">
        <v>7</v>
      </c>
      <c r="B12" s="13" t="n">
        <f aca="false">COUNTIFS(Pipeline!$H$5:$H$304,"Interested",Pipeline!$B$5:$B$304,"&lt;&gt;")</f>
        <v>0</v>
      </c>
      <c r="C12" s="14" t="n">
        <f aca="false">SUMIFS(Pipeline!$J$5:$J$304,Pipeline!$H$5:$H$304,"Interested")</f>
        <v>0</v>
      </c>
      <c r="D12" s="14" t="n">
        <f aca="false">SUMIFS(Pipeline!$K$5:$K$304,Pipeline!$H$5:$H$304,"Interested")</f>
        <v>0</v>
      </c>
    </row>
    <row r="13" customFormat="false" ht="15" hidden="false" customHeight="false" outlineLevel="0" collapsed="false">
      <c r="A13" s="12" t="s">
        <v>9</v>
      </c>
      <c r="B13" s="13" t="n">
        <f aca="false">COUNTIFS(Pipeline!$H$5:$H$304,"Proposal sent",Pipeline!$B$5:$B$304,"&lt;&gt;")</f>
        <v>0</v>
      </c>
      <c r="C13" s="14" t="n">
        <f aca="false">SUMIFS(Pipeline!$J$5:$J$304,Pipeline!$H$5:$H$304,"Proposal sent")</f>
        <v>0</v>
      </c>
      <c r="D13" s="14" t="n">
        <f aca="false">SUMIFS(Pipeline!$K$5:$K$304,Pipeline!$H$5:$H$304,"Proposal sent")</f>
        <v>0</v>
      </c>
    </row>
    <row r="14" customFormat="false" ht="15" hidden="false" customHeight="false" outlineLevel="0" collapsed="false">
      <c r="A14" s="12" t="s">
        <v>11</v>
      </c>
      <c r="B14" s="13" t="n">
        <f aca="false">COUNTIFS(Pipeline!$H$5:$H$304,"Signed",Pipeline!$B$5:$B$304,"&lt;&gt;")</f>
        <v>0</v>
      </c>
      <c r="C14" s="14" t="n">
        <f aca="false">SUMIFS(Pipeline!$J$5:$J$304,Pipeline!$H$5:$H$304,"Signed")</f>
        <v>0</v>
      </c>
      <c r="D14" s="14" t="n">
        <f aca="false">SUMIFS(Pipeline!$K$5:$K$304,Pipeline!$H$5:$H$304,"Signed")</f>
        <v>0</v>
      </c>
    </row>
    <row r="15" customFormat="false" ht="15" hidden="false" customHeight="false" outlineLevel="0" collapsed="false">
      <c r="A15" s="12" t="s">
        <v>13</v>
      </c>
      <c r="B15" s="13" t="n">
        <f aca="false">COUNTIFS(Pipeline!$H$5:$H$304,"Paid",Pipeline!$B$5:$B$304,"&lt;&gt;")</f>
        <v>0</v>
      </c>
      <c r="C15" s="14" t="n">
        <f aca="false">SUMIFS(Pipeline!$J$5:$J$304,Pipeline!$H$5:$H$304,"Paid")</f>
        <v>0</v>
      </c>
      <c r="D15" s="14" t="n">
        <f aca="false">SUMIFS(Pipeline!$K$5:$K$304,Pipeline!$H$5:$H$304,"Paid")</f>
        <v>0</v>
      </c>
    </row>
    <row r="16" customFormat="false" ht="15" hidden="false" customHeight="false" outlineLevel="0" collapsed="false">
      <c r="A16" s="12" t="s">
        <v>15</v>
      </c>
      <c r="B16" s="13" t="n">
        <f aca="false">COUNTIFS(Pipeline!$H$5:$H$304,"Not now",Pipeline!$B$5:$B$304,"&lt;&gt;")</f>
        <v>0</v>
      </c>
      <c r="C16" s="14" t="n">
        <f aca="false">SUMIFS(Pipeline!$J$5:$J$304,Pipeline!$H$5:$H$304,"Not now")</f>
        <v>0</v>
      </c>
      <c r="D16" s="14" t="n">
        <f aca="false">SUMIFS(Pipeline!$K$5:$K$304,Pipeline!$H$5:$H$304,"Not now")</f>
        <v>0</v>
      </c>
    </row>
    <row r="17" customFormat="false" ht="15" hidden="false" customHeight="false" outlineLevel="0" collapsed="false">
      <c r="A17" s="15" t="s">
        <v>65</v>
      </c>
      <c r="B17" s="16" t="n">
        <f aca="false">SUM(B10:B16)</f>
        <v>95</v>
      </c>
      <c r="C17" s="17" t="n">
        <f aca="false">SUM(C10:C16)</f>
        <v>0</v>
      </c>
      <c r="D17" s="17" t="n">
        <f aca="false">SUM(D10:D16)</f>
        <v>0</v>
      </c>
    </row>
    <row r="19" customFormat="false" ht="15" hidden="false" customHeight="false" outlineLevel="0" collapsed="false">
      <c r="A19" s="3" t="s">
        <v>66</v>
      </c>
    </row>
    <row r="20" customFormat="false" ht="15" hidden="false" customHeight="false" outlineLevel="0" collapsed="false">
      <c r="A20" s="12" t="s">
        <v>67</v>
      </c>
      <c r="B20" s="18" t="n">
        <f aca="false">SUMIFS(Pipeline!$J$5:$J$304,Pipeline!$H$5:$H$304,"Signed")+SUMIFS(Pipeline!$J$5:$J$304,Pipeline!$H$5:$H$304,"Paid")</f>
        <v>0</v>
      </c>
    </row>
    <row r="21" customFormat="false" ht="15" hidden="false" customHeight="false" outlineLevel="0" collapsed="false">
      <c r="A21" s="12" t="s">
        <v>68</v>
      </c>
      <c r="B21" s="18" t="n">
        <f aca="false">SUM(Pipeline!$K$5:$K$304)</f>
        <v>0</v>
      </c>
    </row>
    <row r="22" customFormat="false" ht="15" hidden="false" customHeight="false" outlineLevel="0" collapsed="false">
      <c r="A22" s="12" t="s">
        <v>69</v>
      </c>
      <c r="B22" s="18" t="n">
        <f aca="false">MAX(0,B20-B21)</f>
        <v>0</v>
      </c>
    </row>
    <row r="23" customFormat="false" ht="15" hidden="false" customHeight="false" outlineLevel="0" collapsed="false">
      <c r="A23" s="12" t="s">
        <v>70</v>
      </c>
      <c r="B23" s="19" t="n">
        <f aca="false">IF($B$5=0,0,B21/$B$5)</f>
        <v>0</v>
      </c>
    </row>
    <row r="24" customFormat="false" ht="15" hidden="false" customHeight="false" outlineLevel="0" collapsed="false">
      <c r="A24" s="12" t="s">
        <v>71</v>
      </c>
      <c r="B24" s="20" t="n">
        <f aca="false">COUNTIFS(Pipeline!$H$5:$H$304,"Signed",Pipeline!$B$5:$B$304,"&lt;&gt;")+COUNTIFS(Pipeline!$H$5:$H$304,"Paid",Pipeline!$B$5:$B$304,"&lt;&gt;")</f>
        <v>0</v>
      </c>
    </row>
    <row r="25" customFormat="false" ht="15" hidden="false" customHeight="false" outlineLevel="0" collapsed="false">
      <c r="A25" s="12" t="s">
        <v>72</v>
      </c>
      <c r="B25" s="20" t="n">
        <f aca="false">COUNTIF(Pipeline!$T$5:$T$304,"DUE")</f>
        <v>0</v>
      </c>
    </row>
    <row r="26" customFormat="false" ht="15" hidden="false" customHeight="false" outlineLevel="0" collapsed="false">
      <c r="A26" s="12" t="s">
        <v>73</v>
      </c>
      <c r="B26" s="20" t="n">
        <f aca="false">COUNTIFS(Pipeline!$H$5:$H$304,"Prospect",Pipeline!$B$5:$B$304,"&lt;&gt;")</f>
        <v>95</v>
      </c>
    </row>
    <row r="28" customFormat="false" ht="15" hidden="false" customHeight="false" outlineLevel="0" collapsed="false">
      <c r="A28" s="3" t="s">
        <v>74</v>
      </c>
    </row>
    <row r="29" customFormat="false" ht="15" hidden="false" customHeight="false" outlineLevel="0" collapsed="false">
      <c r="A29" s="11" t="s">
        <v>75</v>
      </c>
      <c r="B29" s="11" t="s">
        <v>76</v>
      </c>
      <c r="C29" s="11" t="s">
        <v>77</v>
      </c>
      <c r="D29" s="11" t="s">
        <v>78</v>
      </c>
      <c r="E29" s="11" t="s">
        <v>79</v>
      </c>
    </row>
    <row r="30" customFormat="false" ht="15" hidden="false" customHeight="false" outlineLevel="0" collapsed="false">
      <c r="A30" s="12" t="s">
        <v>80</v>
      </c>
      <c r="B30" s="21" t="n">
        <f aca="false">Packages!B5</f>
        <v>7500</v>
      </c>
      <c r="C30" s="22" t="n">
        <f aca="false">COUNTIFS(Pipeline!$I$5:$I$304,"Title Sponsor",Pipeline!$H$5:$H$304,"Signed")+COUNTIFS(Pipeline!$I$5:$I$304,"Title Sponsor",Pipeline!$H$5:$H$304,"Paid")</f>
        <v>0</v>
      </c>
      <c r="D30" s="23" t="n">
        <f aca="false">Packages!D5</f>
        <v>1</v>
      </c>
      <c r="E30" s="22" t="n">
        <f aca="false">MAX(0,D30-C30)</f>
        <v>1</v>
      </c>
    </row>
    <row r="31" customFormat="false" ht="15" hidden="false" customHeight="false" outlineLevel="0" collapsed="false">
      <c r="A31" s="12" t="s">
        <v>81</v>
      </c>
      <c r="B31" s="21" t="n">
        <f aca="false">Packages!B6</f>
        <v>4000</v>
      </c>
      <c r="C31" s="22" t="n">
        <f aca="false">COUNTIFS(Pipeline!$I$5:$I$304,"Gold Sponsor",Pipeline!$H$5:$H$304,"Signed")+COUNTIFS(Pipeline!$I$5:$I$304,"Gold Sponsor",Pipeline!$H$5:$H$304,"Paid")</f>
        <v>0</v>
      </c>
      <c r="D31" s="23" t="n">
        <f aca="false">Packages!D6</f>
        <v>2</v>
      </c>
      <c r="E31" s="22" t="n">
        <f aca="false">MAX(0,D31-C31)</f>
        <v>2</v>
      </c>
    </row>
    <row r="32" customFormat="false" ht="15" hidden="false" customHeight="false" outlineLevel="0" collapsed="false">
      <c r="A32" s="12" t="s">
        <v>82</v>
      </c>
      <c r="B32" s="21" t="n">
        <f aca="false">Packages!B7</f>
        <v>2000</v>
      </c>
      <c r="C32" s="22" t="n">
        <f aca="false">COUNTIFS(Pipeline!$I$5:$I$304,"Silver Sponsor",Pipeline!$H$5:$H$304,"Signed")+COUNTIFS(Pipeline!$I$5:$I$304,"Silver Sponsor",Pipeline!$H$5:$H$304,"Paid")</f>
        <v>0</v>
      </c>
      <c r="D32" s="23" t="n">
        <f aca="false">Packages!D7</f>
        <v>4</v>
      </c>
      <c r="E32" s="22" t="n">
        <f aca="false">MAX(0,D32-C32)</f>
        <v>4</v>
      </c>
    </row>
    <row r="33" customFormat="false" ht="15" hidden="false" customHeight="false" outlineLevel="0" collapsed="false">
      <c r="A33" s="12" t="s">
        <v>83</v>
      </c>
      <c r="B33" s="21" t="n">
        <f aca="false">Packages!B8</f>
        <v>1000</v>
      </c>
      <c r="C33" s="22" t="n">
        <f aca="false">COUNTIFS(Pipeline!$I$5:$I$304,"Bronze Sponsor",Pipeline!$H$5:$H$304,"Signed")+COUNTIFS(Pipeline!$I$5:$I$304,"Bronze Sponsor",Pipeline!$H$5:$H$304,"Paid")</f>
        <v>0</v>
      </c>
      <c r="D33" s="23" t="n">
        <f aca="false">Packages!D8</f>
        <v>10</v>
      </c>
      <c r="E33" s="22" t="n">
        <f aca="false">MAX(0,D33-C33)</f>
        <v>10</v>
      </c>
    </row>
    <row r="34" customFormat="false" ht="15" hidden="false" customHeight="false" outlineLevel="0" collapsed="false">
      <c r="A34" s="12" t="s">
        <v>84</v>
      </c>
      <c r="B34" s="21" t="n">
        <f aca="false">Packages!B9</f>
        <v>300</v>
      </c>
      <c r="C34" s="22" t="n">
        <f aca="false">COUNTIFS(Pipeline!$I$5:$I$304,"Community Sponsor",Pipeline!$H$5:$H$304,"Signed")+COUNTIFS(Pipeline!$I$5:$I$304,"Community Sponsor",Pipeline!$H$5:$H$304,"Paid")</f>
        <v>0</v>
      </c>
      <c r="D34" s="23" t="n">
        <f aca="false">Packages!D9</f>
        <v>20</v>
      </c>
      <c r="E34" s="22" t="n">
        <f aca="false">MAX(0,D34-C34)</f>
        <v>20</v>
      </c>
    </row>
    <row r="35" customFormat="false" ht="15" hidden="false" customHeight="false" outlineLevel="0" collapsed="false">
      <c r="A35" s="12" t="s">
        <v>85</v>
      </c>
      <c r="B35" s="21" t="n">
        <f aca="false">Packages!B10</f>
        <v>0</v>
      </c>
      <c r="C35" s="22" t="n">
        <f aca="false">COUNTIFS(Pipeline!$I$5:$I$304,"In-kind Partner",Pipeline!$H$5:$H$304,"Signed")+COUNTIFS(Pipeline!$I$5:$I$304,"In-kind Partner",Pipeline!$H$5:$H$304,"Paid")</f>
        <v>0</v>
      </c>
      <c r="D35" s="23" t="n">
        <f aca="false">Packages!D10</f>
        <v>6</v>
      </c>
      <c r="E35" s="22" t="n">
        <f aca="false">MAX(0,D35-C35)</f>
        <v>6</v>
      </c>
    </row>
    <row r="36" customFormat="false" ht="15" hidden="false" customHeight="false" outlineLevel="0" collapsed="false">
      <c r="A36" s="12" t="s">
        <v>86</v>
      </c>
      <c r="B36" s="21" t="n">
        <f aca="false">Packages!B11</f>
        <v>1500</v>
      </c>
      <c r="C36" s="22" t="n">
        <f aca="false">COUNTIFS(Pipeline!$I$5:$I$304,"VIP Corporate Table",Pipeline!$H$5:$H$304,"Signed")+COUNTIFS(Pipeline!$I$5:$I$304,"VIP Corporate Table",Pipeline!$H$5:$H$304,"Paid")</f>
        <v>0</v>
      </c>
      <c r="D36" s="23" t="n">
        <f aca="false">Packages!D11</f>
        <v>6</v>
      </c>
      <c r="E36" s="22" t="n">
        <f aca="false">MAX(0,D36-C36)</f>
        <v>6</v>
      </c>
    </row>
  </sheetData>
  <mergeCells count="2">
    <mergeCell ref="A1:F1"/>
    <mergeCell ref="A2:F2"/>
  </mergeCells>
  <conditionalFormatting sqref="B25">
    <cfRule type="cellIs" priority="2"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false"/>
  </sheetPr>
  <dimension ref="A1:W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4"/>
    <col collapsed="false" customWidth="true" hidden="false" outlineLevel="0" max="4" min="4" style="0" width="16"/>
    <col collapsed="false" customWidth="true" hidden="false" outlineLevel="0" max="5" min="5" style="0" width="18"/>
    <col collapsed="false" customWidth="true" hidden="false" outlineLevel="0" max="6" min="6" style="0" width="11"/>
    <col collapsed="false" customWidth="true" hidden="false" outlineLevel="0" max="7" min="7" style="0" width="17"/>
    <col collapsed="false" customWidth="true" hidden="false" outlineLevel="0" max="8" min="8" style="0" width="14"/>
    <col collapsed="false" customWidth="true" hidden="false" outlineLevel="0" max="9" min="9" style="0" width="17"/>
    <col collapsed="false" customWidth="true" hidden="false" outlineLevel="0" max="11" min="10" style="0" width="12"/>
    <col collapsed="false" customWidth="true" hidden="false" outlineLevel="0" max="12" min="12" style="0" width="20"/>
    <col collapsed="false" customWidth="true" hidden="false" outlineLevel="0" max="13" min="13" style="0" width="9"/>
    <col collapsed="false" customWidth="true" hidden="false" outlineLevel="0" max="14" min="14" style="0" width="16"/>
    <col collapsed="false" customWidth="true" hidden="false" outlineLevel="0" max="15" min="15" style="0" width="15"/>
    <col collapsed="false" customWidth="true" hidden="false" outlineLevel="0" max="16" min="16" style="0" width="26"/>
    <col collapsed="false" customWidth="true" hidden="false" outlineLevel="0" max="17" min="17" style="0" width="28"/>
    <col collapsed="false" customWidth="true" hidden="false" outlineLevel="0" max="19" min="18" style="0" width="12"/>
    <col collapsed="false" customWidth="true" hidden="false" outlineLevel="0" max="20" min="20" style="0" width="10"/>
    <col collapsed="false" customWidth="true" hidden="false" outlineLevel="0" max="21" min="21" style="0" width="46"/>
    <col collapsed="false" customWidth="true" hidden="false" outlineLevel="0" max="23" min="22" style="0" width="30"/>
  </cols>
  <sheetData>
    <row r="1" customFormat="false" ht="30" hidden="false" customHeight="true" outlineLevel="0" collapsed="false">
      <c r="A1" s="1" t="s">
        <v>0</v>
      </c>
      <c r="B1" s="1"/>
      <c r="C1" s="1"/>
      <c r="D1" s="1"/>
      <c r="E1" s="1"/>
      <c r="F1" s="1"/>
      <c r="G1" s="1"/>
      <c r="H1" s="1"/>
      <c r="I1" s="1"/>
      <c r="J1" s="1"/>
      <c r="K1" s="1"/>
      <c r="L1" s="1"/>
      <c r="M1" s="1"/>
      <c r="N1" s="1"/>
      <c r="O1" s="1"/>
      <c r="P1" s="1"/>
      <c r="Q1" s="1"/>
      <c r="R1" s="1"/>
      <c r="S1" s="1"/>
      <c r="T1" s="1"/>
      <c r="U1" s="1"/>
      <c r="V1" s="1"/>
      <c r="W1" s="1"/>
    </row>
    <row r="2" customFormat="false" ht="30" hidden="false" customHeight="true" outlineLevel="0" collapsed="false">
      <c r="A2" s="2" t="s">
        <v>87</v>
      </c>
      <c r="B2" s="2"/>
      <c r="C2" s="2"/>
      <c r="D2" s="2"/>
      <c r="E2" s="2"/>
      <c r="F2" s="2"/>
      <c r="G2" s="2"/>
      <c r="H2" s="2"/>
      <c r="I2" s="2"/>
      <c r="J2" s="2"/>
      <c r="K2" s="2"/>
      <c r="L2" s="2"/>
      <c r="M2" s="2"/>
      <c r="N2" s="2"/>
      <c r="O2" s="2"/>
      <c r="P2" s="2"/>
      <c r="Q2" s="2"/>
      <c r="R2" s="2"/>
      <c r="S2" s="2"/>
      <c r="T2" s="2"/>
      <c r="U2" s="2"/>
      <c r="V2" s="2"/>
      <c r="W2" s="2"/>
    </row>
    <row r="4" customFormat="false" ht="31.5" hidden="false" customHeight="true" outlineLevel="0" collapsed="false">
      <c r="A4" s="24" t="s">
        <v>88</v>
      </c>
      <c r="B4" s="24" t="s">
        <v>89</v>
      </c>
      <c r="C4" s="24" t="s">
        <v>90</v>
      </c>
      <c r="D4" s="24" t="s">
        <v>91</v>
      </c>
      <c r="E4" s="24" t="s">
        <v>92</v>
      </c>
      <c r="F4" s="24" t="s">
        <v>93</v>
      </c>
      <c r="G4" s="24" t="s">
        <v>94</v>
      </c>
      <c r="H4" s="24" t="s">
        <v>61</v>
      </c>
      <c r="I4" s="24" t="s">
        <v>95</v>
      </c>
      <c r="J4" s="24" t="s">
        <v>96</v>
      </c>
      <c r="K4" s="24" t="s">
        <v>97</v>
      </c>
      <c r="L4" s="24" t="s">
        <v>98</v>
      </c>
      <c r="M4" s="24" t="s">
        <v>99</v>
      </c>
      <c r="N4" s="24" t="s">
        <v>100</v>
      </c>
      <c r="O4" s="24" t="s">
        <v>101</v>
      </c>
      <c r="P4" s="24" t="s">
        <v>102</v>
      </c>
      <c r="Q4" s="24" t="s">
        <v>103</v>
      </c>
      <c r="R4" s="24" t="s">
        <v>104</v>
      </c>
      <c r="S4" s="24" t="s">
        <v>105</v>
      </c>
      <c r="T4" s="24" t="s">
        <v>106</v>
      </c>
      <c r="U4" s="24" t="s">
        <v>107</v>
      </c>
      <c r="V4" s="24" t="s">
        <v>108</v>
      </c>
      <c r="W4" s="24" t="s">
        <v>109</v>
      </c>
    </row>
    <row r="5" customFormat="false" ht="42" hidden="false" customHeight="true" outlineLevel="0" collapsed="false">
      <c r="A5" s="25" t="n">
        <v>1</v>
      </c>
      <c r="B5" s="26" t="s">
        <v>110</v>
      </c>
      <c r="C5" s="25" t="s">
        <v>111</v>
      </c>
      <c r="D5" s="25" t="s">
        <v>112</v>
      </c>
      <c r="E5" s="25" t="s">
        <v>113</v>
      </c>
      <c r="F5" s="25" t="s">
        <v>114</v>
      </c>
      <c r="G5" s="25" t="s">
        <v>80</v>
      </c>
      <c r="H5" s="27" t="s">
        <v>3</v>
      </c>
      <c r="I5" s="27"/>
      <c r="J5" s="28"/>
      <c r="K5" s="28"/>
      <c r="L5" s="27" t="s">
        <v>115</v>
      </c>
      <c r="M5" s="27" t="s">
        <v>116</v>
      </c>
      <c r="N5" s="27"/>
      <c r="O5" s="25"/>
      <c r="P5" s="25"/>
      <c r="Q5" s="25"/>
      <c r="R5" s="29"/>
      <c r="S5" s="29"/>
      <c r="T5" s="30" t="str">
        <f aca="true">IF(OR(B5="",H5="Paid",H5="Not now",S5=""),"",IF(S5&lt;=TODAY(),"DUE",""))</f>
        <v/>
      </c>
      <c r="U5" s="26" t="s">
        <v>117</v>
      </c>
      <c r="V5" s="31"/>
      <c r="W5" s="25" t="s">
        <v>118</v>
      </c>
    </row>
    <row r="6" customFormat="false" ht="42" hidden="false" customHeight="true" outlineLevel="0" collapsed="false">
      <c r="A6" s="25" t="n">
        <v>2</v>
      </c>
      <c r="B6" s="26" t="s">
        <v>119</v>
      </c>
      <c r="C6" s="25" t="s">
        <v>120</v>
      </c>
      <c r="D6" s="25" t="s">
        <v>121</v>
      </c>
      <c r="E6" s="25" t="s">
        <v>122</v>
      </c>
      <c r="F6" s="25" t="s">
        <v>123</v>
      </c>
      <c r="G6" s="25" t="s">
        <v>83</v>
      </c>
      <c r="H6" s="27" t="s">
        <v>3</v>
      </c>
      <c r="I6" s="27"/>
      <c r="J6" s="28"/>
      <c r="K6" s="28"/>
      <c r="L6" s="27" t="s">
        <v>115</v>
      </c>
      <c r="M6" s="27" t="s">
        <v>116</v>
      </c>
      <c r="N6" s="27"/>
      <c r="O6" s="25" t="s">
        <v>124</v>
      </c>
      <c r="P6" s="25" t="s">
        <v>125</v>
      </c>
      <c r="Q6" s="25" t="s">
        <v>126</v>
      </c>
      <c r="R6" s="29"/>
      <c r="S6" s="29"/>
      <c r="T6" s="30" t="str">
        <f aca="true">IF(OR(B6="",H6="Paid",H6="Not now",S6=""),"",IF(S6&lt;=TODAY(),"DUE",""))</f>
        <v/>
      </c>
      <c r="U6" s="26" t="s">
        <v>127</v>
      </c>
      <c r="V6" s="31"/>
      <c r="W6" s="25" t="s">
        <v>128</v>
      </c>
    </row>
    <row r="7" customFormat="false" ht="42" hidden="false" customHeight="true" outlineLevel="0" collapsed="false">
      <c r="A7" s="25" t="n">
        <v>3</v>
      </c>
      <c r="B7" s="26" t="s">
        <v>129</v>
      </c>
      <c r="C7" s="25" t="s">
        <v>111</v>
      </c>
      <c r="D7" s="25" t="s">
        <v>112</v>
      </c>
      <c r="E7" s="25" t="s">
        <v>130</v>
      </c>
      <c r="F7" s="25" t="s">
        <v>123</v>
      </c>
      <c r="G7" s="25" t="s">
        <v>83</v>
      </c>
      <c r="H7" s="27" t="s">
        <v>3</v>
      </c>
      <c r="I7" s="27"/>
      <c r="J7" s="28"/>
      <c r="K7" s="28"/>
      <c r="L7" s="27" t="s">
        <v>115</v>
      </c>
      <c r="M7" s="27" t="s">
        <v>116</v>
      </c>
      <c r="N7" s="27"/>
      <c r="O7" s="25" t="s">
        <v>131</v>
      </c>
      <c r="P7" s="25"/>
      <c r="Q7" s="25" t="s">
        <v>132</v>
      </c>
      <c r="R7" s="29"/>
      <c r="S7" s="29"/>
      <c r="T7" s="30" t="str">
        <f aca="true">IF(OR(B7="",H7="Paid",H7="Not now",S7=""),"",IF(S7&lt;=TODAY(),"DUE",""))</f>
        <v/>
      </c>
      <c r="U7" s="26" t="s">
        <v>133</v>
      </c>
      <c r="V7" s="31"/>
      <c r="W7" s="25" t="s">
        <v>134</v>
      </c>
    </row>
    <row r="8" customFormat="false" ht="42" hidden="false" customHeight="true" outlineLevel="0" collapsed="false">
      <c r="A8" s="25" t="n">
        <v>4</v>
      </c>
      <c r="B8" s="26" t="s">
        <v>135</v>
      </c>
      <c r="C8" s="25" t="s">
        <v>111</v>
      </c>
      <c r="D8" s="25" t="s">
        <v>112</v>
      </c>
      <c r="E8" s="25" t="s">
        <v>136</v>
      </c>
      <c r="F8" s="25" t="s">
        <v>123</v>
      </c>
      <c r="G8" s="25" t="s">
        <v>83</v>
      </c>
      <c r="H8" s="27" t="s">
        <v>3</v>
      </c>
      <c r="I8" s="27"/>
      <c r="J8" s="28"/>
      <c r="K8" s="28"/>
      <c r="L8" s="27" t="s">
        <v>115</v>
      </c>
      <c r="M8" s="27" t="s">
        <v>116</v>
      </c>
      <c r="N8" s="27"/>
      <c r="O8" s="25" t="s">
        <v>137</v>
      </c>
      <c r="P8" s="25" t="s">
        <v>138</v>
      </c>
      <c r="Q8" s="25" t="s">
        <v>139</v>
      </c>
      <c r="R8" s="29"/>
      <c r="S8" s="29"/>
      <c r="T8" s="30" t="str">
        <f aca="true">IF(OR(B8="",H8="Paid",H8="Not now",S8=""),"",IF(S8&lt;=TODAY(),"DUE",""))</f>
        <v/>
      </c>
      <c r="U8" s="26" t="s">
        <v>140</v>
      </c>
      <c r="V8" s="31"/>
      <c r="W8" s="25" t="s">
        <v>141</v>
      </c>
    </row>
    <row r="9" customFormat="false" ht="42" hidden="false" customHeight="true" outlineLevel="0" collapsed="false">
      <c r="A9" s="25" t="n">
        <v>5</v>
      </c>
      <c r="B9" s="26" t="s">
        <v>142</v>
      </c>
      <c r="C9" s="25" t="s">
        <v>111</v>
      </c>
      <c r="D9" s="25" t="s">
        <v>112</v>
      </c>
      <c r="E9" s="25" t="s">
        <v>143</v>
      </c>
      <c r="F9" s="25" t="s">
        <v>144</v>
      </c>
      <c r="G9" s="25" t="s">
        <v>83</v>
      </c>
      <c r="H9" s="27" t="s">
        <v>3</v>
      </c>
      <c r="I9" s="27"/>
      <c r="J9" s="28"/>
      <c r="K9" s="28"/>
      <c r="L9" s="27" t="s">
        <v>115</v>
      </c>
      <c r="M9" s="27" t="s">
        <v>116</v>
      </c>
      <c r="N9" s="27"/>
      <c r="O9" s="25" t="s">
        <v>145</v>
      </c>
      <c r="P9" s="25" t="s">
        <v>146</v>
      </c>
      <c r="Q9" s="25" t="s">
        <v>147</v>
      </c>
      <c r="R9" s="29"/>
      <c r="S9" s="29"/>
      <c r="T9" s="30" t="str">
        <f aca="true">IF(OR(B9="",H9="Paid",H9="Not now",S9=""),"",IF(S9&lt;=TODAY(),"DUE",""))</f>
        <v/>
      </c>
      <c r="U9" s="26" t="s">
        <v>148</v>
      </c>
      <c r="V9" s="31"/>
      <c r="W9" s="25" t="s">
        <v>149</v>
      </c>
    </row>
    <row r="10" customFormat="false" ht="42" hidden="false" customHeight="true" outlineLevel="0" collapsed="false">
      <c r="A10" s="25" t="n">
        <v>6</v>
      </c>
      <c r="B10" s="26" t="s">
        <v>150</v>
      </c>
      <c r="C10" s="25" t="s">
        <v>151</v>
      </c>
      <c r="D10" s="25" t="s">
        <v>152</v>
      </c>
      <c r="E10" s="25" t="s">
        <v>153</v>
      </c>
      <c r="F10" s="25" t="s">
        <v>144</v>
      </c>
      <c r="G10" s="25" t="s">
        <v>84</v>
      </c>
      <c r="H10" s="27" t="s">
        <v>3</v>
      </c>
      <c r="I10" s="27"/>
      <c r="J10" s="28"/>
      <c r="K10" s="28"/>
      <c r="L10" s="27" t="s">
        <v>115</v>
      </c>
      <c r="M10" s="27" t="s">
        <v>116</v>
      </c>
      <c r="N10" s="27"/>
      <c r="O10" s="25" t="s">
        <v>154</v>
      </c>
      <c r="P10" s="25"/>
      <c r="Q10" s="25" t="s">
        <v>155</v>
      </c>
      <c r="R10" s="29"/>
      <c r="S10" s="29"/>
      <c r="T10" s="30" t="str">
        <f aca="true">IF(OR(B10="",H10="Paid",H10="Not now",S10=""),"",IF(S10&lt;=TODAY(),"DUE",""))</f>
        <v/>
      </c>
      <c r="U10" s="26" t="s">
        <v>156</v>
      </c>
      <c r="V10" s="31"/>
      <c r="W10" s="25" t="s">
        <v>155</v>
      </c>
    </row>
    <row r="11" customFormat="false" ht="42" hidden="false" customHeight="true" outlineLevel="0" collapsed="false">
      <c r="A11" s="25" t="n">
        <v>7</v>
      </c>
      <c r="B11" s="26" t="s">
        <v>157</v>
      </c>
      <c r="C11" s="25" t="s">
        <v>158</v>
      </c>
      <c r="D11" s="25" t="s">
        <v>152</v>
      </c>
      <c r="E11" s="25" t="s">
        <v>159</v>
      </c>
      <c r="F11" s="25" t="s">
        <v>144</v>
      </c>
      <c r="G11" s="25" t="s">
        <v>83</v>
      </c>
      <c r="H11" s="27" t="s">
        <v>3</v>
      </c>
      <c r="I11" s="27"/>
      <c r="J11" s="28"/>
      <c r="K11" s="28"/>
      <c r="L11" s="27" t="s">
        <v>115</v>
      </c>
      <c r="M11" s="27" t="s">
        <v>116</v>
      </c>
      <c r="N11" s="27"/>
      <c r="O11" s="25" t="s">
        <v>160</v>
      </c>
      <c r="P11" s="25" t="s">
        <v>161</v>
      </c>
      <c r="Q11" s="25" t="s">
        <v>162</v>
      </c>
      <c r="R11" s="29"/>
      <c r="S11" s="29"/>
      <c r="T11" s="30" t="str">
        <f aca="true">IF(OR(B11="",H11="Paid",H11="Not now",S11=""),"",IF(S11&lt;=TODAY(),"DUE",""))</f>
        <v/>
      </c>
      <c r="U11" s="26" t="s">
        <v>163</v>
      </c>
      <c r="V11" s="31" t="s">
        <v>164</v>
      </c>
      <c r="W11" s="25" t="s">
        <v>162</v>
      </c>
    </row>
    <row r="12" customFormat="false" ht="42" hidden="false" customHeight="true" outlineLevel="0" collapsed="false">
      <c r="A12" s="25" t="n">
        <v>8</v>
      </c>
      <c r="B12" s="26" t="s">
        <v>165</v>
      </c>
      <c r="C12" s="25" t="s">
        <v>166</v>
      </c>
      <c r="D12" s="25" t="s">
        <v>152</v>
      </c>
      <c r="E12" s="25" t="s">
        <v>167</v>
      </c>
      <c r="F12" s="25" t="s">
        <v>123</v>
      </c>
      <c r="G12" s="25" t="s">
        <v>84</v>
      </c>
      <c r="H12" s="27" t="s">
        <v>3</v>
      </c>
      <c r="I12" s="27"/>
      <c r="J12" s="28"/>
      <c r="K12" s="28"/>
      <c r="L12" s="27" t="s">
        <v>115</v>
      </c>
      <c r="M12" s="27" t="s">
        <v>116</v>
      </c>
      <c r="N12" s="27"/>
      <c r="O12" s="25" t="s">
        <v>168</v>
      </c>
      <c r="P12" s="25"/>
      <c r="Q12" s="25" t="s">
        <v>169</v>
      </c>
      <c r="R12" s="29"/>
      <c r="S12" s="29"/>
      <c r="T12" s="30" t="str">
        <f aca="true">IF(OR(B12="",H12="Paid",H12="Not now",S12=""),"",IF(S12&lt;=TODAY(),"DUE",""))</f>
        <v/>
      </c>
      <c r="U12" s="26" t="s">
        <v>170</v>
      </c>
      <c r="V12" s="31" t="s">
        <v>171</v>
      </c>
      <c r="W12" s="25" t="s">
        <v>172</v>
      </c>
    </row>
    <row r="13" customFormat="false" ht="42" hidden="false" customHeight="true" outlineLevel="0" collapsed="false">
      <c r="A13" s="25" t="n">
        <v>9</v>
      </c>
      <c r="B13" s="26" t="s">
        <v>173</v>
      </c>
      <c r="C13" s="25" t="s">
        <v>174</v>
      </c>
      <c r="D13" s="25" t="s">
        <v>152</v>
      </c>
      <c r="E13" s="25" t="s">
        <v>175</v>
      </c>
      <c r="F13" s="25" t="s">
        <v>144</v>
      </c>
      <c r="G13" s="25" t="s">
        <v>84</v>
      </c>
      <c r="H13" s="27" t="s">
        <v>3</v>
      </c>
      <c r="I13" s="27"/>
      <c r="J13" s="28"/>
      <c r="K13" s="28"/>
      <c r="L13" s="27" t="s">
        <v>115</v>
      </c>
      <c r="M13" s="27" t="s">
        <v>116</v>
      </c>
      <c r="N13" s="27"/>
      <c r="O13" s="25"/>
      <c r="P13" s="25"/>
      <c r="Q13" s="25"/>
      <c r="R13" s="29"/>
      <c r="S13" s="29"/>
      <c r="T13" s="30" t="str">
        <f aca="true">IF(OR(B13="",H13="Paid",H13="Not now",S13=""),"",IF(S13&lt;=TODAY(),"DUE",""))</f>
        <v/>
      </c>
      <c r="U13" s="26" t="s">
        <v>176</v>
      </c>
      <c r="V13" s="31" t="s">
        <v>164</v>
      </c>
      <c r="W13" s="25" t="s">
        <v>177</v>
      </c>
    </row>
    <row r="14" customFormat="false" ht="42" hidden="false" customHeight="true" outlineLevel="0" collapsed="false">
      <c r="A14" s="25" t="n">
        <v>10</v>
      </c>
      <c r="B14" s="26" t="s">
        <v>178</v>
      </c>
      <c r="C14" s="25" t="s">
        <v>179</v>
      </c>
      <c r="D14" s="25" t="s">
        <v>152</v>
      </c>
      <c r="E14" s="25" t="s">
        <v>159</v>
      </c>
      <c r="F14" s="25" t="s">
        <v>144</v>
      </c>
      <c r="G14" s="25" t="s">
        <v>83</v>
      </c>
      <c r="H14" s="27" t="s">
        <v>3</v>
      </c>
      <c r="I14" s="27"/>
      <c r="J14" s="28"/>
      <c r="K14" s="28"/>
      <c r="L14" s="27" t="s">
        <v>115</v>
      </c>
      <c r="M14" s="27" t="s">
        <v>116</v>
      </c>
      <c r="N14" s="27"/>
      <c r="O14" s="25"/>
      <c r="P14" s="25"/>
      <c r="Q14" s="25" t="s">
        <v>180</v>
      </c>
      <c r="R14" s="29"/>
      <c r="S14" s="29"/>
      <c r="T14" s="30" t="str">
        <f aca="true">IF(OR(B14="",H14="Paid",H14="Not now",S14=""),"",IF(S14&lt;=TODAY(),"DUE",""))</f>
        <v/>
      </c>
      <c r="U14" s="26" t="s">
        <v>181</v>
      </c>
      <c r="V14" s="31" t="s">
        <v>164</v>
      </c>
      <c r="W14" s="25" t="s">
        <v>180</v>
      </c>
    </row>
    <row r="15" customFormat="false" ht="42" hidden="false" customHeight="true" outlineLevel="0" collapsed="false">
      <c r="A15" s="25" t="n">
        <v>11</v>
      </c>
      <c r="B15" s="26" t="s">
        <v>182</v>
      </c>
      <c r="C15" s="25" t="s">
        <v>179</v>
      </c>
      <c r="D15" s="25" t="s">
        <v>152</v>
      </c>
      <c r="E15" s="25" t="s">
        <v>183</v>
      </c>
      <c r="F15" s="25" t="s">
        <v>144</v>
      </c>
      <c r="G15" s="25" t="s">
        <v>83</v>
      </c>
      <c r="H15" s="27" t="s">
        <v>3</v>
      </c>
      <c r="I15" s="27"/>
      <c r="J15" s="28"/>
      <c r="K15" s="28"/>
      <c r="L15" s="27" t="s">
        <v>115</v>
      </c>
      <c r="M15" s="27" t="s">
        <v>116</v>
      </c>
      <c r="N15" s="27"/>
      <c r="O15" s="25"/>
      <c r="P15" s="25"/>
      <c r="Q15" s="25" t="s">
        <v>184</v>
      </c>
      <c r="R15" s="29"/>
      <c r="S15" s="29"/>
      <c r="T15" s="30" t="str">
        <f aca="true">IF(OR(B15="",H15="Paid",H15="Not now",S15=""),"",IF(S15&lt;=TODAY(),"DUE",""))</f>
        <v/>
      </c>
      <c r="U15" s="26" t="s">
        <v>185</v>
      </c>
      <c r="V15" s="31" t="s">
        <v>164</v>
      </c>
      <c r="W15" s="25" t="s">
        <v>184</v>
      </c>
    </row>
    <row r="16" customFormat="false" ht="42" hidden="false" customHeight="true" outlineLevel="0" collapsed="false">
      <c r="A16" s="25" t="n">
        <v>12</v>
      </c>
      <c r="B16" s="26" t="s">
        <v>186</v>
      </c>
      <c r="C16" s="25" t="s">
        <v>187</v>
      </c>
      <c r="D16" s="25" t="s">
        <v>121</v>
      </c>
      <c r="E16" s="25" t="s">
        <v>188</v>
      </c>
      <c r="F16" s="25"/>
      <c r="G16" s="25" t="s">
        <v>84</v>
      </c>
      <c r="H16" s="27" t="s">
        <v>3</v>
      </c>
      <c r="I16" s="27"/>
      <c r="J16" s="28"/>
      <c r="K16" s="28"/>
      <c r="L16" s="27" t="s">
        <v>115</v>
      </c>
      <c r="M16" s="27" t="s">
        <v>116</v>
      </c>
      <c r="N16" s="27"/>
      <c r="O16" s="25" t="s">
        <v>189</v>
      </c>
      <c r="P16" s="25" t="s">
        <v>190</v>
      </c>
      <c r="Q16" s="25"/>
      <c r="R16" s="29"/>
      <c r="S16" s="29"/>
      <c r="T16" s="30" t="str">
        <f aca="true">IF(OR(B16="",H16="Paid",H16="Not now",S16=""),"",IF(S16&lt;=TODAY(),"DUE",""))</f>
        <v/>
      </c>
      <c r="U16" s="26" t="s">
        <v>191</v>
      </c>
      <c r="V16" s="31"/>
      <c r="W16" s="25" t="s">
        <v>192</v>
      </c>
    </row>
    <row r="17" customFormat="false" ht="42" hidden="false" customHeight="true" outlineLevel="0" collapsed="false">
      <c r="A17" s="25" t="n">
        <v>13</v>
      </c>
      <c r="B17" s="26" t="s">
        <v>193</v>
      </c>
      <c r="C17" s="25" t="s">
        <v>194</v>
      </c>
      <c r="D17" s="25" t="s">
        <v>121</v>
      </c>
      <c r="E17" s="25" t="s">
        <v>195</v>
      </c>
      <c r="F17" s="25"/>
      <c r="G17" s="25" t="s">
        <v>83</v>
      </c>
      <c r="H17" s="27" t="s">
        <v>3</v>
      </c>
      <c r="I17" s="27"/>
      <c r="J17" s="28"/>
      <c r="K17" s="28"/>
      <c r="L17" s="27" t="s">
        <v>115</v>
      </c>
      <c r="M17" s="27" t="s">
        <v>116</v>
      </c>
      <c r="N17" s="27"/>
      <c r="O17" s="25" t="s">
        <v>196</v>
      </c>
      <c r="P17" s="25" t="s">
        <v>197</v>
      </c>
      <c r="Q17" s="25"/>
      <c r="R17" s="29"/>
      <c r="S17" s="29"/>
      <c r="T17" s="30" t="str">
        <f aca="true">IF(OR(B17="",H17="Paid",H17="Not now",S17=""),"",IF(S17&lt;=TODAY(),"DUE",""))</f>
        <v/>
      </c>
      <c r="U17" s="26" t="s">
        <v>198</v>
      </c>
      <c r="V17" s="31"/>
      <c r="W17" s="25" t="s">
        <v>192</v>
      </c>
    </row>
    <row r="18" customFormat="false" ht="42" hidden="false" customHeight="true" outlineLevel="0" collapsed="false">
      <c r="A18" s="25" t="n">
        <v>14</v>
      </c>
      <c r="B18" s="26" t="s">
        <v>199</v>
      </c>
      <c r="C18" s="25" t="s">
        <v>200</v>
      </c>
      <c r="D18" s="25" t="s">
        <v>121</v>
      </c>
      <c r="E18" s="25" t="s">
        <v>201</v>
      </c>
      <c r="F18" s="25"/>
      <c r="G18" s="25" t="s">
        <v>83</v>
      </c>
      <c r="H18" s="27" t="s">
        <v>3</v>
      </c>
      <c r="I18" s="27"/>
      <c r="J18" s="28"/>
      <c r="K18" s="28"/>
      <c r="L18" s="27" t="s">
        <v>115</v>
      </c>
      <c r="M18" s="27" t="s">
        <v>116</v>
      </c>
      <c r="N18" s="27"/>
      <c r="O18" s="25" t="s">
        <v>202</v>
      </c>
      <c r="P18" s="25" t="s">
        <v>203</v>
      </c>
      <c r="Q18" s="25" t="s">
        <v>204</v>
      </c>
      <c r="R18" s="29"/>
      <c r="S18" s="29"/>
      <c r="T18" s="30" t="str">
        <f aca="true">IF(OR(B18="",H18="Paid",H18="Not now",S18=""),"",IF(S18&lt;=TODAY(),"DUE",""))</f>
        <v/>
      </c>
      <c r="U18" s="26" t="s">
        <v>205</v>
      </c>
      <c r="V18" s="31"/>
      <c r="W18" s="25" t="s">
        <v>204</v>
      </c>
    </row>
    <row r="19" customFormat="false" ht="42" hidden="false" customHeight="true" outlineLevel="0" collapsed="false">
      <c r="A19" s="25" t="n">
        <v>15</v>
      </c>
      <c r="B19" s="26" t="s">
        <v>206</v>
      </c>
      <c r="C19" s="25" t="s">
        <v>120</v>
      </c>
      <c r="D19" s="25" t="s">
        <v>121</v>
      </c>
      <c r="E19" s="25" t="s">
        <v>207</v>
      </c>
      <c r="F19" s="25"/>
      <c r="G19" s="25" t="s">
        <v>84</v>
      </c>
      <c r="H19" s="27" t="s">
        <v>3</v>
      </c>
      <c r="I19" s="27"/>
      <c r="J19" s="28"/>
      <c r="K19" s="28"/>
      <c r="L19" s="27" t="s">
        <v>115</v>
      </c>
      <c r="M19" s="27" t="s">
        <v>116</v>
      </c>
      <c r="N19" s="27"/>
      <c r="O19" s="25"/>
      <c r="P19" s="25"/>
      <c r="Q19" s="25"/>
      <c r="R19" s="29"/>
      <c r="S19" s="29"/>
      <c r="T19" s="30" t="str">
        <f aca="true">IF(OR(B19="",H19="Paid",H19="Not now",S19=""),"",IF(S19&lt;=TODAY(),"DUE",""))</f>
        <v/>
      </c>
      <c r="U19" s="26" t="s">
        <v>208</v>
      </c>
      <c r="V19" s="31"/>
      <c r="W19" s="25" t="s">
        <v>209</v>
      </c>
    </row>
    <row r="20" customFormat="false" ht="42" hidden="false" customHeight="true" outlineLevel="0" collapsed="false">
      <c r="A20" s="25" t="n">
        <v>16</v>
      </c>
      <c r="B20" s="26" t="s">
        <v>210</v>
      </c>
      <c r="C20" s="25" t="s">
        <v>120</v>
      </c>
      <c r="D20" s="25" t="s">
        <v>121</v>
      </c>
      <c r="E20" s="25" t="s">
        <v>211</v>
      </c>
      <c r="F20" s="25"/>
      <c r="G20" s="25" t="s">
        <v>83</v>
      </c>
      <c r="H20" s="27" t="s">
        <v>3</v>
      </c>
      <c r="I20" s="27"/>
      <c r="J20" s="28"/>
      <c r="K20" s="28"/>
      <c r="L20" s="27" t="s">
        <v>115</v>
      </c>
      <c r="M20" s="27" t="s">
        <v>116</v>
      </c>
      <c r="N20" s="27"/>
      <c r="O20" s="25" t="s">
        <v>212</v>
      </c>
      <c r="P20" s="25" t="s">
        <v>213</v>
      </c>
      <c r="Q20" s="25" t="s">
        <v>214</v>
      </c>
      <c r="R20" s="29"/>
      <c r="S20" s="29"/>
      <c r="T20" s="30" t="str">
        <f aca="true">IF(OR(B20="",H20="Paid",H20="Not now",S20=""),"",IF(S20&lt;=TODAY(),"DUE",""))</f>
        <v/>
      </c>
      <c r="U20" s="26" t="s">
        <v>215</v>
      </c>
      <c r="V20" s="31"/>
      <c r="W20" s="25" t="s">
        <v>216</v>
      </c>
    </row>
    <row r="21" customFormat="false" ht="42" hidden="false" customHeight="true" outlineLevel="0" collapsed="false">
      <c r="A21" s="25" t="n">
        <v>17</v>
      </c>
      <c r="B21" s="26" t="s">
        <v>217</v>
      </c>
      <c r="C21" s="25" t="s">
        <v>120</v>
      </c>
      <c r="D21" s="25" t="s">
        <v>121</v>
      </c>
      <c r="E21" s="25" t="s">
        <v>218</v>
      </c>
      <c r="F21" s="25"/>
      <c r="G21" s="25" t="s">
        <v>84</v>
      </c>
      <c r="H21" s="27" t="s">
        <v>3</v>
      </c>
      <c r="I21" s="27"/>
      <c r="J21" s="28"/>
      <c r="K21" s="28"/>
      <c r="L21" s="27" t="s">
        <v>115</v>
      </c>
      <c r="M21" s="27" t="s">
        <v>116</v>
      </c>
      <c r="N21" s="27"/>
      <c r="O21" s="25" t="s">
        <v>219</v>
      </c>
      <c r="P21" s="25" t="s">
        <v>220</v>
      </c>
      <c r="Q21" s="25"/>
      <c r="R21" s="29"/>
      <c r="S21" s="29"/>
      <c r="T21" s="30" t="str">
        <f aca="true">IF(OR(B21="",H21="Paid",H21="Not now",S21=""),"",IF(S21&lt;=TODAY(),"DUE",""))</f>
        <v/>
      </c>
      <c r="U21" s="26" t="s">
        <v>221</v>
      </c>
      <c r="V21" s="31"/>
      <c r="W21" s="25" t="s">
        <v>192</v>
      </c>
    </row>
    <row r="22" customFormat="false" ht="42" hidden="false" customHeight="true" outlineLevel="0" collapsed="false">
      <c r="A22" s="25" t="n">
        <v>18</v>
      </c>
      <c r="B22" s="26" t="s">
        <v>222</v>
      </c>
      <c r="C22" s="25" t="s">
        <v>120</v>
      </c>
      <c r="D22" s="25" t="s">
        <v>121</v>
      </c>
      <c r="E22" s="25" t="s">
        <v>223</v>
      </c>
      <c r="F22" s="25"/>
      <c r="G22" s="25" t="s">
        <v>82</v>
      </c>
      <c r="H22" s="27" t="s">
        <v>3</v>
      </c>
      <c r="I22" s="27"/>
      <c r="J22" s="28"/>
      <c r="K22" s="28"/>
      <c r="L22" s="27" t="s">
        <v>115</v>
      </c>
      <c r="M22" s="27" t="s">
        <v>116</v>
      </c>
      <c r="N22" s="27"/>
      <c r="O22" s="25" t="s">
        <v>224</v>
      </c>
      <c r="P22" s="25"/>
      <c r="Q22" s="25" t="s">
        <v>225</v>
      </c>
      <c r="R22" s="29"/>
      <c r="S22" s="29"/>
      <c r="T22" s="30" t="str">
        <f aca="true">IF(OR(B22="",H22="Paid",H22="Not now",S22=""),"",IF(S22&lt;=TODAY(),"DUE",""))</f>
        <v/>
      </c>
      <c r="U22" s="26" t="s">
        <v>226</v>
      </c>
      <c r="V22" s="31"/>
      <c r="W22" s="25" t="s">
        <v>227</v>
      </c>
    </row>
    <row r="23" customFormat="false" ht="42" hidden="false" customHeight="true" outlineLevel="0" collapsed="false">
      <c r="A23" s="25" t="n">
        <v>19</v>
      </c>
      <c r="B23" s="26" t="s">
        <v>228</v>
      </c>
      <c r="C23" s="25" t="s">
        <v>120</v>
      </c>
      <c r="D23" s="25" t="s">
        <v>121</v>
      </c>
      <c r="E23" s="25" t="s">
        <v>229</v>
      </c>
      <c r="F23" s="25"/>
      <c r="G23" s="25" t="s">
        <v>83</v>
      </c>
      <c r="H23" s="27" t="s">
        <v>3</v>
      </c>
      <c r="I23" s="27"/>
      <c r="J23" s="28"/>
      <c r="K23" s="28"/>
      <c r="L23" s="27" t="s">
        <v>115</v>
      </c>
      <c r="M23" s="27" t="s">
        <v>116</v>
      </c>
      <c r="N23" s="27"/>
      <c r="O23" s="25" t="s">
        <v>230</v>
      </c>
      <c r="P23" s="25" t="s">
        <v>231</v>
      </c>
      <c r="Q23" s="25" t="s">
        <v>232</v>
      </c>
      <c r="R23" s="29"/>
      <c r="S23" s="29"/>
      <c r="T23" s="30" t="str">
        <f aca="true">IF(OR(B23="",H23="Paid",H23="Not now",S23=""),"",IF(S23&lt;=TODAY(),"DUE",""))</f>
        <v/>
      </c>
      <c r="U23" s="26" t="s">
        <v>233</v>
      </c>
      <c r="V23" s="31"/>
      <c r="W23" s="25" t="s">
        <v>192</v>
      </c>
    </row>
    <row r="24" customFormat="false" ht="42" hidden="false" customHeight="true" outlineLevel="0" collapsed="false">
      <c r="A24" s="25" t="n">
        <v>20</v>
      </c>
      <c r="B24" s="26" t="s">
        <v>234</v>
      </c>
      <c r="C24" s="25" t="s">
        <v>120</v>
      </c>
      <c r="D24" s="25" t="s">
        <v>121</v>
      </c>
      <c r="E24" s="25" t="s">
        <v>235</v>
      </c>
      <c r="F24" s="25"/>
      <c r="G24" s="25" t="s">
        <v>83</v>
      </c>
      <c r="H24" s="27" t="s">
        <v>3</v>
      </c>
      <c r="I24" s="27"/>
      <c r="J24" s="28"/>
      <c r="K24" s="28"/>
      <c r="L24" s="27" t="s">
        <v>115</v>
      </c>
      <c r="M24" s="27" t="s">
        <v>116</v>
      </c>
      <c r="N24" s="27"/>
      <c r="O24" s="25" t="s">
        <v>236</v>
      </c>
      <c r="P24" s="25" t="s">
        <v>237</v>
      </c>
      <c r="Q24" s="25"/>
      <c r="R24" s="29"/>
      <c r="S24" s="29"/>
      <c r="T24" s="30" t="str">
        <f aca="true">IF(OR(B24="",H24="Paid",H24="Not now",S24=""),"",IF(S24&lt;=TODAY(),"DUE",""))</f>
        <v/>
      </c>
      <c r="U24" s="26" t="s">
        <v>238</v>
      </c>
      <c r="V24" s="31"/>
      <c r="W24" s="25" t="s">
        <v>192</v>
      </c>
    </row>
    <row r="25" customFormat="false" ht="42" hidden="false" customHeight="true" outlineLevel="0" collapsed="false">
      <c r="A25" s="25" t="n">
        <v>21</v>
      </c>
      <c r="B25" s="26" t="s">
        <v>239</v>
      </c>
      <c r="C25" s="25" t="s">
        <v>120</v>
      </c>
      <c r="D25" s="25" t="s">
        <v>121</v>
      </c>
      <c r="E25" s="25" t="s">
        <v>240</v>
      </c>
      <c r="F25" s="25"/>
      <c r="G25" s="25" t="s">
        <v>83</v>
      </c>
      <c r="H25" s="27" t="s">
        <v>3</v>
      </c>
      <c r="I25" s="27"/>
      <c r="J25" s="28"/>
      <c r="K25" s="28"/>
      <c r="L25" s="27" t="s">
        <v>115</v>
      </c>
      <c r="M25" s="27" t="s">
        <v>116</v>
      </c>
      <c r="N25" s="27"/>
      <c r="O25" s="25" t="s">
        <v>241</v>
      </c>
      <c r="P25" s="25"/>
      <c r="Q25" s="25" t="s">
        <v>242</v>
      </c>
      <c r="R25" s="29"/>
      <c r="S25" s="29"/>
      <c r="T25" s="30" t="str">
        <f aca="true">IF(OR(B25="",H25="Paid",H25="Not now",S25=""),"",IF(S25&lt;=TODAY(),"DUE",""))</f>
        <v/>
      </c>
      <c r="U25" s="26" t="s">
        <v>243</v>
      </c>
      <c r="V25" s="31"/>
      <c r="W25" s="25" t="s">
        <v>244</v>
      </c>
    </row>
    <row r="26" customFormat="false" ht="42" hidden="false" customHeight="true" outlineLevel="0" collapsed="false">
      <c r="A26" s="25" t="n">
        <v>22</v>
      </c>
      <c r="B26" s="26" t="s">
        <v>245</v>
      </c>
      <c r="C26" s="25" t="s">
        <v>120</v>
      </c>
      <c r="D26" s="25" t="s">
        <v>121</v>
      </c>
      <c r="E26" s="25" t="s">
        <v>246</v>
      </c>
      <c r="F26" s="25"/>
      <c r="G26" s="25" t="s">
        <v>83</v>
      </c>
      <c r="H26" s="27" t="s">
        <v>3</v>
      </c>
      <c r="I26" s="27"/>
      <c r="J26" s="28"/>
      <c r="K26" s="28"/>
      <c r="L26" s="27" t="s">
        <v>115</v>
      </c>
      <c r="M26" s="27" t="s">
        <v>116</v>
      </c>
      <c r="N26" s="27"/>
      <c r="O26" s="25" t="s">
        <v>247</v>
      </c>
      <c r="P26" s="25" t="s">
        <v>248</v>
      </c>
      <c r="Q26" s="25"/>
      <c r="R26" s="29"/>
      <c r="S26" s="29"/>
      <c r="T26" s="30" t="str">
        <f aca="true">IF(OR(B26="",H26="Paid",H26="Not now",S26=""),"",IF(S26&lt;=TODAY(),"DUE",""))</f>
        <v/>
      </c>
      <c r="U26" s="26" t="s">
        <v>249</v>
      </c>
      <c r="V26" s="31"/>
      <c r="W26" s="25" t="s">
        <v>192</v>
      </c>
    </row>
    <row r="27" customFormat="false" ht="42" hidden="false" customHeight="true" outlineLevel="0" collapsed="false">
      <c r="A27" s="25" t="n">
        <v>23</v>
      </c>
      <c r="B27" s="26" t="s">
        <v>250</v>
      </c>
      <c r="C27" s="25" t="s">
        <v>120</v>
      </c>
      <c r="D27" s="25" t="s">
        <v>121</v>
      </c>
      <c r="E27" s="25" t="s">
        <v>211</v>
      </c>
      <c r="F27" s="25"/>
      <c r="G27" s="25" t="s">
        <v>83</v>
      </c>
      <c r="H27" s="27" t="s">
        <v>3</v>
      </c>
      <c r="I27" s="27"/>
      <c r="J27" s="28"/>
      <c r="K27" s="28"/>
      <c r="L27" s="27" t="s">
        <v>115</v>
      </c>
      <c r="M27" s="27" t="s">
        <v>116</v>
      </c>
      <c r="N27" s="27"/>
      <c r="O27" s="25" t="s">
        <v>251</v>
      </c>
      <c r="P27" s="25" t="s">
        <v>252</v>
      </c>
      <c r="Q27" s="25" t="s">
        <v>253</v>
      </c>
      <c r="R27" s="29"/>
      <c r="S27" s="29"/>
      <c r="T27" s="30" t="str">
        <f aca="true">IF(OR(B27="",H27="Paid",H27="Not now",S27=""),"",IF(S27&lt;=TODAY(),"DUE",""))</f>
        <v/>
      </c>
      <c r="U27" s="26" t="s">
        <v>254</v>
      </c>
      <c r="V27" s="31"/>
      <c r="W27" s="25" t="s">
        <v>255</v>
      </c>
    </row>
    <row r="28" customFormat="false" ht="42" hidden="false" customHeight="true" outlineLevel="0" collapsed="false">
      <c r="A28" s="25" t="n">
        <v>24</v>
      </c>
      <c r="B28" s="26" t="s">
        <v>256</v>
      </c>
      <c r="C28" s="25" t="s">
        <v>257</v>
      </c>
      <c r="D28" s="25" t="s">
        <v>121</v>
      </c>
      <c r="E28" s="25" t="s">
        <v>258</v>
      </c>
      <c r="F28" s="25"/>
      <c r="G28" s="25" t="s">
        <v>84</v>
      </c>
      <c r="H28" s="27" t="s">
        <v>3</v>
      </c>
      <c r="I28" s="27"/>
      <c r="J28" s="28"/>
      <c r="K28" s="28"/>
      <c r="L28" s="27" t="s">
        <v>115</v>
      </c>
      <c r="M28" s="27" t="s">
        <v>116</v>
      </c>
      <c r="N28" s="27"/>
      <c r="O28" s="25"/>
      <c r="P28" s="25"/>
      <c r="Q28" s="25" t="s">
        <v>259</v>
      </c>
      <c r="R28" s="29"/>
      <c r="S28" s="29"/>
      <c r="T28" s="30" t="str">
        <f aca="true">IF(OR(B28="",H28="Paid",H28="Not now",S28=""),"",IF(S28&lt;=TODAY(),"DUE",""))</f>
        <v/>
      </c>
      <c r="U28" s="26" t="s">
        <v>260</v>
      </c>
      <c r="V28" s="31" t="s">
        <v>261</v>
      </c>
      <c r="W28" s="25" t="s">
        <v>262</v>
      </c>
    </row>
    <row r="29" customFormat="false" ht="42" hidden="false" customHeight="true" outlineLevel="0" collapsed="false">
      <c r="A29" s="25" t="n">
        <v>25</v>
      </c>
      <c r="B29" s="26" t="s">
        <v>263</v>
      </c>
      <c r="C29" s="25" t="s">
        <v>264</v>
      </c>
      <c r="D29" s="25" t="s">
        <v>121</v>
      </c>
      <c r="E29" s="25" t="s">
        <v>265</v>
      </c>
      <c r="F29" s="25"/>
      <c r="G29" s="25" t="s">
        <v>83</v>
      </c>
      <c r="H29" s="27" t="s">
        <v>3</v>
      </c>
      <c r="I29" s="27"/>
      <c r="J29" s="28"/>
      <c r="K29" s="28"/>
      <c r="L29" s="27" t="s">
        <v>115</v>
      </c>
      <c r="M29" s="27" t="s">
        <v>116</v>
      </c>
      <c r="N29" s="27"/>
      <c r="O29" s="25" t="s">
        <v>266</v>
      </c>
      <c r="P29" s="25" t="s">
        <v>267</v>
      </c>
      <c r="Q29" s="25"/>
      <c r="R29" s="29"/>
      <c r="S29" s="29"/>
      <c r="T29" s="30" t="str">
        <f aca="true">IF(OR(B29="",H29="Paid",H29="Not now",S29=""),"",IF(S29&lt;=TODAY(),"DUE",""))</f>
        <v/>
      </c>
      <c r="U29" s="26" t="s">
        <v>268</v>
      </c>
      <c r="V29" s="31"/>
      <c r="W29" s="25" t="s">
        <v>192</v>
      </c>
    </row>
    <row r="30" customFormat="false" ht="42" hidden="false" customHeight="true" outlineLevel="0" collapsed="false">
      <c r="A30" s="25" t="n">
        <v>26</v>
      </c>
      <c r="B30" s="26" t="s">
        <v>269</v>
      </c>
      <c r="C30" s="25" t="s">
        <v>270</v>
      </c>
      <c r="D30" s="25" t="s">
        <v>121</v>
      </c>
      <c r="E30" s="25" t="s">
        <v>271</v>
      </c>
      <c r="F30" s="25"/>
      <c r="G30" s="25" t="s">
        <v>82</v>
      </c>
      <c r="H30" s="27" t="s">
        <v>3</v>
      </c>
      <c r="I30" s="27"/>
      <c r="J30" s="28"/>
      <c r="K30" s="28"/>
      <c r="L30" s="27" t="s">
        <v>115</v>
      </c>
      <c r="M30" s="27" t="s">
        <v>116</v>
      </c>
      <c r="N30" s="27"/>
      <c r="O30" s="25" t="s">
        <v>272</v>
      </c>
      <c r="P30" s="25"/>
      <c r="Q30" s="25" t="s">
        <v>273</v>
      </c>
      <c r="R30" s="29"/>
      <c r="S30" s="29"/>
      <c r="T30" s="30" t="str">
        <f aca="true">IF(OR(B30="",H30="Paid",H30="Not now",S30=""),"",IF(S30&lt;=TODAY(),"DUE",""))</f>
        <v/>
      </c>
      <c r="U30" s="26" t="s">
        <v>274</v>
      </c>
      <c r="V30" s="31"/>
      <c r="W30" s="25" t="s">
        <v>275</v>
      </c>
    </row>
    <row r="31" customFormat="false" ht="42" hidden="false" customHeight="true" outlineLevel="0" collapsed="false">
      <c r="A31" s="25" t="n">
        <v>27</v>
      </c>
      <c r="B31" s="26" t="s">
        <v>276</v>
      </c>
      <c r="C31" s="25" t="s">
        <v>277</v>
      </c>
      <c r="D31" s="25" t="s">
        <v>121</v>
      </c>
      <c r="E31" s="25" t="s">
        <v>278</v>
      </c>
      <c r="F31" s="25"/>
      <c r="G31" s="25" t="s">
        <v>84</v>
      </c>
      <c r="H31" s="27" t="s">
        <v>3</v>
      </c>
      <c r="I31" s="27"/>
      <c r="J31" s="28"/>
      <c r="K31" s="28"/>
      <c r="L31" s="27" t="s">
        <v>115</v>
      </c>
      <c r="M31" s="27" t="s">
        <v>116</v>
      </c>
      <c r="N31" s="27"/>
      <c r="O31" s="25" t="s">
        <v>279</v>
      </c>
      <c r="P31" s="25"/>
      <c r="Q31" s="25"/>
      <c r="R31" s="29"/>
      <c r="S31" s="29"/>
      <c r="T31" s="30" t="str">
        <f aca="true">IF(OR(B31="",H31="Paid",H31="Not now",S31=""),"",IF(S31&lt;=TODAY(),"DUE",""))</f>
        <v/>
      </c>
      <c r="U31" s="26" t="s">
        <v>280</v>
      </c>
      <c r="V31" s="31"/>
      <c r="W31" s="25" t="s">
        <v>281</v>
      </c>
    </row>
    <row r="32" customFormat="false" ht="42" hidden="false" customHeight="true" outlineLevel="0" collapsed="false">
      <c r="A32" s="25" t="n">
        <v>28</v>
      </c>
      <c r="B32" s="26" t="s">
        <v>282</v>
      </c>
      <c r="C32" s="25" t="s">
        <v>283</v>
      </c>
      <c r="D32" s="25" t="s">
        <v>121</v>
      </c>
      <c r="E32" s="25" t="s">
        <v>284</v>
      </c>
      <c r="F32" s="25"/>
      <c r="G32" s="25" t="s">
        <v>83</v>
      </c>
      <c r="H32" s="27" t="s">
        <v>3</v>
      </c>
      <c r="I32" s="27"/>
      <c r="J32" s="28"/>
      <c r="K32" s="28"/>
      <c r="L32" s="27" t="s">
        <v>115</v>
      </c>
      <c r="M32" s="27" t="s">
        <v>116</v>
      </c>
      <c r="N32" s="27"/>
      <c r="O32" s="25" t="s">
        <v>285</v>
      </c>
      <c r="P32" s="25" t="s">
        <v>286</v>
      </c>
      <c r="Q32" s="25" t="s">
        <v>287</v>
      </c>
      <c r="R32" s="29"/>
      <c r="S32" s="29"/>
      <c r="T32" s="30" t="str">
        <f aca="true">IF(OR(B32="",H32="Paid",H32="Not now",S32=""),"",IF(S32&lt;=TODAY(),"DUE",""))</f>
        <v/>
      </c>
      <c r="U32" s="26" t="s">
        <v>288</v>
      </c>
      <c r="V32" s="31"/>
      <c r="W32" s="25" t="s">
        <v>287</v>
      </c>
    </row>
    <row r="33" customFormat="false" ht="42" hidden="false" customHeight="true" outlineLevel="0" collapsed="false">
      <c r="A33" s="25" t="n">
        <v>29</v>
      </c>
      <c r="B33" s="26" t="s">
        <v>289</v>
      </c>
      <c r="C33" s="25" t="s">
        <v>290</v>
      </c>
      <c r="D33" s="25" t="s">
        <v>121</v>
      </c>
      <c r="E33" s="25" t="s">
        <v>291</v>
      </c>
      <c r="F33" s="25"/>
      <c r="G33" s="25" t="s">
        <v>83</v>
      </c>
      <c r="H33" s="27" t="s">
        <v>3</v>
      </c>
      <c r="I33" s="27"/>
      <c r="J33" s="28"/>
      <c r="K33" s="28"/>
      <c r="L33" s="27" t="s">
        <v>115</v>
      </c>
      <c r="M33" s="27" t="s">
        <v>116</v>
      </c>
      <c r="N33" s="27"/>
      <c r="O33" s="25" t="s">
        <v>292</v>
      </c>
      <c r="P33" s="25" t="s">
        <v>293</v>
      </c>
      <c r="Q33" s="25" t="s">
        <v>294</v>
      </c>
      <c r="R33" s="29"/>
      <c r="S33" s="29"/>
      <c r="T33" s="30" t="str">
        <f aca="true">IF(OR(B33="",H33="Paid",H33="Not now",S33=""),"",IF(S33&lt;=TODAY(),"DUE",""))</f>
        <v/>
      </c>
      <c r="U33" s="26" t="s">
        <v>295</v>
      </c>
      <c r="V33" s="31"/>
      <c r="W33" s="25" t="s">
        <v>294</v>
      </c>
    </row>
    <row r="34" customFormat="false" ht="42" hidden="false" customHeight="true" outlineLevel="0" collapsed="false">
      <c r="A34" s="25" t="n">
        <v>30</v>
      </c>
      <c r="B34" s="26" t="s">
        <v>296</v>
      </c>
      <c r="C34" s="25" t="s">
        <v>297</v>
      </c>
      <c r="D34" s="25" t="s">
        <v>121</v>
      </c>
      <c r="E34" s="25" t="s">
        <v>298</v>
      </c>
      <c r="F34" s="25"/>
      <c r="G34" s="25" t="s">
        <v>83</v>
      </c>
      <c r="H34" s="27" t="s">
        <v>3</v>
      </c>
      <c r="I34" s="27"/>
      <c r="J34" s="28"/>
      <c r="K34" s="28"/>
      <c r="L34" s="27" t="s">
        <v>115</v>
      </c>
      <c r="M34" s="27" t="s">
        <v>116</v>
      </c>
      <c r="N34" s="27"/>
      <c r="O34" s="25" t="s">
        <v>299</v>
      </c>
      <c r="P34" s="25"/>
      <c r="Q34" s="25" t="s">
        <v>300</v>
      </c>
      <c r="R34" s="29"/>
      <c r="S34" s="29"/>
      <c r="T34" s="30" t="str">
        <f aca="true">IF(OR(B34="",H34="Paid",H34="Not now",S34=""),"",IF(S34&lt;=TODAY(),"DUE",""))</f>
        <v/>
      </c>
      <c r="U34" s="26" t="s">
        <v>301</v>
      </c>
      <c r="V34" s="31" t="s">
        <v>261</v>
      </c>
      <c r="W34" s="25" t="s">
        <v>302</v>
      </c>
    </row>
    <row r="35" customFormat="false" ht="42" hidden="false" customHeight="true" outlineLevel="0" collapsed="false">
      <c r="A35" s="25" t="n">
        <v>31</v>
      </c>
      <c r="B35" s="26" t="s">
        <v>303</v>
      </c>
      <c r="C35" s="25" t="s">
        <v>297</v>
      </c>
      <c r="D35" s="25" t="s">
        <v>121</v>
      </c>
      <c r="E35" s="25" t="s">
        <v>284</v>
      </c>
      <c r="F35" s="25"/>
      <c r="G35" s="25" t="s">
        <v>84</v>
      </c>
      <c r="H35" s="27" t="s">
        <v>3</v>
      </c>
      <c r="I35" s="27"/>
      <c r="J35" s="28"/>
      <c r="K35" s="28"/>
      <c r="L35" s="27" t="s">
        <v>115</v>
      </c>
      <c r="M35" s="27" t="s">
        <v>116</v>
      </c>
      <c r="N35" s="27"/>
      <c r="O35" s="25" t="s">
        <v>304</v>
      </c>
      <c r="P35" s="25"/>
      <c r="Q35" s="25"/>
      <c r="R35" s="29"/>
      <c r="S35" s="29"/>
      <c r="T35" s="30" t="str">
        <f aca="true">IF(OR(B35="",H35="Paid",H35="Not now",S35=""),"",IF(S35&lt;=TODAY(),"DUE",""))</f>
        <v/>
      </c>
      <c r="U35" s="26" t="s">
        <v>305</v>
      </c>
      <c r="V35" s="31"/>
      <c r="W35" s="25" t="s">
        <v>244</v>
      </c>
    </row>
    <row r="36" customFormat="false" ht="42" hidden="false" customHeight="true" outlineLevel="0" collapsed="false">
      <c r="A36" s="25" t="n">
        <v>32</v>
      </c>
      <c r="B36" s="26" t="s">
        <v>306</v>
      </c>
      <c r="C36" s="25" t="s">
        <v>297</v>
      </c>
      <c r="D36" s="25" t="s">
        <v>121</v>
      </c>
      <c r="E36" s="25" t="s">
        <v>307</v>
      </c>
      <c r="F36" s="25"/>
      <c r="G36" s="25" t="s">
        <v>83</v>
      </c>
      <c r="H36" s="27" t="s">
        <v>3</v>
      </c>
      <c r="I36" s="27"/>
      <c r="J36" s="28"/>
      <c r="K36" s="28"/>
      <c r="L36" s="27" t="s">
        <v>115</v>
      </c>
      <c r="M36" s="27" t="s">
        <v>116</v>
      </c>
      <c r="N36" s="27"/>
      <c r="O36" s="25"/>
      <c r="P36" s="25"/>
      <c r="Q36" s="25"/>
      <c r="R36" s="29"/>
      <c r="S36" s="29"/>
      <c r="T36" s="30" t="str">
        <f aca="true">IF(OR(B36="",H36="Paid",H36="Not now",S36=""),"",IF(S36&lt;=TODAY(),"DUE",""))</f>
        <v/>
      </c>
      <c r="U36" s="26" t="s">
        <v>308</v>
      </c>
      <c r="V36" s="31"/>
      <c r="W36" s="25" t="s">
        <v>309</v>
      </c>
    </row>
    <row r="37" customFormat="false" ht="42" hidden="false" customHeight="true" outlineLevel="0" collapsed="false">
      <c r="A37" s="25" t="n">
        <v>33</v>
      </c>
      <c r="B37" s="26" t="s">
        <v>310</v>
      </c>
      <c r="C37" s="25" t="s">
        <v>297</v>
      </c>
      <c r="D37" s="25" t="s">
        <v>121</v>
      </c>
      <c r="E37" s="25" t="s">
        <v>223</v>
      </c>
      <c r="F37" s="25"/>
      <c r="G37" s="25" t="s">
        <v>83</v>
      </c>
      <c r="H37" s="27" t="s">
        <v>3</v>
      </c>
      <c r="I37" s="27"/>
      <c r="J37" s="28"/>
      <c r="K37" s="28"/>
      <c r="L37" s="27" t="s">
        <v>115</v>
      </c>
      <c r="M37" s="27" t="s">
        <v>116</v>
      </c>
      <c r="N37" s="27"/>
      <c r="O37" s="25" t="s">
        <v>311</v>
      </c>
      <c r="P37" s="25"/>
      <c r="Q37" s="25" t="s">
        <v>312</v>
      </c>
      <c r="R37" s="29"/>
      <c r="S37" s="29"/>
      <c r="T37" s="30" t="str">
        <f aca="true">IF(OR(B37="",H37="Paid",H37="Not now",S37=""),"",IF(S37&lt;=TODAY(),"DUE",""))</f>
        <v/>
      </c>
      <c r="U37" s="26" t="s">
        <v>313</v>
      </c>
      <c r="V37" s="31"/>
      <c r="W37" s="25" t="s">
        <v>227</v>
      </c>
    </row>
    <row r="38" customFormat="false" ht="42" hidden="false" customHeight="true" outlineLevel="0" collapsed="false">
      <c r="A38" s="25" t="n">
        <v>34</v>
      </c>
      <c r="B38" s="26" t="s">
        <v>314</v>
      </c>
      <c r="C38" s="25" t="s">
        <v>297</v>
      </c>
      <c r="D38" s="25" t="s">
        <v>121</v>
      </c>
      <c r="E38" s="25" t="s">
        <v>315</v>
      </c>
      <c r="F38" s="25"/>
      <c r="G38" s="25" t="s">
        <v>84</v>
      </c>
      <c r="H38" s="27" t="s">
        <v>3</v>
      </c>
      <c r="I38" s="27"/>
      <c r="J38" s="28"/>
      <c r="K38" s="28"/>
      <c r="L38" s="27" t="s">
        <v>115</v>
      </c>
      <c r="M38" s="27" t="s">
        <v>116</v>
      </c>
      <c r="N38" s="27"/>
      <c r="O38" s="25"/>
      <c r="P38" s="25" t="s">
        <v>316</v>
      </c>
      <c r="Q38" s="25"/>
      <c r="R38" s="29"/>
      <c r="S38" s="29"/>
      <c r="T38" s="30" t="str">
        <f aca="true">IF(OR(B38="",H38="Paid",H38="Not now",S38=""),"",IF(S38&lt;=TODAY(),"DUE",""))</f>
        <v/>
      </c>
      <c r="U38" s="26" t="s">
        <v>317</v>
      </c>
      <c r="V38" s="31" t="s">
        <v>261</v>
      </c>
      <c r="W38" s="25" t="s">
        <v>192</v>
      </c>
    </row>
    <row r="39" customFormat="false" ht="42" hidden="false" customHeight="true" outlineLevel="0" collapsed="false">
      <c r="A39" s="25" t="n">
        <v>35</v>
      </c>
      <c r="B39" s="26" t="s">
        <v>318</v>
      </c>
      <c r="C39" s="25" t="s">
        <v>319</v>
      </c>
      <c r="D39" s="25" t="s">
        <v>121</v>
      </c>
      <c r="E39" s="25" t="s">
        <v>235</v>
      </c>
      <c r="F39" s="25"/>
      <c r="G39" s="25" t="s">
        <v>82</v>
      </c>
      <c r="H39" s="27" t="s">
        <v>3</v>
      </c>
      <c r="I39" s="27"/>
      <c r="J39" s="28"/>
      <c r="K39" s="28"/>
      <c r="L39" s="27" t="s">
        <v>115</v>
      </c>
      <c r="M39" s="27" t="s">
        <v>116</v>
      </c>
      <c r="N39" s="27"/>
      <c r="O39" s="25" t="s">
        <v>320</v>
      </c>
      <c r="P39" s="25"/>
      <c r="Q39" s="25" t="s">
        <v>321</v>
      </c>
      <c r="R39" s="29"/>
      <c r="S39" s="29"/>
      <c r="T39" s="30" t="str">
        <f aca="true">IF(OR(B39="",H39="Paid",H39="Not now",S39=""),"",IF(S39&lt;=TODAY(),"DUE",""))</f>
        <v/>
      </c>
      <c r="U39" s="26" t="s">
        <v>322</v>
      </c>
      <c r="V39" s="31"/>
      <c r="W39" s="25" t="s">
        <v>321</v>
      </c>
    </row>
    <row r="40" customFormat="false" ht="42" hidden="false" customHeight="true" outlineLevel="0" collapsed="false">
      <c r="A40" s="25" t="n">
        <v>36</v>
      </c>
      <c r="B40" s="26" t="s">
        <v>323</v>
      </c>
      <c r="C40" s="25" t="s">
        <v>324</v>
      </c>
      <c r="D40" s="25" t="s">
        <v>121</v>
      </c>
      <c r="E40" s="25" t="s">
        <v>240</v>
      </c>
      <c r="F40" s="25"/>
      <c r="G40" s="25" t="s">
        <v>84</v>
      </c>
      <c r="H40" s="27" t="s">
        <v>3</v>
      </c>
      <c r="I40" s="27"/>
      <c r="J40" s="28"/>
      <c r="K40" s="28"/>
      <c r="L40" s="27" t="s">
        <v>115</v>
      </c>
      <c r="M40" s="27" t="s">
        <v>116</v>
      </c>
      <c r="N40" s="27"/>
      <c r="O40" s="25" t="s">
        <v>325</v>
      </c>
      <c r="P40" s="25"/>
      <c r="Q40" s="25"/>
      <c r="R40" s="29"/>
      <c r="S40" s="29"/>
      <c r="T40" s="30" t="str">
        <f aca="true">IF(OR(B40="",H40="Paid",H40="Not now",S40=""),"",IF(S40&lt;=TODAY(),"DUE",""))</f>
        <v/>
      </c>
      <c r="U40" s="26" t="s">
        <v>326</v>
      </c>
      <c r="V40" s="31"/>
      <c r="W40" s="25" t="s">
        <v>327</v>
      </c>
    </row>
    <row r="41" customFormat="false" ht="42" hidden="false" customHeight="true" outlineLevel="0" collapsed="false">
      <c r="A41" s="25" t="n">
        <v>37</v>
      </c>
      <c r="B41" s="26" t="s">
        <v>328</v>
      </c>
      <c r="C41" s="25" t="s">
        <v>111</v>
      </c>
      <c r="D41" s="25" t="s">
        <v>112</v>
      </c>
      <c r="E41" s="25" t="s">
        <v>211</v>
      </c>
      <c r="F41" s="25"/>
      <c r="G41" s="25" t="s">
        <v>83</v>
      </c>
      <c r="H41" s="27" t="s">
        <v>3</v>
      </c>
      <c r="I41" s="27"/>
      <c r="J41" s="28"/>
      <c r="K41" s="28"/>
      <c r="L41" s="27" t="s">
        <v>115</v>
      </c>
      <c r="M41" s="27" t="s">
        <v>116</v>
      </c>
      <c r="N41" s="27"/>
      <c r="O41" s="25" t="s">
        <v>329</v>
      </c>
      <c r="P41" s="25"/>
      <c r="Q41" s="25" t="s">
        <v>330</v>
      </c>
      <c r="R41" s="29"/>
      <c r="S41" s="29"/>
      <c r="T41" s="30" t="str">
        <f aca="true">IF(OR(B41="",H41="Paid",H41="Not now",S41=""),"",IF(S41&lt;=TODAY(),"DUE",""))</f>
        <v/>
      </c>
      <c r="U41" s="26" t="s">
        <v>331</v>
      </c>
      <c r="V41" s="31"/>
      <c r="W41" s="25" t="s">
        <v>332</v>
      </c>
    </row>
    <row r="42" customFormat="false" ht="42" hidden="false" customHeight="true" outlineLevel="0" collapsed="false">
      <c r="A42" s="25" t="n">
        <v>38</v>
      </c>
      <c r="B42" s="26" t="s">
        <v>333</v>
      </c>
      <c r="C42" s="25" t="s">
        <v>111</v>
      </c>
      <c r="D42" s="25" t="s">
        <v>112</v>
      </c>
      <c r="E42" s="25" t="s">
        <v>334</v>
      </c>
      <c r="F42" s="25"/>
      <c r="G42" s="25" t="s">
        <v>84</v>
      </c>
      <c r="H42" s="27" t="s">
        <v>3</v>
      </c>
      <c r="I42" s="27"/>
      <c r="J42" s="28"/>
      <c r="K42" s="28"/>
      <c r="L42" s="27" t="s">
        <v>115</v>
      </c>
      <c r="M42" s="27" t="s">
        <v>116</v>
      </c>
      <c r="N42" s="27"/>
      <c r="O42" s="25"/>
      <c r="P42" s="25"/>
      <c r="Q42" s="25" t="s">
        <v>335</v>
      </c>
      <c r="R42" s="29"/>
      <c r="S42" s="29"/>
      <c r="T42" s="30" t="str">
        <f aca="true">IF(OR(B42="",H42="Paid",H42="Not now",S42=""),"",IF(S42&lt;=TODAY(),"DUE",""))</f>
        <v/>
      </c>
      <c r="U42" s="26" t="s">
        <v>336</v>
      </c>
      <c r="V42" s="31" t="s">
        <v>261</v>
      </c>
      <c r="W42" s="25" t="s">
        <v>337</v>
      </c>
    </row>
    <row r="43" customFormat="false" ht="42" hidden="false" customHeight="true" outlineLevel="0" collapsed="false">
      <c r="A43" s="25" t="n">
        <v>39</v>
      </c>
      <c r="B43" s="26" t="s">
        <v>338</v>
      </c>
      <c r="C43" s="25" t="s">
        <v>111</v>
      </c>
      <c r="D43" s="25" t="s">
        <v>112</v>
      </c>
      <c r="E43" s="25" t="s">
        <v>240</v>
      </c>
      <c r="F43" s="25"/>
      <c r="G43" s="25" t="s">
        <v>83</v>
      </c>
      <c r="H43" s="27" t="s">
        <v>3</v>
      </c>
      <c r="I43" s="27"/>
      <c r="J43" s="28"/>
      <c r="K43" s="28"/>
      <c r="L43" s="27" t="s">
        <v>115</v>
      </c>
      <c r="M43" s="27" t="s">
        <v>116</v>
      </c>
      <c r="N43" s="27"/>
      <c r="O43" s="25" t="s">
        <v>339</v>
      </c>
      <c r="P43" s="25"/>
      <c r="Q43" s="25" t="s">
        <v>340</v>
      </c>
      <c r="R43" s="29"/>
      <c r="S43" s="29"/>
      <c r="T43" s="30" t="str">
        <f aca="true">IF(OR(B43="",H43="Paid",H43="Not now",S43=""),"",IF(S43&lt;=TODAY(),"DUE",""))</f>
        <v/>
      </c>
      <c r="U43" s="26" t="s">
        <v>341</v>
      </c>
      <c r="V43" s="31"/>
      <c r="W43" s="25" t="s">
        <v>342</v>
      </c>
    </row>
    <row r="44" customFormat="false" ht="42" hidden="false" customHeight="true" outlineLevel="0" collapsed="false">
      <c r="A44" s="25" t="n">
        <v>40</v>
      </c>
      <c r="B44" s="26" t="s">
        <v>343</v>
      </c>
      <c r="C44" s="25" t="s">
        <v>111</v>
      </c>
      <c r="D44" s="25" t="s">
        <v>112</v>
      </c>
      <c r="E44" s="25" t="s">
        <v>211</v>
      </c>
      <c r="F44" s="25"/>
      <c r="G44" s="25" t="s">
        <v>83</v>
      </c>
      <c r="H44" s="27" t="s">
        <v>3</v>
      </c>
      <c r="I44" s="27"/>
      <c r="J44" s="28"/>
      <c r="K44" s="28"/>
      <c r="L44" s="27" t="s">
        <v>115</v>
      </c>
      <c r="M44" s="27" t="s">
        <v>116</v>
      </c>
      <c r="N44" s="27"/>
      <c r="O44" s="25" t="s">
        <v>344</v>
      </c>
      <c r="P44" s="25"/>
      <c r="Q44" s="25" t="s">
        <v>345</v>
      </c>
      <c r="R44" s="29"/>
      <c r="S44" s="29"/>
      <c r="T44" s="30" t="str">
        <f aca="true">IF(OR(B44="",H44="Paid",H44="Not now",S44=""),"",IF(S44&lt;=TODAY(),"DUE",""))</f>
        <v/>
      </c>
      <c r="U44" s="26" t="s">
        <v>346</v>
      </c>
      <c r="V44" s="31"/>
      <c r="W44" s="25" t="s">
        <v>347</v>
      </c>
    </row>
    <row r="45" customFormat="false" ht="42" hidden="false" customHeight="true" outlineLevel="0" collapsed="false">
      <c r="A45" s="25" t="n">
        <v>41</v>
      </c>
      <c r="B45" s="26" t="s">
        <v>348</v>
      </c>
      <c r="C45" s="25" t="s">
        <v>111</v>
      </c>
      <c r="D45" s="25" t="s">
        <v>112</v>
      </c>
      <c r="E45" s="25" t="s">
        <v>223</v>
      </c>
      <c r="F45" s="25"/>
      <c r="G45" s="25" t="s">
        <v>82</v>
      </c>
      <c r="H45" s="27" t="s">
        <v>3</v>
      </c>
      <c r="I45" s="27"/>
      <c r="J45" s="28"/>
      <c r="K45" s="28"/>
      <c r="L45" s="27" t="s">
        <v>115</v>
      </c>
      <c r="M45" s="27" t="s">
        <v>116</v>
      </c>
      <c r="N45" s="27"/>
      <c r="O45" s="25" t="s">
        <v>349</v>
      </c>
      <c r="P45" s="25"/>
      <c r="Q45" s="25" t="s">
        <v>350</v>
      </c>
      <c r="R45" s="29"/>
      <c r="S45" s="29"/>
      <c r="T45" s="30" t="str">
        <f aca="true">IF(OR(B45="",H45="Paid",H45="Not now",S45=""),"",IF(S45&lt;=TODAY(),"DUE",""))</f>
        <v/>
      </c>
      <c r="U45" s="26" t="s">
        <v>351</v>
      </c>
      <c r="V45" s="31"/>
      <c r="W45" s="25" t="s">
        <v>352</v>
      </c>
    </row>
    <row r="46" customFormat="false" ht="42" hidden="false" customHeight="true" outlineLevel="0" collapsed="false">
      <c r="A46" s="25" t="n">
        <v>42</v>
      </c>
      <c r="B46" s="26" t="s">
        <v>353</v>
      </c>
      <c r="C46" s="25" t="s">
        <v>111</v>
      </c>
      <c r="D46" s="25" t="s">
        <v>112</v>
      </c>
      <c r="E46" s="25" t="s">
        <v>354</v>
      </c>
      <c r="F46" s="25"/>
      <c r="G46" s="25" t="s">
        <v>83</v>
      </c>
      <c r="H46" s="27" t="s">
        <v>3</v>
      </c>
      <c r="I46" s="27"/>
      <c r="J46" s="28"/>
      <c r="K46" s="28"/>
      <c r="L46" s="27" t="s">
        <v>115</v>
      </c>
      <c r="M46" s="27" t="s">
        <v>116</v>
      </c>
      <c r="N46" s="27"/>
      <c r="O46" s="25" t="s">
        <v>355</v>
      </c>
      <c r="P46" s="25"/>
      <c r="Q46" s="25" t="s">
        <v>356</v>
      </c>
      <c r="R46" s="29"/>
      <c r="S46" s="29"/>
      <c r="T46" s="30" t="str">
        <f aca="true">IF(OR(B46="",H46="Paid",H46="Not now",S46=""),"",IF(S46&lt;=TODAY(),"DUE",""))</f>
        <v/>
      </c>
      <c r="U46" s="26" t="s">
        <v>357</v>
      </c>
      <c r="V46" s="31"/>
      <c r="W46" s="25" t="s">
        <v>358</v>
      </c>
    </row>
    <row r="47" customFormat="false" ht="42" hidden="false" customHeight="true" outlineLevel="0" collapsed="false">
      <c r="A47" s="25" t="n">
        <v>43</v>
      </c>
      <c r="B47" s="26" t="s">
        <v>359</v>
      </c>
      <c r="C47" s="25" t="s">
        <v>111</v>
      </c>
      <c r="D47" s="25" t="s">
        <v>112</v>
      </c>
      <c r="E47" s="25" t="s">
        <v>360</v>
      </c>
      <c r="F47" s="25"/>
      <c r="G47" s="25" t="s">
        <v>84</v>
      </c>
      <c r="H47" s="27" t="s">
        <v>3</v>
      </c>
      <c r="I47" s="27"/>
      <c r="J47" s="28"/>
      <c r="K47" s="28"/>
      <c r="L47" s="27" t="s">
        <v>115</v>
      </c>
      <c r="M47" s="27" t="s">
        <v>116</v>
      </c>
      <c r="N47" s="27"/>
      <c r="O47" s="25" t="s">
        <v>361</v>
      </c>
      <c r="P47" s="25"/>
      <c r="Q47" s="25"/>
      <c r="R47" s="29"/>
      <c r="S47" s="29"/>
      <c r="T47" s="30" t="str">
        <f aca="true">IF(OR(B47="",H47="Paid",H47="Not now",S47=""),"",IF(S47&lt;=TODAY(),"DUE",""))</f>
        <v/>
      </c>
      <c r="U47" s="26" t="s">
        <v>362</v>
      </c>
      <c r="V47" s="31"/>
      <c r="W47" s="25" t="s">
        <v>363</v>
      </c>
    </row>
    <row r="48" customFormat="false" ht="42" hidden="false" customHeight="true" outlineLevel="0" collapsed="false">
      <c r="A48" s="25" t="n">
        <v>44</v>
      </c>
      <c r="B48" s="26" t="s">
        <v>364</v>
      </c>
      <c r="C48" s="25" t="s">
        <v>111</v>
      </c>
      <c r="D48" s="25" t="s">
        <v>112</v>
      </c>
      <c r="E48" s="25" t="s">
        <v>365</v>
      </c>
      <c r="F48" s="25"/>
      <c r="G48" s="25" t="s">
        <v>83</v>
      </c>
      <c r="H48" s="27" t="s">
        <v>3</v>
      </c>
      <c r="I48" s="27"/>
      <c r="J48" s="28"/>
      <c r="K48" s="28"/>
      <c r="L48" s="27" t="s">
        <v>115</v>
      </c>
      <c r="M48" s="27" t="s">
        <v>116</v>
      </c>
      <c r="N48" s="27"/>
      <c r="O48" s="25" t="s">
        <v>366</v>
      </c>
      <c r="P48" s="25"/>
      <c r="Q48" s="25" t="s">
        <v>367</v>
      </c>
      <c r="R48" s="29"/>
      <c r="S48" s="29"/>
      <c r="T48" s="30" t="str">
        <f aca="true">IF(OR(B48="",H48="Paid",H48="Not now",S48=""),"",IF(S48&lt;=TODAY(),"DUE",""))</f>
        <v/>
      </c>
      <c r="U48" s="26" t="s">
        <v>368</v>
      </c>
      <c r="V48" s="31"/>
      <c r="W48" s="25" t="s">
        <v>367</v>
      </c>
    </row>
    <row r="49" customFormat="false" ht="42" hidden="false" customHeight="true" outlineLevel="0" collapsed="false">
      <c r="A49" s="25" t="n">
        <v>45</v>
      </c>
      <c r="B49" s="26" t="s">
        <v>369</v>
      </c>
      <c r="C49" s="25" t="s">
        <v>111</v>
      </c>
      <c r="D49" s="25" t="s">
        <v>112</v>
      </c>
      <c r="E49" s="25" t="s">
        <v>370</v>
      </c>
      <c r="F49" s="25"/>
      <c r="G49" s="25" t="s">
        <v>84</v>
      </c>
      <c r="H49" s="27" t="s">
        <v>3</v>
      </c>
      <c r="I49" s="27"/>
      <c r="J49" s="28"/>
      <c r="K49" s="28"/>
      <c r="L49" s="27" t="s">
        <v>115</v>
      </c>
      <c r="M49" s="27" t="s">
        <v>116</v>
      </c>
      <c r="N49" s="27"/>
      <c r="O49" s="25" t="s">
        <v>371</v>
      </c>
      <c r="P49" s="25"/>
      <c r="Q49" s="25"/>
      <c r="R49" s="29"/>
      <c r="S49" s="29"/>
      <c r="T49" s="30" t="str">
        <f aca="true">IF(OR(B49="",H49="Paid",H49="Not now",S49=""),"",IF(S49&lt;=TODAY(),"DUE",""))</f>
        <v/>
      </c>
      <c r="U49" s="26" t="s">
        <v>372</v>
      </c>
      <c r="V49" s="31"/>
      <c r="W49" s="25" t="s">
        <v>373</v>
      </c>
    </row>
    <row r="50" customFormat="false" ht="42" hidden="false" customHeight="true" outlineLevel="0" collapsed="false">
      <c r="A50" s="25" t="n">
        <v>46</v>
      </c>
      <c r="B50" s="26" t="s">
        <v>374</v>
      </c>
      <c r="C50" s="25" t="s">
        <v>111</v>
      </c>
      <c r="D50" s="25" t="s">
        <v>112</v>
      </c>
      <c r="E50" s="25" t="s">
        <v>375</v>
      </c>
      <c r="F50" s="25"/>
      <c r="G50" s="25" t="s">
        <v>84</v>
      </c>
      <c r="H50" s="27" t="s">
        <v>3</v>
      </c>
      <c r="I50" s="27"/>
      <c r="J50" s="28"/>
      <c r="K50" s="28"/>
      <c r="L50" s="27" t="s">
        <v>115</v>
      </c>
      <c r="M50" s="27" t="s">
        <v>116</v>
      </c>
      <c r="N50" s="27"/>
      <c r="O50" s="25" t="s">
        <v>376</v>
      </c>
      <c r="P50" s="25"/>
      <c r="Q50" s="25" t="s">
        <v>377</v>
      </c>
      <c r="R50" s="29"/>
      <c r="S50" s="29"/>
      <c r="T50" s="30" t="str">
        <f aca="true">IF(OR(B50="",H50="Paid",H50="Not now",S50=""),"",IF(S50&lt;=TODAY(),"DUE",""))</f>
        <v/>
      </c>
      <c r="U50" s="26" t="s">
        <v>378</v>
      </c>
      <c r="V50" s="31"/>
      <c r="W50" s="25" t="s">
        <v>379</v>
      </c>
    </row>
    <row r="51" customFormat="false" ht="42" hidden="false" customHeight="true" outlineLevel="0" collapsed="false">
      <c r="A51" s="25" t="n">
        <v>47</v>
      </c>
      <c r="B51" s="26" t="s">
        <v>380</v>
      </c>
      <c r="C51" s="25" t="s">
        <v>111</v>
      </c>
      <c r="D51" s="25" t="s">
        <v>112</v>
      </c>
      <c r="E51" s="25" t="s">
        <v>223</v>
      </c>
      <c r="F51" s="25"/>
      <c r="G51" s="25" t="s">
        <v>83</v>
      </c>
      <c r="H51" s="27" t="s">
        <v>3</v>
      </c>
      <c r="I51" s="27"/>
      <c r="J51" s="28"/>
      <c r="K51" s="28"/>
      <c r="L51" s="27" t="s">
        <v>115</v>
      </c>
      <c r="M51" s="27" t="s">
        <v>116</v>
      </c>
      <c r="N51" s="27"/>
      <c r="O51" s="25" t="s">
        <v>381</v>
      </c>
      <c r="P51" s="25"/>
      <c r="Q51" s="25" t="s">
        <v>382</v>
      </c>
      <c r="R51" s="29"/>
      <c r="S51" s="29"/>
      <c r="T51" s="30" t="str">
        <f aca="true">IF(OR(B51="",H51="Paid",H51="Not now",S51=""),"",IF(S51&lt;=TODAY(),"DUE",""))</f>
        <v/>
      </c>
      <c r="U51" s="26" t="s">
        <v>383</v>
      </c>
      <c r="V51" s="31"/>
      <c r="W51" s="25" t="s">
        <v>379</v>
      </c>
    </row>
    <row r="52" customFormat="false" ht="42" hidden="false" customHeight="true" outlineLevel="0" collapsed="false">
      <c r="A52" s="25" t="n">
        <v>48</v>
      </c>
      <c r="B52" s="26" t="s">
        <v>384</v>
      </c>
      <c r="C52" s="25" t="s">
        <v>111</v>
      </c>
      <c r="D52" s="25" t="s">
        <v>112</v>
      </c>
      <c r="E52" s="25" t="s">
        <v>240</v>
      </c>
      <c r="F52" s="25"/>
      <c r="G52" s="25" t="s">
        <v>83</v>
      </c>
      <c r="H52" s="27" t="s">
        <v>3</v>
      </c>
      <c r="I52" s="27"/>
      <c r="J52" s="28"/>
      <c r="K52" s="28"/>
      <c r="L52" s="27" t="s">
        <v>115</v>
      </c>
      <c r="M52" s="27" t="s">
        <v>116</v>
      </c>
      <c r="N52" s="27"/>
      <c r="O52" s="25" t="s">
        <v>385</v>
      </c>
      <c r="P52" s="25"/>
      <c r="Q52" s="25" t="s">
        <v>386</v>
      </c>
      <c r="R52" s="29"/>
      <c r="S52" s="29"/>
      <c r="T52" s="30" t="str">
        <f aca="true">IF(OR(B52="",H52="Paid",H52="Not now",S52=""),"",IF(S52&lt;=TODAY(),"DUE",""))</f>
        <v/>
      </c>
      <c r="U52" s="26" t="s">
        <v>387</v>
      </c>
      <c r="V52" s="31"/>
      <c r="W52" s="25" t="s">
        <v>388</v>
      </c>
    </row>
    <row r="53" customFormat="false" ht="42" hidden="false" customHeight="true" outlineLevel="0" collapsed="false">
      <c r="A53" s="25" t="n">
        <v>49</v>
      </c>
      <c r="B53" s="26" t="s">
        <v>389</v>
      </c>
      <c r="C53" s="25" t="s">
        <v>111</v>
      </c>
      <c r="D53" s="25" t="s">
        <v>112</v>
      </c>
      <c r="E53" s="25" t="s">
        <v>159</v>
      </c>
      <c r="F53" s="25"/>
      <c r="G53" s="25" t="s">
        <v>84</v>
      </c>
      <c r="H53" s="27" t="s">
        <v>3</v>
      </c>
      <c r="I53" s="27"/>
      <c r="J53" s="28"/>
      <c r="K53" s="28"/>
      <c r="L53" s="27" t="s">
        <v>115</v>
      </c>
      <c r="M53" s="27" t="s">
        <v>116</v>
      </c>
      <c r="N53" s="27"/>
      <c r="O53" s="25" t="s">
        <v>390</v>
      </c>
      <c r="P53" s="25"/>
      <c r="Q53" s="25" t="s">
        <v>391</v>
      </c>
      <c r="R53" s="29"/>
      <c r="S53" s="29"/>
      <c r="T53" s="30" t="str">
        <f aca="true">IF(OR(B53="",H53="Paid",H53="Not now",S53=""),"",IF(S53&lt;=TODAY(),"DUE",""))</f>
        <v/>
      </c>
      <c r="U53" s="26" t="s">
        <v>392</v>
      </c>
      <c r="V53" s="31"/>
      <c r="W53" s="25" t="s">
        <v>393</v>
      </c>
    </row>
    <row r="54" customFormat="false" ht="42" hidden="false" customHeight="true" outlineLevel="0" collapsed="false">
      <c r="A54" s="25" t="n">
        <v>50</v>
      </c>
      <c r="B54" s="26" t="s">
        <v>394</v>
      </c>
      <c r="C54" s="25" t="s">
        <v>111</v>
      </c>
      <c r="D54" s="25" t="s">
        <v>112</v>
      </c>
      <c r="E54" s="25" t="s">
        <v>307</v>
      </c>
      <c r="F54" s="25"/>
      <c r="G54" s="25" t="s">
        <v>83</v>
      </c>
      <c r="H54" s="27" t="s">
        <v>3</v>
      </c>
      <c r="I54" s="27"/>
      <c r="J54" s="28"/>
      <c r="K54" s="28"/>
      <c r="L54" s="27" t="s">
        <v>115</v>
      </c>
      <c r="M54" s="27" t="s">
        <v>116</v>
      </c>
      <c r="N54" s="27"/>
      <c r="O54" s="25" t="s">
        <v>395</v>
      </c>
      <c r="P54" s="25"/>
      <c r="Q54" s="25" t="s">
        <v>396</v>
      </c>
      <c r="R54" s="29"/>
      <c r="S54" s="29"/>
      <c r="T54" s="30" t="str">
        <f aca="true">IF(OR(B54="",H54="Paid",H54="Not now",S54=""),"",IF(S54&lt;=TODAY(),"DUE",""))</f>
        <v/>
      </c>
      <c r="U54" s="26" t="s">
        <v>397</v>
      </c>
      <c r="V54" s="31"/>
      <c r="W54" s="25" t="s">
        <v>398</v>
      </c>
    </row>
    <row r="55" customFormat="false" ht="42" hidden="false" customHeight="true" outlineLevel="0" collapsed="false">
      <c r="A55" s="25" t="n">
        <v>51</v>
      </c>
      <c r="B55" s="26" t="s">
        <v>399</v>
      </c>
      <c r="C55" s="25" t="s">
        <v>111</v>
      </c>
      <c r="D55" s="25" t="s">
        <v>112</v>
      </c>
      <c r="E55" s="25" t="s">
        <v>360</v>
      </c>
      <c r="F55" s="25"/>
      <c r="G55" s="25" t="s">
        <v>84</v>
      </c>
      <c r="H55" s="27" t="s">
        <v>3</v>
      </c>
      <c r="I55" s="27"/>
      <c r="J55" s="28"/>
      <c r="K55" s="28"/>
      <c r="L55" s="27" t="s">
        <v>115</v>
      </c>
      <c r="M55" s="27" t="s">
        <v>116</v>
      </c>
      <c r="N55" s="27"/>
      <c r="O55" s="25" t="s">
        <v>400</v>
      </c>
      <c r="P55" s="25"/>
      <c r="Q55" s="25"/>
      <c r="R55" s="29"/>
      <c r="S55" s="29"/>
      <c r="T55" s="30" t="str">
        <f aca="true">IF(OR(B55="",H55="Paid",H55="Not now",S55=""),"",IF(S55&lt;=TODAY(),"DUE",""))</f>
        <v/>
      </c>
      <c r="U55" s="26" t="s">
        <v>401</v>
      </c>
      <c r="V55" s="31"/>
      <c r="W55" s="25" t="s">
        <v>363</v>
      </c>
    </row>
    <row r="56" customFormat="false" ht="42" hidden="false" customHeight="true" outlineLevel="0" collapsed="false">
      <c r="A56" s="25" t="n">
        <v>52</v>
      </c>
      <c r="B56" s="26" t="s">
        <v>402</v>
      </c>
      <c r="C56" s="25" t="s">
        <v>111</v>
      </c>
      <c r="D56" s="25" t="s">
        <v>112</v>
      </c>
      <c r="E56" s="25" t="s">
        <v>223</v>
      </c>
      <c r="F56" s="25"/>
      <c r="G56" s="25" t="s">
        <v>82</v>
      </c>
      <c r="H56" s="27" t="s">
        <v>3</v>
      </c>
      <c r="I56" s="27"/>
      <c r="J56" s="28"/>
      <c r="K56" s="28"/>
      <c r="L56" s="27" t="s">
        <v>115</v>
      </c>
      <c r="M56" s="27" t="s">
        <v>116</v>
      </c>
      <c r="N56" s="27"/>
      <c r="O56" s="25" t="s">
        <v>403</v>
      </c>
      <c r="P56" s="25"/>
      <c r="Q56" s="25" t="s">
        <v>404</v>
      </c>
      <c r="R56" s="29"/>
      <c r="S56" s="29"/>
      <c r="T56" s="30" t="str">
        <f aca="true">IF(OR(B56="",H56="Paid",H56="Not now",S56=""),"",IF(S56&lt;=TODAY(),"DUE",""))</f>
        <v/>
      </c>
      <c r="U56" s="26" t="s">
        <v>405</v>
      </c>
      <c r="V56" s="31"/>
      <c r="W56" s="25" t="s">
        <v>406</v>
      </c>
    </row>
    <row r="57" customFormat="false" ht="42" hidden="false" customHeight="true" outlineLevel="0" collapsed="false">
      <c r="A57" s="25" t="n">
        <v>53</v>
      </c>
      <c r="B57" s="26" t="s">
        <v>407</v>
      </c>
      <c r="C57" s="25" t="s">
        <v>111</v>
      </c>
      <c r="D57" s="25" t="s">
        <v>112</v>
      </c>
      <c r="E57" s="25" t="s">
        <v>207</v>
      </c>
      <c r="F57" s="25"/>
      <c r="G57" s="25" t="s">
        <v>84</v>
      </c>
      <c r="H57" s="27" t="s">
        <v>3</v>
      </c>
      <c r="I57" s="27"/>
      <c r="J57" s="28"/>
      <c r="K57" s="28"/>
      <c r="L57" s="27" t="s">
        <v>115</v>
      </c>
      <c r="M57" s="27" t="s">
        <v>116</v>
      </c>
      <c r="N57" s="27"/>
      <c r="O57" s="25" t="s">
        <v>408</v>
      </c>
      <c r="P57" s="25"/>
      <c r="Q57" s="25" t="s">
        <v>409</v>
      </c>
      <c r="R57" s="29"/>
      <c r="S57" s="29"/>
      <c r="T57" s="30" t="str">
        <f aca="true">IF(OR(B57="",H57="Paid",H57="Not now",S57=""),"",IF(S57&lt;=TODAY(),"DUE",""))</f>
        <v/>
      </c>
      <c r="U57" s="26" t="s">
        <v>410</v>
      </c>
      <c r="V57" s="31"/>
      <c r="W57" s="25" t="s">
        <v>379</v>
      </c>
    </row>
    <row r="58" customFormat="false" ht="42" hidden="false" customHeight="true" outlineLevel="0" collapsed="false">
      <c r="A58" s="25" t="n">
        <v>54</v>
      </c>
      <c r="B58" s="26" t="s">
        <v>411</v>
      </c>
      <c r="C58" s="25" t="s">
        <v>412</v>
      </c>
      <c r="D58" s="25" t="s">
        <v>112</v>
      </c>
      <c r="E58" s="25" t="s">
        <v>307</v>
      </c>
      <c r="F58" s="25"/>
      <c r="G58" s="25" t="s">
        <v>82</v>
      </c>
      <c r="H58" s="27" t="s">
        <v>3</v>
      </c>
      <c r="I58" s="27"/>
      <c r="J58" s="28"/>
      <c r="K58" s="28"/>
      <c r="L58" s="27" t="s">
        <v>115</v>
      </c>
      <c r="M58" s="27" t="s">
        <v>116</v>
      </c>
      <c r="N58" s="27"/>
      <c r="O58" s="25" t="s">
        <v>413</v>
      </c>
      <c r="P58" s="25"/>
      <c r="Q58" s="25" t="s">
        <v>414</v>
      </c>
      <c r="R58" s="29"/>
      <c r="S58" s="29"/>
      <c r="T58" s="30" t="str">
        <f aca="true">IF(OR(B58="",H58="Paid",H58="Not now",S58=""),"",IF(S58&lt;=TODAY(),"DUE",""))</f>
        <v/>
      </c>
      <c r="U58" s="26" t="s">
        <v>415</v>
      </c>
      <c r="V58" s="31"/>
      <c r="W58" s="25" t="s">
        <v>416</v>
      </c>
    </row>
    <row r="59" customFormat="false" ht="42" hidden="false" customHeight="true" outlineLevel="0" collapsed="false">
      <c r="A59" s="25" t="n">
        <v>55</v>
      </c>
      <c r="B59" s="26" t="s">
        <v>417</v>
      </c>
      <c r="C59" s="25" t="s">
        <v>418</v>
      </c>
      <c r="D59" s="25" t="s">
        <v>419</v>
      </c>
      <c r="E59" s="25" t="s">
        <v>420</v>
      </c>
      <c r="F59" s="25"/>
      <c r="G59" s="25" t="s">
        <v>83</v>
      </c>
      <c r="H59" s="27" t="s">
        <v>3</v>
      </c>
      <c r="I59" s="27"/>
      <c r="J59" s="28"/>
      <c r="K59" s="28"/>
      <c r="L59" s="27" t="s">
        <v>115</v>
      </c>
      <c r="M59" s="27" t="s">
        <v>116</v>
      </c>
      <c r="N59" s="27"/>
      <c r="O59" s="25" t="s">
        <v>421</v>
      </c>
      <c r="P59" s="25"/>
      <c r="Q59" s="25" t="s">
        <v>422</v>
      </c>
      <c r="R59" s="29"/>
      <c r="S59" s="29"/>
      <c r="T59" s="30" t="str">
        <f aca="true">IF(OR(B59="",H59="Paid",H59="Not now",S59=""),"",IF(S59&lt;=TODAY(),"DUE",""))</f>
        <v/>
      </c>
      <c r="U59" s="26" t="s">
        <v>423</v>
      </c>
      <c r="V59" s="31"/>
      <c r="W59" s="25" t="s">
        <v>424</v>
      </c>
    </row>
    <row r="60" customFormat="false" ht="42" hidden="false" customHeight="true" outlineLevel="0" collapsed="false">
      <c r="A60" s="25" t="n">
        <v>56</v>
      </c>
      <c r="B60" s="26" t="s">
        <v>425</v>
      </c>
      <c r="C60" s="25" t="s">
        <v>418</v>
      </c>
      <c r="D60" s="25" t="s">
        <v>419</v>
      </c>
      <c r="E60" s="25" t="s">
        <v>207</v>
      </c>
      <c r="F60" s="25"/>
      <c r="G60" s="25" t="s">
        <v>84</v>
      </c>
      <c r="H60" s="27" t="s">
        <v>3</v>
      </c>
      <c r="I60" s="27"/>
      <c r="J60" s="28"/>
      <c r="K60" s="28"/>
      <c r="L60" s="27" t="s">
        <v>115</v>
      </c>
      <c r="M60" s="27" t="s">
        <v>116</v>
      </c>
      <c r="N60" s="27"/>
      <c r="O60" s="25" t="s">
        <v>426</v>
      </c>
      <c r="P60" s="25"/>
      <c r="Q60" s="25"/>
      <c r="R60" s="29"/>
      <c r="S60" s="29"/>
      <c r="T60" s="30" t="str">
        <f aca="true">IF(OR(B60="",H60="Paid",H60="Not now",S60=""),"",IF(S60&lt;=TODAY(),"DUE",""))</f>
        <v/>
      </c>
      <c r="U60" s="26" t="s">
        <v>427</v>
      </c>
      <c r="V60" s="31"/>
      <c r="W60" s="25" t="s">
        <v>424</v>
      </c>
    </row>
    <row r="61" customFormat="false" ht="42" hidden="false" customHeight="true" outlineLevel="0" collapsed="false">
      <c r="A61" s="25" t="n">
        <v>57</v>
      </c>
      <c r="B61" s="26" t="s">
        <v>428</v>
      </c>
      <c r="C61" s="25" t="s">
        <v>418</v>
      </c>
      <c r="D61" s="25" t="s">
        <v>419</v>
      </c>
      <c r="E61" s="25" t="s">
        <v>240</v>
      </c>
      <c r="F61" s="25"/>
      <c r="G61" s="25" t="s">
        <v>83</v>
      </c>
      <c r="H61" s="27" t="s">
        <v>3</v>
      </c>
      <c r="I61" s="27"/>
      <c r="J61" s="28"/>
      <c r="K61" s="28"/>
      <c r="L61" s="27" t="s">
        <v>115</v>
      </c>
      <c r="M61" s="27" t="s">
        <v>116</v>
      </c>
      <c r="N61" s="27"/>
      <c r="O61" s="25" t="s">
        <v>429</v>
      </c>
      <c r="P61" s="25"/>
      <c r="Q61" s="25" t="s">
        <v>430</v>
      </c>
      <c r="R61" s="29"/>
      <c r="S61" s="29"/>
      <c r="T61" s="30" t="str">
        <f aca="true">IF(OR(B61="",H61="Paid",H61="Not now",S61=""),"",IF(S61&lt;=TODAY(),"DUE",""))</f>
        <v/>
      </c>
      <c r="U61" s="26" t="s">
        <v>431</v>
      </c>
      <c r="V61" s="31"/>
      <c r="W61" s="25" t="s">
        <v>424</v>
      </c>
    </row>
    <row r="62" customFormat="false" ht="42" hidden="false" customHeight="true" outlineLevel="0" collapsed="false">
      <c r="A62" s="25" t="n">
        <v>58</v>
      </c>
      <c r="B62" s="26" t="s">
        <v>432</v>
      </c>
      <c r="C62" s="25" t="s">
        <v>418</v>
      </c>
      <c r="D62" s="25" t="s">
        <v>419</v>
      </c>
      <c r="E62" s="25" t="s">
        <v>433</v>
      </c>
      <c r="F62" s="25"/>
      <c r="G62" s="25" t="s">
        <v>84</v>
      </c>
      <c r="H62" s="27" t="s">
        <v>3</v>
      </c>
      <c r="I62" s="27"/>
      <c r="J62" s="28"/>
      <c r="K62" s="28"/>
      <c r="L62" s="27" t="s">
        <v>115</v>
      </c>
      <c r="M62" s="27" t="s">
        <v>116</v>
      </c>
      <c r="N62" s="27"/>
      <c r="O62" s="25" t="s">
        <v>434</v>
      </c>
      <c r="P62" s="25" t="s">
        <v>435</v>
      </c>
      <c r="Q62" s="25" t="s">
        <v>436</v>
      </c>
      <c r="R62" s="29"/>
      <c r="S62" s="29"/>
      <c r="T62" s="30" t="str">
        <f aca="true">IF(OR(B62="",H62="Paid",H62="Not now",S62=""),"",IF(S62&lt;=TODAY(),"DUE",""))</f>
        <v/>
      </c>
      <c r="U62" s="26" t="s">
        <v>437</v>
      </c>
      <c r="V62" s="31"/>
      <c r="W62" s="25" t="s">
        <v>436</v>
      </c>
    </row>
    <row r="63" customFormat="false" ht="42" hidden="false" customHeight="true" outlineLevel="0" collapsed="false">
      <c r="A63" s="25" t="n">
        <v>59</v>
      </c>
      <c r="B63" s="26" t="s">
        <v>438</v>
      </c>
      <c r="C63" s="25" t="s">
        <v>418</v>
      </c>
      <c r="D63" s="25" t="s">
        <v>419</v>
      </c>
      <c r="E63" s="25" t="s">
        <v>439</v>
      </c>
      <c r="F63" s="25"/>
      <c r="G63" s="25" t="s">
        <v>84</v>
      </c>
      <c r="H63" s="27" t="s">
        <v>3</v>
      </c>
      <c r="I63" s="27"/>
      <c r="J63" s="28"/>
      <c r="K63" s="28"/>
      <c r="L63" s="27" t="s">
        <v>115</v>
      </c>
      <c r="M63" s="27" t="s">
        <v>116</v>
      </c>
      <c r="N63" s="27"/>
      <c r="O63" s="25" t="s">
        <v>440</v>
      </c>
      <c r="P63" s="25"/>
      <c r="Q63" s="25"/>
      <c r="R63" s="29"/>
      <c r="S63" s="29"/>
      <c r="T63" s="30" t="str">
        <f aca="true">IF(OR(B63="",H63="Paid",H63="Not now",S63=""),"",IF(S63&lt;=TODAY(),"DUE",""))</f>
        <v/>
      </c>
      <c r="U63" s="26" t="s">
        <v>441</v>
      </c>
      <c r="V63" s="31"/>
      <c r="W63" s="25" t="s">
        <v>442</v>
      </c>
    </row>
    <row r="64" customFormat="false" ht="42" hidden="false" customHeight="true" outlineLevel="0" collapsed="false">
      <c r="A64" s="25" t="n">
        <v>60</v>
      </c>
      <c r="B64" s="26" t="s">
        <v>443</v>
      </c>
      <c r="C64" s="25" t="s">
        <v>418</v>
      </c>
      <c r="D64" s="25" t="s">
        <v>419</v>
      </c>
      <c r="E64" s="25" t="s">
        <v>444</v>
      </c>
      <c r="F64" s="25"/>
      <c r="G64" s="25" t="s">
        <v>84</v>
      </c>
      <c r="H64" s="27" t="s">
        <v>3</v>
      </c>
      <c r="I64" s="27"/>
      <c r="J64" s="28"/>
      <c r="K64" s="28"/>
      <c r="L64" s="27" t="s">
        <v>115</v>
      </c>
      <c r="M64" s="27" t="s">
        <v>116</v>
      </c>
      <c r="N64" s="27"/>
      <c r="O64" s="25" t="s">
        <v>445</v>
      </c>
      <c r="P64" s="25"/>
      <c r="Q64" s="25"/>
      <c r="R64" s="29"/>
      <c r="S64" s="29"/>
      <c r="T64" s="30" t="str">
        <f aca="true">IF(OR(B64="",H64="Paid",H64="Not now",S64=""),"",IF(S64&lt;=TODAY(),"DUE",""))</f>
        <v/>
      </c>
      <c r="U64" s="26" t="s">
        <v>446</v>
      </c>
      <c r="V64" s="31"/>
      <c r="W64" s="25" t="s">
        <v>424</v>
      </c>
    </row>
    <row r="65" customFormat="false" ht="42" hidden="false" customHeight="true" outlineLevel="0" collapsed="false">
      <c r="A65" s="25" t="n">
        <v>61</v>
      </c>
      <c r="B65" s="26" t="s">
        <v>447</v>
      </c>
      <c r="C65" s="25" t="s">
        <v>418</v>
      </c>
      <c r="D65" s="25" t="s">
        <v>419</v>
      </c>
      <c r="E65" s="25" t="s">
        <v>307</v>
      </c>
      <c r="F65" s="25"/>
      <c r="G65" s="25" t="s">
        <v>83</v>
      </c>
      <c r="H65" s="27" t="s">
        <v>3</v>
      </c>
      <c r="I65" s="27"/>
      <c r="J65" s="28"/>
      <c r="K65" s="28"/>
      <c r="L65" s="27" t="s">
        <v>115</v>
      </c>
      <c r="M65" s="27" t="s">
        <v>116</v>
      </c>
      <c r="N65" s="27"/>
      <c r="O65" s="25" t="s">
        <v>448</v>
      </c>
      <c r="P65" s="25"/>
      <c r="Q65" s="25"/>
      <c r="R65" s="29"/>
      <c r="S65" s="29"/>
      <c r="T65" s="30" t="str">
        <f aca="true">IF(OR(B65="",H65="Paid",H65="Not now",S65=""),"",IF(S65&lt;=TODAY(),"DUE",""))</f>
        <v/>
      </c>
      <c r="U65" s="26" t="s">
        <v>449</v>
      </c>
      <c r="V65" s="31"/>
      <c r="W65" s="25" t="s">
        <v>424</v>
      </c>
    </row>
    <row r="66" customFormat="false" ht="42" hidden="false" customHeight="true" outlineLevel="0" collapsed="false">
      <c r="A66" s="25" t="n">
        <v>62</v>
      </c>
      <c r="B66" s="26" t="s">
        <v>450</v>
      </c>
      <c r="C66" s="25" t="s">
        <v>418</v>
      </c>
      <c r="D66" s="25" t="s">
        <v>419</v>
      </c>
      <c r="E66" s="25" t="s">
        <v>235</v>
      </c>
      <c r="F66" s="25"/>
      <c r="G66" s="25" t="s">
        <v>83</v>
      </c>
      <c r="H66" s="27" t="s">
        <v>3</v>
      </c>
      <c r="I66" s="27"/>
      <c r="J66" s="28"/>
      <c r="K66" s="28"/>
      <c r="L66" s="27" t="s">
        <v>115</v>
      </c>
      <c r="M66" s="27" t="s">
        <v>116</v>
      </c>
      <c r="N66" s="27"/>
      <c r="O66" s="25" t="s">
        <v>451</v>
      </c>
      <c r="P66" s="25"/>
      <c r="Q66" s="25" t="s">
        <v>452</v>
      </c>
      <c r="R66" s="29"/>
      <c r="S66" s="29"/>
      <c r="T66" s="30" t="str">
        <f aca="true">IF(OR(B66="",H66="Paid",H66="Not now",S66=""),"",IF(S66&lt;=TODAY(),"DUE",""))</f>
        <v/>
      </c>
      <c r="U66" s="26" t="s">
        <v>453</v>
      </c>
      <c r="V66" s="31"/>
      <c r="W66" s="25" t="s">
        <v>452</v>
      </c>
    </row>
    <row r="67" customFormat="false" ht="42" hidden="false" customHeight="true" outlineLevel="0" collapsed="false">
      <c r="A67" s="25" t="n">
        <v>63</v>
      </c>
      <c r="B67" s="26" t="s">
        <v>454</v>
      </c>
      <c r="C67" s="25" t="s">
        <v>418</v>
      </c>
      <c r="D67" s="25" t="s">
        <v>419</v>
      </c>
      <c r="E67" s="25" t="s">
        <v>455</v>
      </c>
      <c r="F67" s="25"/>
      <c r="G67" s="25" t="s">
        <v>84</v>
      </c>
      <c r="H67" s="27" t="s">
        <v>3</v>
      </c>
      <c r="I67" s="27"/>
      <c r="J67" s="28"/>
      <c r="K67" s="28"/>
      <c r="L67" s="27" t="s">
        <v>115</v>
      </c>
      <c r="M67" s="27" t="s">
        <v>116</v>
      </c>
      <c r="N67" s="27"/>
      <c r="O67" s="25" t="s">
        <v>456</v>
      </c>
      <c r="P67" s="25"/>
      <c r="Q67" s="25"/>
      <c r="R67" s="29"/>
      <c r="S67" s="29"/>
      <c r="T67" s="30" t="str">
        <f aca="true">IF(OR(B67="",H67="Paid",H67="Not now",S67=""),"",IF(S67&lt;=TODAY(),"DUE",""))</f>
        <v/>
      </c>
      <c r="U67" s="26" t="s">
        <v>457</v>
      </c>
      <c r="V67" s="31" t="s">
        <v>261</v>
      </c>
      <c r="W67" s="25" t="s">
        <v>424</v>
      </c>
    </row>
    <row r="68" customFormat="false" ht="42" hidden="false" customHeight="true" outlineLevel="0" collapsed="false">
      <c r="A68" s="25" t="n">
        <v>64</v>
      </c>
      <c r="B68" s="26" t="s">
        <v>458</v>
      </c>
      <c r="C68" s="25" t="s">
        <v>459</v>
      </c>
      <c r="D68" s="25" t="s">
        <v>419</v>
      </c>
      <c r="E68" s="25" t="s">
        <v>307</v>
      </c>
      <c r="F68" s="25"/>
      <c r="G68" s="25" t="s">
        <v>83</v>
      </c>
      <c r="H68" s="27" t="s">
        <v>3</v>
      </c>
      <c r="I68" s="27"/>
      <c r="J68" s="28"/>
      <c r="K68" s="28"/>
      <c r="L68" s="27" t="s">
        <v>115</v>
      </c>
      <c r="M68" s="27" t="s">
        <v>116</v>
      </c>
      <c r="N68" s="27"/>
      <c r="O68" s="25" t="s">
        <v>460</v>
      </c>
      <c r="P68" s="25"/>
      <c r="Q68" s="25" t="s">
        <v>461</v>
      </c>
      <c r="R68" s="29"/>
      <c r="S68" s="29"/>
      <c r="T68" s="30" t="str">
        <f aca="true">IF(OR(B68="",H68="Paid",H68="Not now",S68=""),"",IF(S68&lt;=TODAY(),"DUE",""))</f>
        <v/>
      </c>
      <c r="U68" s="26" t="s">
        <v>462</v>
      </c>
      <c r="V68" s="31"/>
      <c r="W68" s="25" t="s">
        <v>424</v>
      </c>
    </row>
    <row r="69" customFormat="false" ht="42" hidden="false" customHeight="true" outlineLevel="0" collapsed="false">
      <c r="A69" s="25" t="n">
        <v>65</v>
      </c>
      <c r="B69" s="26" t="s">
        <v>463</v>
      </c>
      <c r="C69" s="25" t="s">
        <v>464</v>
      </c>
      <c r="D69" s="25" t="s">
        <v>419</v>
      </c>
      <c r="E69" s="25" t="s">
        <v>240</v>
      </c>
      <c r="F69" s="25"/>
      <c r="G69" s="25" t="s">
        <v>84</v>
      </c>
      <c r="H69" s="27" t="s">
        <v>3</v>
      </c>
      <c r="I69" s="27"/>
      <c r="J69" s="28"/>
      <c r="K69" s="28"/>
      <c r="L69" s="27" t="s">
        <v>115</v>
      </c>
      <c r="M69" s="27" t="s">
        <v>116</v>
      </c>
      <c r="N69" s="27"/>
      <c r="O69" s="25" t="s">
        <v>465</v>
      </c>
      <c r="P69" s="25"/>
      <c r="Q69" s="25"/>
      <c r="R69" s="29"/>
      <c r="S69" s="29"/>
      <c r="T69" s="30" t="str">
        <f aca="true">IF(OR(B69="",H69="Paid",H69="Not now",S69=""),"",IF(S69&lt;=TODAY(),"DUE",""))</f>
        <v/>
      </c>
      <c r="U69" s="26" t="s">
        <v>466</v>
      </c>
      <c r="V69" s="31"/>
      <c r="W69" s="25" t="s">
        <v>327</v>
      </c>
    </row>
    <row r="70" customFormat="false" ht="42" hidden="false" customHeight="true" outlineLevel="0" collapsed="false">
      <c r="A70" s="25" t="n">
        <v>66</v>
      </c>
      <c r="B70" s="26" t="s">
        <v>467</v>
      </c>
      <c r="C70" s="25" t="s">
        <v>468</v>
      </c>
      <c r="D70" s="25" t="s">
        <v>419</v>
      </c>
      <c r="E70" s="25" t="s">
        <v>469</v>
      </c>
      <c r="F70" s="25"/>
      <c r="G70" s="25" t="s">
        <v>84</v>
      </c>
      <c r="H70" s="27" t="s">
        <v>3</v>
      </c>
      <c r="I70" s="27"/>
      <c r="J70" s="28"/>
      <c r="K70" s="28"/>
      <c r="L70" s="27" t="s">
        <v>115</v>
      </c>
      <c r="M70" s="27" t="s">
        <v>116</v>
      </c>
      <c r="N70" s="27"/>
      <c r="O70" s="25" t="s">
        <v>470</v>
      </c>
      <c r="P70" s="25"/>
      <c r="Q70" s="25"/>
      <c r="R70" s="29"/>
      <c r="S70" s="29"/>
      <c r="T70" s="30" t="str">
        <f aca="true">IF(OR(B70="",H70="Paid",H70="Not now",S70=""),"",IF(S70&lt;=TODAY(),"DUE",""))</f>
        <v/>
      </c>
      <c r="U70" s="26" t="s">
        <v>471</v>
      </c>
      <c r="V70" s="31"/>
      <c r="W70" s="25" t="s">
        <v>424</v>
      </c>
    </row>
    <row r="71" customFormat="false" ht="42" hidden="false" customHeight="true" outlineLevel="0" collapsed="false">
      <c r="A71" s="25" t="n">
        <v>67</v>
      </c>
      <c r="B71" s="26" t="s">
        <v>472</v>
      </c>
      <c r="C71" s="25" t="s">
        <v>468</v>
      </c>
      <c r="D71" s="25" t="s">
        <v>419</v>
      </c>
      <c r="E71" s="25" t="s">
        <v>201</v>
      </c>
      <c r="F71" s="25"/>
      <c r="G71" s="25" t="s">
        <v>83</v>
      </c>
      <c r="H71" s="27" t="s">
        <v>3</v>
      </c>
      <c r="I71" s="27"/>
      <c r="J71" s="28"/>
      <c r="K71" s="28"/>
      <c r="L71" s="27" t="s">
        <v>115</v>
      </c>
      <c r="M71" s="27" t="s">
        <v>116</v>
      </c>
      <c r="N71" s="27"/>
      <c r="O71" s="25" t="s">
        <v>473</v>
      </c>
      <c r="P71" s="25"/>
      <c r="Q71" s="25" t="s">
        <v>474</v>
      </c>
      <c r="R71" s="29"/>
      <c r="S71" s="29"/>
      <c r="T71" s="30" t="str">
        <f aca="true">IF(OR(B71="",H71="Paid",H71="Not now",S71=""),"",IF(S71&lt;=TODAY(),"DUE",""))</f>
        <v/>
      </c>
      <c r="U71" s="26" t="s">
        <v>475</v>
      </c>
      <c r="V71" s="31"/>
      <c r="W71" s="25" t="s">
        <v>474</v>
      </c>
    </row>
    <row r="72" customFormat="false" ht="42" hidden="false" customHeight="true" outlineLevel="0" collapsed="false">
      <c r="A72" s="25" t="n">
        <v>68</v>
      </c>
      <c r="B72" s="26" t="s">
        <v>476</v>
      </c>
      <c r="C72" s="25" t="s">
        <v>477</v>
      </c>
      <c r="D72" s="25" t="s">
        <v>478</v>
      </c>
      <c r="E72" s="25" t="s">
        <v>479</v>
      </c>
      <c r="F72" s="25"/>
      <c r="G72" s="25" t="s">
        <v>82</v>
      </c>
      <c r="H72" s="27" t="s">
        <v>3</v>
      </c>
      <c r="I72" s="27"/>
      <c r="J72" s="28"/>
      <c r="K72" s="28"/>
      <c r="L72" s="27" t="s">
        <v>115</v>
      </c>
      <c r="M72" s="27" t="s">
        <v>116</v>
      </c>
      <c r="N72" s="27"/>
      <c r="O72" s="25" t="s">
        <v>480</v>
      </c>
      <c r="P72" s="25" t="s">
        <v>481</v>
      </c>
      <c r="Q72" s="25"/>
      <c r="R72" s="29"/>
      <c r="S72" s="29"/>
      <c r="T72" s="30" t="str">
        <f aca="true">IF(OR(B72="",H72="Paid",H72="Not now",S72=""),"",IF(S72&lt;=TODAY(),"DUE",""))</f>
        <v/>
      </c>
      <c r="U72" s="26" t="s">
        <v>482</v>
      </c>
      <c r="V72" s="31"/>
      <c r="W72" s="25" t="s">
        <v>192</v>
      </c>
    </row>
    <row r="73" customFormat="false" ht="42" hidden="false" customHeight="true" outlineLevel="0" collapsed="false">
      <c r="A73" s="25" t="n">
        <v>69</v>
      </c>
      <c r="B73" s="26" t="s">
        <v>483</v>
      </c>
      <c r="C73" s="25" t="s">
        <v>484</v>
      </c>
      <c r="D73" s="25" t="s">
        <v>152</v>
      </c>
      <c r="E73" s="25" t="s">
        <v>485</v>
      </c>
      <c r="F73" s="25"/>
      <c r="G73" s="25" t="s">
        <v>84</v>
      </c>
      <c r="H73" s="27" t="s">
        <v>3</v>
      </c>
      <c r="I73" s="27"/>
      <c r="J73" s="28"/>
      <c r="K73" s="28"/>
      <c r="L73" s="27" t="s">
        <v>115</v>
      </c>
      <c r="M73" s="27" t="s">
        <v>116</v>
      </c>
      <c r="N73" s="27"/>
      <c r="O73" s="25" t="s">
        <v>486</v>
      </c>
      <c r="P73" s="25"/>
      <c r="Q73" s="25"/>
      <c r="R73" s="29"/>
      <c r="S73" s="29"/>
      <c r="T73" s="30" t="str">
        <f aca="true">IF(OR(B73="",H73="Paid",H73="Not now",S73=""),"",IF(S73&lt;=TODAY(),"DUE",""))</f>
        <v/>
      </c>
      <c r="U73" s="26" t="s">
        <v>487</v>
      </c>
      <c r="V73" s="31" t="s">
        <v>261</v>
      </c>
      <c r="W73" s="25" t="s">
        <v>488</v>
      </c>
    </row>
    <row r="74" customFormat="false" ht="42" hidden="false" customHeight="true" outlineLevel="0" collapsed="false">
      <c r="A74" s="25" t="n">
        <v>70</v>
      </c>
      <c r="B74" s="26" t="s">
        <v>489</v>
      </c>
      <c r="C74" s="25" t="s">
        <v>490</v>
      </c>
      <c r="D74" s="25" t="s">
        <v>478</v>
      </c>
      <c r="E74" s="25" t="s">
        <v>491</v>
      </c>
      <c r="F74" s="25"/>
      <c r="G74" s="25" t="s">
        <v>84</v>
      </c>
      <c r="H74" s="27" t="s">
        <v>3</v>
      </c>
      <c r="I74" s="27"/>
      <c r="J74" s="28"/>
      <c r="K74" s="28"/>
      <c r="L74" s="27" t="s">
        <v>115</v>
      </c>
      <c r="M74" s="27" t="s">
        <v>116</v>
      </c>
      <c r="N74" s="27"/>
      <c r="O74" s="25" t="s">
        <v>492</v>
      </c>
      <c r="P74" s="25" t="s">
        <v>493</v>
      </c>
      <c r="Q74" s="25" t="s">
        <v>494</v>
      </c>
      <c r="R74" s="29"/>
      <c r="S74" s="29"/>
      <c r="T74" s="30" t="str">
        <f aca="true">IF(OR(B74="",H74="Paid",H74="Not now",S74=""),"",IF(S74&lt;=TODAY(),"DUE",""))</f>
        <v/>
      </c>
      <c r="U74" s="26" t="s">
        <v>495</v>
      </c>
      <c r="V74" s="31"/>
      <c r="W74" s="25" t="s">
        <v>496</v>
      </c>
    </row>
    <row r="75" customFormat="false" ht="42" hidden="false" customHeight="true" outlineLevel="0" collapsed="false">
      <c r="A75" s="25" t="n">
        <v>71</v>
      </c>
      <c r="B75" s="26" t="s">
        <v>497</v>
      </c>
      <c r="C75" s="25" t="s">
        <v>498</v>
      </c>
      <c r="D75" s="25" t="s">
        <v>498</v>
      </c>
      <c r="E75" s="25" t="s">
        <v>499</v>
      </c>
      <c r="F75" s="25"/>
      <c r="G75" s="25" t="s">
        <v>82</v>
      </c>
      <c r="H75" s="27" t="s">
        <v>3</v>
      </c>
      <c r="I75" s="27"/>
      <c r="J75" s="28"/>
      <c r="K75" s="28"/>
      <c r="L75" s="27" t="s">
        <v>115</v>
      </c>
      <c r="M75" s="27" t="s">
        <v>116</v>
      </c>
      <c r="N75" s="27"/>
      <c r="O75" s="25" t="s">
        <v>500</v>
      </c>
      <c r="P75" s="25"/>
      <c r="Q75" s="25" t="s">
        <v>501</v>
      </c>
      <c r="R75" s="29"/>
      <c r="S75" s="29"/>
      <c r="T75" s="30" t="str">
        <f aca="true">IF(OR(B75="",H75="Paid",H75="Not now",S75=""),"",IF(S75&lt;=TODAY(),"DUE",""))</f>
        <v/>
      </c>
      <c r="U75" s="26" t="s">
        <v>502</v>
      </c>
      <c r="V75" s="31" t="s">
        <v>503</v>
      </c>
      <c r="W75" s="25" t="s">
        <v>504</v>
      </c>
    </row>
    <row r="76" customFormat="false" ht="42" hidden="false" customHeight="true" outlineLevel="0" collapsed="false">
      <c r="A76" s="25" t="n">
        <v>72</v>
      </c>
      <c r="B76" s="26" t="s">
        <v>505</v>
      </c>
      <c r="C76" s="25" t="s">
        <v>506</v>
      </c>
      <c r="D76" s="25" t="s">
        <v>507</v>
      </c>
      <c r="E76" s="25" t="s">
        <v>508</v>
      </c>
      <c r="F76" s="25"/>
      <c r="G76" s="25" t="s">
        <v>82</v>
      </c>
      <c r="H76" s="27" t="s">
        <v>3</v>
      </c>
      <c r="I76" s="27"/>
      <c r="J76" s="28"/>
      <c r="K76" s="28"/>
      <c r="L76" s="27" t="s">
        <v>115</v>
      </c>
      <c r="M76" s="27" t="s">
        <v>116</v>
      </c>
      <c r="N76" s="27"/>
      <c r="O76" s="25" t="s">
        <v>509</v>
      </c>
      <c r="P76" s="25"/>
      <c r="Q76" s="25" t="s">
        <v>510</v>
      </c>
      <c r="R76" s="29"/>
      <c r="S76" s="29"/>
      <c r="T76" s="30" t="str">
        <f aca="true">IF(OR(B76="",H76="Paid",H76="Not now",S76=""),"",IF(S76&lt;=TODAY(),"DUE",""))</f>
        <v/>
      </c>
      <c r="U76" s="26" t="s">
        <v>511</v>
      </c>
      <c r="V76" s="31" t="s">
        <v>512</v>
      </c>
      <c r="W76" s="25" t="s">
        <v>513</v>
      </c>
    </row>
    <row r="77" customFormat="false" ht="42" hidden="false" customHeight="true" outlineLevel="0" collapsed="false">
      <c r="A77" s="25" t="n">
        <v>73</v>
      </c>
      <c r="B77" s="26" t="s">
        <v>514</v>
      </c>
      <c r="C77" s="25" t="s">
        <v>515</v>
      </c>
      <c r="D77" s="25" t="s">
        <v>516</v>
      </c>
      <c r="E77" s="25" t="s">
        <v>517</v>
      </c>
      <c r="F77" s="25"/>
      <c r="G77" s="25" t="s">
        <v>83</v>
      </c>
      <c r="H77" s="27" t="s">
        <v>3</v>
      </c>
      <c r="I77" s="27"/>
      <c r="J77" s="28"/>
      <c r="K77" s="28"/>
      <c r="L77" s="27" t="s">
        <v>115</v>
      </c>
      <c r="M77" s="27" t="s">
        <v>116</v>
      </c>
      <c r="N77" s="27"/>
      <c r="O77" s="25"/>
      <c r="P77" s="25"/>
      <c r="Q77" s="25" t="s">
        <v>518</v>
      </c>
      <c r="R77" s="29"/>
      <c r="S77" s="29"/>
      <c r="T77" s="30" t="str">
        <f aca="true">IF(OR(B77="",H77="Paid",H77="Not now",S77=""),"",IF(S77&lt;=TODAY(),"DUE",""))</f>
        <v/>
      </c>
      <c r="U77" s="26" t="s">
        <v>519</v>
      </c>
      <c r="V77" s="31" t="s">
        <v>520</v>
      </c>
      <c r="W77" s="25" t="s">
        <v>521</v>
      </c>
    </row>
    <row r="78" customFormat="false" ht="42" hidden="false" customHeight="true" outlineLevel="0" collapsed="false">
      <c r="A78" s="25" t="n">
        <v>74</v>
      </c>
      <c r="B78" s="26" t="s">
        <v>522</v>
      </c>
      <c r="C78" s="25" t="s">
        <v>515</v>
      </c>
      <c r="D78" s="25" t="s">
        <v>516</v>
      </c>
      <c r="E78" s="25" t="s">
        <v>517</v>
      </c>
      <c r="F78" s="25"/>
      <c r="G78" s="25" t="s">
        <v>85</v>
      </c>
      <c r="H78" s="27" t="s">
        <v>3</v>
      </c>
      <c r="I78" s="27"/>
      <c r="J78" s="28"/>
      <c r="K78" s="28"/>
      <c r="L78" s="27" t="s">
        <v>115</v>
      </c>
      <c r="M78" s="27" t="s">
        <v>116</v>
      </c>
      <c r="N78" s="27"/>
      <c r="O78" s="25"/>
      <c r="P78" s="25"/>
      <c r="Q78" s="25" t="s">
        <v>523</v>
      </c>
      <c r="R78" s="29"/>
      <c r="S78" s="29"/>
      <c r="T78" s="30" t="str">
        <f aca="true">IF(OR(B78="",H78="Paid",H78="Not now",S78=""),"",IF(S78&lt;=TODAY(),"DUE",""))</f>
        <v/>
      </c>
      <c r="U78" s="26" t="s">
        <v>524</v>
      </c>
      <c r="V78" s="31" t="s">
        <v>525</v>
      </c>
      <c r="W78" s="25" t="s">
        <v>526</v>
      </c>
    </row>
    <row r="79" customFormat="false" ht="42" hidden="false" customHeight="true" outlineLevel="0" collapsed="false">
      <c r="A79" s="25" t="n">
        <v>75</v>
      </c>
      <c r="B79" s="26" t="s">
        <v>527</v>
      </c>
      <c r="C79" s="25" t="s">
        <v>528</v>
      </c>
      <c r="D79" s="25" t="s">
        <v>516</v>
      </c>
      <c r="E79" s="25" t="s">
        <v>517</v>
      </c>
      <c r="F79" s="25"/>
      <c r="G79" s="25" t="s">
        <v>82</v>
      </c>
      <c r="H79" s="27" t="s">
        <v>3</v>
      </c>
      <c r="I79" s="27"/>
      <c r="J79" s="28"/>
      <c r="K79" s="28"/>
      <c r="L79" s="27" t="s">
        <v>115</v>
      </c>
      <c r="M79" s="27" t="s">
        <v>116</v>
      </c>
      <c r="N79" s="27"/>
      <c r="O79" s="25" t="s">
        <v>529</v>
      </c>
      <c r="P79" s="25" t="s">
        <v>530</v>
      </c>
      <c r="Q79" s="25" t="s">
        <v>531</v>
      </c>
      <c r="R79" s="29"/>
      <c r="S79" s="29"/>
      <c r="T79" s="30" t="str">
        <f aca="true">IF(OR(B79="",H79="Paid",H79="Not now",S79=""),"",IF(S79&lt;=TODAY(),"DUE",""))</f>
        <v/>
      </c>
      <c r="U79" s="26" t="s">
        <v>532</v>
      </c>
      <c r="V79" s="31" t="s">
        <v>533</v>
      </c>
      <c r="W79" s="25" t="s">
        <v>534</v>
      </c>
    </row>
    <row r="80" customFormat="false" ht="42" hidden="false" customHeight="true" outlineLevel="0" collapsed="false">
      <c r="A80" s="25" t="n">
        <v>76</v>
      </c>
      <c r="B80" s="26" t="s">
        <v>535</v>
      </c>
      <c r="C80" s="25" t="s">
        <v>536</v>
      </c>
      <c r="D80" s="25" t="s">
        <v>516</v>
      </c>
      <c r="E80" s="25" t="s">
        <v>517</v>
      </c>
      <c r="F80" s="25"/>
      <c r="G80" s="25" t="s">
        <v>83</v>
      </c>
      <c r="H80" s="27" t="s">
        <v>3</v>
      </c>
      <c r="I80" s="27"/>
      <c r="J80" s="28"/>
      <c r="K80" s="28"/>
      <c r="L80" s="27" t="s">
        <v>115</v>
      </c>
      <c r="M80" s="27" t="s">
        <v>116</v>
      </c>
      <c r="N80" s="27"/>
      <c r="O80" s="25"/>
      <c r="P80" s="25"/>
      <c r="Q80" s="25" t="s">
        <v>537</v>
      </c>
      <c r="R80" s="29"/>
      <c r="S80" s="29"/>
      <c r="T80" s="30" t="str">
        <f aca="true">IF(OR(B80="",H80="Paid",H80="Not now",S80=""),"",IF(S80&lt;=TODAY(),"DUE",""))</f>
        <v/>
      </c>
      <c r="U80" s="26" t="s">
        <v>538</v>
      </c>
      <c r="V80" s="31" t="s">
        <v>539</v>
      </c>
      <c r="W80" s="25" t="s">
        <v>540</v>
      </c>
    </row>
    <row r="81" customFormat="false" ht="42" hidden="false" customHeight="true" outlineLevel="0" collapsed="false">
      <c r="A81" s="25" t="n">
        <v>77</v>
      </c>
      <c r="B81" s="26" t="s">
        <v>541</v>
      </c>
      <c r="C81" s="25" t="s">
        <v>542</v>
      </c>
      <c r="D81" s="25" t="s">
        <v>507</v>
      </c>
      <c r="E81" s="25" t="s">
        <v>508</v>
      </c>
      <c r="F81" s="25"/>
      <c r="G81" s="25" t="s">
        <v>85</v>
      </c>
      <c r="H81" s="27" t="s">
        <v>3</v>
      </c>
      <c r="I81" s="27"/>
      <c r="J81" s="28"/>
      <c r="K81" s="28"/>
      <c r="L81" s="27" t="s">
        <v>115</v>
      </c>
      <c r="M81" s="27" t="s">
        <v>116</v>
      </c>
      <c r="N81" s="27"/>
      <c r="O81" s="25"/>
      <c r="P81" s="25" t="s">
        <v>543</v>
      </c>
      <c r="Q81" s="25" t="s">
        <v>544</v>
      </c>
      <c r="R81" s="29"/>
      <c r="S81" s="29"/>
      <c r="T81" s="30" t="str">
        <f aca="true">IF(OR(B81="",H81="Paid",H81="Not now",S81=""),"",IF(S81&lt;=TODAY(),"DUE",""))</f>
        <v/>
      </c>
      <c r="U81" s="26" t="s">
        <v>545</v>
      </c>
      <c r="V81" s="31" t="s">
        <v>546</v>
      </c>
      <c r="W81" s="25" t="s">
        <v>547</v>
      </c>
    </row>
    <row r="82" customFormat="false" ht="42" hidden="false" customHeight="true" outlineLevel="0" collapsed="false">
      <c r="A82" s="25" t="n">
        <v>78</v>
      </c>
      <c r="B82" s="26" t="s">
        <v>548</v>
      </c>
      <c r="C82" s="25" t="s">
        <v>549</v>
      </c>
      <c r="D82" s="25" t="s">
        <v>516</v>
      </c>
      <c r="E82" s="25" t="s">
        <v>517</v>
      </c>
      <c r="F82" s="25"/>
      <c r="G82" s="25" t="s">
        <v>85</v>
      </c>
      <c r="H82" s="27" t="s">
        <v>3</v>
      </c>
      <c r="I82" s="27"/>
      <c r="J82" s="28"/>
      <c r="K82" s="28"/>
      <c r="L82" s="27" t="s">
        <v>115</v>
      </c>
      <c r="M82" s="27" t="s">
        <v>116</v>
      </c>
      <c r="N82" s="27"/>
      <c r="O82" s="25"/>
      <c r="P82" s="25"/>
      <c r="Q82" s="25"/>
      <c r="R82" s="29"/>
      <c r="S82" s="29"/>
      <c r="T82" s="30" t="str">
        <f aca="true">IF(OR(B82="",H82="Paid",H82="Not now",S82=""),"",IF(S82&lt;=TODAY(),"DUE",""))</f>
        <v/>
      </c>
      <c r="U82" s="26" t="s">
        <v>550</v>
      </c>
      <c r="V82" s="31" t="s">
        <v>551</v>
      </c>
      <c r="W82" s="25" t="s">
        <v>552</v>
      </c>
    </row>
    <row r="83" customFormat="false" ht="42" hidden="false" customHeight="true" outlineLevel="0" collapsed="false">
      <c r="A83" s="25" t="n">
        <v>79</v>
      </c>
      <c r="B83" s="26" t="s">
        <v>553</v>
      </c>
      <c r="C83" s="25" t="s">
        <v>554</v>
      </c>
      <c r="D83" s="25" t="s">
        <v>516</v>
      </c>
      <c r="E83" s="25" t="s">
        <v>517</v>
      </c>
      <c r="F83" s="25"/>
      <c r="G83" s="25" t="s">
        <v>85</v>
      </c>
      <c r="H83" s="27" t="s">
        <v>3</v>
      </c>
      <c r="I83" s="27"/>
      <c r="J83" s="28"/>
      <c r="K83" s="28"/>
      <c r="L83" s="27" t="s">
        <v>115</v>
      </c>
      <c r="M83" s="27" t="s">
        <v>116</v>
      </c>
      <c r="N83" s="27"/>
      <c r="O83" s="25"/>
      <c r="P83" s="25"/>
      <c r="Q83" s="25"/>
      <c r="R83" s="29"/>
      <c r="S83" s="29"/>
      <c r="T83" s="30" t="str">
        <f aca="true">IF(OR(B83="",H83="Paid",H83="Not now",S83=""),"",IF(S83&lt;=TODAY(),"DUE",""))</f>
        <v/>
      </c>
      <c r="U83" s="26" t="s">
        <v>555</v>
      </c>
      <c r="V83" s="31" t="s">
        <v>556</v>
      </c>
      <c r="W83" s="25" t="s">
        <v>557</v>
      </c>
    </row>
    <row r="84" customFormat="false" ht="42" hidden="false" customHeight="true" outlineLevel="0" collapsed="false">
      <c r="A84" s="25" t="n">
        <v>80</v>
      </c>
      <c r="B84" s="26" t="s">
        <v>558</v>
      </c>
      <c r="C84" s="25" t="s">
        <v>559</v>
      </c>
      <c r="D84" s="25" t="s">
        <v>516</v>
      </c>
      <c r="E84" s="25" t="s">
        <v>517</v>
      </c>
      <c r="F84" s="25"/>
      <c r="G84" s="25" t="s">
        <v>85</v>
      </c>
      <c r="H84" s="27" t="s">
        <v>3</v>
      </c>
      <c r="I84" s="27"/>
      <c r="J84" s="28"/>
      <c r="K84" s="28"/>
      <c r="L84" s="27" t="s">
        <v>115</v>
      </c>
      <c r="M84" s="27" t="s">
        <v>116</v>
      </c>
      <c r="N84" s="27"/>
      <c r="O84" s="25"/>
      <c r="P84" s="25"/>
      <c r="Q84" s="25" t="s">
        <v>560</v>
      </c>
      <c r="R84" s="29"/>
      <c r="S84" s="29"/>
      <c r="T84" s="30" t="str">
        <f aca="true">IF(OR(B84="",H84="Paid",H84="Not now",S84=""),"",IF(S84&lt;=TODAY(),"DUE",""))</f>
        <v/>
      </c>
      <c r="U84" s="26" t="s">
        <v>561</v>
      </c>
      <c r="V84" s="31" t="s">
        <v>562</v>
      </c>
      <c r="W84" s="25" t="s">
        <v>563</v>
      </c>
    </row>
    <row r="85" customFormat="false" ht="42" hidden="false" customHeight="true" outlineLevel="0" collapsed="false">
      <c r="A85" s="25" t="n">
        <v>81</v>
      </c>
      <c r="B85" s="26" t="s">
        <v>564</v>
      </c>
      <c r="C85" s="25" t="s">
        <v>565</v>
      </c>
      <c r="D85" s="25" t="s">
        <v>516</v>
      </c>
      <c r="E85" s="25" t="s">
        <v>517</v>
      </c>
      <c r="F85" s="25"/>
      <c r="G85" s="25" t="s">
        <v>85</v>
      </c>
      <c r="H85" s="27" t="s">
        <v>3</v>
      </c>
      <c r="I85" s="27"/>
      <c r="J85" s="28"/>
      <c r="K85" s="28"/>
      <c r="L85" s="27" t="s">
        <v>115</v>
      </c>
      <c r="M85" s="27" t="s">
        <v>116</v>
      </c>
      <c r="N85" s="27"/>
      <c r="O85" s="25"/>
      <c r="P85" s="25"/>
      <c r="Q85" s="25" t="s">
        <v>566</v>
      </c>
      <c r="R85" s="29"/>
      <c r="S85" s="29"/>
      <c r="T85" s="30" t="str">
        <f aca="true">IF(OR(B85="",H85="Paid",H85="Not now",S85=""),"",IF(S85&lt;=TODAY(),"DUE",""))</f>
        <v/>
      </c>
      <c r="U85" s="26" t="s">
        <v>567</v>
      </c>
      <c r="V85" s="31" t="s">
        <v>568</v>
      </c>
      <c r="W85" s="25" t="s">
        <v>569</v>
      </c>
    </row>
    <row r="86" customFormat="false" ht="42" hidden="false" customHeight="true" outlineLevel="0" collapsed="false">
      <c r="A86" s="25" t="n">
        <v>82</v>
      </c>
      <c r="B86" s="26" t="s">
        <v>570</v>
      </c>
      <c r="C86" s="25" t="s">
        <v>571</v>
      </c>
      <c r="D86" s="25" t="s">
        <v>516</v>
      </c>
      <c r="E86" s="25" t="s">
        <v>517</v>
      </c>
      <c r="F86" s="25"/>
      <c r="G86" s="25" t="s">
        <v>85</v>
      </c>
      <c r="H86" s="27" t="s">
        <v>3</v>
      </c>
      <c r="I86" s="27"/>
      <c r="J86" s="28"/>
      <c r="K86" s="28"/>
      <c r="L86" s="27" t="s">
        <v>115</v>
      </c>
      <c r="M86" s="27" t="s">
        <v>116</v>
      </c>
      <c r="N86" s="27"/>
      <c r="O86" s="25"/>
      <c r="P86" s="25"/>
      <c r="Q86" s="25" t="s">
        <v>572</v>
      </c>
      <c r="R86" s="29"/>
      <c r="S86" s="29"/>
      <c r="T86" s="30" t="str">
        <f aca="true">IF(OR(B86="",H86="Paid",H86="Not now",S86=""),"",IF(S86&lt;=TODAY(),"DUE",""))</f>
        <v/>
      </c>
      <c r="U86" s="26" t="s">
        <v>573</v>
      </c>
      <c r="V86" s="31" t="s">
        <v>574</v>
      </c>
      <c r="W86" s="25" t="s">
        <v>575</v>
      </c>
    </row>
    <row r="87" customFormat="false" ht="42" hidden="false" customHeight="true" outlineLevel="0" collapsed="false">
      <c r="A87" s="25" t="n">
        <v>83</v>
      </c>
      <c r="B87" s="26" t="s">
        <v>576</v>
      </c>
      <c r="C87" s="25" t="s">
        <v>577</v>
      </c>
      <c r="D87" s="25" t="s">
        <v>516</v>
      </c>
      <c r="E87" s="25" t="s">
        <v>517</v>
      </c>
      <c r="F87" s="25"/>
      <c r="G87" s="25" t="s">
        <v>85</v>
      </c>
      <c r="H87" s="27" t="s">
        <v>3</v>
      </c>
      <c r="I87" s="27"/>
      <c r="J87" s="28"/>
      <c r="K87" s="28"/>
      <c r="L87" s="27" t="s">
        <v>115</v>
      </c>
      <c r="M87" s="27" t="s">
        <v>116</v>
      </c>
      <c r="N87" s="27"/>
      <c r="O87" s="25"/>
      <c r="P87" s="25"/>
      <c r="Q87" s="25" t="s">
        <v>578</v>
      </c>
      <c r="R87" s="29"/>
      <c r="S87" s="29"/>
      <c r="T87" s="30" t="str">
        <f aca="true">IF(OR(B87="",H87="Paid",H87="Not now",S87=""),"",IF(S87&lt;=TODAY(),"DUE",""))</f>
        <v/>
      </c>
      <c r="U87" s="26" t="s">
        <v>579</v>
      </c>
      <c r="V87" s="31" t="s">
        <v>580</v>
      </c>
      <c r="W87" s="25" t="s">
        <v>581</v>
      </c>
    </row>
    <row r="88" customFormat="false" ht="42" hidden="false" customHeight="true" outlineLevel="0" collapsed="false">
      <c r="A88" s="25" t="n">
        <v>84</v>
      </c>
      <c r="B88" s="26" t="s">
        <v>582</v>
      </c>
      <c r="C88" s="25" t="s">
        <v>583</v>
      </c>
      <c r="D88" s="25" t="s">
        <v>507</v>
      </c>
      <c r="E88" s="25" t="s">
        <v>508</v>
      </c>
      <c r="F88" s="25"/>
      <c r="G88" s="25" t="s">
        <v>85</v>
      </c>
      <c r="H88" s="27" t="s">
        <v>3</v>
      </c>
      <c r="I88" s="27"/>
      <c r="J88" s="28"/>
      <c r="K88" s="28"/>
      <c r="L88" s="27" t="s">
        <v>115</v>
      </c>
      <c r="M88" s="27" t="s">
        <v>116</v>
      </c>
      <c r="N88" s="27"/>
      <c r="O88" s="25"/>
      <c r="P88" s="25"/>
      <c r="Q88" s="25"/>
      <c r="R88" s="29"/>
      <c r="S88" s="29"/>
      <c r="T88" s="30" t="str">
        <f aca="true">IF(OR(B88="",H88="Paid",H88="Not now",S88=""),"",IF(S88&lt;=TODAY(),"DUE",""))</f>
        <v/>
      </c>
      <c r="U88" s="26" t="s">
        <v>584</v>
      </c>
      <c r="V88" s="31" t="s">
        <v>585</v>
      </c>
      <c r="W88" s="25" t="s">
        <v>586</v>
      </c>
    </row>
    <row r="89" customFormat="false" ht="42" hidden="false" customHeight="true" outlineLevel="0" collapsed="false">
      <c r="A89" s="25" t="n">
        <v>85</v>
      </c>
      <c r="B89" s="26" t="s">
        <v>587</v>
      </c>
      <c r="C89" s="25" t="s">
        <v>588</v>
      </c>
      <c r="D89" s="25" t="s">
        <v>589</v>
      </c>
      <c r="E89" s="25" t="s">
        <v>590</v>
      </c>
      <c r="F89" s="25"/>
      <c r="G89" s="25" t="s">
        <v>81</v>
      </c>
      <c r="H89" s="27" t="s">
        <v>3</v>
      </c>
      <c r="I89" s="27"/>
      <c r="J89" s="28"/>
      <c r="K89" s="28"/>
      <c r="L89" s="27" t="s">
        <v>115</v>
      </c>
      <c r="M89" s="27" t="s">
        <v>116</v>
      </c>
      <c r="N89" s="27"/>
      <c r="O89" s="25" t="s">
        <v>591</v>
      </c>
      <c r="P89" s="25"/>
      <c r="Q89" s="25" t="s">
        <v>592</v>
      </c>
      <c r="R89" s="29"/>
      <c r="S89" s="29"/>
      <c r="T89" s="30" t="str">
        <f aca="true">IF(OR(B89="",H89="Paid",H89="Not now",S89=""),"",IF(S89&lt;=TODAY(),"DUE",""))</f>
        <v/>
      </c>
      <c r="U89" s="26" t="s">
        <v>593</v>
      </c>
      <c r="V89" s="31" t="s">
        <v>594</v>
      </c>
      <c r="W89" s="25" t="s">
        <v>595</v>
      </c>
    </row>
    <row r="90" customFormat="false" ht="42" hidden="false" customHeight="true" outlineLevel="0" collapsed="false">
      <c r="A90" s="25" t="n">
        <v>86</v>
      </c>
      <c r="B90" s="26" t="s">
        <v>596</v>
      </c>
      <c r="C90" s="25" t="s">
        <v>597</v>
      </c>
      <c r="D90" s="25" t="s">
        <v>598</v>
      </c>
      <c r="E90" s="25" t="s">
        <v>599</v>
      </c>
      <c r="F90" s="25"/>
      <c r="G90" s="25" t="s">
        <v>85</v>
      </c>
      <c r="H90" s="27" t="s">
        <v>3</v>
      </c>
      <c r="I90" s="27"/>
      <c r="J90" s="28"/>
      <c r="K90" s="28"/>
      <c r="L90" s="27" t="s">
        <v>115</v>
      </c>
      <c r="M90" s="27" t="s">
        <v>116</v>
      </c>
      <c r="N90" s="27"/>
      <c r="O90" s="25"/>
      <c r="P90" s="25"/>
      <c r="Q90" s="25" t="s">
        <v>600</v>
      </c>
      <c r="R90" s="29"/>
      <c r="S90" s="29"/>
      <c r="T90" s="30" t="str">
        <f aca="true">IF(OR(B90="",H90="Paid",H90="Not now",S90=""),"",IF(S90&lt;=TODAY(),"DUE",""))</f>
        <v/>
      </c>
      <c r="U90" s="26" t="s">
        <v>601</v>
      </c>
      <c r="V90" s="31" t="s">
        <v>602</v>
      </c>
      <c r="W90" s="25" t="s">
        <v>603</v>
      </c>
    </row>
    <row r="91" customFormat="false" ht="42" hidden="false" customHeight="true" outlineLevel="0" collapsed="false">
      <c r="A91" s="25" t="n">
        <v>87</v>
      </c>
      <c r="B91" s="26" t="s">
        <v>604</v>
      </c>
      <c r="C91" s="25" t="s">
        <v>605</v>
      </c>
      <c r="D91" s="25" t="s">
        <v>598</v>
      </c>
      <c r="E91" s="25" t="s">
        <v>599</v>
      </c>
      <c r="F91" s="25"/>
      <c r="G91" s="25" t="s">
        <v>85</v>
      </c>
      <c r="H91" s="27" t="s">
        <v>3</v>
      </c>
      <c r="I91" s="27"/>
      <c r="J91" s="28"/>
      <c r="K91" s="28"/>
      <c r="L91" s="27" t="s">
        <v>115</v>
      </c>
      <c r="M91" s="27" t="s">
        <v>116</v>
      </c>
      <c r="N91" s="27"/>
      <c r="O91" s="25"/>
      <c r="P91" s="25" t="s">
        <v>606</v>
      </c>
      <c r="Q91" s="25" t="s">
        <v>607</v>
      </c>
      <c r="R91" s="29"/>
      <c r="S91" s="29"/>
      <c r="T91" s="30" t="str">
        <f aca="true">IF(OR(B91="",H91="Paid",H91="Not now",S91=""),"",IF(S91&lt;=TODAY(),"DUE",""))</f>
        <v/>
      </c>
      <c r="U91" s="26" t="s">
        <v>608</v>
      </c>
      <c r="V91" s="31" t="s">
        <v>609</v>
      </c>
      <c r="W91" s="25" t="s">
        <v>610</v>
      </c>
    </row>
    <row r="92" customFormat="false" ht="42" hidden="false" customHeight="true" outlineLevel="0" collapsed="false">
      <c r="A92" s="25" t="n">
        <v>88</v>
      </c>
      <c r="B92" s="26" t="s">
        <v>611</v>
      </c>
      <c r="C92" s="25" t="s">
        <v>612</v>
      </c>
      <c r="D92" s="25" t="s">
        <v>598</v>
      </c>
      <c r="E92" s="25" t="s">
        <v>613</v>
      </c>
      <c r="F92" s="25"/>
      <c r="G92" s="25" t="s">
        <v>85</v>
      </c>
      <c r="H92" s="27" t="s">
        <v>3</v>
      </c>
      <c r="I92" s="27"/>
      <c r="J92" s="28"/>
      <c r="K92" s="28"/>
      <c r="L92" s="27" t="s">
        <v>115</v>
      </c>
      <c r="M92" s="27" t="s">
        <v>116</v>
      </c>
      <c r="N92" s="27"/>
      <c r="O92" s="25"/>
      <c r="P92" s="25" t="s">
        <v>614</v>
      </c>
      <c r="Q92" s="25" t="s">
        <v>615</v>
      </c>
      <c r="R92" s="29"/>
      <c r="S92" s="29"/>
      <c r="T92" s="30" t="str">
        <f aca="true">IF(OR(B92="",H92="Paid",H92="Not now",S92=""),"",IF(S92&lt;=TODAY(),"DUE",""))</f>
        <v/>
      </c>
      <c r="U92" s="26" t="s">
        <v>616</v>
      </c>
      <c r="V92" s="31" t="s">
        <v>617</v>
      </c>
      <c r="W92" s="25" t="s">
        <v>618</v>
      </c>
    </row>
    <row r="93" customFormat="false" ht="42" hidden="false" customHeight="true" outlineLevel="0" collapsed="false">
      <c r="A93" s="25" t="n">
        <v>89</v>
      </c>
      <c r="B93" s="26" t="s">
        <v>619</v>
      </c>
      <c r="C93" s="25" t="s">
        <v>620</v>
      </c>
      <c r="D93" s="25" t="s">
        <v>598</v>
      </c>
      <c r="E93" s="25" t="s">
        <v>613</v>
      </c>
      <c r="F93" s="25"/>
      <c r="G93" s="25" t="s">
        <v>83</v>
      </c>
      <c r="H93" s="27" t="s">
        <v>3</v>
      </c>
      <c r="I93" s="27"/>
      <c r="J93" s="28"/>
      <c r="K93" s="28"/>
      <c r="L93" s="27" t="s">
        <v>115</v>
      </c>
      <c r="M93" s="27" t="s">
        <v>116</v>
      </c>
      <c r="N93" s="27"/>
      <c r="O93" s="25"/>
      <c r="P93" s="25"/>
      <c r="Q93" s="25" t="s">
        <v>621</v>
      </c>
      <c r="R93" s="29"/>
      <c r="S93" s="29"/>
      <c r="T93" s="30" t="str">
        <f aca="true">IF(OR(B93="",H93="Paid",H93="Not now",S93=""),"",IF(S93&lt;=TODAY(),"DUE",""))</f>
        <v/>
      </c>
      <c r="U93" s="26" t="s">
        <v>622</v>
      </c>
      <c r="V93" s="31" t="s">
        <v>623</v>
      </c>
      <c r="W93" s="25" t="s">
        <v>624</v>
      </c>
    </row>
    <row r="94" customFormat="false" ht="42" hidden="false" customHeight="true" outlineLevel="0" collapsed="false">
      <c r="A94" s="25" t="n">
        <v>90</v>
      </c>
      <c r="B94" s="26" t="s">
        <v>625</v>
      </c>
      <c r="C94" s="25" t="s">
        <v>626</v>
      </c>
      <c r="D94" s="25" t="s">
        <v>598</v>
      </c>
      <c r="E94" s="25" t="s">
        <v>613</v>
      </c>
      <c r="F94" s="25"/>
      <c r="G94" s="25" t="s">
        <v>85</v>
      </c>
      <c r="H94" s="27" t="s">
        <v>3</v>
      </c>
      <c r="I94" s="27"/>
      <c r="J94" s="28"/>
      <c r="K94" s="28"/>
      <c r="L94" s="27" t="s">
        <v>115</v>
      </c>
      <c r="M94" s="27" t="s">
        <v>116</v>
      </c>
      <c r="N94" s="27"/>
      <c r="O94" s="25"/>
      <c r="P94" s="25"/>
      <c r="Q94" s="25" t="s">
        <v>627</v>
      </c>
      <c r="R94" s="29"/>
      <c r="S94" s="29"/>
      <c r="T94" s="30" t="str">
        <f aca="true">IF(OR(B94="",H94="Paid",H94="Not now",S94=""),"",IF(S94&lt;=TODAY(),"DUE",""))</f>
        <v/>
      </c>
      <c r="U94" s="26" t="s">
        <v>628</v>
      </c>
      <c r="V94" s="31" t="s">
        <v>629</v>
      </c>
      <c r="W94" s="25" t="s">
        <v>627</v>
      </c>
    </row>
    <row r="95" customFormat="false" ht="42" hidden="false" customHeight="true" outlineLevel="0" collapsed="false">
      <c r="A95" s="25" t="n">
        <v>91</v>
      </c>
      <c r="B95" s="26" t="s">
        <v>630</v>
      </c>
      <c r="C95" s="25" t="s">
        <v>631</v>
      </c>
      <c r="D95" s="25" t="s">
        <v>598</v>
      </c>
      <c r="E95" s="25" t="s">
        <v>613</v>
      </c>
      <c r="F95" s="25"/>
      <c r="G95" s="25" t="s">
        <v>83</v>
      </c>
      <c r="H95" s="27" t="s">
        <v>3</v>
      </c>
      <c r="I95" s="27"/>
      <c r="J95" s="28"/>
      <c r="K95" s="28"/>
      <c r="L95" s="27" t="s">
        <v>115</v>
      </c>
      <c r="M95" s="27" t="s">
        <v>116</v>
      </c>
      <c r="N95" s="27"/>
      <c r="O95" s="25"/>
      <c r="P95" s="25" t="s">
        <v>632</v>
      </c>
      <c r="Q95" s="25" t="s">
        <v>633</v>
      </c>
      <c r="R95" s="29"/>
      <c r="S95" s="29"/>
      <c r="T95" s="30" t="str">
        <f aca="true">IF(OR(B95="",H95="Paid",H95="Not now",S95=""),"",IF(S95&lt;=TODAY(),"DUE",""))</f>
        <v/>
      </c>
      <c r="U95" s="26" t="s">
        <v>634</v>
      </c>
      <c r="V95" s="31" t="s">
        <v>635</v>
      </c>
      <c r="W95" s="25" t="s">
        <v>633</v>
      </c>
    </row>
    <row r="96" customFormat="false" ht="42" hidden="false" customHeight="true" outlineLevel="0" collapsed="false">
      <c r="A96" s="25" t="n">
        <v>92</v>
      </c>
      <c r="B96" s="26" t="s">
        <v>636</v>
      </c>
      <c r="C96" s="25" t="s">
        <v>637</v>
      </c>
      <c r="D96" s="25" t="s">
        <v>598</v>
      </c>
      <c r="E96" s="25" t="s">
        <v>613</v>
      </c>
      <c r="F96" s="25"/>
      <c r="G96" s="25" t="s">
        <v>82</v>
      </c>
      <c r="H96" s="27" t="s">
        <v>3</v>
      </c>
      <c r="I96" s="27"/>
      <c r="J96" s="28"/>
      <c r="K96" s="28"/>
      <c r="L96" s="27" t="s">
        <v>115</v>
      </c>
      <c r="M96" s="27" t="s">
        <v>116</v>
      </c>
      <c r="N96" s="27"/>
      <c r="O96" s="25"/>
      <c r="P96" s="25"/>
      <c r="Q96" s="25" t="s">
        <v>638</v>
      </c>
      <c r="R96" s="29"/>
      <c r="S96" s="29"/>
      <c r="T96" s="30" t="str">
        <f aca="true">IF(OR(B96="",H96="Paid",H96="Not now",S96=""),"",IF(S96&lt;=TODAY(),"DUE",""))</f>
        <v/>
      </c>
      <c r="U96" s="26" t="s">
        <v>639</v>
      </c>
      <c r="V96" s="31" t="s">
        <v>640</v>
      </c>
      <c r="W96" s="25" t="s">
        <v>638</v>
      </c>
    </row>
    <row r="97" customFormat="false" ht="42" hidden="false" customHeight="true" outlineLevel="0" collapsed="false">
      <c r="A97" s="25" t="n">
        <v>93</v>
      </c>
      <c r="B97" s="26" t="s">
        <v>641</v>
      </c>
      <c r="C97" s="25" t="s">
        <v>642</v>
      </c>
      <c r="D97" s="25" t="s">
        <v>598</v>
      </c>
      <c r="E97" s="25" t="s">
        <v>613</v>
      </c>
      <c r="F97" s="25"/>
      <c r="G97" s="25" t="s">
        <v>83</v>
      </c>
      <c r="H97" s="27" t="s">
        <v>3</v>
      </c>
      <c r="I97" s="27"/>
      <c r="J97" s="28"/>
      <c r="K97" s="28"/>
      <c r="L97" s="27" t="s">
        <v>115</v>
      </c>
      <c r="M97" s="27" t="s">
        <v>116</v>
      </c>
      <c r="N97" s="27"/>
      <c r="O97" s="25"/>
      <c r="P97" s="25"/>
      <c r="Q97" s="25" t="s">
        <v>643</v>
      </c>
      <c r="R97" s="29"/>
      <c r="S97" s="29"/>
      <c r="T97" s="30" t="str">
        <f aca="true">IF(OR(B97="",H97="Paid",H97="Not now",S97=""),"",IF(S97&lt;=TODAY(),"DUE",""))</f>
        <v/>
      </c>
      <c r="U97" s="26" t="s">
        <v>644</v>
      </c>
      <c r="V97" s="31" t="s">
        <v>645</v>
      </c>
      <c r="W97" s="25" t="s">
        <v>646</v>
      </c>
    </row>
    <row r="98" customFormat="false" ht="42" hidden="false" customHeight="true" outlineLevel="0" collapsed="false">
      <c r="A98" s="25" t="n">
        <v>94</v>
      </c>
      <c r="B98" s="26" t="s">
        <v>647</v>
      </c>
      <c r="C98" s="25" t="s">
        <v>648</v>
      </c>
      <c r="D98" s="25" t="s">
        <v>598</v>
      </c>
      <c r="E98" s="25" t="s">
        <v>613</v>
      </c>
      <c r="F98" s="25"/>
      <c r="G98" s="25" t="s">
        <v>83</v>
      </c>
      <c r="H98" s="27" t="s">
        <v>3</v>
      </c>
      <c r="I98" s="27"/>
      <c r="J98" s="28"/>
      <c r="K98" s="28"/>
      <c r="L98" s="27" t="s">
        <v>115</v>
      </c>
      <c r="M98" s="27" t="s">
        <v>116</v>
      </c>
      <c r="N98" s="27"/>
      <c r="O98" s="25"/>
      <c r="P98" s="25"/>
      <c r="Q98" s="25" t="s">
        <v>649</v>
      </c>
      <c r="R98" s="29"/>
      <c r="S98" s="29"/>
      <c r="T98" s="30" t="str">
        <f aca="true">IF(OR(B98="",H98="Paid",H98="Not now",S98=""),"",IF(S98&lt;=TODAY(),"DUE",""))</f>
        <v/>
      </c>
      <c r="U98" s="26" t="s">
        <v>650</v>
      </c>
      <c r="V98" s="31" t="s">
        <v>651</v>
      </c>
      <c r="W98" s="25" t="s">
        <v>649</v>
      </c>
    </row>
    <row r="99" customFormat="false" ht="42" hidden="false" customHeight="true" outlineLevel="0" collapsed="false">
      <c r="A99" s="25" t="n">
        <v>95</v>
      </c>
      <c r="B99" s="26" t="s">
        <v>652</v>
      </c>
      <c r="C99" s="25" t="s">
        <v>583</v>
      </c>
      <c r="D99" s="25" t="s">
        <v>598</v>
      </c>
      <c r="E99" s="25" t="s">
        <v>613</v>
      </c>
      <c r="F99" s="25"/>
      <c r="G99" s="25" t="s">
        <v>85</v>
      </c>
      <c r="H99" s="27" t="s">
        <v>3</v>
      </c>
      <c r="I99" s="27"/>
      <c r="J99" s="28"/>
      <c r="K99" s="28"/>
      <c r="L99" s="27" t="s">
        <v>115</v>
      </c>
      <c r="M99" s="27" t="s">
        <v>116</v>
      </c>
      <c r="N99" s="27"/>
      <c r="O99" s="25"/>
      <c r="P99" s="25"/>
      <c r="Q99" s="25"/>
      <c r="R99" s="29"/>
      <c r="S99" s="29"/>
      <c r="T99" s="30" t="str">
        <f aca="true">IF(OR(B99="",H99="Paid",H99="Not now",S99=""),"",IF(S99&lt;=TODAY(),"DUE",""))</f>
        <v/>
      </c>
      <c r="U99" s="26" t="s">
        <v>653</v>
      </c>
      <c r="V99" s="31" t="s">
        <v>654</v>
      </c>
      <c r="W99" s="25" t="s">
        <v>655</v>
      </c>
    </row>
    <row r="100" customFormat="false" ht="15" hidden="false" customHeight="false" outlineLevel="0" collapsed="false">
      <c r="A100" s="32" t="str">
        <f aca="false">IF(B100="","",ROW()-4)</f>
        <v/>
      </c>
      <c r="B100" s="12"/>
      <c r="C100" s="12"/>
      <c r="D100" s="12"/>
      <c r="E100" s="12"/>
      <c r="F100" s="12"/>
      <c r="G100" s="12"/>
      <c r="H100" s="33"/>
      <c r="I100" s="33"/>
      <c r="J100" s="8"/>
      <c r="K100" s="8"/>
      <c r="L100" s="33"/>
      <c r="M100" s="33"/>
      <c r="N100" s="33"/>
      <c r="O100" s="12"/>
      <c r="P100" s="12"/>
      <c r="Q100" s="12"/>
      <c r="R100" s="34"/>
      <c r="S100" s="34"/>
      <c r="T100" s="30" t="str">
        <f aca="true">IF(OR(B100="",H100="Paid",H100="Not now",S100=""),"",IF(S100&lt;=TODAY(),"DUE",""))</f>
        <v/>
      </c>
      <c r="U100" s="12"/>
      <c r="V100" s="33"/>
      <c r="W100" s="12"/>
    </row>
    <row r="101" customFormat="false" ht="15" hidden="false" customHeight="false" outlineLevel="0" collapsed="false">
      <c r="A101" s="32" t="str">
        <f aca="false">IF(B101="","",ROW()-4)</f>
        <v/>
      </c>
      <c r="B101" s="12"/>
      <c r="C101" s="12"/>
      <c r="D101" s="12"/>
      <c r="E101" s="12"/>
      <c r="F101" s="12"/>
      <c r="G101" s="12"/>
      <c r="H101" s="33"/>
      <c r="I101" s="33"/>
      <c r="J101" s="8"/>
      <c r="K101" s="8"/>
      <c r="L101" s="33"/>
      <c r="M101" s="33"/>
      <c r="N101" s="33"/>
      <c r="O101" s="12"/>
      <c r="P101" s="12"/>
      <c r="Q101" s="12"/>
      <c r="R101" s="34"/>
      <c r="S101" s="34"/>
      <c r="T101" s="30" t="str">
        <f aca="true">IF(OR(B101="",H101="Paid",H101="Not now",S101=""),"",IF(S101&lt;=TODAY(),"DUE",""))</f>
        <v/>
      </c>
      <c r="U101" s="12"/>
      <c r="V101" s="33"/>
      <c r="W101" s="12"/>
    </row>
    <row r="102" customFormat="false" ht="15" hidden="false" customHeight="false" outlineLevel="0" collapsed="false">
      <c r="A102" s="32" t="str">
        <f aca="false">IF(B102="","",ROW()-4)</f>
        <v/>
      </c>
      <c r="B102" s="12"/>
      <c r="C102" s="12"/>
      <c r="D102" s="12"/>
      <c r="E102" s="12"/>
      <c r="F102" s="12"/>
      <c r="G102" s="12"/>
      <c r="H102" s="33"/>
      <c r="I102" s="33"/>
      <c r="J102" s="8"/>
      <c r="K102" s="8"/>
      <c r="L102" s="33"/>
      <c r="M102" s="33"/>
      <c r="N102" s="33"/>
      <c r="O102" s="12"/>
      <c r="P102" s="12"/>
      <c r="Q102" s="12"/>
      <c r="R102" s="34"/>
      <c r="S102" s="34"/>
      <c r="T102" s="30" t="str">
        <f aca="true">IF(OR(B102="",H102="Paid",H102="Not now",S102=""),"",IF(S102&lt;=TODAY(),"DUE",""))</f>
        <v/>
      </c>
      <c r="U102" s="12"/>
      <c r="V102" s="33"/>
      <c r="W102" s="12"/>
    </row>
    <row r="103" customFormat="false" ht="15" hidden="false" customHeight="false" outlineLevel="0" collapsed="false">
      <c r="A103" s="32" t="str">
        <f aca="false">IF(B103="","",ROW()-4)</f>
        <v/>
      </c>
      <c r="B103" s="12"/>
      <c r="C103" s="12"/>
      <c r="D103" s="12"/>
      <c r="E103" s="12"/>
      <c r="F103" s="12"/>
      <c r="G103" s="12"/>
      <c r="H103" s="33"/>
      <c r="I103" s="33"/>
      <c r="J103" s="8"/>
      <c r="K103" s="8"/>
      <c r="L103" s="33"/>
      <c r="M103" s="33"/>
      <c r="N103" s="33"/>
      <c r="O103" s="12"/>
      <c r="P103" s="12"/>
      <c r="Q103" s="12"/>
      <c r="R103" s="34"/>
      <c r="S103" s="34"/>
      <c r="T103" s="30" t="str">
        <f aca="true">IF(OR(B103="",H103="Paid",H103="Not now",S103=""),"",IF(S103&lt;=TODAY(),"DUE",""))</f>
        <v/>
      </c>
      <c r="U103" s="12"/>
      <c r="V103" s="33"/>
      <c r="W103" s="12"/>
    </row>
    <row r="104" customFormat="false" ht="15" hidden="false" customHeight="false" outlineLevel="0" collapsed="false">
      <c r="A104" s="32" t="str">
        <f aca="false">IF(B104="","",ROW()-4)</f>
        <v/>
      </c>
      <c r="B104" s="12"/>
      <c r="C104" s="12"/>
      <c r="D104" s="12"/>
      <c r="E104" s="12"/>
      <c r="F104" s="12"/>
      <c r="G104" s="12"/>
      <c r="H104" s="33"/>
      <c r="I104" s="33"/>
      <c r="J104" s="8"/>
      <c r="K104" s="8"/>
      <c r="L104" s="33"/>
      <c r="M104" s="33"/>
      <c r="N104" s="33"/>
      <c r="O104" s="12"/>
      <c r="P104" s="12"/>
      <c r="Q104" s="12"/>
      <c r="R104" s="34"/>
      <c r="S104" s="34"/>
      <c r="T104" s="30" t="str">
        <f aca="true">IF(OR(B104="",H104="Paid",H104="Not now",S104=""),"",IF(S104&lt;=TODAY(),"DUE",""))</f>
        <v/>
      </c>
      <c r="U104" s="12"/>
      <c r="V104" s="33"/>
      <c r="W104" s="12"/>
    </row>
    <row r="105" customFormat="false" ht="15" hidden="false" customHeight="false" outlineLevel="0" collapsed="false">
      <c r="A105" s="32" t="str">
        <f aca="false">IF(B105="","",ROW()-4)</f>
        <v/>
      </c>
      <c r="B105" s="12"/>
      <c r="C105" s="12"/>
      <c r="D105" s="12"/>
      <c r="E105" s="12"/>
      <c r="F105" s="12"/>
      <c r="G105" s="12"/>
      <c r="H105" s="33"/>
      <c r="I105" s="33"/>
      <c r="J105" s="8"/>
      <c r="K105" s="8"/>
      <c r="L105" s="33"/>
      <c r="M105" s="33"/>
      <c r="N105" s="33"/>
      <c r="O105" s="12"/>
      <c r="P105" s="12"/>
      <c r="Q105" s="12"/>
      <c r="R105" s="34"/>
      <c r="S105" s="34"/>
      <c r="T105" s="30" t="str">
        <f aca="true">IF(OR(B105="",H105="Paid",H105="Not now",S105=""),"",IF(S105&lt;=TODAY(),"DUE",""))</f>
        <v/>
      </c>
      <c r="U105" s="12"/>
      <c r="V105" s="33"/>
      <c r="W105" s="12"/>
    </row>
    <row r="106" customFormat="false" ht="15" hidden="false" customHeight="false" outlineLevel="0" collapsed="false">
      <c r="A106" s="32" t="str">
        <f aca="false">IF(B106="","",ROW()-4)</f>
        <v/>
      </c>
      <c r="B106" s="12"/>
      <c r="C106" s="12"/>
      <c r="D106" s="12"/>
      <c r="E106" s="12"/>
      <c r="F106" s="12"/>
      <c r="G106" s="12"/>
      <c r="H106" s="33"/>
      <c r="I106" s="33"/>
      <c r="J106" s="8"/>
      <c r="K106" s="8"/>
      <c r="L106" s="33"/>
      <c r="M106" s="33"/>
      <c r="N106" s="33"/>
      <c r="O106" s="12"/>
      <c r="P106" s="12"/>
      <c r="Q106" s="12"/>
      <c r="R106" s="34"/>
      <c r="S106" s="34"/>
      <c r="T106" s="30" t="str">
        <f aca="true">IF(OR(B106="",H106="Paid",H106="Not now",S106=""),"",IF(S106&lt;=TODAY(),"DUE",""))</f>
        <v/>
      </c>
      <c r="U106" s="12"/>
      <c r="V106" s="33"/>
      <c r="W106" s="12"/>
    </row>
    <row r="107" customFormat="false" ht="15" hidden="false" customHeight="false" outlineLevel="0" collapsed="false">
      <c r="A107" s="32" t="str">
        <f aca="false">IF(B107="","",ROW()-4)</f>
        <v/>
      </c>
      <c r="B107" s="12"/>
      <c r="C107" s="12"/>
      <c r="D107" s="12"/>
      <c r="E107" s="12"/>
      <c r="F107" s="12"/>
      <c r="G107" s="12"/>
      <c r="H107" s="33"/>
      <c r="I107" s="33"/>
      <c r="J107" s="8"/>
      <c r="K107" s="8"/>
      <c r="L107" s="33"/>
      <c r="M107" s="33"/>
      <c r="N107" s="33"/>
      <c r="O107" s="12"/>
      <c r="P107" s="12"/>
      <c r="Q107" s="12"/>
      <c r="R107" s="34"/>
      <c r="S107" s="34"/>
      <c r="T107" s="30" t="str">
        <f aca="true">IF(OR(B107="",H107="Paid",H107="Not now",S107=""),"",IF(S107&lt;=TODAY(),"DUE",""))</f>
        <v/>
      </c>
      <c r="U107" s="12"/>
      <c r="V107" s="33"/>
      <c r="W107" s="12"/>
    </row>
    <row r="108" customFormat="false" ht="15" hidden="false" customHeight="false" outlineLevel="0" collapsed="false">
      <c r="A108" s="32" t="str">
        <f aca="false">IF(B108="","",ROW()-4)</f>
        <v/>
      </c>
      <c r="B108" s="12"/>
      <c r="C108" s="12"/>
      <c r="D108" s="12"/>
      <c r="E108" s="12"/>
      <c r="F108" s="12"/>
      <c r="G108" s="12"/>
      <c r="H108" s="33"/>
      <c r="I108" s="33"/>
      <c r="J108" s="8"/>
      <c r="K108" s="8"/>
      <c r="L108" s="33"/>
      <c r="M108" s="33"/>
      <c r="N108" s="33"/>
      <c r="O108" s="12"/>
      <c r="P108" s="12"/>
      <c r="Q108" s="12"/>
      <c r="R108" s="34"/>
      <c r="S108" s="34"/>
      <c r="T108" s="30" t="str">
        <f aca="true">IF(OR(B108="",H108="Paid",H108="Not now",S108=""),"",IF(S108&lt;=TODAY(),"DUE",""))</f>
        <v/>
      </c>
      <c r="U108" s="12"/>
      <c r="V108" s="33"/>
      <c r="W108" s="12"/>
    </row>
    <row r="109" customFormat="false" ht="15" hidden="false" customHeight="false" outlineLevel="0" collapsed="false">
      <c r="A109" s="32" t="str">
        <f aca="false">IF(B109="","",ROW()-4)</f>
        <v/>
      </c>
      <c r="B109" s="12"/>
      <c r="C109" s="12"/>
      <c r="D109" s="12"/>
      <c r="E109" s="12"/>
      <c r="F109" s="12"/>
      <c r="G109" s="12"/>
      <c r="H109" s="33"/>
      <c r="I109" s="33"/>
      <c r="J109" s="8"/>
      <c r="K109" s="8"/>
      <c r="L109" s="33"/>
      <c r="M109" s="33"/>
      <c r="N109" s="33"/>
      <c r="O109" s="12"/>
      <c r="P109" s="12"/>
      <c r="Q109" s="12"/>
      <c r="R109" s="34"/>
      <c r="S109" s="34"/>
      <c r="T109" s="30" t="str">
        <f aca="true">IF(OR(B109="",H109="Paid",H109="Not now",S109=""),"",IF(S109&lt;=TODAY(),"DUE",""))</f>
        <v/>
      </c>
      <c r="U109" s="12"/>
      <c r="V109" s="33"/>
      <c r="W109" s="12"/>
    </row>
    <row r="110" customFormat="false" ht="15" hidden="false" customHeight="false" outlineLevel="0" collapsed="false">
      <c r="A110" s="32" t="str">
        <f aca="false">IF(B110="","",ROW()-4)</f>
        <v/>
      </c>
      <c r="B110" s="12"/>
      <c r="C110" s="12"/>
      <c r="D110" s="12"/>
      <c r="E110" s="12"/>
      <c r="F110" s="12"/>
      <c r="G110" s="12"/>
      <c r="H110" s="33"/>
      <c r="I110" s="33"/>
      <c r="J110" s="8"/>
      <c r="K110" s="8"/>
      <c r="L110" s="33"/>
      <c r="M110" s="33"/>
      <c r="N110" s="33"/>
      <c r="O110" s="12"/>
      <c r="P110" s="12"/>
      <c r="Q110" s="12"/>
      <c r="R110" s="34"/>
      <c r="S110" s="34"/>
      <c r="T110" s="30" t="str">
        <f aca="true">IF(OR(B110="",H110="Paid",H110="Not now",S110=""),"",IF(S110&lt;=TODAY(),"DUE",""))</f>
        <v/>
      </c>
      <c r="U110" s="12"/>
      <c r="V110" s="33"/>
      <c r="W110" s="12"/>
    </row>
    <row r="111" customFormat="false" ht="15" hidden="false" customHeight="false" outlineLevel="0" collapsed="false">
      <c r="A111" s="32" t="str">
        <f aca="false">IF(B111="","",ROW()-4)</f>
        <v/>
      </c>
      <c r="B111" s="12"/>
      <c r="C111" s="12"/>
      <c r="D111" s="12"/>
      <c r="E111" s="12"/>
      <c r="F111" s="12"/>
      <c r="G111" s="12"/>
      <c r="H111" s="33"/>
      <c r="I111" s="33"/>
      <c r="J111" s="8"/>
      <c r="K111" s="8"/>
      <c r="L111" s="33"/>
      <c r="M111" s="33"/>
      <c r="N111" s="33"/>
      <c r="O111" s="12"/>
      <c r="P111" s="12"/>
      <c r="Q111" s="12"/>
      <c r="R111" s="34"/>
      <c r="S111" s="34"/>
      <c r="T111" s="30" t="str">
        <f aca="true">IF(OR(B111="",H111="Paid",H111="Not now",S111=""),"",IF(S111&lt;=TODAY(),"DUE",""))</f>
        <v/>
      </c>
      <c r="U111" s="12"/>
      <c r="V111" s="33"/>
      <c r="W111" s="12"/>
    </row>
    <row r="112" customFormat="false" ht="15" hidden="false" customHeight="false" outlineLevel="0" collapsed="false">
      <c r="A112" s="32" t="str">
        <f aca="false">IF(B112="","",ROW()-4)</f>
        <v/>
      </c>
      <c r="B112" s="12"/>
      <c r="C112" s="12"/>
      <c r="D112" s="12"/>
      <c r="E112" s="12"/>
      <c r="F112" s="12"/>
      <c r="G112" s="12"/>
      <c r="H112" s="33"/>
      <c r="I112" s="33"/>
      <c r="J112" s="8"/>
      <c r="K112" s="8"/>
      <c r="L112" s="33"/>
      <c r="M112" s="33"/>
      <c r="N112" s="33"/>
      <c r="O112" s="12"/>
      <c r="P112" s="12"/>
      <c r="Q112" s="12"/>
      <c r="R112" s="34"/>
      <c r="S112" s="34"/>
      <c r="T112" s="30" t="str">
        <f aca="true">IF(OR(B112="",H112="Paid",H112="Not now",S112=""),"",IF(S112&lt;=TODAY(),"DUE",""))</f>
        <v/>
      </c>
      <c r="U112" s="12"/>
      <c r="V112" s="33"/>
      <c r="W112" s="12"/>
    </row>
    <row r="113" customFormat="false" ht="15" hidden="false" customHeight="false" outlineLevel="0" collapsed="false">
      <c r="A113" s="32" t="str">
        <f aca="false">IF(B113="","",ROW()-4)</f>
        <v/>
      </c>
      <c r="B113" s="12"/>
      <c r="C113" s="12"/>
      <c r="D113" s="12"/>
      <c r="E113" s="12"/>
      <c r="F113" s="12"/>
      <c r="G113" s="12"/>
      <c r="H113" s="33"/>
      <c r="I113" s="33"/>
      <c r="J113" s="8"/>
      <c r="K113" s="8"/>
      <c r="L113" s="33"/>
      <c r="M113" s="33"/>
      <c r="N113" s="33"/>
      <c r="O113" s="12"/>
      <c r="P113" s="12"/>
      <c r="Q113" s="12"/>
      <c r="R113" s="34"/>
      <c r="S113" s="34"/>
      <c r="T113" s="30" t="str">
        <f aca="true">IF(OR(B113="",H113="Paid",H113="Not now",S113=""),"",IF(S113&lt;=TODAY(),"DUE",""))</f>
        <v/>
      </c>
      <c r="U113" s="12"/>
      <c r="V113" s="33"/>
      <c r="W113" s="12"/>
    </row>
    <row r="114" customFormat="false" ht="15" hidden="false" customHeight="false" outlineLevel="0" collapsed="false">
      <c r="A114" s="32" t="str">
        <f aca="false">IF(B114="","",ROW()-4)</f>
        <v/>
      </c>
      <c r="B114" s="12"/>
      <c r="C114" s="12"/>
      <c r="D114" s="12"/>
      <c r="E114" s="12"/>
      <c r="F114" s="12"/>
      <c r="G114" s="12"/>
      <c r="H114" s="33"/>
      <c r="I114" s="33"/>
      <c r="J114" s="8"/>
      <c r="K114" s="8"/>
      <c r="L114" s="33"/>
      <c r="M114" s="33"/>
      <c r="N114" s="33"/>
      <c r="O114" s="12"/>
      <c r="P114" s="12"/>
      <c r="Q114" s="12"/>
      <c r="R114" s="34"/>
      <c r="S114" s="34"/>
      <c r="T114" s="30" t="str">
        <f aca="true">IF(OR(B114="",H114="Paid",H114="Not now",S114=""),"",IF(S114&lt;=TODAY(),"DUE",""))</f>
        <v/>
      </c>
      <c r="U114" s="12"/>
      <c r="V114" s="33"/>
      <c r="W114" s="12"/>
    </row>
    <row r="115" customFormat="false" ht="15" hidden="false" customHeight="false" outlineLevel="0" collapsed="false">
      <c r="A115" s="32" t="str">
        <f aca="false">IF(B115="","",ROW()-4)</f>
        <v/>
      </c>
      <c r="B115" s="12"/>
      <c r="C115" s="12"/>
      <c r="D115" s="12"/>
      <c r="E115" s="12"/>
      <c r="F115" s="12"/>
      <c r="G115" s="12"/>
      <c r="H115" s="33"/>
      <c r="I115" s="33"/>
      <c r="J115" s="8"/>
      <c r="K115" s="8"/>
      <c r="L115" s="33"/>
      <c r="M115" s="33"/>
      <c r="N115" s="33"/>
      <c r="O115" s="12"/>
      <c r="P115" s="12"/>
      <c r="Q115" s="12"/>
      <c r="R115" s="34"/>
      <c r="S115" s="34"/>
      <c r="T115" s="30" t="str">
        <f aca="true">IF(OR(B115="",H115="Paid",H115="Not now",S115=""),"",IF(S115&lt;=TODAY(),"DUE",""))</f>
        <v/>
      </c>
      <c r="U115" s="12"/>
      <c r="V115" s="33"/>
      <c r="W115" s="12"/>
    </row>
    <row r="116" customFormat="false" ht="15" hidden="false" customHeight="false" outlineLevel="0" collapsed="false">
      <c r="A116" s="32" t="str">
        <f aca="false">IF(B116="","",ROW()-4)</f>
        <v/>
      </c>
      <c r="B116" s="12"/>
      <c r="C116" s="12"/>
      <c r="D116" s="12"/>
      <c r="E116" s="12"/>
      <c r="F116" s="12"/>
      <c r="G116" s="12"/>
      <c r="H116" s="33"/>
      <c r="I116" s="33"/>
      <c r="J116" s="8"/>
      <c r="K116" s="8"/>
      <c r="L116" s="33"/>
      <c r="M116" s="33"/>
      <c r="N116" s="33"/>
      <c r="O116" s="12"/>
      <c r="P116" s="12"/>
      <c r="Q116" s="12"/>
      <c r="R116" s="34"/>
      <c r="S116" s="34"/>
      <c r="T116" s="30" t="str">
        <f aca="true">IF(OR(B116="",H116="Paid",H116="Not now",S116=""),"",IF(S116&lt;=TODAY(),"DUE",""))</f>
        <v/>
      </c>
      <c r="U116" s="12"/>
      <c r="V116" s="33"/>
      <c r="W116" s="12"/>
    </row>
    <row r="117" customFormat="false" ht="15" hidden="false" customHeight="false" outlineLevel="0" collapsed="false">
      <c r="A117" s="32" t="str">
        <f aca="false">IF(B117="","",ROW()-4)</f>
        <v/>
      </c>
      <c r="B117" s="12"/>
      <c r="C117" s="12"/>
      <c r="D117" s="12"/>
      <c r="E117" s="12"/>
      <c r="F117" s="12"/>
      <c r="G117" s="12"/>
      <c r="H117" s="33"/>
      <c r="I117" s="33"/>
      <c r="J117" s="8"/>
      <c r="K117" s="8"/>
      <c r="L117" s="33"/>
      <c r="M117" s="33"/>
      <c r="N117" s="33"/>
      <c r="O117" s="12"/>
      <c r="P117" s="12"/>
      <c r="Q117" s="12"/>
      <c r="R117" s="34"/>
      <c r="S117" s="34"/>
      <c r="T117" s="30" t="str">
        <f aca="true">IF(OR(B117="",H117="Paid",H117="Not now",S117=""),"",IF(S117&lt;=TODAY(),"DUE",""))</f>
        <v/>
      </c>
      <c r="U117" s="12"/>
      <c r="V117" s="33"/>
      <c r="W117" s="12"/>
    </row>
    <row r="118" customFormat="false" ht="15" hidden="false" customHeight="false" outlineLevel="0" collapsed="false">
      <c r="A118" s="32" t="str">
        <f aca="false">IF(B118="","",ROW()-4)</f>
        <v/>
      </c>
      <c r="B118" s="12"/>
      <c r="C118" s="12"/>
      <c r="D118" s="12"/>
      <c r="E118" s="12"/>
      <c r="F118" s="12"/>
      <c r="G118" s="12"/>
      <c r="H118" s="33"/>
      <c r="I118" s="33"/>
      <c r="J118" s="8"/>
      <c r="K118" s="8"/>
      <c r="L118" s="33"/>
      <c r="M118" s="33"/>
      <c r="N118" s="33"/>
      <c r="O118" s="12"/>
      <c r="P118" s="12"/>
      <c r="Q118" s="12"/>
      <c r="R118" s="34"/>
      <c r="S118" s="34"/>
      <c r="T118" s="30" t="str">
        <f aca="true">IF(OR(B118="",H118="Paid",H118="Not now",S118=""),"",IF(S118&lt;=TODAY(),"DUE",""))</f>
        <v/>
      </c>
      <c r="U118" s="12"/>
      <c r="V118" s="33"/>
      <c r="W118" s="12"/>
    </row>
    <row r="119" customFormat="false" ht="15" hidden="false" customHeight="false" outlineLevel="0" collapsed="false">
      <c r="A119" s="32" t="str">
        <f aca="false">IF(B119="","",ROW()-4)</f>
        <v/>
      </c>
      <c r="B119" s="12"/>
      <c r="C119" s="12"/>
      <c r="D119" s="12"/>
      <c r="E119" s="12"/>
      <c r="F119" s="12"/>
      <c r="G119" s="12"/>
      <c r="H119" s="33"/>
      <c r="I119" s="33"/>
      <c r="J119" s="8"/>
      <c r="K119" s="8"/>
      <c r="L119" s="33"/>
      <c r="M119" s="33"/>
      <c r="N119" s="33"/>
      <c r="O119" s="12"/>
      <c r="P119" s="12"/>
      <c r="Q119" s="12"/>
      <c r="R119" s="34"/>
      <c r="S119" s="34"/>
      <c r="T119" s="30" t="str">
        <f aca="true">IF(OR(B119="",H119="Paid",H119="Not now",S119=""),"",IF(S119&lt;=TODAY(),"DUE",""))</f>
        <v/>
      </c>
      <c r="U119" s="12"/>
      <c r="V119" s="33"/>
      <c r="W119" s="12"/>
    </row>
    <row r="120" customFormat="false" ht="15" hidden="false" customHeight="false" outlineLevel="0" collapsed="false">
      <c r="A120" s="32" t="str">
        <f aca="false">IF(B120="","",ROW()-4)</f>
        <v/>
      </c>
      <c r="B120" s="12"/>
      <c r="C120" s="12"/>
      <c r="D120" s="12"/>
      <c r="E120" s="12"/>
      <c r="F120" s="12"/>
      <c r="G120" s="12"/>
      <c r="H120" s="33"/>
      <c r="I120" s="33"/>
      <c r="J120" s="8"/>
      <c r="K120" s="8"/>
      <c r="L120" s="33"/>
      <c r="M120" s="33"/>
      <c r="N120" s="33"/>
      <c r="O120" s="12"/>
      <c r="P120" s="12"/>
      <c r="Q120" s="12"/>
      <c r="R120" s="34"/>
      <c r="S120" s="34"/>
      <c r="T120" s="30" t="str">
        <f aca="true">IF(OR(B120="",H120="Paid",H120="Not now",S120=""),"",IF(S120&lt;=TODAY(),"DUE",""))</f>
        <v/>
      </c>
      <c r="U120" s="12"/>
      <c r="V120" s="33"/>
      <c r="W120" s="12"/>
    </row>
    <row r="121" customFormat="false" ht="15" hidden="false" customHeight="false" outlineLevel="0" collapsed="false">
      <c r="A121" s="32" t="str">
        <f aca="false">IF(B121="","",ROW()-4)</f>
        <v/>
      </c>
      <c r="B121" s="12"/>
      <c r="C121" s="12"/>
      <c r="D121" s="12"/>
      <c r="E121" s="12"/>
      <c r="F121" s="12"/>
      <c r="G121" s="12"/>
      <c r="H121" s="33"/>
      <c r="I121" s="33"/>
      <c r="J121" s="8"/>
      <c r="K121" s="8"/>
      <c r="L121" s="33"/>
      <c r="M121" s="33"/>
      <c r="N121" s="33"/>
      <c r="O121" s="12"/>
      <c r="P121" s="12"/>
      <c r="Q121" s="12"/>
      <c r="R121" s="34"/>
      <c r="S121" s="34"/>
      <c r="T121" s="30" t="str">
        <f aca="true">IF(OR(B121="",H121="Paid",H121="Not now",S121=""),"",IF(S121&lt;=TODAY(),"DUE",""))</f>
        <v/>
      </c>
      <c r="U121" s="12"/>
      <c r="V121" s="33"/>
      <c r="W121" s="12"/>
    </row>
    <row r="122" customFormat="false" ht="15" hidden="false" customHeight="false" outlineLevel="0" collapsed="false">
      <c r="A122" s="32" t="str">
        <f aca="false">IF(B122="","",ROW()-4)</f>
        <v/>
      </c>
      <c r="B122" s="12"/>
      <c r="C122" s="12"/>
      <c r="D122" s="12"/>
      <c r="E122" s="12"/>
      <c r="F122" s="12"/>
      <c r="G122" s="12"/>
      <c r="H122" s="33"/>
      <c r="I122" s="33"/>
      <c r="J122" s="8"/>
      <c r="K122" s="8"/>
      <c r="L122" s="33"/>
      <c r="M122" s="33"/>
      <c r="N122" s="33"/>
      <c r="O122" s="12"/>
      <c r="P122" s="12"/>
      <c r="Q122" s="12"/>
      <c r="R122" s="34"/>
      <c r="S122" s="34"/>
      <c r="T122" s="30" t="str">
        <f aca="true">IF(OR(B122="",H122="Paid",H122="Not now",S122=""),"",IF(S122&lt;=TODAY(),"DUE",""))</f>
        <v/>
      </c>
      <c r="U122" s="12"/>
      <c r="V122" s="33"/>
      <c r="W122" s="12"/>
    </row>
    <row r="123" customFormat="false" ht="15" hidden="false" customHeight="false" outlineLevel="0" collapsed="false">
      <c r="A123" s="32" t="str">
        <f aca="false">IF(B123="","",ROW()-4)</f>
        <v/>
      </c>
      <c r="B123" s="12"/>
      <c r="C123" s="12"/>
      <c r="D123" s="12"/>
      <c r="E123" s="12"/>
      <c r="F123" s="12"/>
      <c r="G123" s="12"/>
      <c r="H123" s="33"/>
      <c r="I123" s="33"/>
      <c r="J123" s="8"/>
      <c r="K123" s="8"/>
      <c r="L123" s="33"/>
      <c r="M123" s="33"/>
      <c r="N123" s="33"/>
      <c r="O123" s="12"/>
      <c r="P123" s="12"/>
      <c r="Q123" s="12"/>
      <c r="R123" s="34"/>
      <c r="S123" s="34"/>
      <c r="T123" s="30" t="str">
        <f aca="true">IF(OR(B123="",H123="Paid",H123="Not now",S123=""),"",IF(S123&lt;=TODAY(),"DUE",""))</f>
        <v/>
      </c>
      <c r="U123" s="12"/>
      <c r="V123" s="33"/>
      <c r="W123" s="12"/>
    </row>
    <row r="124" customFormat="false" ht="15" hidden="false" customHeight="false" outlineLevel="0" collapsed="false">
      <c r="A124" s="32" t="str">
        <f aca="false">IF(B124="","",ROW()-4)</f>
        <v/>
      </c>
      <c r="B124" s="12"/>
      <c r="C124" s="12"/>
      <c r="D124" s="12"/>
      <c r="E124" s="12"/>
      <c r="F124" s="12"/>
      <c r="G124" s="12"/>
      <c r="H124" s="33"/>
      <c r="I124" s="33"/>
      <c r="J124" s="8"/>
      <c r="K124" s="8"/>
      <c r="L124" s="33"/>
      <c r="M124" s="33"/>
      <c r="N124" s="33"/>
      <c r="O124" s="12"/>
      <c r="P124" s="12"/>
      <c r="Q124" s="12"/>
      <c r="R124" s="34"/>
      <c r="S124" s="34"/>
      <c r="T124" s="30" t="str">
        <f aca="true">IF(OR(B124="",H124="Paid",H124="Not now",S124=""),"",IF(S124&lt;=TODAY(),"DUE",""))</f>
        <v/>
      </c>
      <c r="U124" s="12"/>
      <c r="V124" s="33"/>
      <c r="W124" s="12"/>
    </row>
    <row r="125" customFormat="false" ht="15" hidden="false" customHeight="false" outlineLevel="0" collapsed="false">
      <c r="A125" s="32" t="str">
        <f aca="false">IF(B125="","",ROW()-4)</f>
        <v/>
      </c>
      <c r="B125" s="12"/>
      <c r="C125" s="12"/>
      <c r="D125" s="12"/>
      <c r="E125" s="12"/>
      <c r="F125" s="12"/>
      <c r="G125" s="12"/>
      <c r="H125" s="33"/>
      <c r="I125" s="33"/>
      <c r="J125" s="8"/>
      <c r="K125" s="8"/>
      <c r="L125" s="33"/>
      <c r="M125" s="33"/>
      <c r="N125" s="33"/>
      <c r="O125" s="12"/>
      <c r="P125" s="12"/>
      <c r="Q125" s="12"/>
      <c r="R125" s="34"/>
      <c r="S125" s="34"/>
      <c r="T125" s="30" t="str">
        <f aca="true">IF(OR(B125="",H125="Paid",H125="Not now",S125=""),"",IF(S125&lt;=TODAY(),"DUE",""))</f>
        <v/>
      </c>
      <c r="U125" s="12"/>
      <c r="V125" s="33"/>
      <c r="W125" s="12"/>
    </row>
    <row r="126" customFormat="false" ht="15" hidden="false" customHeight="false" outlineLevel="0" collapsed="false">
      <c r="A126" s="32" t="str">
        <f aca="false">IF(B126="","",ROW()-4)</f>
        <v/>
      </c>
      <c r="B126" s="12"/>
      <c r="C126" s="12"/>
      <c r="D126" s="12"/>
      <c r="E126" s="12"/>
      <c r="F126" s="12"/>
      <c r="G126" s="12"/>
      <c r="H126" s="33"/>
      <c r="I126" s="33"/>
      <c r="J126" s="8"/>
      <c r="K126" s="8"/>
      <c r="L126" s="33"/>
      <c r="M126" s="33"/>
      <c r="N126" s="33"/>
      <c r="O126" s="12"/>
      <c r="P126" s="12"/>
      <c r="Q126" s="12"/>
      <c r="R126" s="34"/>
      <c r="S126" s="34"/>
      <c r="T126" s="30" t="str">
        <f aca="true">IF(OR(B126="",H126="Paid",H126="Not now",S126=""),"",IF(S126&lt;=TODAY(),"DUE",""))</f>
        <v/>
      </c>
      <c r="U126" s="12"/>
      <c r="V126" s="33"/>
      <c r="W126" s="12"/>
    </row>
    <row r="127" customFormat="false" ht="15" hidden="false" customHeight="false" outlineLevel="0" collapsed="false">
      <c r="A127" s="32" t="str">
        <f aca="false">IF(B127="","",ROW()-4)</f>
        <v/>
      </c>
      <c r="B127" s="12"/>
      <c r="C127" s="12"/>
      <c r="D127" s="12"/>
      <c r="E127" s="12"/>
      <c r="F127" s="12"/>
      <c r="G127" s="12"/>
      <c r="H127" s="33"/>
      <c r="I127" s="33"/>
      <c r="J127" s="8"/>
      <c r="K127" s="8"/>
      <c r="L127" s="33"/>
      <c r="M127" s="33"/>
      <c r="N127" s="33"/>
      <c r="O127" s="12"/>
      <c r="P127" s="12"/>
      <c r="Q127" s="12"/>
      <c r="R127" s="34"/>
      <c r="S127" s="34"/>
      <c r="T127" s="30" t="str">
        <f aca="true">IF(OR(B127="",H127="Paid",H127="Not now",S127=""),"",IF(S127&lt;=TODAY(),"DUE",""))</f>
        <v/>
      </c>
      <c r="U127" s="12"/>
      <c r="V127" s="33"/>
      <c r="W127" s="12"/>
    </row>
    <row r="128" customFormat="false" ht="15" hidden="false" customHeight="false" outlineLevel="0" collapsed="false">
      <c r="A128" s="32" t="str">
        <f aca="false">IF(B128="","",ROW()-4)</f>
        <v/>
      </c>
      <c r="B128" s="12"/>
      <c r="C128" s="12"/>
      <c r="D128" s="12"/>
      <c r="E128" s="12"/>
      <c r="F128" s="12"/>
      <c r="G128" s="12"/>
      <c r="H128" s="33"/>
      <c r="I128" s="33"/>
      <c r="J128" s="8"/>
      <c r="K128" s="8"/>
      <c r="L128" s="33"/>
      <c r="M128" s="33"/>
      <c r="N128" s="33"/>
      <c r="O128" s="12"/>
      <c r="P128" s="12"/>
      <c r="Q128" s="12"/>
      <c r="R128" s="34"/>
      <c r="S128" s="34"/>
      <c r="T128" s="30" t="str">
        <f aca="true">IF(OR(B128="",H128="Paid",H128="Not now",S128=""),"",IF(S128&lt;=TODAY(),"DUE",""))</f>
        <v/>
      </c>
      <c r="U128" s="12"/>
      <c r="V128" s="33"/>
      <c r="W128" s="12"/>
    </row>
    <row r="129" customFormat="false" ht="15" hidden="false" customHeight="false" outlineLevel="0" collapsed="false">
      <c r="A129" s="32" t="str">
        <f aca="false">IF(B129="","",ROW()-4)</f>
        <v/>
      </c>
      <c r="B129" s="12"/>
      <c r="C129" s="12"/>
      <c r="D129" s="12"/>
      <c r="E129" s="12"/>
      <c r="F129" s="12"/>
      <c r="G129" s="12"/>
      <c r="H129" s="33"/>
      <c r="I129" s="33"/>
      <c r="J129" s="8"/>
      <c r="K129" s="8"/>
      <c r="L129" s="33"/>
      <c r="M129" s="33"/>
      <c r="N129" s="33"/>
      <c r="O129" s="12"/>
      <c r="P129" s="12"/>
      <c r="Q129" s="12"/>
      <c r="R129" s="34"/>
      <c r="S129" s="34"/>
      <c r="T129" s="30" t="str">
        <f aca="true">IF(OR(B129="",H129="Paid",H129="Not now",S129=""),"",IF(S129&lt;=TODAY(),"DUE",""))</f>
        <v/>
      </c>
      <c r="U129" s="12"/>
      <c r="V129" s="33"/>
      <c r="W129" s="12"/>
    </row>
    <row r="130" customFormat="false" ht="15" hidden="false" customHeight="false" outlineLevel="0" collapsed="false">
      <c r="A130" s="32" t="str">
        <f aca="false">IF(B130="","",ROW()-4)</f>
        <v/>
      </c>
      <c r="B130" s="12"/>
      <c r="C130" s="12"/>
      <c r="D130" s="12"/>
      <c r="E130" s="12"/>
      <c r="F130" s="12"/>
      <c r="G130" s="12"/>
      <c r="H130" s="33"/>
      <c r="I130" s="33"/>
      <c r="J130" s="8"/>
      <c r="K130" s="8"/>
      <c r="L130" s="33"/>
      <c r="M130" s="33"/>
      <c r="N130" s="33"/>
      <c r="O130" s="12"/>
      <c r="P130" s="12"/>
      <c r="Q130" s="12"/>
      <c r="R130" s="34"/>
      <c r="S130" s="34"/>
      <c r="T130" s="30" t="str">
        <f aca="true">IF(OR(B130="",H130="Paid",H130="Not now",S130=""),"",IF(S130&lt;=TODAY(),"DUE",""))</f>
        <v/>
      </c>
      <c r="U130" s="12"/>
      <c r="V130" s="33"/>
      <c r="W130" s="12"/>
    </row>
    <row r="131" customFormat="false" ht="15" hidden="false" customHeight="false" outlineLevel="0" collapsed="false">
      <c r="A131" s="32" t="str">
        <f aca="false">IF(B131="","",ROW()-4)</f>
        <v/>
      </c>
      <c r="B131" s="12"/>
      <c r="C131" s="12"/>
      <c r="D131" s="12"/>
      <c r="E131" s="12"/>
      <c r="F131" s="12"/>
      <c r="G131" s="12"/>
      <c r="H131" s="33"/>
      <c r="I131" s="33"/>
      <c r="J131" s="8"/>
      <c r="K131" s="8"/>
      <c r="L131" s="33"/>
      <c r="M131" s="33"/>
      <c r="N131" s="33"/>
      <c r="O131" s="12"/>
      <c r="P131" s="12"/>
      <c r="Q131" s="12"/>
      <c r="R131" s="34"/>
      <c r="S131" s="34"/>
      <c r="T131" s="30" t="str">
        <f aca="true">IF(OR(B131="",H131="Paid",H131="Not now",S131=""),"",IF(S131&lt;=TODAY(),"DUE",""))</f>
        <v/>
      </c>
      <c r="U131" s="12"/>
      <c r="V131" s="33"/>
      <c r="W131" s="12"/>
    </row>
    <row r="132" customFormat="false" ht="15" hidden="false" customHeight="false" outlineLevel="0" collapsed="false">
      <c r="A132" s="32" t="str">
        <f aca="false">IF(B132="","",ROW()-4)</f>
        <v/>
      </c>
      <c r="B132" s="12"/>
      <c r="C132" s="12"/>
      <c r="D132" s="12"/>
      <c r="E132" s="12"/>
      <c r="F132" s="12"/>
      <c r="G132" s="12"/>
      <c r="H132" s="33"/>
      <c r="I132" s="33"/>
      <c r="J132" s="8"/>
      <c r="K132" s="8"/>
      <c r="L132" s="33"/>
      <c r="M132" s="33"/>
      <c r="N132" s="33"/>
      <c r="O132" s="12"/>
      <c r="P132" s="12"/>
      <c r="Q132" s="12"/>
      <c r="R132" s="34"/>
      <c r="S132" s="34"/>
      <c r="T132" s="30" t="str">
        <f aca="true">IF(OR(B132="",H132="Paid",H132="Not now",S132=""),"",IF(S132&lt;=TODAY(),"DUE",""))</f>
        <v/>
      </c>
      <c r="U132" s="12"/>
      <c r="V132" s="33"/>
      <c r="W132" s="12"/>
    </row>
    <row r="133" customFormat="false" ht="15" hidden="false" customHeight="false" outlineLevel="0" collapsed="false">
      <c r="A133" s="32" t="str">
        <f aca="false">IF(B133="","",ROW()-4)</f>
        <v/>
      </c>
      <c r="B133" s="12"/>
      <c r="C133" s="12"/>
      <c r="D133" s="12"/>
      <c r="E133" s="12"/>
      <c r="F133" s="12"/>
      <c r="G133" s="12"/>
      <c r="H133" s="33"/>
      <c r="I133" s="33"/>
      <c r="J133" s="8"/>
      <c r="K133" s="8"/>
      <c r="L133" s="33"/>
      <c r="M133" s="33"/>
      <c r="N133" s="33"/>
      <c r="O133" s="12"/>
      <c r="P133" s="12"/>
      <c r="Q133" s="12"/>
      <c r="R133" s="34"/>
      <c r="S133" s="34"/>
      <c r="T133" s="30" t="str">
        <f aca="true">IF(OR(B133="",H133="Paid",H133="Not now",S133=""),"",IF(S133&lt;=TODAY(),"DUE",""))</f>
        <v/>
      </c>
      <c r="U133" s="12"/>
      <c r="V133" s="33"/>
      <c r="W133" s="12"/>
    </row>
    <row r="134" customFormat="false" ht="15" hidden="false" customHeight="false" outlineLevel="0" collapsed="false">
      <c r="A134" s="32" t="str">
        <f aca="false">IF(B134="","",ROW()-4)</f>
        <v/>
      </c>
      <c r="B134" s="12"/>
      <c r="C134" s="12"/>
      <c r="D134" s="12"/>
      <c r="E134" s="12"/>
      <c r="F134" s="12"/>
      <c r="G134" s="12"/>
      <c r="H134" s="33"/>
      <c r="I134" s="33"/>
      <c r="J134" s="8"/>
      <c r="K134" s="8"/>
      <c r="L134" s="33"/>
      <c r="M134" s="33"/>
      <c r="N134" s="33"/>
      <c r="O134" s="12"/>
      <c r="P134" s="12"/>
      <c r="Q134" s="12"/>
      <c r="R134" s="34"/>
      <c r="S134" s="34"/>
      <c r="T134" s="30" t="str">
        <f aca="true">IF(OR(B134="",H134="Paid",H134="Not now",S134=""),"",IF(S134&lt;=TODAY(),"DUE",""))</f>
        <v/>
      </c>
      <c r="U134" s="12"/>
      <c r="V134" s="33"/>
      <c r="W134" s="12"/>
    </row>
    <row r="135" customFormat="false" ht="15" hidden="false" customHeight="false" outlineLevel="0" collapsed="false">
      <c r="A135" s="32" t="str">
        <f aca="false">IF(B135="","",ROW()-4)</f>
        <v/>
      </c>
      <c r="B135" s="12"/>
      <c r="C135" s="12"/>
      <c r="D135" s="12"/>
      <c r="E135" s="12"/>
      <c r="F135" s="12"/>
      <c r="G135" s="12"/>
      <c r="H135" s="33"/>
      <c r="I135" s="33"/>
      <c r="J135" s="8"/>
      <c r="K135" s="8"/>
      <c r="L135" s="33"/>
      <c r="M135" s="33"/>
      <c r="N135" s="33"/>
      <c r="O135" s="12"/>
      <c r="P135" s="12"/>
      <c r="Q135" s="12"/>
      <c r="R135" s="34"/>
      <c r="S135" s="34"/>
      <c r="T135" s="30" t="str">
        <f aca="true">IF(OR(B135="",H135="Paid",H135="Not now",S135=""),"",IF(S135&lt;=TODAY(),"DUE",""))</f>
        <v/>
      </c>
      <c r="U135" s="12"/>
      <c r="V135" s="33"/>
      <c r="W135" s="12"/>
    </row>
    <row r="136" customFormat="false" ht="15" hidden="false" customHeight="false" outlineLevel="0" collapsed="false">
      <c r="A136" s="32" t="str">
        <f aca="false">IF(B136="","",ROW()-4)</f>
        <v/>
      </c>
      <c r="B136" s="12"/>
      <c r="C136" s="12"/>
      <c r="D136" s="12"/>
      <c r="E136" s="12"/>
      <c r="F136" s="12"/>
      <c r="G136" s="12"/>
      <c r="H136" s="33"/>
      <c r="I136" s="33"/>
      <c r="J136" s="8"/>
      <c r="K136" s="8"/>
      <c r="L136" s="33"/>
      <c r="M136" s="33"/>
      <c r="N136" s="33"/>
      <c r="O136" s="12"/>
      <c r="P136" s="12"/>
      <c r="Q136" s="12"/>
      <c r="R136" s="34"/>
      <c r="S136" s="34"/>
      <c r="T136" s="30" t="str">
        <f aca="true">IF(OR(B136="",H136="Paid",H136="Not now",S136=""),"",IF(S136&lt;=TODAY(),"DUE",""))</f>
        <v/>
      </c>
      <c r="U136" s="12"/>
      <c r="V136" s="33"/>
      <c r="W136" s="12"/>
    </row>
    <row r="137" customFormat="false" ht="15" hidden="false" customHeight="false" outlineLevel="0" collapsed="false">
      <c r="A137" s="32" t="str">
        <f aca="false">IF(B137="","",ROW()-4)</f>
        <v/>
      </c>
      <c r="B137" s="12"/>
      <c r="C137" s="12"/>
      <c r="D137" s="12"/>
      <c r="E137" s="12"/>
      <c r="F137" s="12"/>
      <c r="G137" s="12"/>
      <c r="H137" s="33"/>
      <c r="I137" s="33"/>
      <c r="J137" s="8"/>
      <c r="K137" s="8"/>
      <c r="L137" s="33"/>
      <c r="M137" s="33"/>
      <c r="N137" s="33"/>
      <c r="O137" s="12"/>
      <c r="P137" s="12"/>
      <c r="Q137" s="12"/>
      <c r="R137" s="34"/>
      <c r="S137" s="34"/>
      <c r="T137" s="30" t="str">
        <f aca="true">IF(OR(B137="",H137="Paid",H137="Not now",S137=""),"",IF(S137&lt;=TODAY(),"DUE",""))</f>
        <v/>
      </c>
      <c r="U137" s="12"/>
      <c r="V137" s="33"/>
      <c r="W137" s="12"/>
    </row>
    <row r="138" customFormat="false" ht="15" hidden="false" customHeight="false" outlineLevel="0" collapsed="false">
      <c r="A138" s="32" t="str">
        <f aca="false">IF(B138="","",ROW()-4)</f>
        <v/>
      </c>
      <c r="B138" s="12"/>
      <c r="C138" s="12"/>
      <c r="D138" s="12"/>
      <c r="E138" s="12"/>
      <c r="F138" s="12"/>
      <c r="G138" s="12"/>
      <c r="H138" s="33"/>
      <c r="I138" s="33"/>
      <c r="J138" s="8"/>
      <c r="K138" s="8"/>
      <c r="L138" s="33"/>
      <c r="M138" s="33"/>
      <c r="N138" s="33"/>
      <c r="O138" s="12"/>
      <c r="P138" s="12"/>
      <c r="Q138" s="12"/>
      <c r="R138" s="34"/>
      <c r="S138" s="34"/>
      <c r="T138" s="30" t="str">
        <f aca="true">IF(OR(B138="",H138="Paid",H138="Not now",S138=""),"",IF(S138&lt;=TODAY(),"DUE",""))</f>
        <v/>
      </c>
      <c r="U138" s="12"/>
      <c r="V138" s="33"/>
      <c r="W138" s="12"/>
    </row>
    <row r="139" customFormat="false" ht="15" hidden="false" customHeight="false" outlineLevel="0" collapsed="false">
      <c r="A139" s="32" t="str">
        <f aca="false">IF(B139="","",ROW()-4)</f>
        <v/>
      </c>
      <c r="B139" s="12"/>
      <c r="C139" s="12"/>
      <c r="D139" s="12"/>
      <c r="E139" s="12"/>
      <c r="F139" s="12"/>
      <c r="G139" s="12"/>
      <c r="H139" s="33"/>
      <c r="I139" s="33"/>
      <c r="J139" s="8"/>
      <c r="K139" s="8"/>
      <c r="L139" s="33"/>
      <c r="M139" s="33"/>
      <c r="N139" s="33"/>
      <c r="O139" s="12"/>
      <c r="P139" s="12"/>
      <c r="Q139" s="12"/>
      <c r="R139" s="34"/>
      <c r="S139" s="34"/>
      <c r="T139" s="30" t="str">
        <f aca="true">IF(OR(B139="",H139="Paid",H139="Not now",S139=""),"",IF(S139&lt;=TODAY(),"DUE",""))</f>
        <v/>
      </c>
      <c r="U139" s="12"/>
      <c r="V139" s="33"/>
      <c r="W139" s="12"/>
    </row>
    <row r="140" customFormat="false" ht="15" hidden="false" customHeight="false" outlineLevel="0" collapsed="false">
      <c r="A140" s="32" t="str">
        <f aca="false">IF(B140="","",ROW()-4)</f>
        <v/>
      </c>
      <c r="B140" s="12"/>
      <c r="C140" s="12"/>
      <c r="D140" s="12"/>
      <c r="E140" s="12"/>
      <c r="F140" s="12"/>
      <c r="G140" s="12"/>
      <c r="H140" s="33"/>
      <c r="I140" s="33"/>
      <c r="J140" s="8"/>
      <c r="K140" s="8"/>
      <c r="L140" s="33"/>
      <c r="M140" s="33"/>
      <c r="N140" s="33"/>
      <c r="O140" s="12"/>
      <c r="P140" s="12"/>
      <c r="Q140" s="12"/>
      <c r="R140" s="34"/>
      <c r="S140" s="34"/>
      <c r="T140" s="30" t="str">
        <f aca="true">IF(OR(B140="",H140="Paid",H140="Not now",S140=""),"",IF(S140&lt;=TODAY(),"DUE",""))</f>
        <v/>
      </c>
      <c r="U140" s="12"/>
      <c r="V140" s="33"/>
      <c r="W140" s="12"/>
    </row>
    <row r="141" customFormat="false" ht="15" hidden="false" customHeight="false" outlineLevel="0" collapsed="false">
      <c r="A141" s="32" t="str">
        <f aca="false">IF(B141="","",ROW()-4)</f>
        <v/>
      </c>
      <c r="B141" s="12"/>
      <c r="C141" s="12"/>
      <c r="D141" s="12"/>
      <c r="E141" s="12"/>
      <c r="F141" s="12"/>
      <c r="G141" s="12"/>
      <c r="H141" s="33"/>
      <c r="I141" s="33"/>
      <c r="J141" s="8"/>
      <c r="K141" s="8"/>
      <c r="L141" s="33"/>
      <c r="M141" s="33"/>
      <c r="N141" s="33"/>
      <c r="O141" s="12"/>
      <c r="P141" s="12"/>
      <c r="Q141" s="12"/>
      <c r="R141" s="34"/>
      <c r="S141" s="34"/>
      <c r="T141" s="30" t="str">
        <f aca="true">IF(OR(B141="",H141="Paid",H141="Not now",S141=""),"",IF(S141&lt;=TODAY(),"DUE",""))</f>
        <v/>
      </c>
      <c r="U141" s="12"/>
      <c r="V141" s="33"/>
      <c r="W141" s="12"/>
    </row>
    <row r="142" customFormat="false" ht="15" hidden="false" customHeight="false" outlineLevel="0" collapsed="false">
      <c r="A142" s="32" t="str">
        <f aca="false">IF(B142="","",ROW()-4)</f>
        <v/>
      </c>
      <c r="B142" s="12"/>
      <c r="C142" s="12"/>
      <c r="D142" s="12"/>
      <c r="E142" s="12"/>
      <c r="F142" s="12"/>
      <c r="G142" s="12"/>
      <c r="H142" s="33"/>
      <c r="I142" s="33"/>
      <c r="J142" s="8"/>
      <c r="K142" s="8"/>
      <c r="L142" s="33"/>
      <c r="M142" s="33"/>
      <c r="N142" s="33"/>
      <c r="O142" s="12"/>
      <c r="P142" s="12"/>
      <c r="Q142" s="12"/>
      <c r="R142" s="34"/>
      <c r="S142" s="34"/>
      <c r="T142" s="30" t="str">
        <f aca="true">IF(OR(B142="",H142="Paid",H142="Not now",S142=""),"",IF(S142&lt;=TODAY(),"DUE",""))</f>
        <v/>
      </c>
      <c r="U142" s="12"/>
      <c r="V142" s="33"/>
      <c r="W142" s="12"/>
    </row>
    <row r="143" customFormat="false" ht="15" hidden="false" customHeight="false" outlineLevel="0" collapsed="false">
      <c r="A143" s="32" t="str">
        <f aca="false">IF(B143="","",ROW()-4)</f>
        <v/>
      </c>
      <c r="B143" s="12"/>
      <c r="C143" s="12"/>
      <c r="D143" s="12"/>
      <c r="E143" s="12"/>
      <c r="F143" s="12"/>
      <c r="G143" s="12"/>
      <c r="H143" s="33"/>
      <c r="I143" s="33"/>
      <c r="J143" s="8"/>
      <c r="K143" s="8"/>
      <c r="L143" s="33"/>
      <c r="M143" s="33"/>
      <c r="N143" s="33"/>
      <c r="O143" s="12"/>
      <c r="P143" s="12"/>
      <c r="Q143" s="12"/>
      <c r="R143" s="34"/>
      <c r="S143" s="34"/>
      <c r="T143" s="30" t="str">
        <f aca="true">IF(OR(B143="",H143="Paid",H143="Not now",S143=""),"",IF(S143&lt;=TODAY(),"DUE",""))</f>
        <v/>
      </c>
      <c r="U143" s="12"/>
      <c r="V143" s="33"/>
      <c r="W143" s="12"/>
    </row>
    <row r="144" customFormat="false" ht="15" hidden="false" customHeight="false" outlineLevel="0" collapsed="false">
      <c r="A144" s="32" t="str">
        <f aca="false">IF(B144="","",ROW()-4)</f>
        <v/>
      </c>
      <c r="B144" s="12"/>
      <c r="C144" s="12"/>
      <c r="D144" s="12"/>
      <c r="E144" s="12"/>
      <c r="F144" s="12"/>
      <c r="G144" s="12"/>
      <c r="H144" s="33"/>
      <c r="I144" s="33"/>
      <c r="J144" s="8"/>
      <c r="K144" s="8"/>
      <c r="L144" s="33"/>
      <c r="M144" s="33"/>
      <c r="N144" s="33"/>
      <c r="O144" s="12"/>
      <c r="P144" s="12"/>
      <c r="Q144" s="12"/>
      <c r="R144" s="34"/>
      <c r="S144" s="34"/>
      <c r="T144" s="30" t="str">
        <f aca="true">IF(OR(B144="",H144="Paid",H144="Not now",S144=""),"",IF(S144&lt;=TODAY(),"DUE",""))</f>
        <v/>
      </c>
      <c r="U144" s="12"/>
      <c r="V144" s="33"/>
      <c r="W144" s="12"/>
    </row>
    <row r="145" customFormat="false" ht="15" hidden="false" customHeight="false" outlineLevel="0" collapsed="false">
      <c r="A145" s="32" t="str">
        <f aca="false">IF(B145="","",ROW()-4)</f>
        <v/>
      </c>
      <c r="B145" s="12"/>
      <c r="C145" s="12"/>
      <c r="D145" s="12"/>
      <c r="E145" s="12"/>
      <c r="F145" s="12"/>
      <c r="G145" s="12"/>
      <c r="H145" s="33"/>
      <c r="I145" s="33"/>
      <c r="J145" s="8"/>
      <c r="K145" s="8"/>
      <c r="L145" s="33"/>
      <c r="M145" s="33"/>
      <c r="N145" s="33"/>
      <c r="O145" s="12"/>
      <c r="P145" s="12"/>
      <c r="Q145" s="12"/>
      <c r="R145" s="34"/>
      <c r="S145" s="34"/>
      <c r="T145" s="30" t="str">
        <f aca="true">IF(OR(B145="",H145="Paid",H145="Not now",S145=""),"",IF(S145&lt;=TODAY(),"DUE",""))</f>
        <v/>
      </c>
      <c r="U145" s="12"/>
      <c r="V145" s="33"/>
      <c r="W145" s="12"/>
    </row>
    <row r="146" customFormat="false" ht="15" hidden="false" customHeight="false" outlineLevel="0" collapsed="false">
      <c r="A146" s="32" t="str">
        <f aca="false">IF(B146="","",ROW()-4)</f>
        <v/>
      </c>
      <c r="B146" s="12"/>
      <c r="C146" s="12"/>
      <c r="D146" s="12"/>
      <c r="E146" s="12"/>
      <c r="F146" s="12"/>
      <c r="G146" s="12"/>
      <c r="H146" s="33"/>
      <c r="I146" s="33"/>
      <c r="J146" s="8"/>
      <c r="K146" s="8"/>
      <c r="L146" s="33"/>
      <c r="M146" s="33"/>
      <c r="N146" s="33"/>
      <c r="O146" s="12"/>
      <c r="P146" s="12"/>
      <c r="Q146" s="12"/>
      <c r="R146" s="34"/>
      <c r="S146" s="34"/>
      <c r="T146" s="30" t="str">
        <f aca="true">IF(OR(B146="",H146="Paid",H146="Not now",S146=""),"",IF(S146&lt;=TODAY(),"DUE",""))</f>
        <v/>
      </c>
      <c r="U146" s="12"/>
      <c r="V146" s="33"/>
      <c r="W146" s="12"/>
    </row>
    <row r="147" customFormat="false" ht="15" hidden="false" customHeight="false" outlineLevel="0" collapsed="false">
      <c r="A147" s="32" t="str">
        <f aca="false">IF(B147="","",ROW()-4)</f>
        <v/>
      </c>
      <c r="B147" s="12"/>
      <c r="C147" s="12"/>
      <c r="D147" s="12"/>
      <c r="E147" s="12"/>
      <c r="F147" s="12"/>
      <c r="G147" s="12"/>
      <c r="H147" s="33"/>
      <c r="I147" s="33"/>
      <c r="J147" s="8"/>
      <c r="K147" s="8"/>
      <c r="L147" s="33"/>
      <c r="M147" s="33"/>
      <c r="N147" s="33"/>
      <c r="O147" s="12"/>
      <c r="P147" s="12"/>
      <c r="Q147" s="12"/>
      <c r="R147" s="34"/>
      <c r="S147" s="34"/>
      <c r="T147" s="30" t="str">
        <f aca="true">IF(OR(B147="",H147="Paid",H147="Not now",S147=""),"",IF(S147&lt;=TODAY(),"DUE",""))</f>
        <v/>
      </c>
      <c r="U147" s="12"/>
      <c r="V147" s="33"/>
      <c r="W147" s="12"/>
    </row>
    <row r="148" customFormat="false" ht="15" hidden="false" customHeight="false" outlineLevel="0" collapsed="false">
      <c r="A148" s="32" t="str">
        <f aca="false">IF(B148="","",ROW()-4)</f>
        <v/>
      </c>
      <c r="B148" s="12"/>
      <c r="C148" s="12"/>
      <c r="D148" s="12"/>
      <c r="E148" s="12"/>
      <c r="F148" s="12"/>
      <c r="G148" s="12"/>
      <c r="H148" s="33"/>
      <c r="I148" s="33"/>
      <c r="J148" s="8"/>
      <c r="K148" s="8"/>
      <c r="L148" s="33"/>
      <c r="M148" s="33"/>
      <c r="N148" s="33"/>
      <c r="O148" s="12"/>
      <c r="P148" s="12"/>
      <c r="Q148" s="12"/>
      <c r="R148" s="34"/>
      <c r="S148" s="34"/>
      <c r="T148" s="30" t="str">
        <f aca="true">IF(OR(B148="",H148="Paid",H148="Not now",S148=""),"",IF(S148&lt;=TODAY(),"DUE",""))</f>
        <v/>
      </c>
      <c r="U148" s="12"/>
      <c r="V148" s="33"/>
      <c r="W148" s="12"/>
    </row>
    <row r="149" customFormat="false" ht="15" hidden="false" customHeight="false" outlineLevel="0" collapsed="false">
      <c r="A149" s="32" t="str">
        <f aca="false">IF(B149="","",ROW()-4)</f>
        <v/>
      </c>
      <c r="B149" s="12"/>
      <c r="C149" s="12"/>
      <c r="D149" s="12"/>
      <c r="E149" s="12"/>
      <c r="F149" s="12"/>
      <c r="G149" s="12"/>
      <c r="H149" s="33"/>
      <c r="I149" s="33"/>
      <c r="J149" s="8"/>
      <c r="K149" s="8"/>
      <c r="L149" s="33"/>
      <c r="M149" s="33"/>
      <c r="N149" s="33"/>
      <c r="O149" s="12"/>
      <c r="P149" s="12"/>
      <c r="Q149" s="12"/>
      <c r="R149" s="34"/>
      <c r="S149" s="34"/>
      <c r="T149" s="30" t="str">
        <f aca="true">IF(OR(B149="",H149="Paid",H149="Not now",S149=""),"",IF(S149&lt;=TODAY(),"DUE",""))</f>
        <v/>
      </c>
      <c r="U149" s="12"/>
      <c r="V149" s="33"/>
      <c r="W149" s="12"/>
    </row>
    <row r="150" customFormat="false" ht="15" hidden="false" customHeight="false" outlineLevel="0" collapsed="false">
      <c r="A150" s="32" t="str">
        <f aca="false">IF(B150="","",ROW()-4)</f>
        <v/>
      </c>
      <c r="B150" s="12"/>
      <c r="C150" s="12"/>
      <c r="D150" s="12"/>
      <c r="E150" s="12"/>
      <c r="F150" s="12"/>
      <c r="G150" s="12"/>
      <c r="H150" s="33"/>
      <c r="I150" s="33"/>
      <c r="J150" s="8"/>
      <c r="K150" s="8"/>
      <c r="L150" s="33"/>
      <c r="M150" s="33"/>
      <c r="N150" s="33"/>
      <c r="O150" s="12"/>
      <c r="P150" s="12"/>
      <c r="Q150" s="12"/>
      <c r="R150" s="34"/>
      <c r="S150" s="34"/>
      <c r="T150" s="30" t="str">
        <f aca="true">IF(OR(B150="",H150="Paid",H150="Not now",S150=""),"",IF(S150&lt;=TODAY(),"DUE",""))</f>
        <v/>
      </c>
      <c r="U150" s="12"/>
      <c r="V150" s="33"/>
      <c r="W150" s="12"/>
    </row>
    <row r="151" customFormat="false" ht="15" hidden="false" customHeight="false" outlineLevel="0" collapsed="false">
      <c r="A151" s="32" t="str">
        <f aca="false">IF(B151="","",ROW()-4)</f>
        <v/>
      </c>
      <c r="B151" s="12"/>
      <c r="C151" s="12"/>
      <c r="D151" s="12"/>
      <c r="E151" s="12"/>
      <c r="F151" s="12"/>
      <c r="G151" s="12"/>
      <c r="H151" s="33"/>
      <c r="I151" s="33"/>
      <c r="J151" s="8"/>
      <c r="K151" s="8"/>
      <c r="L151" s="33"/>
      <c r="M151" s="33"/>
      <c r="N151" s="33"/>
      <c r="O151" s="12"/>
      <c r="P151" s="12"/>
      <c r="Q151" s="12"/>
      <c r="R151" s="34"/>
      <c r="S151" s="34"/>
      <c r="T151" s="30" t="str">
        <f aca="true">IF(OR(B151="",H151="Paid",H151="Not now",S151=""),"",IF(S151&lt;=TODAY(),"DUE",""))</f>
        <v/>
      </c>
      <c r="U151" s="12"/>
      <c r="V151" s="33"/>
      <c r="W151" s="12"/>
    </row>
    <row r="152" customFormat="false" ht="15" hidden="false" customHeight="false" outlineLevel="0" collapsed="false">
      <c r="A152" s="32" t="str">
        <f aca="false">IF(B152="","",ROW()-4)</f>
        <v/>
      </c>
      <c r="B152" s="12"/>
      <c r="C152" s="12"/>
      <c r="D152" s="12"/>
      <c r="E152" s="12"/>
      <c r="F152" s="12"/>
      <c r="G152" s="12"/>
      <c r="H152" s="33"/>
      <c r="I152" s="33"/>
      <c r="J152" s="8"/>
      <c r="K152" s="8"/>
      <c r="L152" s="33"/>
      <c r="M152" s="33"/>
      <c r="N152" s="33"/>
      <c r="O152" s="12"/>
      <c r="P152" s="12"/>
      <c r="Q152" s="12"/>
      <c r="R152" s="34"/>
      <c r="S152" s="34"/>
      <c r="T152" s="30" t="str">
        <f aca="true">IF(OR(B152="",H152="Paid",H152="Not now",S152=""),"",IF(S152&lt;=TODAY(),"DUE",""))</f>
        <v/>
      </c>
      <c r="U152" s="12"/>
      <c r="V152" s="33"/>
      <c r="W152" s="12"/>
    </row>
    <row r="153" customFormat="false" ht="15" hidden="false" customHeight="false" outlineLevel="0" collapsed="false">
      <c r="A153" s="32" t="str">
        <f aca="false">IF(B153="","",ROW()-4)</f>
        <v/>
      </c>
      <c r="B153" s="12"/>
      <c r="C153" s="12"/>
      <c r="D153" s="12"/>
      <c r="E153" s="12"/>
      <c r="F153" s="12"/>
      <c r="G153" s="12"/>
      <c r="H153" s="33"/>
      <c r="I153" s="33"/>
      <c r="J153" s="8"/>
      <c r="K153" s="8"/>
      <c r="L153" s="33"/>
      <c r="M153" s="33"/>
      <c r="N153" s="33"/>
      <c r="O153" s="12"/>
      <c r="P153" s="12"/>
      <c r="Q153" s="12"/>
      <c r="R153" s="34"/>
      <c r="S153" s="34"/>
      <c r="T153" s="30" t="str">
        <f aca="true">IF(OR(B153="",H153="Paid",H153="Not now",S153=""),"",IF(S153&lt;=TODAY(),"DUE",""))</f>
        <v/>
      </c>
      <c r="U153" s="12"/>
      <c r="V153" s="33"/>
      <c r="W153" s="12"/>
    </row>
    <row r="154" customFormat="false" ht="15" hidden="false" customHeight="false" outlineLevel="0" collapsed="false">
      <c r="A154" s="32" t="str">
        <f aca="false">IF(B154="","",ROW()-4)</f>
        <v/>
      </c>
      <c r="B154" s="12"/>
      <c r="C154" s="12"/>
      <c r="D154" s="12"/>
      <c r="E154" s="12"/>
      <c r="F154" s="12"/>
      <c r="G154" s="12"/>
      <c r="H154" s="33"/>
      <c r="I154" s="33"/>
      <c r="J154" s="8"/>
      <c r="K154" s="8"/>
      <c r="L154" s="33"/>
      <c r="M154" s="33"/>
      <c r="N154" s="33"/>
      <c r="O154" s="12"/>
      <c r="P154" s="12"/>
      <c r="Q154" s="12"/>
      <c r="R154" s="34"/>
      <c r="S154" s="34"/>
      <c r="T154" s="30" t="str">
        <f aca="true">IF(OR(B154="",H154="Paid",H154="Not now",S154=""),"",IF(S154&lt;=TODAY(),"DUE",""))</f>
        <v/>
      </c>
      <c r="U154" s="12"/>
      <c r="V154" s="33"/>
      <c r="W154" s="12"/>
    </row>
    <row r="155" customFormat="false" ht="15" hidden="false" customHeight="false" outlineLevel="0" collapsed="false">
      <c r="A155" s="32" t="str">
        <f aca="false">IF(B155="","",ROW()-4)</f>
        <v/>
      </c>
      <c r="B155" s="12"/>
      <c r="C155" s="12"/>
      <c r="D155" s="12"/>
      <c r="E155" s="12"/>
      <c r="F155" s="12"/>
      <c r="G155" s="12"/>
      <c r="H155" s="33"/>
      <c r="I155" s="33"/>
      <c r="J155" s="8"/>
      <c r="K155" s="8"/>
      <c r="L155" s="33"/>
      <c r="M155" s="33"/>
      <c r="N155" s="33"/>
      <c r="O155" s="12"/>
      <c r="P155" s="12"/>
      <c r="Q155" s="12"/>
      <c r="R155" s="34"/>
      <c r="S155" s="34"/>
      <c r="T155" s="30" t="str">
        <f aca="true">IF(OR(B155="",H155="Paid",H155="Not now",S155=""),"",IF(S155&lt;=TODAY(),"DUE",""))</f>
        <v/>
      </c>
      <c r="U155" s="12"/>
      <c r="V155" s="33"/>
      <c r="W155" s="12"/>
    </row>
    <row r="156" customFormat="false" ht="15" hidden="false" customHeight="false" outlineLevel="0" collapsed="false">
      <c r="A156" s="32" t="str">
        <f aca="false">IF(B156="","",ROW()-4)</f>
        <v/>
      </c>
      <c r="B156" s="12"/>
      <c r="C156" s="12"/>
      <c r="D156" s="12"/>
      <c r="E156" s="12"/>
      <c r="F156" s="12"/>
      <c r="G156" s="12"/>
      <c r="H156" s="33"/>
      <c r="I156" s="33"/>
      <c r="J156" s="8"/>
      <c r="K156" s="8"/>
      <c r="L156" s="33"/>
      <c r="M156" s="33"/>
      <c r="N156" s="33"/>
      <c r="O156" s="12"/>
      <c r="P156" s="12"/>
      <c r="Q156" s="12"/>
      <c r="R156" s="34"/>
      <c r="S156" s="34"/>
      <c r="T156" s="30" t="str">
        <f aca="true">IF(OR(B156="",H156="Paid",H156="Not now",S156=""),"",IF(S156&lt;=TODAY(),"DUE",""))</f>
        <v/>
      </c>
      <c r="U156" s="12"/>
      <c r="V156" s="33"/>
      <c r="W156" s="12"/>
    </row>
    <row r="157" customFormat="false" ht="15" hidden="false" customHeight="false" outlineLevel="0" collapsed="false">
      <c r="A157" s="32" t="str">
        <f aca="false">IF(B157="","",ROW()-4)</f>
        <v/>
      </c>
      <c r="B157" s="12"/>
      <c r="C157" s="12"/>
      <c r="D157" s="12"/>
      <c r="E157" s="12"/>
      <c r="F157" s="12"/>
      <c r="G157" s="12"/>
      <c r="H157" s="33"/>
      <c r="I157" s="33"/>
      <c r="J157" s="8"/>
      <c r="K157" s="8"/>
      <c r="L157" s="33"/>
      <c r="M157" s="33"/>
      <c r="N157" s="33"/>
      <c r="O157" s="12"/>
      <c r="P157" s="12"/>
      <c r="Q157" s="12"/>
      <c r="R157" s="34"/>
      <c r="S157" s="34"/>
      <c r="T157" s="30" t="str">
        <f aca="true">IF(OR(B157="",H157="Paid",H157="Not now",S157=""),"",IF(S157&lt;=TODAY(),"DUE",""))</f>
        <v/>
      </c>
      <c r="U157" s="12"/>
      <c r="V157" s="33"/>
      <c r="W157" s="12"/>
    </row>
    <row r="158" customFormat="false" ht="15" hidden="false" customHeight="false" outlineLevel="0" collapsed="false">
      <c r="A158" s="32" t="str">
        <f aca="false">IF(B158="","",ROW()-4)</f>
        <v/>
      </c>
      <c r="B158" s="12"/>
      <c r="C158" s="12"/>
      <c r="D158" s="12"/>
      <c r="E158" s="12"/>
      <c r="F158" s="12"/>
      <c r="G158" s="12"/>
      <c r="H158" s="33"/>
      <c r="I158" s="33"/>
      <c r="J158" s="8"/>
      <c r="K158" s="8"/>
      <c r="L158" s="33"/>
      <c r="M158" s="33"/>
      <c r="N158" s="33"/>
      <c r="O158" s="12"/>
      <c r="P158" s="12"/>
      <c r="Q158" s="12"/>
      <c r="R158" s="34"/>
      <c r="S158" s="34"/>
      <c r="T158" s="30" t="str">
        <f aca="true">IF(OR(B158="",H158="Paid",H158="Not now",S158=""),"",IF(S158&lt;=TODAY(),"DUE",""))</f>
        <v/>
      </c>
      <c r="U158" s="12"/>
      <c r="V158" s="33"/>
      <c r="W158" s="12"/>
    </row>
    <row r="159" customFormat="false" ht="15" hidden="false" customHeight="false" outlineLevel="0" collapsed="false">
      <c r="A159" s="32" t="str">
        <f aca="false">IF(B159="","",ROW()-4)</f>
        <v/>
      </c>
      <c r="B159" s="12"/>
      <c r="C159" s="12"/>
      <c r="D159" s="12"/>
      <c r="E159" s="12"/>
      <c r="F159" s="12"/>
      <c r="G159" s="12"/>
      <c r="H159" s="33"/>
      <c r="I159" s="33"/>
      <c r="J159" s="8"/>
      <c r="K159" s="8"/>
      <c r="L159" s="33"/>
      <c r="M159" s="33"/>
      <c r="N159" s="33"/>
      <c r="O159" s="12"/>
      <c r="P159" s="12"/>
      <c r="Q159" s="12"/>
      <c r="R159" s="34"/>
      <c r="S159" s="34"/>
      <c r="T159" s="30" t="str">
        <f aca="true">IF(OR(B159="",H159="Paid",H159="Not now",S159=""),"",IF(S159&lt;=TODAY(),"DUE",""))</f>
        <v/>
      </c>
      <c r="U159" s="12"/>
      <c r="V159" s="33"/>
      <c r="W159" s="12"/>
    </row>
    <row r="160" customFormat="false" ht="15" hidden="false" customHeight="false" outlineLevel="0" collapsed="false">
      <c r="A160" s="32" t="str">
        <f aca="false">IF(B160="","",ROW()-4)</f>
        <v/>
      </c>
      <c r="B160" s="12"/>
      <c r="C160" s="12"/>
      <c r="D160" s="12"/>
      <c r="E160" s="12"/>
      <c r="F160" s="12"/>
      <c r="G160" s="12"/>
      <c r="H160" s="33"/>
      <c r="I160" s="33"/>
      <c r="J160" s="8"/>
      <c r="K160" s="8"/>
      <c r="L160" s="33"/>
      <c r="M160" s="33"/>
      <c r="N160" s="33"/>
      <c r="O160" s="12"/>
      <c r="P160" s="12"/>
      <c r="Q160" s="12"/>
      <c r="R160" s="34"/>
      <c r="S160" s="34"/>
      <c r="T160" s="30" t="str">
        <f aca="true">IF(OR(B160="",H160="Paid",H160="Not now",S160=""),"",IF(S160&lt;=TODAY(),"DUE",""))</f>
        <v/>
      </c>
      <c r="U160" s="12"/>
      <c r="V160" s="33"/>
      <c r="W160" s="12"/>
    </row>
    <row r="161" customFormat="false" ht="15" hidden="false" customHeight="false" outlineLevel="0" collapsed="false">
      <c r="A161" s="32" t="str">
        <f aca="false">IF(B161="","",ROW()-4)</f>
        <v/>
      </c>
      <c r="B161" s="12"/>
      <c r="C161" s="12"/>
      <c r="D161" s="12"/>
      <c r="E161" s="12"/>
      <c r="F161" s="12"/>
      <c r="G161" s="12"/>
      <c r="H161" s="33"/>
      <c r="I161" s="33"/>
      <c r="J161" s="8"/>
      <c r="K161" s="8"/>
      <c r="L161" s="33"/>
      <c r="M161" s="33"/>
      <c r="N161" s="33"/>
      <c r="O161" s="12"/>
      <c r="P161" s="12"/>
      <c r="Q161" s="12"/>
      <c r="R161" s="34"/>
      <c r="S161" s="34"/>
      <c r="T161" s="30" t="str">
        <f aca="true">IF(OR(B161="",H161="Paid",H161="Not now",S161=""),"",IF(S161&lt;=TODAY(),"DUE",""))</f>
        <v/>
      </c>
      <c r="U161" s="12"/>
      <c r="V161" s="33"/>
      <c r="W161" s="12"/>
    </row>
    <row r="162" customFormat="false" ht="15" hidden="false" customHeight="false" outlineLevel="0" collapsed="false">
      <c r="A162" s="32" t="str">
        <f aca="false">IF(B162="","",ROW()-4)</f>
        <v/>
      </c>
      <c r="B162" s="12"/>
      <c r="C162" s="12"/>
      <c r="D162" s="12"/>
      <c r="E162" s="12"/>
      <c r="F162" s="12"/>
      <c r="G162" s="12"/>
      <c r="H162" s="33"/>
      <c r="I162" s="33"/>
      <c r="J162" s="8"/>
      <c r="K162" s="8"/>
      <c r="L162" s="33"/>
      <c r="M162" s="33"/>
      <c r="N162" s="33"/>
      <c r="O162" s="12"/>
      <c r="P162" s="12"/>
      <c r="Q162" s="12"/>
      <c r="R162" s="34"/>
      <c r="S162" s="34"/>
      <c r="T162" s="30" t="str">
        <f aca="true">IF(OR(B162="",H162="Paid",H162="Not now",S162=""),"",IF(S162&lt;=TODAY(),"DUE",""))</f>
        <v/>
      </c>
      <c r="U162" s="12"/>
      <c r="V162" s="33"/>
      <c r="W162" s="12"/>
    </row>
    <row r="163" customFormat="false" ht="15" hidden="false" customHeight="false" outlineLevel="0" collapsed="false">
      <c r="A163" s="32" t="str">
        <f aca="false">IF(B163="","",ROW()-4)</f>
        <v/>
      </c>
      <c r="B163" s="12"/>
      <c r="C163" s="12"/>
      <c r="D163" s="12"/>
      <c r="E163" s="12"/>
      <c r="F163" s="12"/>
      <c r="G163" s="12"/>
      <c r="H163" s="33"/>
      <c r="I163" s="33"/>
      <c r="J163" s="8"/>
      <c r="K163" s="8"/>
      <c r="L163" s="33"/>
      <c r="M163" s="33"/>
      <c r="N163" s="33"/>
      <c r="O163" s="12"/>
      <c r="P163" s="12"/>
      <c r="Q163" s="12"/>
      <c r="R163" s="34"/>
      <c r="S163" s="34"/>
      <c r="T163" s="30" t="str">
        <f aca="true">IF(OR(B163="",H163="Paid",H163="Not now",S163=""),"",IF(S163&lt;=TODAY(),"DUE",""))</f>
        <v/>
      </c>
      <c r="U163" s="12"/>
      <c r="V163" s="33"/>
      <c r="W163" s="12"/>
    </row>
    <row r="164" customFormat="false" ht="15" hidden="false" customHeight="false" outlineLevel="0" collapsed="false">
      <c r="A164" s="32" t="str">
        <f aca="false">IF(B164="","",ROW()-4)</f>
        <v/>
      </c>
      <c r="B164" s="12"/>
      <c r="C164" s="12"/>
      <c r="D164" s="12"/>
      <c r="E164" s="12"/>
      <c r="F164" s="12"/>
      <c r="G164" s="12"/>
      <c r="H164" s="33"/>
      <c r="I164" s="33"/>
      <c r="J164" s="8"/>
      <c r="K164" s="8"/>
      <c r="L164" s="33"/>
      <c r="M164" s="33"/>
      <c r="N164" s="33"/>
      <c r="O164" s="12"/>
      <c r="P164" s="12"/>
      <c r="Q164" s="12"/>
      <c r="R164" s="34"/>
      <c r="S164" s="34"/>
      <c r="T164" s="30" t="str">
        <f aca="true">IF(OR(B164="",H164="Paid",H164="Not now",S164=""),"",IF(S164&lt;=TODAY(),"DUE",""))</f>
        <v/>
      </c>
      <c r="U164" s="12"/>
      <c r="V164" s="33"/>
      <c r="W164" s="12"/>
    </row>
    <row r="165" customFormat="false" ht="15" hidden="false" customHeight="false" outlineLevel="0" collapsed="false">
      <c r="A165" s="32" t="str">
        <f aca="false">IF(B165="","",ROW()-4)</f>
        <v/>
      </c>
      <c r="B165" s="12"/>
      <c r="C165" s="12"/>
      <c r="D165" s="12"/>
      <c r="E165" s="12"/>
      <c r="F165" s="12"/>
      <c r="G165" s="12"/>
      <c r="H165" s="33"/>
      <c r="I165" s="33"/>
      <c r="J165" s="8"/>
      <c r="K165" s="8"/>
      <c r="L165" s="33"/>
      <c r="M165" s="33"/>
      <c r="N165" s="33"/>
      <c r="O165" s="12"/>
      <c r="P165" s="12"/>
      <c r="Q165" s="12"/>
      <c r="R165" s="34"/>
      <c r="S165" s="34"/>
      <c r="T165" s="30" t="str">
        <f aca="true">IF(OR(B165="",H165="Paid",H165="Not now",S165=""),"",IF(S165&lt;=TODAY(),"DUE",""))</f>
        <v/>
      </c>
      <c r="U165" s="12"/>
      <c r="V165" s="33"/>
      <c r="W165" s="12"/>
    </row>
    <row r="166" customFormat="false" ht="15" hidden="false" customHeight="false" outlineLevel="0" collapsed="false">
      <c r="A166" s="32" t="str">
        <f aca="false">IF(B166="","",ROW()-4)</f>
        <v/>
      </c>
      <c r="B166" s="12"/>
      <c r="C166" s="12"/>
      <c r="D166" s="12"/>
      <c r="E166" s="12"/>
      <c r="F166" s="12"/>
      <c r="G166" s="12"/>
      <c r="H166" s="33"/>
      <c r="I166" s="33"/>
      <c r="J166" s="8"/>
      <c r="K166" s="8"/>
      <c r="L166" s="33"/>
      <c r="M166" s="33"/>
      <c r="N166" s="33"/>
      <c r="O166" s="12"/>
      <c r="P166" s="12"/>
      <c r="Q166" s="12"/>
      <c r="R166" s="34"/>
      <c r="S166" s="34"/>
      <c r="T166" s="30" t="str">
        <f aca="true">IF(OR(B166="",H166="Paid",H166="Not now",S166=""),"",IF(S166&lt;=TODAY(),"DUE",""))</f>
        <v/>
      </c>
      <c r="U166" s="12"/>
      <c r="V166" s="33"/>
      <c r="W166" s="12"/>
    </row>
    <row r="167" customFormat="false" ht="15" hidden="false" customHeight="false" outlineLevel="0" collapsed="false">
      <c r="A167" s="32" t="str">
        <f aca="false">IF(B167="","",ROW()-4)</f>
        <v/>
      </c>
      <c r="B167" s="12"/>
      <c r="C167" s="12"/>
      <c r="D167" s="12"/>
      <c r="E167" s="12"/>
      <c r="F167" s="12"/>
      <c r="G167" s="12"/>
      <c r="H167" s="33"/>
      <c r="I167" s="33"/>
      <c r="J167" s="8"/>
      <c r="K167" s="8"/>
      <c r="L167" s="33"/>
      <c r="M167" s="33"/>
      <c r="N167" s="33"/>
      <c r="O167" s="12"/>
      <c r="P167" s="12"/>
      <c r="Q167" s="12"/>
      <c r="R167" s="34"/>
      <c r="S167" s="34"/>
      <c r="T167" s="30" t="str">
        <f aca="true">IF(OR(B167="",H167="Paid",H167="Not now",S167=""),"",IF(S167&lt;=TODAY(),"DUE",""))</f>
        <v/>
      </c>
      <c r="U167" s="12"/>
      <c r="V167" s="33"/>
      <c r="W167" s="12"/>
    </row>
    <row r="168" customFormat="false" ht="15" hidden="false" customHeight="false" outlineLevel="0" collapsed="false">
      <c r="A168" s="32" t="str">
        <f aca="false">IF(B168="","",ROW()-4)</f>
        <v/>
      </c>
      <c r="B168" s="12"/>
      <c r="C168" s="12"/>
      <c r="D168" s="12"/>
      <c r="E168" s="12"/>
      <c r="F168" s="12"/>
      <c r="G168" s="12"/>
      <c r="H168" s="33"/>
      <c r="I168" s="33"/>
      <c r="J168" s="8"/>
      <c r="K168" s="8"/>
      <c r="L168" s="33"/>
      <c r="M168" s="33"/>
      <c r="N168" s="33"/>
      <c r="O168" s="12"/>
      <c r="P168" s="12"/>
      <c r="Q168" s="12"/>
      <c r="R168" s="34"/>
      <c r="S168" s="34"/>
      <c r="T168" s="30" t="str">
        <f aca="true">IF(OR(B168="",H168="Paid",H168="Not now",S168=""),"",IF(S168&lt;=TODAY(),"DUE",""))</f>
        <v/>
      </c>
      <c r="U168" s="12"/>
      <c r="V168" s="33"/>
      <c r="W168" s="12"/>
    </row>
    <row r="169" customFormat="false" ht="15" hidden="false" customHeight="false" outlineLevel="0" collapsed="false">
      <c r="A169" s="32" t="str">
        <f aca="false">IF(B169="","",ROW()-4)</f>
        <v/>
      </c>
      <c r="B169" s="12"/>
      <c r="C169" s="12"/>
      <c r="D169" s="12"/>
      <c r="E169" s="12"/>
      <c r="F169" s="12"/>
      <c r="G169" s="12"/>
      <c r="H169" s="33"/>
      <c r="I169" s="33"/>
      <c r="J169" s="8"/>
      <c r="K169" s="8"/>
      <c r="L169" s="33"/>
      <c r="M169" s="33"/>
      <c r="N169" s="33"/>
      <c r="O169" s="12"/>
      <c r="P169" s="12"/>
      <c r="Q169" s="12"/>
      <c r="R169" s="34"/>
      <c r="S169" s="34"/>
      <c r="T169" s="30" t="str">
        <f aca="true">IF(OR(B169="",H169="Paid",H169="Not now",S169=""),"",IF(S169&lt;=TODAY(),"DUE",""))</f>
        <v/>
      </c>
      <c r="U169" s="12"/>
      <c r="V169" s="33"/>
      <c r="W169" s="12"/>
    </row>
    <row r="170" customFormat="false" ht="15" hidden="false" customHeight="false" outlineLevel="0" collapsed="false">
      <c r="A170" s="32" t="str">
        <f aca="false">IF(B170="","",ROW()-4)</f>
        <v/>
      </c>
      <c r="B170" s="12"/>
      <c r="C170" s="12"/>
      <c r="D170" s="12"/>
      <c r="E170" s="12"/>
      <c r="F170" s="12"/>
      <c r="G170" s="12"/>
      <c r="H170" s="33"/>
      <c r="I170" s="33"/>
      <c r="J170" s="8"/>
      <c r="K170" s="8"/>
      <c r="L170" s="33"/>
      <c r="M170" s="33"/>
      <c r="N170" s="33"/>
      <c r="O170" s="12"/>
      <c r="P170" s="12"/>
      <c r="Q170" s="12"/>
      <c r="R170" s="34"/>
      <c r="S170" s="34"/>
      <c r="T170" s="30" t="str">
        <f aca="true">IF(OR(B170="",H170="Paid",H170="Not now",S170=""),"",IF(S170&lt;=TODAY(),"DUE",""))</f>
        <v/>
      </c>
      <c r="U170" s="12"/>
      <c r="V170" s="33"/>
      <c r="W170" s="12"/>
    </row>
    <row r="171" customFormat="false" ht="15" hidden="false" customHeight="false" outlineLevel="0" collapsed="false">
      <c r="A171" s="32" t="str">
        <f aca="false">IF(B171="","",ROW()-4)</f>
        <v/>
      </c>
      <c r="B171" s="12"/>
      <c r="C171" s="12"/>
      <c r="D171" s="12"/>
      <c r="E171" s="12"/>
      <c r="F171" s="12"/>
      <c r="G171" s="12"/>
      <c r="H171" s="33"/>
      <c r="I171" s="33"/>
      <c r="J171" s="8"/>
      <c r="K171" s="8"/>
      <c r="L171" s="33"/>
      <c r="M171" s="33"/>
      <c r="N171" s="33"/>
      <c r="O171" s="12"/>
      <c r="P171" s="12"/>
      <c r="Q171" s="12"/>
      <c r="R171" s="34"/>
      <c r="S171" s="34"/>
      <c r="T171" s="30" t="str">
        <f aca="true">IF(OR(B171="",H171="Paid",H171="Not now",S171=""),"",IF(S171&lt;=TODAY(),"DUE",""))</f>
        <v/>
      </c>
      <c r="U171" s="12"/>
      <c r="V171" s="33"/>
      <c r="W171" s="12"/>
    </row>
    <row r="172" customFormat="false" ht="15" hidden="false" customHeight="false" outlineLevel="0" collapsed="false">
      <c r="A172" s="32" t="str">
        <f aca="false">IF(B172="","",ROW()-4)</f>
        <v/>
      </c>
      <c r="B172" s="12"/>
      <c r="C172" s="12"/>
      <c r="D172" s="12"/>
      <c r="E172" s="12"/>
      <c r="F172" s="12"/>
      <c r="G172" s="12"/>
      <c r="H172" s="33"/>
      <c r="I172" s="33"/>
      <c r="J172" s="8"/>
      <c r="K172" s="8"/>
      <c r="L172" s="33"/>
      <c r="M172" s="33"/>
      <c r="N172" s="33"/>
      <c r="O172" s="12"/>
      <c r="P172" s="12"/>
      <c r="Q172" s="12"/>
      <c r="R172" s="34"/>
      <c r="S172" s="34"/>
      <c r="T172" s="30" t="str">
        <f aca="true">IF(OR(B172="",H172="Paid",H172="Not now",S172=""),"",IF(S172&lt;=TODAY(),"DUE",""))</f>
        <v/>
      </c>
      <c r="U172" s="12"/>
      <c r="V172" s="33"/>
      <c r="W172" s="12"/>
    </row>
    <row r="173" customFormat="false" ht="15" hidden="false" customHeight="false" outlineLevel="0" collapsed="false">
      <c r="A173" s="32" t="str">
        <f aca="false">IF(B173="","",ROW()-4)</f>
        <v/>
      </c>
      <c r="B173" s="12"/>
      <c r="C173" s="12"/>
      <c r="D173" s="12"/>
      <c r="E173" s="12"/>
      <c r="F173" s="12"/>
      <c r="G173" s="12"/>
      <c r="H173" s="33"/>
      <c r="I173" s="33"/>
      <c r="J173" s="8"/>
      <c r="K173" s="8"/>
      <c r="L173" s="33"/>
      <c r="M173" s="33"/>
      <c r="N173" s="33"/>
      <c r="O173" s="12"/>
      <c r="P173" s="12"/>
      <c r="Q173" s="12"/>
      <c r="R173" s="34"/>
      <c r="S173" s="34"/>
      <c r="T173" s="30" t="str">
        <f aca="true">IF(OR(B173="",H173="Paid",H173="Not now",S173=""),"",IF(S173&lt;=TODAY(),"DUE",""))</f>
        <v/>
      </c>
      <c r="U173" s="12"/>
      <c r="V173" s="33"/>
      <c r="W173" s="12"/>
    </row>
    <row r="174" customFormat="false" ht="15" hidden="false" customHeight="false" outlineLevel="0" collapsed="false">
      <c r="A174" s="32" t="str">
        <f aca="false">IF(B174="","",ROW()-4)</f>
        <v/>
      </c>
      <c r="B174" s="12"/>
      <c r="C174" s="12"/>
      <c r="D174" s="12"/>
      <c r="E174" s="12"/>
      <c r="F174" s="12"/>
      <c r="G174" s="12"/>
      <c r="H174" s="33"/>
      <c r="I174" s="33"/>
      <c r="J174" s="8"/>
      <c r="K174" s="8"/>
      <c r="L174" s="33"/>
      <c r="M174" s="33"/>
      <c r="N174" s="33"/>
      <c r="O174" s="12"/>
      <c r="P174" s="12"/>
      <c r="Q174" s="12"/>
      <c r="R174" s="34"/>
      <c r="S174" s="34"/>
      <c r="T174" s="30" t="str">
        <f aca="true">IF(OR(B174="",H174="Paid",H174="Not now",S174=""),"",IF(S174&lt;=TODAY(),"DUE",""))</f>
        <v/>
      </c>
      <c r="U174" s="12"/>
      <c r="V174" s="33"/>
      <c r="W174" s="12"/>
    </row>
    <row r="175" customFormat="false" ht="15" hidden="false" customHeight="false" outlineLevel="0" collapsed="false">
      <c r="A175" s="32" t="str">
        <f aca="false">IF(B175="","",ROW()-4)</f>
        <v/>
      </c>
      <c r="B175" s="12"/>
      <c r="C175" s="12"/>
      <c r="D175" s="12"/>
      <c r="E175" s="12"/>
      <c r="F175" s="12"/>
      <c r="G175" s="12"/>
      <c r="H175" s="33"/>
      <c r="I175" s="33"/>
      <c r="J175" s="8"/>
      <c r="K175" s="8"/>
      <c r="L175" s="33"/>
      <c r="M175" s="33"/>
      <c r="N175" s="33"/>
      <c r="O175" s="12"/>
      <c r="P175" s="12"/>
      <c r="Q175" s="12"/>
      <c r="R175" s="34"/>
      <c r="S175" s="34"/>
      <c r="T175" s="30" t="str">
        <f aca="true">IF(OR(B175="",H175="Paid",H175="Not now",S175=""),"",IF(S175&lt;=TODAY(),"DUE",""))</f>
        <v/>
      </c>
      <c r="U175" s="12"/>
      <c r="V175" s="33"/>
      <c r="W175" s="12"/>
    </row>
    <row r="176" customFormat="false" ht="15" hidden="false" customHeight="false" outlineLevel="0" collapsed="false">
      <c r="A176" s="32" t="str">
        <f aca="false">IF(B176="","",ROW()-4)</f>
        <v/>
      </c>
      <c r="B176" s="12"/>
      <c r="C176" s="12"/>
      <c r="D176" s="12"/>
      <c r="E176" s="12"/>
      <c r="F176" s="12"/>
      <c r="G176" s="12"/>
      <c r="H176" s="33"/>
      <c r="I176" s="33"/>
      <c r="J176" s="8"/>
      <c r="K176" s="8"/>
      <c r="L176" s="33"/>
      <c r="M176" s="33"/>
      <c r="N176" s="33"/>
      <c r="O176" s="12"/>
      <c r="P176" s="12"/>
      <c r="Q176" s="12"/>
      <c r="R176" s="34"/>
      <c r="S176" s="34"/>
      <c r="T176" s="30" t="str">
        <f aca="true">IF(OR(B176="",H176="Paid",H176="Not now",S176=""),"",IF(S176&lt;=TODAY(),"DUE",""))</f>
        <v/>
      </c>
      <c r="U176" s="12"/>
      <c r="V176" s="33"/>
      <c r="W176" s="12"/>
    </row>
    <row r="177" customFormat="false" ht="15" hidden="false" customHeight="false" outlineLevel="0" collapsed="false">
      <c r="A177" s="32" t="str">
        <f aca="false">IF(B177="","",ROW()-4)</f>
        <v/>
      </c>
      <c r="B177" s="12"/>
      <c r="C177" s="12"/>
      <c r="D177" s="12"/>
      <c r="E177" s="12"/>
      <c r="F177" s="12"/>
      <c r="G177" s="12"/>
      <c r="H177" s="33"/>
      <c r="I177" s="33"/>
      <c r="J177" s="8"/>
      <c r="K177" s="8"/>
      <c r="L177" s="33"/>
      <c r="M177" s="33"/>
      <c r="N177" s="33"/>
      <c r="O177" s="12"/>
      <c r="P177" s="12"/>
      <c r="Q177" s="12"/>
      <c r="R177" s="34"/>
      <c r="S177" s="34"/>
      <c r="T177" s="30" t="str">
        <f aca="true">IF(OR(B177="",H177="Paid",H177="Not now",S177=""),"",IF(S177&lt;=TODAY(),"DUE",""))</f>
        <v/>
      </c>
      <c r="U177" s="12"/>
      <c r="V177" s="33"/>
      <c r="W177" s="12"/>
    </row>
    <row r="178" customFormat="false" ht="15" hidden="false" customHeight="false" outlineLevel="0" collapsed="false">
      <c r="A178" s="32" t="str">
        <f aca="false">IF(B178="","",ROW()-4)</f>
        <v/>
      </c>
      <c r="B178" s="12"/>
      <c r="C178" s="12"/>
      <c r="D178" s="12"/>
      <c r="E178" s="12"/>
      <c r="F178" s="12"/>
      <c r="G178" s="12"/>
      <c r="H178" s="33"/>
      <c r="I178" s="33"/>
      <c r="J178" s="8"/>
      <c r="K178" s="8"/>
      <c r="L178" s="33"/>
      <c r="M178" s="33"/>
      <c r="N178" s="33"/>
      <c r="O178" s="12"/>
      <c r="P178" s="12"/>
      <c r="Q178" s="12"/>
      <c r="R178" s="34"/>
      <c r="S178" s="34"/>
      <c r="T178" s="30" t="str">
        <f aca="true">IF(OR(B178="",H178="Paid",H178="Not now",S178=""),"",IF(S178&lt;=TODAY(),"DUE",""))</f>
        <v/>
      </c>
      <c r="U178" s="12"/>
      <c r="V178" s="33"/>
      <c r="W178" s="12"/>
    </row>
    <row r="179" customFormat="false" ht="15" hidden="false" customHeight="false" outlineLevel="0" collapsed="false">
      <c r="A179" s="32" t="str">
        <f aca="false">IF(B179="","",ROW()-4)</f>
        <v/>
      </c>
      <c r="B179" s="12"/>
      <c r="C179" s="12"/>
      <c r="D179" s="12"/>
      <c r="E179" s="12"/>
      <c r="F179" s="12"/>
      <c r="G179" s="12"/>
      <c r="H179" s="33"/>
      <c r="I179" s="33"/>
      <c r="J179" s="8"/>
      <c r="K179" s="8"/>
      <c r="L179" s="33"/>
      <c r="M179" s="33"/>
      <c r="N179" s="33"/>
      <c r="O179" s="12"/>
      <c r="P179" s="12"/>
      <c r="Q179" s="12"/>
      <c r="R179" s="34"/>
      <c r="S179" s="34"/>
      <c r="T179" s="30" t="str">
        <f aca="true">IF(OR(B179="",H179="Paid",H179="Not now",S179=""),"",IF(S179&lt;=TODAY(),"DUE",""))</f>
        <v/>
      </c>
      <c r="U179" s="12"/>
      <c r="V179" s="33"/>
      <c r="W179" s="12"/>
    </row>
    <row r="180" customFormat="false" ht="15" hidden="false" customHeight="false" outlineLevel="0" collapsed="false">
      <c r="A180" s="32" t="str">
        <f aca="false">IF(B180="","",ROW()-4)</f>
        <v/>
      </c>
      <c r="B180" s="12"/>
      <c r="C180" s="12"/>
      <c r="D180" s="12"/>
      <c r="E180" s="12"/>
      <c r="F180" s="12"/>
      <c r="G180" s="12"/>
      <c r="H180" s="33"/>
      <c r="I180" s="33"/>
      <c r="J180" s="8"/>
      <c r="K180" s="8"/>
      <c r="L180" s="33"/>
      <c r="M180" s="33"/>
      <c r="N180" s="33"/>
      <c r="O180" s="12"/>
      <c r="P180" s="12"/>
      <c r="Q180" s="12"/>
      <c r="R180" s="34"/>
      <c r="S180" s="34"/>
      <c r="T180" s="30" t="str">
        <f aca="true">IF(OR(B180="",H180="Paid",H180="Not now",S180=""),"",IF(S180&lt;=TODAY(),"DUE",""))</f>
        <v/>
      </c>
      <c r="U180" s="12"/>
      <c r="V180" s="33"/>
      <c r="W180" s="12"/>
    </row>
    <row r="181" customFormat="false" ht="15" hidden="false" customHeight="false" outlineLevel="0" collapsed="false">
      <c r="A181" s="32" t="str">
        <f aca="false">IF(B181="","",ROW()-4)</f>
        <v/>
      </c>
      <c r="B181" s="12"/>
      <c r="C181" s="12"/>
      <c r="D181" s="12"/>
      <c r="E181" s="12"/>
      <c r="F181" s="12"/>
      <c r="G181" s="12"/>
      <c r="H181" s="33"/>
      <c r="I181" s="33"/>
      <c r="J181" s="8"/>
      <c r="K181" s="8"/>
      <c r="L181" s="33"/>
      <c r="M181" s="33"/>
      <c r="N181" s="33"/>
      <c r="O181" s="12"/>
      <c r="P181" s="12"/>
      <c r="Q181" s="12"/>
      <c r="R181" s="34"/>
      <c r="S181" s="34"/>
      <c r="T181" s="30" t="str">
        <f aca="true">IF(OR(B181="",H181="Paid",H181="Not now",S181=""),"",IF(S181&lt;=TODAY(),"DUE",""))</f>
        <v/>
      </c>
      <c r="U181" s="12"/>
      <c r="V181" s="33"/>
      <c r="W181" s="12"/>
    </row>
    <row r="182" customFormat="false" ht="15" hidden="false" customHeight="false" outlineLevel="0" collapsed="false">
      <c r="A182" s="32" t="str">
        <f aca="false">IF(B182="","",ROW()-4)</f>
        <v/>
      </c>
      <c r="B182" s="12"/>
      <c r="C182" s="12"/>
      <c r="D182" s="12"/>
      <c r="E182" s="12"/>
      <c r="F182" s="12"/>
      <c r="G182" s="12"/>
      <c r="H182" s="33"/>
      <c r="I182" s="33"/>
      <c r="J182" s="8"/>
      <c r="K182" s="8"/>
      <c r="L182" s="33"/>
      <c r="M182" s="33"/>
      <c r="N182" s="33"/>
      <c r="O182" s="12"/>
      <c r="P182" s="12"/>
      <c r="Q182" s="12"/>
      <c r="R182" s="34"/>
      <c r="S182" s="34"/>
      <c r="T182" s="30" t="str">
        <f aca="true">IF(OR(B182="",H182="Paid",H182="Not now",S182=""),"",IF(S182&lt;=TODAY(),"DUE",""))</f>
        <v/>
      </c>
      <c r="U182" s="12"/>
      <c r="V182" s="33"/>
      <c r="W182" s="12"/>
    </row>
    <row r="183" customFormat="false" ht="15" hidden="false" customHeight="false" outlineLevel="0" collapsed="false">
      <c r="A183" s="32" t="str">
        <f aca="false">IF(B183="","",ROW()-4)</f>
        <v/>
      </c>
      <c r="B183" s="12"/>
      <c r="C183" s="12"/>
      <c r="D183" s="12"/>
      <c r="E183" s="12"/>
      <c r="F183" s="12"/>
      <c r="G183" s="12"/>
      <c r="H183" s="33"/>
      <c r="I183" s="33"/>
      <c r="J183" s="8"/>
      <c r="K183" s="8"/>
      <c r="L183" s="33"/>
      <c r="M183" s="33"/>
      <c r="N183" s="33"/>
      <c r="O183" s="12"/>
      <c r="P183" s="12"/>
      <c r="Q183" s="12"/>
      <c r="R183" s="34"/>
      <c r="S183" s="34"/>
      <c r="T183" s="30" t="str">
        <f aca="true">IF(OR(B183="",H183="Paid",H183="Not now",S183=""),"",IF(S183&lt;=TODAY(),"DUE",""))</f>
        <v/>
      </c>
      <c r="U183" s="12"/>
      <c r="V183" s="33"/>
      <c r="W183" s="12"/>
    </row>
    <row r="184" customFormat="false" ht="15" hidden="false" customHeight="false" outlineLevel="0" collapsed="false">
      <c r="A184" s="32" t="str">
        <f aca="false">IF(B184="","",ROW()-4)</f>
        <v/>
      </c>
      <c r="B184" s="12"/>
      <c r="C184" s="12"/>
      <c r="D184" s="12"/>
      <c r="E184" s="12"/>
      <c r="F184" s="12"/>
      <c r="G184" s="12"/>
      <c r="H184" s="33"/>
      <c r="I184" s="33"/>
      <c r="J184" s="8"/>
      <c r="K184" s="8"/>
      <c r="L184" s="33"/>
      <c r="M184" s="33"/>
      <c r="N184" s="33"/>
      <c r="O184" s="12"/>
      <c r="P184" s="12"/>
      <c r="Q184" s="12"/>
      <c r="R184" s="34"/>
      <c r="S184" s="34"/>
      <c r="T184" s="30" t="str">
        <f aca="true">IF(OR(B184="",H184="Paid",H184="Not now",S184=""),"",IF(S184&lt;=TODAY(),"DUE",""))</f>
        <v/>
      </c>
      <c r="U184" s="12"/>
      <c r="V184" s="33"/>
      <c r="W184" s="12"/>
    </row>
    <row r="185" customFormat="false" ht="15" hidden="false" customHeight="false" outlineLevel="0" collapsed="false">
      <c r="A185" s="32" t="str">
        <f aca="false">IF(B185="","",ROW()-4)</f>
        <v/>
      </c>
      <c r="B185" s="12"/>
      <c r="C185" s="12"/>
      <c r="D185" s="12"/>
      <c r="E185" s="12"/>
      <c r="F185" s="12"/>
      <c r="G185" s="12"/>
      <c r="H185" s="33"/>
      <c r="I185" s="33"/>
      <c r="J185" s="8"/>
      <c r="K185" s="8"/>
      <c r="L185" s="33"/>
      <c r="M185" s="33"/>
      <c r="N185" s="33"/>
      <c r="O185" s="12"/>
      <c r="P185" s="12"/>
      <c r="Q185" s="12"/>
      <c r="R185" s="34"/>
      <c r="S185" s="34"/>
      <c r="T185" s="30" t="str">
        <f aca="true">IF(OR(B185="",H185="Paid",H185="Not now",S185=""),"",IF(S185&lt;=TODAY(),"DUE",""))</f>
        <v/>
      </c>
      <c r="U185" s="12"/>
      <c r="V185" s="33"/>
      <c r="W185" s="12"/>
    </row>
    <row r="186" customFormat="false" ht="15" hidden="false" customHeight="false" outlineLevel="0" collapsed="false">
      <c r="A186" s="32" t="str">
        <f aca="false">IF(B186="","",ROW()-4)</f>
        <v/>
      </c>
      <c r="B186" s="12"/>
      <c r="C186" s="12"/>
      <c r="D186" s="12"/>
      <c r="E186" s="12"/>
      <c r="F186" s="12"/>
      <c r="G186" s="12"/>
      <c r="H186" s="33"/>
      <c r="I186" s="33"/>
      <c r="J186" s="8"/>
      <c r="K186" s="8"/>
      <c r="L186" s="33"/>
      <c r="M186" s="33"/>
      <c r="N186" s="33"/>
      <c r="O186" s="12"/>
      <c r="P186" s="12"/>
      <c r="Q186" s="12"/>
      <c r="R186" s="34"/>
      <c r="S186" s="34"/>
      <c r="T186" s="30" t="str">
        <f aca="true">IF(OR(B186="",H186="Paid",H186="Not now",S186=""),"",IF(S186&lt;=TODAY(),"DUE",""))</f>
        <v/>
      </c>
      <c r="U186" s="12"/>
      <c r="V186" s="33"/>
      <c r="W186" s="12"/>
    </row>
    <row r="187" customFormat="false" ht="15" hidden="false" customHeight="false" outlineLevel="0" collapsed="false">
      <c r="A187" s="32" t="str">
        <f aca="false">IF(B187="","",ROW()-4)</f>
        <v/>
      </c>
      <c r="B187" s="12"/>
      <c r="C187" s="12"/>
      <c r="D187" s="12"/>
      <c r="E187" s="12"/>
      <c r="F187" s="12"/>
      <c r="G187" s="12"/>
      <c r="H187" s="33"/>
      <c r="I187" s="33"/>
      <c r="J187" s="8"/>
      <c r="K187" s="8"/>
      <c r="L187" s="33"/>
      <c r="M187" s="33"/>
      <c r="N187" s="33"/>
      <c r="O187" s="12"/>
      <c r="P187" s="12"/>
      <c r="Q187" s="12"/>
      <c r="R187" s="34"/>
      <c r="S187" s="34"/>
      <c r="T187" s="30" t="str">
        <f aca="true">IF(OR(B187="",H187="Paid",H187="Not now",S187=""),"",IF(S187&lt;=TODAY(),"DUE",""))</f>
        <v/>
      </c>
      <c r="U187" s="12"/>
      <c r="V187" s="33"/>
      <c r="W187" s="12"/>
    </row>
    <row r="188" customFormat="false" ht="15" hidden="false" customHeight="false" outlineLevel="0" collapsed="false">
      <c r="A188" s="32" t="str">
        <f aca="false">IF(B188="","",ROW()-4)</f>
        <v/>
      </c>
      <c r="B188" s="12"/>
      <c r="C188" s="12"/>
      <c r="D188" s="12"/>
      <c r="E188" s="12"/>
      <c r="F188" s="12"/>
      <c r="G188" s="12"/>
      <c r="H188" s="33"/>
      <c r="I188" s="33"/>
      <c r="J188" s="8"/>
      <c r="K188" s="8"/>
      <c r="L188" s="33"/>
      <c r="M188" s="33"/>
      <c r="N188" s="33"/>
      <c r="O188" s="12"/>
      <c r="P188" s="12"/>
      <c r="Q188" s="12"/>
      <c r="R188" s="34"/>
      <c r="S188" s="34"/>
      <c r="T188" s="30" t="str">
        <f aca="true">IF(OR(B188="",H188="Paid",H188="Not now",S188=""),"",IF(S188&lt;=TODAY(),"DUE",""))</f>
        <v/>
      </c>
      <c r="U188" s="12"/>
      <c r="V188" s="33"/>
      <c r="W188" s="12"/>
    </row>
    <row r="189" customFormat="false" ht="15" hidden="false" customHeight="false" outlineLevel="0" collapsed="false">
      <c r="A189" s="32" t="str">
        <f aca="false">IF(B189="","",ROW()-4)</f>
        <v/>
      </c>
      <c r="B189" s="12"/>
      <c r="C189" s="12"/>
      <c r="D189" s="12"/>
      <c r="E189" s="12"/>
      <c r="F189" s="12"/>
      <c r="G189" s="12"/>
      <c r="H189" s="33"/>
      <c r="I189" s="33"/>
      <c r="J189" s="8"/>
      <c r="K189" s="8"/>
      <c r="L189" s="33"/>
      <c r="M189" s="33"/>
      <c r="N189" s="33"/>
      <c r="O189" s="12"/>
      <c r="P189" s="12"/>
      <c r="Q189" s="12"/>
      <c r="R189" s="34"/>
      <c r="S189" s="34"/>
      <c r="T189" s="30" t="str">
        <f aca="true">IF(OR(B189="",H189="Paid",H189="Not now",S189=""),"",IF(S189&lt;=TODAY(),"DUE",""))</f>
        <v/>
      </c>
      <c r="U189" s="12"/>
      <c r="V189" s="33"/>
      <c r="W189" s="12"/>
    </row>
    <row r="190" customFormat="false" ht="15" hidden="false" customHeight="false" outlineLevel="0" collapsed="false">
      <c r="A190" s="32" t="str">
        <f aca="false">IF(B190="","",ROW()-4)</f>
        <v/>
      </c>
      <c r="B190" s="12"/>
      <c r="C190" s="12"/>
      <c r="D190" s="12"/>
      <c r="E190" s="12"/>
      <c r="F190" s="12"/>
      <c r="G190" s="12"/>
      <c r="H190" s="33"/>
      <c r="I190" s="33"/>
      <c r="J190" s="8"/>
      <c r="K190" s="8"/>
      <c r="L190" s="33"/>
      <c r="M190" s="33"/>
      <c r="N190" s="33"/>
      <c r="O190" s="12"/>
      <c r="P190" s="12"/>
      <c r="Q190" s="12"/>
      <c r="R190" s="34"/>
      <c r="S190" s="34"/>
      <c r="T190" s="30" t="str">
        <f aca="true">IF(OR(B190="",H190="Paid",H190="Not now",S190=""),"",IF(S190&lt;=TODAY(),"DUE",""))</f>
        <v/>
      </c>
      <c r="U190" s="12"/>
      <c r="V190" s="33"/>
      <c r="W190" s="12"/>
    </row>
    <row r="191" customFormat="false" ht="15" hidden="false" customHeight="false" outlineLevel="0" collapsed="false">
      <c r="A191" s="32" t="str">
        <f aca="false">IF(B191="","",ROW()-4)</f>
        <v/>
      </c>
      <c r="B191" s="12"/>
      <c r="C191" s="12"/>
      <c r="D191" s="12"/>
      <c r="E191" s="12"/>
      <c r="F191" s="12"/>
      <c r="G191" s="12"/>
      <c r="H191" s="33"/>
      <c r="I191" s="33"/>
      <c r="J191" s="8"/>
      <c r="K191" s="8"/>
      <c r="L191" s="33"/>
      <c r="M191" s="33"/>
      <c r="N191" s="33"/>
      <c r="O191" s="12"/>
      <c r="P191" s="12"/>
      <c r="Q191" s="12"/>
      <c r="R191" s="34"/>
      <c r="S191" s="34"/>
      <c r="T191" s="30" t="str">
        <f aca="true">IF(OR(B191="",H191="Paid",H191="Not now",S191=""),"",IF(S191&lt;=TODAY(),"DUE",""))</f>
        <v/>
      </c>
      <c r="U191" s="12"/>
      <c r="V191" s="33"/>
      <c r="W191" s="12"/>
    </row>
    <row r="192" customFormat="false" ht="15" hidden="false" customHeight="false" outlineLevel="0" collapsed="false">
      <c r="A192" s="32" t="str">
        <f aca="false">IF(B192="","",ROW()-4)</f>
        <v/>
      </c>
      <c r="B192" s="12"/>
      <c r="C192" s="12"/>
      <c r="D192" s="12"/>
      <c r="E192" s="12"/>
      <c r="F192" s="12"/>
      <c r="G192" s="12"/>
      <c r="H192" s="33"/>
      <c r="I192" s="33"/>
      <c r="J192" s="8"/>
      <c r="K192" s="8"/>
      <c r="L192" s="33"/>
      <c r="M192" s="33"/>
      <c r="N192" s="33"/>
      <c r="O192" s="12"/>
      <c r="P192" s="12"/>
      <c r="Q192" s="12"/>
      <c r="R192" s="34"/>
      <c r="S192" s="34"/>
      <c r="T192" s="30" t="str">
        <f aca="true">IF(OR(B192="",H192="Paid",H192="Not now",S192=""),"",IF(S192&lt;=TODAY(),"DUE",""))</f>
        <v/>
      </c>
      <c r="U192" s="12"/>
      <c r="V192" s="33"/>
      <c r="W192" s="12"/>
    </row>
    <row r="193" customFormat="false" ht="15" hidden="false" customHeight="false" outlineLevel="0" collapsed="false">
      <c r="A193" s="32" t="str">
        <f aca="false">IF(B193="","",ROW()-4)</f>
        <v/>
      </c>
      <c r="B193" s="12"/>
      <c r="C193" s="12"/>
      <c r="D193" s="12"/>
      <c r="E193" s="12"/>
      <c r="F193" s="12"/>
      <c r="G193" s="12"/>
      <c r="H193" s="33"/>
      <c r="I193" s="33"/>
      <c r="J193" s="8"/>
      <c r="K193" s="8"/>
      <c r="L193" s="33"/>
      <c r="M193" s="33"/>
      <c r="N193" s="33"/>
      <c r="O193" s="12"/>
      <c r="P193" s="12"/>
      <c r="Q193" s="12"/>
      <c r="R193" s="34"/>
      <c r="S193" s="34"/>
      <c r="T193" s="30" t="str">
        <f aca="true">IF(OR(B193="",H193="Paid",H193="Not now",S193=""),"",IF(S193&lt;=TODAY(),"DUE",""))</f>
        <v/>
      </c>
      <c r="U193" s="12"/>
      <c r="V193" s="33"/>
      <c r="W193" s="12"/>
    </row>
    <row r="194" customFormat="false" ht="15" hidden="false" customHeight="false" outlineLevel="0" collapsed="false">
      <c r="A194" s="32" t="str">
        <f aca="false">IF(B194="","",ROW()-4)</f>
        <v/>
      </c>
      <c r="B194" s="12"/>
      <c r="C194" s="12"/>
      <c r="D194" s="12"/>
      <c r="E194" s="12"/>
      <c r="F194" s="12"/>
      <c r="G194" s="12"/>
      <c r="H194" s="33"/>
      <c r="I194" s="33"/>
      <c r="J194" s="8"/>
      <c r="K194" s="8"/>
      <c r="L194" s="33"/>
      <c r="M194" s="33"/>
      <c r="N194" s="33"/>
      <c r="O194" s="12"/>
      <c r="P194" s="12"/>
      <c r="Q194" s="12"/>
      <c r="R194" s="34"/>
      <c r="S194" s="34"/>
      <c r="T194" s="30" t="str">
        <f aca="true">IF(OR(B194="",H194="Paid",H194="Not now",S194=""),"",IF(S194&lt;=TODAY(),"DUE",""))</f>
        <v/>
      </c>
      <c r="U194" s="12"/>
      <c r="V194" s="33"/>
      <c r="W194" s="12"/>
    </row>
    <row r="195" customFormat="false" ht="15" hidden="false" customHeight="false" outlineLevel="0" collapsed="false">
      <c r="A195" s="32" t="str">
        <f aca="false">IF(B195="","",ROW()-4)</f>
        <v/>
      </c>
      <c r="B195" s="12"/>
      <c r="C195" s="12"/>
      <c r="D195" s="12"/>
      <c r="E195" s="12"/>
      <c r="F195" s="12"/>
      <c r="G195" s="12"/>
      <c r="H195" s="33"/>
      <c r="I195" s="33"/>
      <c r="J195" s="8"/>
      <c r="K195" s="8"/>
      <c r="L195" s="33"/>
      <c r="M195" s="33"/>
      <c r="N195" s="33"/>
      <c r="O195" s="12"/>
      <c r="P195" s="12"/>
      <c r="Q195" s="12"/>
      <c r="R195" s="34"/>
      <c r="S195" s="34"/>
      <c r="T195" s="30" t="str">
        <f aca="true">IF(OR(B195="",H195="Paid",H195="Not now",S195=""),"",IF(S195&lt;=TODAY(),"DUE",""))</f>
        <v/>
      </c>
      <c r="U195" s="12"/>
      <c r="V195" s="33"/>
      <c r="W195" s="12"/>
    </row>
    <row r="196" customFormat="false" ht="15" hidden="false" customHeight="false" outlineLevel="0" collapsed="false">
      <c r="A196" s="32" t="str">
        <f aca="false">IF(B196="","",ROW()-4)</f>
        <v/>
      </c>
      <c r="B196" s="12"/>
      <c r="C196" s="12"/>
      <c r="D196" s="12"/>
      <c r="E196" s="12"/>
      <c r="F196" s="12"/>
      <c r="G196" s="12"/>
      <c r="H196" s="33"/>
      <c r="I196" s="33"/>
      <c r="J196" s="8"/>
      <c r="K196" s="8"/>
      <c r="L196" s="33"/>
      <c r="M196" s="33"/>
      <c r="N196" s="33"/>
      <c r="O196" s="12"/>
      <c r="P196" s="12"/>
      <c r="Q196" s="12"/>
      <c r="R196" s="34"/>
      <c r="S196" s="34"/>
      <c r="T196" s="30" t="str">
        <f aca="true">IF(OR(B196="",H196="Paid",H196="Not now",S196=""),"",IF(S196&lt;=TODAY(),"DUE",""))</f>
        <v/>
      </c>
      <c r="U196" s="12"/>
      <c r="V196" s="33"/>
      <c r="W196" s="12"/>
    </row>
    <row r="197" customFormat="false" ht="15" hidden="false" customHeight="false" outlineLevel="0" collapsed="false">
      <c r="A197" s="32" t="str">
        <f aca="false">IF(B197="","",ROW()-4)</f>
        <v/>
      </c>
      <c r="B197" s="12"/>
      <c r="C197" s="12"/>
      <c r="D197" s="12"/>
      <c r="E197" s="12"/>
      <c r="F197" s="12"/>
      <c r="G197" s="12"/>
      <c r="H197" s="33"/>
      <c r="I197" s="33"/>
      <c r="J197" s="8"/>
      <c r="K197" s="8"/>
      <c r="L197" s="33"/>
      <c r="M197" s="33"/>
      <c r="N197" s="33"/>
      <c r="O197" s="12"/>
      <c r="P197" s="12"/>
      <c r="Q197" s="12"/>
      <c r="R197" s="34"/>
      <c r="S197" s="34"/>
      <c r="T197" s="30" t="str">
        <f aca="true">IF(OR(B197="",H197="Paid",H197="Not now",S197=""),"",IF(S197&lt;=TODAY(),"DUE",""))</f>
        <v/>
      </c>
      <c r="U197" s="12"/>
      <c r="V197" s="33"/>
      <c r="W197" s="12"/>
    </row>
    <row r="198" customFormat="false" ht="15" hidden="false" customHeight="false" outlineLevel="0" collapsed="false">
      <c r="A198" s="32" t="str">
        <f aca="false">IF(B198="","",ROW()-4)</f>
        <v/>
      </c>
      <c r="B198" s="12"/>
      <c r="C198" s="12"/>
      <c r="D198" s="12"/>
      <c r="E198" s="12"/>
      <c r="F198" s="12"/>
      <c r="G198" s="12"/>
      <c r="H198" s="33"/>
      <c r="I198" s="33"/>
      <c r="J198" s="8"/>
      <c r="K198" s="8"/>
      <c r="L198" s="33"/>
      <c r="M198" s="33"/>
      <c r="N198" s="33"/>
      <c r="O198" s="12"/>
      <c r="P198" s="12"/>
      <c r="Q198" s="12"/>
      <c r="R198" s="34"/>
      <c r="S198" s="34"/>
      <c r="T198" s="30" t="str">
        <f aca="true">IF(OR(B198="",H198="Paid",H198="Not now",S198=""),"",IF(S198&lt;=TODAY(),"DUE",""))</f>
        <v/>
      </c>
      <c r="U198" s="12"/>
      <c r="V198" s="33"/>
      <c r="W198" s="12"/>
    </row>
    <row r="199" customFormat="false" ht="15" hidden="false" customHeight="false" outlineLevel="0" collapsed="false">
      <c r="A199" s="32" t="str">
        <f aca="false">IF(B199="","",ROW()-4)</f>
        <v/>
      </c>
      <c r="B199" s="12"/>
      <c r="C199" s="12"/>
      <c r="D199" s="12"/>
      <c r="E199" s="12"/>
      <c r="F199" s="12"/>
      <c r="G199" s="12"/>
      <c r="H199" s="33"/>
      <c r="I199" s="33"/>
      <c r="J199" s="8"/>
      <c r="K199" s="8"/>
      <c r="L199" s="33"/>
      <c r="M199" s="33"/>
      <c r="N199" s="33"/>
      <c r="O199" s="12"/>
      <c r="P199" s="12"/>
      <c r="Q199" s="12"/>
      <c r="R199" s="34"/>
      <c r="S199" s="34"/>
      <c r="T199" s="30" t="str">
        <f aca="true">IF(OR(B199="",H199="Paid",H199="Not now",S199=""),"",IF(S199&lt;=TODAY(),"DUE",""))</f>
        <v/>
      </c>
      <c r="U199" s="12"/>
      <c r="V199" s="33"/>
      <c r="W199" s="12"/>
    </row>
    <row r="200" customFormat="false" ht="15" hidden="false" customHeight="false" outlineLevel="0" collapsed="false">
      <c r="A200" s="32" t="str">
        <f aca="false">IF(B200="","",ROW()-4)</f>
        <v/>
      </c>
      <c r="B200" s="12"/>
      <c r="C200" s="12"/>
      <c r="D200" s="12"/>
      <c r="E200" s="12"/>
      <c r="F200" s="12"/>
      <c r="G200" s="12"/>
      <c r="H200" s="33"/>
      <c r="I200" s="33"/>
      <c r="J200" s="8"/>
      <c r="K200" s="8"/>
      <c r="L200" s="33"/>
      <c r="M200" s="33"/>
      <c r="N200" s="33"/>
      <c r="O200" s="12"/>
      <c r="P200" s="12"/>
      <c r="Q200" s="12"/>
      <c r="R200" s="34"/>
      <c r="S200" s="34"/>
      <c r="T200" s="30" t="str">
        <f aca="true">IF(OR(B200="",H200="Paid",H200="Not now",S200=""),"",IF(S200&lt;=TODAY(),"DUE",""))</f>
        <v/>
      </c>
      <c r="U200" s="12"/>
      <c r="V200" s="33"/>
      <c r="W200" s="12"/>
    </row>
    <row r="201" customFormat="false" ht="15" hidden="false" customHeight="false" outlineLevel="0" collapsed="false">
      <c r="A201" s="32" t="str">
        <f aca="false">IF(B201="","",ROW()-4)</f>
        <v/>
      </c>
      <c r="B201" s="12"/>
      <c r="C201" s="12"/>
      <c r="D201" s="12"/>
      <c r="E201" s="12"/>
      <c r="F201" s="12"/>
      <c r="G201" s="12"/>
      <c r="H201" s="33"/>
      <c r="I201" s="33"/>
      <c r="J201" s="8"/>
      <c r="K201" s="8"/>
      <c r="L201" s="33"/>
      <c r="M201" s="33"/>
      <c r="N201" s="33"/>
      <c r="O201" s="12"/>
      <c r="P201" s="12"/>
      <c r="Q201" s="12"/>
      <c r="R201" s="34"/>
      <c r="S201" s="34"/>
      <c r="T201" s="30" t="str">
        <f aca="true">IF(OR(B201="",H201="Paid",H201="Not now",S201=""),"",IF(S201&lt;=TODAY(),"DUE",""))</f>
        <v/>
      </c>
      <c r="U201" s="12"/>
      <c r="V201" s="33"/>
      <c r="W201" s="12"/>
    </row>
    <row r="202" customFormat="false" ht="15" hidden="false" customHeight="false" outlineLevel="0" collapsed="false">
      <c r="A202" s="32" t="str">
        <f aca="false">IF(B202="","",ROW()-4)</f>
        <v/>
      </c>
      <c r="B202" s="12"/>
      <c r="C202" s="12"/>
      <c r="D202" s="12"/>
      <c r="E202" s="12"/>
      <c r="F202" s="12"/>
      <c r="G202" s="12"/>
      <c r="H202" s="33"/>
      <c r="I202" s="33"/>
      <c r="J202" s="8"/>
      <c r="K202" s="8"/>
      <c r="L202" s="33"/>
      <c r="M202" s="33"/>
      <c r="N202" s="33"/>
      <c r="O202" s="12"/>
      <c r="P202" s="12"/>
      <c r="Q202" s="12"/>
      <c r="R202" s="34"/>
      <c r="S202" s="34"/>
      <c r="T202" s="30" t="str">
        <f aca="true">IF(OR(B202="",H202="Paid",H202="Not now",S202=""),"",IF(S202&lt;=TODAY(),"DUE",""))</f>
        <v/>
      </c>
      <c r="U202" s="12"/>
      <c r="V202" s="33"/>
      <c r="W202" s="12"/>
    </row>
    <row r="203" customFormat="false" ht="15" hidden="false" customHeight="false" outlineLevel="0" collapsed="false">
      <c r="A203" s="32" t="str">
        <f aca="false">IF(B203="","",ROW()-4)</f>
        <v/>
      </c>
      <c r="B203" s="12"/>
      <c r="C203" s="12"/>
      <c r="D203" s="12"/>
      <c r="E203" s="12"/>
      <c r="F203" s="12"/>
      <c r="G203" s="12"/>
      <c r="H203" s="33"/>
      <c r="I203" s="33"/>
      <c r="J203" s="8"/>
      <c r="K203" s="8"/>
      <c r="L203" s="33"/>
      <c r="M203" s="33"/>
      <c r="N203" s="33"/>
      <c r="O203" s="12"/>
      <c r="P203" s="12"/>
      <c r="Q203" s="12"/>
      <c r="R203" s="34"/>
      <c r="S203" s="34"/>
      <c r="T203" s="30" t="str">
        <f aca="true">IF(OR(B203="",H203="Paid",H203="Not now",S203=""),"",IF(S203&lt;=TODAY(),"DUE",""))</f>
        <v/>
      </c>
      <c r="U203" s="12"/>
      <c r="V203" s="33"/>
      <c r="W203" s="12"/>
    </row>
    <row r="204" customFormat="false" ht="15" hidden="false" customHeight="false" outlineLevel="0" collapsed="false">
      <c r="A204" s="32" t="str">
        <f aca="false">IF(B204="","",ROW()-4)</f>
        <v/>
      </c>
      <c r="B204" s="12"/>
      <c r="C204" s="12"/>
      <c r="D204" s="12"/>
      <c r="E204" s="12"/>
      <c r="F204" s="12"/>
      <c r="G204" s="12"/>
      <c r="H204" s="33"/>
      <c r="I204" s="33"/>
      <c r="J204" s="8"/>
      <c r="K204" s="8"/>
      <c r="L204" s="33"/>
      <c r="M204" s="33"/>
      <c r="N204" s="33"/>
      <c r="O204" s="12"/>
      <c r="P204" s="12"/>
      <c r="Q204" s="12"/>
      <c r="R204" s="34"/>
      <c r="S204" s="34"/>
      <c r="T204" s="30" t="str">
        <f aca="true">IF(OR(B204="",H204="Paid",H204="Not now",S204=""),"",IF(S204&lt;=TODAY(),"DUE",""))</f>
        <v/>
      </c>
      <c r="U204" s="12"/>
      <c r="V204" s="33"/>
      <c r="W204" s="12"/>
    </row>
    <row r="205" customFormat="false" ht="15" hidden="false" customHeight="false" outlineLevel="0" collapsed="false">
      <c r="A205" s="32" t="str">
        <f aca="false">IF(B205="","",ROW()-4)</f>
        <v/>
      </c>
      <c r="B205" s="12"/>
      <c r="C205" s="12"/>
      <c r="D205" s="12"/>
      <c r="E205" s="12"/>
      <c r="F205" s="12"/>
      <c r="G205" s="12"/>
      <c r="H205" s="33"/>
      <c r="I205" s="33"/>
      <c r="J205" s="8"/>
      <c r="K205" s="8"/>
      <c r="L205" s="33"/>
      <c r="M205" s="33"/>
      <c r="N205" s="33"/>
      <c r="O205" s="12"/>
      <c r="P205" s="12"/>
      <c r="Q205" s="12"/>
      <c r="R205" s="34"/>
      <c r="S205" s="34"/>
      <c r="T205" s="30" t="str">
        <f aca="true">IF(OR(B205="",H205="Paid",H205="Not now",S205=""),"",IF(S205&lt;=TODAY(),"DUE",""))</f>
        <v/>
      </c>
      <c r="U205" s="12"/>
      <c r="V205" s="33"/>
      <c r="W205" s="12"/>
    </row>
    <row r="206" customFormat="false" ht="15" hidden="false" customHeight="false" outlineLevel="0" collapsed="false">
      <c r="A206" s="32" t="str">
        <f aca="false">IF(B206="","",ROW()-4)</f>
        <v/>
      </c>
      <c r="B206" s="12"/>
      <c r="C206" s="12"/>
      <c r="D206" s="12"/>
      <c r="E206" s="12"/>
      <c r="F206" s="12"/>
      <c r="G206" s="12"/>
      <c r="H206" s="33"/>
      <c r="I206" s="33"/>
      <c r="J206" s="8"/>
      <c r="K206" s="8"/>
      <c r="L206" s="33"/>
      <c r="M206" s="33"/>
      <c r="N206" s="33"/>
      <c r="O206" s="12"/>
      <c r="P206" s="12"/>
      <c r="Q206" s="12"/>
      <c r="R206" s="34"/>
      <c r="S206" s="34"/>
      <c r="T206" s="30" t="str">
        <f aca="true">IF(OR(B206="",H206="Paid",H206="Not now",S206=""),"",IF(S206&lt;=TODAY(),"DUE",""))</f>
        <v/>
      </c>
      <c r="U206" s="12"/>
      <c r="V206" s="33"/>
      <c r="W206" s="12"/>
    </row>
    <row r="207" customFormat="false" ht="15" hidden="false" customHeight="false" outlineLevel="0" collapsed="false">
      <c r="A207" s="32" t="str">
        <f aca="false">IF(B207="","",ROW()-4)</f>
        <v/>
      </c>
      <c r="B207" s="12"/>
      <c r="C207" s="12"/>
      <c r="D207" s="12"/>
      <c r="E207" s="12"/>
      <c r="F207" s="12"/>
      <c r="G207" s="12"/>
      <c r="H207" s="33"/>
      <c r="I207" s="33"/>
      <c r="J207" s="8"/>
      <c r="K207" s="8"/>
      <c r="L207" s="33"/>
      <c r="M207" s="33"/>
      <c r="N207" s="33"/>
      <c r="O207" s="12"/>
      <c r="P207" s="12"/>
      <c r="Q207" s="12"/>
      <c r="R207" s="34"/>
      <c r="S207" s="34"/>
      <c r="T207" s="30" t="str">
        <f aca="true">IF(OR(B207="",H207="Paid",H207="Not now",S207=""),"",IF(S207&lt;=TODAY(),"DUE",""))</f>
        <v/>
      </c>
      <c r="U207" s="12"/>
      <c r="V207" s="33"/>
      <c r="W207" s="12"/>
    </row>
    <row r="208" customFormat="false" ht="15" hidden="false" customHeight="false" outlineLevel="0" collapsed="false">
      <c r="A208" s="32" t="str">
        <f aca="false">IF(B208="","",ROW()-4)</f>
        <v/>
      </c>
      <c r="B208" s="12"/>
      <c r="C208" s="12"/>
      <c r="D208" s="12"/>
      <c r="E208" s="12"/>
      <c r="F208" s="12"/>
      <c r="G208" s="12"/>
      <c r="H208" s="33"/>
      <c r="I208" s="33"/>
      <c r="J208" s="8"/>
      <c r="K208" s="8"/>
      <c r="L208" s="33"/>
      <c r="M208" s="33"/>
      <c r="N208" s="33"/>
      <c r="O208" s="12"/>
      <c r="P208" s="12"/>
      <c r="Q208" s="12"/>
      <c r="R208" s="34"/>
      <c r="S208" s="34"/>
      <c r="T208" s="30" t="str">
        <f aca="true">IF(OR(B208="",H208="Paid",H208="Not now",S208=""),"",IF(S208&lt;=TODAY(),"DUE",""))</f>
        <v/>
      </c>
      <c r="U208" s="12"/>
      <c r="V208" s="33"/>
      <c r="W208" s="12"/>
    </row>
    <row r="209" customFormat="false" ht="15" hidden="false" customHeight="false" outlineLevel="0" collapsed="false">
      <c r="A209" s="32" t="str">
        <f aca="false">IF(B209="","",ROW()-4)</f>
        <v/>
      </c>
      <c r="B209" s="12"/>
      <c r="C209" s="12"/>
      <c r="D209" s="12"/>
      <c r="E209" s="12"/>
      <c r="F209" s="12"/>
      <c r="G209" s="12"/>
      <c r="H209" s="33"/>
      <c r="I209" s="33"/>
      <c r="J209" s="8"/>
      <c r="K209" s="8"/>
      <c r="L209" s="33"/>
      <c r="M209" s="33"/>
      <c r="N209" s="33"/>
      <c r="O209" s="12"/>
      <c r="P209" s="12"/>
      <c r="Q209" s="12"/>
      <c r="R209" s="34"/>
      <c r="S209" s="34"/>
      <c r="T209" s="30" t="str">
        <f aca="true">IF(OR(B209="",H209="Paid",H209="Not now",S209=""),"",IF(S209&lt;=TODAY(),"DUE",""))</f>
        <v/>
      </c>
      <c r="U209" s="12"/>
      <c r="V209" s="33"/>
      <c r="W209" s="12"/>
    </row>
    <row r="210" customFormat="false" ht="15" hidden="false" customHeight="false" outlineLevel="0" collapsed="false">
      <c r="A210" s="32" t="str">
        <f aca="false">IF(B210="","",ROW()-4)</f>
        <v/>
      </c>
      <c r="B210" s="12"/>
      <c r="C210" s="12"/>
      <c r="D210" s="12"/>
      <c r="E210" s="12"/>
      <c r="F210" s="12"/>
      <c r="G210" s="12"/>
      <c r="H210" s="33"/>
      <c r="I210" s="33"/>
      <c r="J210" s="8"/>
      <c r="K210" s="8"/>
      <c r="L210" s="33"/>
      <c r="M210" s="33"/>
      <c r="N210" s="33"/>
      <c r="O210" s="12"/>
      <c r="P210" s="12"/>
      <c r="Q210" s="12"/>
      <c r="R210" s="34"/>
      <c r="S210" s="34"/>
      <c r="T210" s="30" t="str">
        <f aca="true">IF(OR(B210="",H210="Paid",H210="Not now",S210=""),"",IF(S210&lt;=TODAY(),"DUE",""))</f>
        <v/>
      </c>
      <c r="U210" s="12"/>
      <c r="V210" s="33"/>
      <c r="W210" s="12"/>
    </row>
    <row r="211" customFormat="false" ht="15" hidden="false" customHeight="false" outlineLevel="0" collapsed="false">
      <c r="A211" s="32" t="str">
        <f aca="false">IF(B211="","",ROW()-4)</f>
        <v/>
      </c>
      <c r="B211" s="12"/>
      <c r="C211" s="12"/>
      <c r="D211" s="12"/>
      <c r="E211" s="12"/>
      <c r="F211" s="12"/>
      <c r="G211" s="12"/>
      <c r="H211" s="33"/>
      <c r="I211" s="33"/>
      <c r="J211" s="8"/>
      <c r="K211" s="8"/>
      <c r="L211" s="33"/>
      <c r="M211" s="33"/>
      <c r="N211" s="33"/>
      <c r="O211" s="12"/>
      <c r="P211" s="12"/>
      <c r="Q211" s="12"/>
      <c r="R211" s="34"/>
      <c r="S211" s="34"/>
      <c r="T211" s="30" t="str">
        <f aca="true">IF(OR(B211="",H211="Paid",H211="Not now",S211=""),"",IF(S211&lt;=TODAY(),"DUE",""))</f>
        <v/>
      </c>
      <c r="U211" s="12"/>
      <c r="V211" s="33"/>
      <c r="W211" s="12"/>
    </row>
    <row r="212" customFormat="false" ht="15" hidden="false" customHeight="false" outlineLevel="0" collapsed="false">
      <c r="A212" s="32" t="str">
        <f aca="false">IF(B212="","",ROW()-4)</f>
        <v/>
      </c>
      <c r="B212" s="12"/>
      <c r="C212" s="12"/>
      <c r="D212" s="12"/>
      <c r="E212" s="12"/>
      <c r="F212" s="12"/>
      <c r="G212" s="12"/>
      <c r="H212" s="33"/>
      <c r="I212" s="33"/>
      <c r="J212" s="8"/>
      <c r="K212" s="8"/>
      <c r="L212" s="33"/>
      <c r="M212" s="33"/>
      <c r="N212" s="33"/>
      <c r="O212" s="12"/>
      <c r="P212" s="12"/>
      <c r="Q212" s="12"/>
      <c r="R212" s="34"/>
      <c r="S212" s="34"/>
      <c r="T212" s="30" t="str">
        <f aca="true">IF(OR(B212="",H212="Paid",H212="Not now",S212=""),"",IF(S212&lt;=TODAY(),"DUE",""))</f>
        <v/>
      </c>
      <c r="U212" s="12"/>
      <c r="V212" s="33"/>
      <c r="W212" s="12"/>
    </row>
    <row r="213" customFormat="false" ht="15" hidden="false" customHeight="false" outlineLevel="0" collapsed="false">
      <c r="A213" s="32" t="str">
        <f aca="false">IF(B213="","",ROW()-4)</f>
        <v/>
      </c>
      <c r="B213" s="12"/>
      <c r="C213" s="12"/>
      <c r="D213" s="12"/>
      <c r="E213" s="12"/>
      <c r="F213" s="12"/>
      <c r="G213" s="12"/>
      <c r="H213" s="33"/>
      <c r="I213" s="33"/>
      <c r="J213" s="8"/>
      <c r="K213" s="8"/>
      <c r="L213" s="33"/>
      <c r="M213" s="33"/>
      <c r="N213" s="33"/>
      <c r="O213" s="12"/>
      <c r="P213" s="12"/>
      <c r="Q213" s="12"/>
      <c r="R213" s="34"/>
      <c r="S213" s="34"/>
      <c r="T213" s="30" t="str">
        <f aca="true">IF(OR(B213="",H213="Paid",H213="Not now",S213=""),"",IF(S213&lt;=TODAY(),"DUE",""))</f>
        <v/>
      </c>
      <c r="U213" s="12"/>
      <c r="V213" s="33"/>
      <c r="W213" s="12"/>
    </row>
    <row r="214" customFormat="false" ht="15" hidden="false" customHeight="false" outlineLevel="0" collapsed="false">
      <c r="A214" s="32" t="str">
        <f aca="false">IF(B214="","",ROW()-4)</f>
        <v/>
      </c>
      <c r="B214" s="12"/>
      <c r="C214" s="12"/>
      <c r="D214" s="12"/>
      <c r="E214" s="12"/>
      <c r="F214" s="12"/>
      <c r="G214" s="12"/>
      <c r="H214" s="33"/>
      <c r="I214" s="33"/>
      <c r="J214" s="8"/>
      <c r="K214" s="8"/>
      <c r="L214" s="33"/>
      <c r="M214" s="33"/>
      <c r="N214" s="33"/>
      <c r="O214" s="12"/>
      <c r="P214" s="12"/>
      <c r="Q214" s="12"/>
      <c r="R214" s="34"/>
      <c r="S214" s="34"/>
      <c r="T214" s="30" t="str">
        <f aca="true">IF(OR(B214="",H214="Paid",H214="Not now",S214=""),"",IF(S214&lt;=TODAY(),"DUE",""))</f>
        <v/>
      </c>
      <c r="U214" s="12"/>
      <c r="V214" s="33"/>
      <c r="W214" s="12"/>
    </row>
    <row r="215" customFormat="false" ht="15" hidden="false" customHeight="false" outlineLevel="0" collapsed="false">
      <c r="A215" s="32" t="str">
        <f aca="false">IF(B215="","",ROW()-4)</f>
        <v/>
      </c>
      <c r="B215" s="12"/>
      <c r="C215" s="12"/>
      <c r="D215" s="12"/>
      <c r="E215" s="12"/>
      <c r="F215" s="12"/>
      <c r="G215" s="12"/>
      <c r="H215" s="33"/>
      <c r="I215" s="33"/>
      <c r="J215" s="8"/>
      <c r="K215" s="8"/>
      <c r="L215" s="33"/>
      <c r="M215" s="33"/>
      <c r="N215" s="33"/>
      <c r="O215" s="12"/>
      <c r="P215" s="12"/>
      <c r="Q215" s="12"/>
      <c r="R215" s="34"/>
      <c r="S215" s="34"/>
      <c r="T215" s="30" t="str">
        <f aca="true">IF(OR(B215="",H215="Paid",H215="Not now",S215=""),"",IF(S215&lt;=TODAY(),"DUE",""))</f>
        <v/>
      </c>
      <c r="U215" s="12"/>
      <c r="V215" s="33"/>
      <c r="W215" s="12"/>
    </row>
    <row r="216" customFormat="false" ht="15" hidden="false" customHeight="false" outlineLevel="0" collapsed="false">
      <c r="A216" s="32" t="str">
        <f aca="false">IF(B216="","",ROW()-4)</f>
        <v/>
      </c>
      <c r="B216" s="12"/>
      <c r="C216" s="12"/>
      <c r="D216" s="12"/>
      <c r="E216" s="12"/>
      <c r="F216" s="12"/>
      <c r="G216" s="12"/>
      <c r="H216" s="33"/>
      <c r="I216" s="33"/>
      <c r="J216" s="8"/>
      <c r="K216" s="8"/>
      <c r="L216" s="33"/>
      <c r="M216" s="33"/>
      <c r="N216" s="33"/>
      <c r="O216" s="12"/>
      <c r="P216" s="12"/>
      <c r="Q216" s="12"/>
      <c r="R216" s="34"/>
      <c r="S216" s="34"/>
      <c r="T216" s="30" t="str">
        <f aca="true">IF(OR(B216="",H216="Paid",H216="Not now",S216=""),"",IF(S216&lt;=TODAY(),"DUE",""))</f>
        <v/>
      </c>
      <c r="U216" s="12"/>
      <c r="V216" s="33"/>
      <c r="W216" s="12"/>
    </row>
    <row r="217" customFormat="false" ht="15" hidden="false" customHeight="false" outlineLevel="0" collapsed="false">
      <c r="A217" s="32" t="str">
        <f aca="false">IF(B217="","",ROW()-4)</f>
        <v/>
      </c>
      <c r="B217" s="12"/>
      <c r="C217" s="12"/>
      <c r="D217" s="12"/>
      <c r="E217" s="12"/>
      <c r="F217" s="12"/>
      <c r="G217" s="12"/>
      <c r="H217" s="33"/>
      <c r="I217" s="33"/>
      <c r="J217" s="8"/>
      <c r="K217" s="8"/>
      <c r="L217" s="33"/>
      <c r="M217" s="33"/>
      <c r="N217" s="33"/>
      <c r="O217" s="12"/>
      <c r="P217" s="12"/>
      <c r="Q217" s="12"/>
      <c r="R217" s="34"/>
      <c r="S217" s="34"/>
      <c r="T217" s="30" t="str">
        <f aca="true">IF(OR(B217="",H217="Paid",H217="Not now",S217=""),"",IF(S217&lt;=TODAY(),"DUE",""))</f>
        <v/>
      </c>
      <c r="U217" s="12"/>
      <c r="V217" s="33"/>
      <c r="W217" s="12"/>
    </row>
    <row r="218" customFormat="false" ht="15" hidden="false" customHeight="false" outlineLevel="0" collapsed="false">
      <c r="A218" s="32" t="str">
        <f aca="false">IF(B218="","",ROW()-4)</f>
        <v/>
      </c>
      <c r="B218" s="12"/>
      <c r="C218" s="12"/>
      <c r="D218" s="12"/>
      <c r="E218" s="12"/>
      <c r="F218" s="12"/>
      <c r="G218" s="12"/>
      <c r="H218" s="33"/>
      <c r="I218" s="33"/>
      <c r="J218" s="8"/>
      <c r="K218" s="8"/>
      <c r="L218" s="33"/>
      <c r="M218" s="33"/>
      <c r="N218" s="33"/>
      <c r="O218" s="12"/>
      <c r="P218" s="12"/>
      <c r="Q218" s="12"/>
      <c r="R218" s="34"/>
      <c r="S218" s="34"/>
      <c r="T218" s="30" t="str">
        <f aca="true">IF(OR(B218="",H218="Paid",H218="Not now",S218=""),"",IF(S218&lt;=TODAY(),"DUE",""))</f>
        <v/>
      </c>
      <c r="U218" s="12"/>
      <c r="V218" s="33"/>
      <c r="W218" s="12"/>
    </row>
    <row r="219" customFormat="false" ht="15" hidden="false" customHeight="false" outlineLevel="0" collapsed="false">
      <c r="A219" s="32" t="str">
        <f aca="false">IF(B219="","",ROW()-4)</f>
        <v/>
      </c>
      <c r="B219" s="12"/>
      <c r="C219" s="12"/>
      <c r="D219" s="12"/>
      <c r="E219" s="12"/>
      <c r="F219" s="12"/>
      <c r="G219" s="12"/>
      <c r="H219" s="33"/>
      <c r="I219" s="33"/>
      <c r="J219" s="8"/>
      <c r="K219" s="8"/>
      <c r="L219" s="33"/>
      <c r="M219" s="33"/>
      <c r="N219" s="33"/>
      <c r="O219" s="12"/>
      <c r="P219" s="12"/>
      <c r="Q219" s="12"/>
      <c r="R219" s="34"/>
      <c r="S219" s="34"/>
      <c r="T219" s="30" t="str">
        <f aca="true">IF(OR(B219="",H219="Paid",H219="Not now",S219=""),"",IF(S219&lt;=TODAY(),"DUE",""))</f>
        <v/>
      </c>
      <c r="U219" s="12"/>
      <c r="V219" s="33"/>
      <c r="W219" s="12"/>
    </row>
    <row r="220" customFormat="false" ht="15" hidden="false" customHeight="false" outlineLevel="0" collapsed="false">
      <c r="A220" s="32" t="str">
        <f aca="false">IF(B220="","",ROW()-4)</f>
        <v/>
      </c>
      <c r="B220" s="12"/>
      <c r="C220" s="12"/>
      <c r="D220" s="12"/>
      <c r="E220" s="12"/>
      <c r="F220" s="12"/>
      <c r="G220" s="12"/>
      <c r="H220" s="33"/>
      <c r="I220" s="33"/>
      <c r="J220" s="8"/>
      <c r="K220" s="8"/>
      <c r="L220" s="33"/>
      <c r="M220" s="33"/>
      <c r="N220" s="33"/>
      <c r="O220" s="12"/>
      <c r="P220" s="12"/>
      <c r="Q220" s="12"/>
      <c r="R220" s="34"/>
      <c r="S220" s="34"/>
      <c r="T220" s="30" t="str">
        <f aca="true">IF(OR(B220="",H220="Paid",H220="Not now",S220=""),"",IF(S220&lt;=TODAY(),"DUE",""))</f>
        <v/>
      </c>
      <c r="U220" s="12"/>
      <c r="V220" s="33"/>
      <c r="W220" s="12"/>
    </row>
    <row r="221" customFormat="false" ht="15" hidden="false" customHeight="false" outlineLevel="0" collapsed="false">
      <c r="A221" s="32" t="str">
        <f aca="false">IF(B221="","",ROW()-4)</f>
        <v/>
      </c>
      <c r="B221" s="12"/>
      <c r="C221" s="12"/>
      <c r="D221" s="12"/>
      <c r="E221" s="12"/>
      <c r="F221" s="12"/>
      <c r="G221" s="12"/>
      <c r="H221" s="33"/>
      <c r="I221" s="33"/>
      <c r="J221" s="8"/>
      <c r="K221" s="8"/>
      <c r="L221" s="33"/>
      <c r="M221" s="33"/>
      <c r="N221" s="33"/>
      <c r="O221" s="12"/>
      <c r="P221" s="12"/>
      <c r="Q221" s="12"/>
      <c r="R221" s="34"/>
      <c r="S221" s="34"/>
      <c r="T221" s="30" t="str">
        <f aca="true">IF(OR(B221="",H221="Paid",H221="Not now",S221=""),"",IF(S221&lt;=TODAY(),"DUE",""))</f>
        <v/>
      </c>
      <c r="U221" s="12"/>
      <c r="V221" s="33"/>
      <c r="W221" s="12"/>
    </row>
    <row r="222" customFormat="false" ht="15" hidden="false" customHeight="false" outlineLevel="0" collapsed="false">
      <c r="A222" s="32" t="str">
        <f aca="false">IF(B222="","",ROW()-4)</f>
        <v/>
      </c>
      <c r="B222" s="12"/>
      <c r="C222" s="12"/>
      <c r="D222" s="12"/>
      <c r="E222" s="12"/>
      <c r="F222" s="12"/>
      <c r="G222" s="12"/>
      <c r="H222" s="33"/>
      <c r="I222" s="33"/>
      <c r="J222" s="8"/>
      <c r="K222" s="8"/>
      <c r="L222" s="33"/>
      <c r="M222" s="33"/>
      <c r="N222" s="33"/>
      <c r="O222" s="12"/>
      <c r="P222" s="12"/>
      <c r="Q222" s="12"/>
      <c r="R222" s="34"/>
      <c r="S222" s="34"/>
      <c r="T222" s="30" t="str">
        <f aca="true">IF(OR(B222="",H222="Paid",H222="Not now",S222=""),"",IF(S222&lt;=TODAY(),"DUE",""))</f>
        <v/>
      </c>
      <c r="U222" s="12"/>
      <c r="V222" s="33"/>
      <c r="W222" s="12"/>
    </row>
    <row r="223" customFormat="false" ht="15" hidden="false" customHeight="false" outlineLevel="0" collapsed="false">
      <c r="A223" s="32" t="str">
        <f aca="false">IF(B223="","",ROW()-4)</f>
        <v/>
      </c>
      <c r="B223" s="12"/>
      <c r="C223" s="12"/>
      <c r="D223" s="12"/>
      <c r="E223" s="12"/>
      <c r="F223" s="12"/>
      <c r="G223" s="12"/>
      <c r="H223" s="33"/>
      <c r="I223" s="33"/>
      <c r="J223" s="8"/>
      <c r="K223" s="8"/>
      <c r="L223" s="33"/>
      <c r="M223" s="33"/>
      <c r="N223" s="33"/>
      <c r="O223" s="12"/>
      <c r="P223" s="12"/>
      <c r="Q223" s="12"/>
      <c r="R223" s="34"/>
      <c r="S223" s="34"/>
      <c r="T223" s="30" t="str">
        <f aca="true">IF(OR(B223="",H223="Paid",H223="Not now",S223=""),"",IF(S223&lt;=TODAY(),"DUE",""))</f>
        <v/>
      </c>
      <c r="U223" s="12"/>
      <c r="V223" s="33"/>
      <c r="W223" s="12"/>
    </row>
    <row r="224" customFormat="false" ht="15" hidden="false" customHeight="false" outlineLevel="0" collapsed="false">
      <c r="A224" s="32" t="str">
        <f aca="false">IF(B224="","",ROW()-4)</f>
        <v/>
      </c>
      <c r="B224" s="12"/>
      <c r="C224" s="12"/>
      <c r="D224" s="12"/>
      <c r="E224" s="12"/>
      <c r="F224" s="12"/>
      <c r="G224" s="12"/>
      <c r="H224" s="33"/>
      <c r="I224" s="33"/>
      <c r="J224" s="8"/>
      <c r="K224" s="8"/>
      <c r="L224" s="33"/>
      <c r="M224" s="33"/>
      <c r="N224" s="33"/>
      <c r="O224" s="12"/>
      <c r="P224" s="12"/>
      <c r="Q224" s="12"/>
      <c r="R224" s="34"/>
      <c r="S224" s="34"/>
      <c r="T224" s="30" t="str">
        <f aca="true">IF(OR(B224="",H224="Paid",H224="Not now",S224=""),"",IF(S224&lt;=TODAY(),"DUE",""))</f>
        <v/>
      </c>
      <c r="U224" s="12"/>
      <c r="V224" s="33"/>
      <c r="W224" s="12"/>
    </row>
    <row r="225" customFormat="false" ht="15" hidden="false" customHeight="false" outlineLevel="0" collapsed="false">
      <c r="A225" s="32" t="str">
        <f aca="false">IF(B225="","",ROW()-4)</f>
        <v/>
      </c>
      <c r="B225" s="12"/>
      <c r="C225" s="12"/>
      <c r="D225" s="12"/>
      <c r="E225" s="12"/>
      <c r="F225" s="12"/>
      <c r="G225" s="12"/>
      <c r="H225" s="33"/>
      <c r="I225" s="33"/>
      <c r="J225" s="8"/>
      <c r="K225" s="8"/>
      <c r="L225" s="33"/>
      <c r="M225" s="33"/>
      <c r="N225" s="33"/>
      <c r="O225" s="12"/>
      <c r="P225" s="12"/>
      <c r="Q225" s="12"/>
      <c r="R225" s="34"/>
      <c r="S225" s="34"/>
      <c r="T225" s="30" t="str">
        <f aca="true">IF(OR(B225="",H225="Paid",H225="Not now",S225=""),"",IF(S225&lt;=TODAY(),"DUE",""))</f>
        <v/>
      </c>
      <c r="U225" s="12"/>
      <c r="V225" s="33"/>
      <c r="W225" s="12"/>
    </row>
    <row r="226" customFormat="false" ht="15" hidden="false" customHeight="false" outlineLevel="0" collapsed="false">
      <c r="A226" s="32" t="str">
        <f aca="false">IF(B226="","",ROW()-4)</f>
        <v/>
      </c>
      <c r="B226" s="12"/>
      <c r="C226" s="12"/>
      <c r="D226" s="12"/>
      <c r="E226" s="12"/>
      <c r="F226" s="12"/>
      <c r="G226" s="12"/>
      <c r="H226" s="33"/>
      <c r="I226" s="33"/>
      <c r="J226" s="8"/>
      <c r="K226" s="8"/>
      <c r="L226" s="33"/>
      <c r="M226" s="33"/>
      <c r="N226" s="33"/>
      <c r="O226" s="12"/>
      <c r="P226" s="12"/>
      <c r="Q226" s="12"/>
      <c r="R226" s="34"/>
      <c r="S226" s="34"/>
      <c r="T226" s="30" t="str">
        <f aca="true">IF(OR(B226="",H226="Paid",H226="Not now",S226=""),"",IF(S226&lt;=TODAY(),"DUE",""))</f>
        <v/>
      </c>
      <c r="U226" s="12"/>
      <c r="V226" s="33"/>
      <c r="W226" s="12"/>
    </row>
    <row r="227" customFormat="false" ht="15" hidden="false" customHeight="false" outlineLevel="0" collapsed="false">
      <c r="A227" s="32" t="str">
        <f aca="false">IF(B227="","",ROW()-4)</f>
        <v/>
      </c>
      <c r="B227" s="12"/>
      <c r="C227" s="12"/>
      <c r="D227" s="12"/>
      <c r="E227" s="12"/>
      <c r="F227" s="12"/>
      <c r="G227" s="12"/>
      <c r="H227" s="33"/>
      <c r="I227" s="33"/>
      <c r="J227" s="8"/>
      <c r="K227" s="8"/>
      <c r="L227" s="33"/>
      <c r="M227" s="33"/>
      <c r="N227" s="33"/>
      <c r="O227" s="12"/>
      <c r="P227" s="12"/>
      <c r="Q227" s="12"/>
      <c r="R227" s="34"/>
      <c r="S227" s="34"/>
      <c r="T227" s="30" t="str">
        <f aca="true">IF(OR(B227="",H227="Paid",H227="Not now",S227=""),"",IF(S227&lt;=TODAY(),"DUE",""))</f>
        <v/>
      </c>
      <c r="U227" s="12"/>
      <c r="V227" s="33"/>
      <c r="W227" s="12"/>
    </row>
    <row r="228" customFormat="false" ht="15" hidden="false" customHeight="false" outlineLevel="0" collapsed="false">
      <c r="A228" s="32" t="str">
        <f aca="false">IF(B228="","",ROW()-4)</f>
        <v/>
      </c>
      <c r="B228" s="12"/>
      <c r="C228" s="12"/>
      <c r="D228" s="12"/>
      <c r="E228" s="12"/>
      <c r="F228" s="12"/>
      <c r="G228" s="12"/>
      <c r="H228" s="33"/>
      <c r="I228" s="33"/>
      <c r="J228" s="8"/>
      <c r="K228" s="8"/>
      <c r="L228" s="33"/>
      <c r="M228" s="33"/>
      <c r="N228" s="33"/>
      <c r="O228" s="12"/>
      <c r="P228" s="12"/>
      <c r="Q228" s="12"/>
      <c r="R228" s="34"/>
      <c r="S228" s="34"/>
      <c r="T228" s="30" t="str">
        <f aca="true">IF(OR(B228="",H228="Paid",H228="Not now",S228=""),"",IF(S228&lt;=TODAY(),"DUE",""))</f>
        <v/>
      </c>
      <c r="U228" s="12"/>
      <c r="V228" s="33"/>
      <c r="W228" s="12"/>
    </row>
    <row r="229" customFormat="false" ht="15" hidden="false" customHeight="false" outlineLevel="0" collapsed="false">
      <c r="A229" s="32" t="str">
        <f aca="false">IF(B229="","",ROW()-4)</f>
        <v/>
      </c>
      <c r="B229" s="12"/>
      <c r="C229" s="12"/>
      <c r="D229" s="12"/>
      <c r="E229" s="12"/>
      <c r="F229" s="12"/>
      <c r="G229" s="12"/>
      <c r="H229" s="33"/>
      <c r="I229" s="33"/>
      <c r="J229" s="8"/>
      <c r="K229" s="8"/>
      <c r="L229" s="33"/>
      <c r="M229" s="33"/>
      <c r="N229" s="33"/>
      <c r="O229" s="12"/>
      <c r="P229" s="12"/>
      <c r="Q229" s="12"/>
      <c r="R229" s="34"/>
      <c r="S229" s="34"/>
      <c r="T229" s="30" t="str">
        <f aca="true">IF(OR(B229="",H229="Paid",H229="Not now",S229=""),"",IF(S229&lt;=TODAY(),"DUE",""))</f>
        <v/>
      </c>
      <c r="U229" s="12"/>
      <c r="V229" s="33"/>
      <c r="W229" s="12"/>
    </row>
    <row r="230" customFormat="false" ht="15" hidden="false" customHeight="false" outlineLevel="0" collapsed="false">
      <c r="A230" s="32" t="str">
        <f aca="false">IF(B230="","",ROW()-4)</f>
        <v/>
      </c>
      <c r="B230" s="12"/>
      <c r="C230" s="12"/>
      <c r="D230" s="12"/>
      <c r="E230" s="12"/>
      <c r="F230" s="12"/>
      <c r="G230" s="12"/>
      <c r="H230" s="33"/>
      <c r="I230" s="33"/>
      <c r="J230" s="8"/>
      <c r="K230" s="8"/>
      <c r="L230" s="33"/>
      <c r="M230" s="33"/>
      <c r="N230" s="33"/>
      <c r="O230" s="12"/>
      <c r="P230" s="12"/>
      <c r="Q230" s="12"/>
      <c r="R230" s="34"/>
      <c r="S230" s="34"/>
      <c r="T230" s="30" t="str">
        <f aca="true">IF(OR(B230="",H230="Paid",H230="Not now",S230=""),"",IF(S230&lt;=TODAY(),"DUE",""))</f>
        <v/>
      </c>
      <c r="U230" s="12"/>
      <c r="V230" s="33"/>
      <c r="W230" s="12"/>
    </row>
    <row r="231" customFormat="false" ht="15" hidden="false" customHeight="false" outlineLevel="0" collapsed="false">
      <c r="A231" s="32" t="str">
        <f aca="false">IF(B231="","",ROW()-4)</f>
        <v/>
      </c>
      <c r="B231" s="12"/>
      <c r="C231" s="12"/>
      <c r="D231" s="12"/>
      <c r="E231" s="12"/>
      <c r="F231" s="12"/>
      <c r="G231" s="12"/>
      <c r="H231" s="33"/>
      <c r="I231" s="33"/>
      <c r="J231" s="8"/>
      <c r="K231" s="8"/>
      <c r="L231" s="33"/>
      <c r="M231" s="33"/>
      <c r="N231" s="33"/>
      <c r="O231" s="12"/>
      <c r="P231" s="12"/>
      <c r="Q231" s="12"/>
      <c r="R231" s="34"/>
      <c r="S231" s="34"/>
      <c r="T231" s="30" t="str">
        <f aca="true">IF(OR(B231="",H231="Paid",H231="Not now",S231=""),"",IF(S231&lt;=TODAY(),"DUE",""))</f>
        <v/>
      </c>
      <c r="U231" s="12"/>
      <c r="V231" s="33"/>
      <c r="W231" s="12"/>
    </row>
    <row r="232" customFormat="false" ht="15" hidden="false" customHeight="false" outlineLevel="0" collapsed="false">
      <c r="A232" s="32" t="str">
        <f aca="false">IF(B232="","",ROW()-4)</f>
        <v/>
      </c>
      <c r="B232" s="12"/>
      <c r="C232" s="12"/>
      <c r="D232" s="12"/>
      <c r="E232" s="12"/>
      <c r="F232" s="12"/>
      <c r="G232" s="12"/>
      <c r="H232" s="33"/>
      <c r="I232" s="33"/>
      <c r="J232" s="8"/>
      <c r="K232" s="8"/>
      <c r="L232" s="33"/>
      <c r="M232" s="33"/>
      <c r="N232" s="33"/>
      <c r="O232" s="12"/>
      <c r="P232" s="12"/>
      <c r="Q232" s="12"/>
      <c r="R232" s="34"/>
      <c r="S232" s="34"/>
      <c r="T232" s="30" t="str">
        <f aca="true">IF(OR(B232="",H232="Paid",H232="Not now",S232=""),"",IF(S232&lt;=TODAY(),"DUE",""))</f>
        <v/>
      </c>
      <c r="U232" s="12"/>
      <c r="V232" s="33"/>
      <c r="W232" s="12"/>
    </row>
    <row r="233" customFormat="false" ht="15" hidden="false" customHeight="false" outlineLevel="0" collapsed="false">
      <c r="A233" s="32" t="str">
        <f aca="false">IF(B233="","",ROW()-4)</f>
        <v/>
      </c>
      <c r="B233" s="12"/>
      <c r="C233" s="12"/>
      <c r="D233" s="12"/>
      <c r="E233" s="12"/>
      <c r="F233" s="12"/>
      <c r="G233" s="12"/>
      <c r="H233" s="33"/>
      <c r="I233" s="33"/>
      <c r="J233" s="8"/>
      <c r="K233" s="8"/>
      <c r="L233" s="33"/>
      <c r="M233" s="33"/>
      <c r="N233" s="33"/>
      <c r="O233" s="12"/>
      <c r="P233" s="12"/>
      <c r="Q233" s="12"/>
      <c r="R233" s="34"/>
      <c r="S233" s="34"/>
      <c r="T233" s="30" t="str">
        <f aca="true">IF(OR(B233="",H233="Paid",H233="Not now",S233=""),"",IF(S233&lt;=TODAY(),"DUE",""))</f>
        <v/>
      </c>
      <c r="U233" s="12"/>
      <c r="V233" s="33"/>
      <c r="W233" s="12"/>
    </row>
    <row r="234" customFormat="false" ht="15" hidden="false" customHeight="false" outlineLevel="0" collapsed="false">
      <c r="A234" s="32" t="str">
        <f aca="false">IF(B234="","",ROW()-4)</f>
        <v/>
      </c>
      <c r="B234" s="12"/>
      <c r="C234" s="12"/>
      <c r="D234" s="12"/>
      <c r="E234" s="12"/>
      <c r="F234" s="12"/>
      <c r="G234" s="12"/>
      <c r="H234" s="33"/>
      <c r="I234" s="33"/>
      <c r="J234" s="8"/>
      <c r="K234" s="8"/>
      <c r="L234" s="33"/>
      <c r="M234" s="33"/>
      <c r="N234" s="33"/>
      <c r="O234" s="12"/>
      <c r="P234" s="12"/>
      <c r="Q234" s="12"/>
      <c r="R234" s="34"/>
      <c r="S234" s="34"/>
      <c r="T234" s="30" t="str">
        <f aca="true">IF(OR(B234="",H234="Paid",H234="Not now",S234=""),"",IF(S234&lt;=TODAY(),"DUE",""))</f>
        <v/>
      </c>
      <c r="U234" s="12"/>
      <c r="V234" s="33"/>
      <c r="W234" s="12"/>
    </row>
    <row r="235" customFormat="false" ht="15" hidden="false" customHeight="false" outlineLevel="0" collapsed="false">
      <c r="A235" s="32" t="str">
        <f aca="false">IF(B235="","",ROW()-4)</f>
        <v/>
      </c>
      <c r="B235" s="12"/>
      <c r="C235" s="12"/>
      <c r="D235" s="12"/>
      <c r="E235" s="12"/>
      <c r="F235" s="12"/>
      <c r="G235" s="12"/>
      <c r="H235" s="33"/>
      <c r="I235" s="33"/>
      <c r="J235" s="8"/>
      <c r="K235" s="8"/>
      <c r="L235" s="33"/>
      <c r="M235" s="33"/>
      <c r="N235" s="33"/>
      <c r="O235" s="12"/>
      <c r="P235" s="12"/>
      <c r="Q235" s="12"/>
      <c r="R235" s="34"/>
      <c r="S235" s="34"/>
      <c r="T235" s="30" t="str">
        <f aca="true">IF(OR(B235="",H235="Paid",H235="Not now",S235=""),"",IF(S235&lt;=TODAY(),"DUE",""))</f>
        <v/>
      </c>
      <c r="U235" s="12"/>
      <c r="V235" s="33"/>
      <c r="W235" s="12"/>
    </row>
    <row r="236" customFormat="false" ht="15" hidden="false" customHeight="false" outlineLevel="0" collapsed="false">
      <c r="A236" s="32" t="str">
        <f aca="false">IF(B236="","",ROW()-4)</f>
        <v/>
      </c>
      <c r="B236" s="12"/>
      <c r="C236" s="12"/>
      <c r="D236" s="12"/>
      <c r="E236" s="12"/>
      <c r="F236" s="12"/>
      <c r="G236" s="12"/>
      <c r="H236" s="33"/>
      <c r="I236" s="33"/>
      <c r="J236" s="8"/>
      <c r="K236" s="8"/>
      <c r="L236" s="33"/>
      <c r="M236" s="33"/>
      <c r="N236" s="33"/>
      <c r="O236" s="12"/>
      <c r="P236" s="12"/>
      <c r="Q236" s="12"/>
      <c r="R236" s="34"/>
      <c r="S236" s="34"/>
      <c r="T236" s="30" t="str">
        <f aca="true">IF(OR(B236="",H236="Paid",H236="Not now",S236=""),"",IF(S236&lt;=TODAY(),"DUE",""))</f>
        <v/>
      </c>
      <c r="U236" s="12"/>
      <c r="V236" s="33"/>
      <c r="W236" s="12"/>
    </row>
    <row r="237" customFormat="false" ht="15" hidden="false" customHeight="false" outlineLevel="0" collapsed="false">
      <c r="A237" s="32" t="str">
        <f aca="false">IF(B237="","",ROW()-4)</f>
        <v/>
      </c>
      <c r="B237" s="12"/>
      <c r="C237" s="12"/>
      <c r="D237" s="12"/>
      <c r="E237" s="12"/>
      <c r="F237" s="12"/>
      <c r="G237" s="12"/>
      <c r="H237" s="33"/>
      <c r="I237" s="33"/>
      <c r="J237" s="8"/>
      <c r="K237" s="8"/>
      <c r="L237" s="33"/>
      <c r="M237" s="33"/>
      <c r="N237" s="33"/>
      <c r="O237" s="12"/>
      <c r="P237" s="12"/>
      <c r="Q237" s="12"/>
      <c r="R237" s="34"/>
      <c r="S237" s="34"/>
      <c r="T237" s="30" t="str">
        <f aca="true">IF(OR(B237="",H237="Paid",H237="Not now",S237=""),"",IF(S237&lt;=TODAY(),"DUE",""))</f>
        <v/>
      </c>
      <c r="U237" s="12"/>
      <c r="V237" s="33"/>
      <c r="W237" s="12"/>
    </row>
    <row r="238" customFormat="false" ht="15" hidden="false" customHeight="false" outlineLevel="0" collapsed="false">
      <c r="A238" s="32" t="str">
        <f aca="false">IF(B238="","",ROW()-4)</f>
        <v/>
      </c>
      <c r="B238" s="12"/>
      <c r="C238" s="12"/>
      <c r="D238" s="12"/>
      <c r="E238" s="12"/>
      <c r="F238" s="12"/>
      <c r="G238" s="12"/>
      <c r="H238" s="33"/>
      <c r="I238" s="33"/>
      <c r="J238" s="8"/>
      <c r="K238" s="8"/>
      <c r="L238" s="33"/>
      <c r="M238" s="33"/>
      <c r="N238" s="33"/>
      <c r="O238" s="12"/>
      <c r="P238" s="12"/>
      <c r="Q238" s="12"/>
      <c r="R238" s="34"/>
      <c r="S238" s="34"/>
      <c r="T238" s="30" t="str">
        <f aca="true">IF(OR(B238="",H238="Paid",H238="Not now",S238=""),"",IF(S238&lt;=TODAY(),"DUE",""))</f>
        <v/>
      </c>
      <c r="U238" s="12"/>
      <c r="V238" s="33"/>
      <c r="W238" s="12"/>
    </row>
    <row r="239" customFormat="false" ht="15" hidden="false" customHeight="false" outlineLevel="0" collapsed="false">
      <c r="A239" s="32" t="str">
        <f aca="false">IF(B239="","",ROW()-4)</f>
        <v/>
      </c>
      <c r="B239" s="12"/>
      <c r="C239" s="12"/>
      <c r="D239" s="12"/>
      <c r="E239" s="12"/>
      <c r="F239" s="12"/>
      <c r="G239" s="12"/>
      <c r="H239" s="33"/>
      <c r="I239" s="33"/>
      <c r="J239" s="8"/>
      <c r="K239" s="8"/>
      <c r="L239" s="33"/>
      <c r="M239" s="33"/>
      <c r="N239" s="33"/>
      <c r="O239" s="12"/>
      <c r="P239" s="12"/>
      <c r="Q239" s="12"/>
      <c r="R239" s="34"/>
      <c r="S239" s="34"/>
      <c r="T239" s="30" t="str">
        <f aca="true">IF(OR(B239="",H239="Paid",H239="Not now",S239=""),"",IF(S239&lt;=TODAY(),"DUE",""))</f>
        <v/>
      </c>
      <c r="U239" s="12"/>
      <c r="V239" s="33"/>
      <c r="W239" s="12"/>
    </row>
    <row r="240" customFormat="false" ht="15" hidden="false" customHeight="false" outlineLevel="0" collapsed="false">
      <c r="A240" s="32" t="str">
        <f aca="false">IF(B240="","",ROW()-4)</f>
        <v/>
      </c>
      <c r="B240" s="12"/>
      <c r="C240" s="12"/>
      <c r="D240" s="12"/>
      <c r="E240" s="12"/>
      <c r="F240" s="12"/>
      <c r="G240" s="12"/>
      <c r="H240" s="33"/>
      <c r="I240" s="33"/>
      <c r="J240" s="8"/>
      <c r="K240" s="8"/>
      <c r="L240" s="33"/>
      <c r="M240" s="33"/>
      <c r="N240" s="33"/>
      <c r="O240" s="12"/>
      <c r="P240" s="12"/>
      <c r="Q240" s="12"/>
      <c r="R240" s="34"/>
      <c r="S240" s="34"/>
      <c r="T240" s="30" t="str">
        <f aca="true">IF(OR(B240="",H240="Paid",H240="Not now",S240=""),"",IF(S240&lt;=TODAY(),"DUE",""))</f>
        <v/>
      </c>
      <c r="U240" s="12"/>
      <c r="V240" s="33"/>
      <c r="W240" s="12"/>
    </row>
    <row r="241" customFormat="false" ht="15" hidden="false" customHeight="false" outlineLevel="0" collapsed="false">
      <c r="A241" s="32" t="str">
        <f aca="false">IF(B241="","",ROW()-4)</f>
        <v/>
      </c>
      <c r="B241" s="12"/>
      <c r="C241" s="12"/>
      <c r="D241" s="12"/>
      <c r="E241" s="12"/>
      <c r="F241" s="12"/>
      <c r="G241" s="12"/>
      <c r="H241" s="33"/>
      <c r="I241" s="33"/>
      <c r="J241" s="8"/>
      <c r="K241" s="8"/>
      <c r="L241" s="33"/>
      <c r="M241" s="33"/>
      <c r="N241" s="33"/>
      <c r="O241" s="12"/>
      <c r="P241" s="12"/>
      <c r="Q241" s="12"/>
      <c r="R241" s="34"/>
      <c r="S241" s="34"/>
      <c r="T241" s="30" t="str">
        <f aca="true">IF(OR(B241="",H241="Paid",H241="Not now",S241=""),"",IF(S241&lt;=TODAY(),"DUE",""))</f>
        <v/>
      </c>
      <c r="U241" s="12"/>
      <c r="V241" s="33"/>
      <c r="W241" s="12"/>
    </row>
    <row r="242" customFormat="false" ht="15" hidden="false" customHeight="false" outlineLevel="0" collapsed="false">
      <c r="A242" s="32" t="str">
        <f aca="false">IF(B242="","",ROW()-4)</f>
        <v/>
      </c>
      <c r="B242" s="12"/>
      <c r="C242" s="12"/>
      <c r="D242" s="12"/>
      <c r="E242" s="12"/>
      <c r="F242" s="12"/>
      <c r="G242" s="12"/>
      <c r="H242" s="33"/>
      <c r="I242" s="33"/>
      <c r="J242" s="8"/>
      <c r="K242" s="8"/>
      <c r="L242" s="33"/>
      <c r="M242" s="33"/>
      <c r="N242" s="33"/>
      <c r="O242" s="12"/>
      <c r="P242" s="12"/>
      <c r="Q242" s="12"/>
      <c r="R242" s="34"/>
      <c r="S242" s="34"/>
      <c r="T242" s="30" t="str">
        <f aca="true">IF(OR(B242="",H242="Paid",H242="Not now",S242=""),"",IF(S242&lt;=TODAY(),"DUE",""))</f>
        <v/>
      </c>
      <c r="U242" s="12"/>
      <c r="V242" s="33"/>
      <c r="W242" s="12"/>
    </row>
    <row r="243" customFormat="false" ht="15" hidden="false" customHeight="false" outlineLevel="0" collapsed="false">
      <c r="A243" s="32" t="str">
        <f aca="false">IF(B243="","",ROW()-4)</f>
        <v/>
      </c>
      <c r="B243" s="12"/>
      <c r="C243" s="12"/>
      <c r="D243" s="12"/>
      <c r="E243" s="12"/>
      <c r="F243" s="12"/>
      <c r="G243" s="12"/>
      <c r="H243" s="33"/>
      <c r="I243" s="33"/>
      <c r="J243" s="8"/>
      <c r="K243" s="8"/>
      <c r="L243" s="33"/>
      <c r="M243" s="33"/>
      <c r="N243" s="33"/>
      <c r="O243" s="12"/>
      <c r="P243" s="12"/>
      <c r="Q243" s="12"/>
      <c r="R243" s="34"/>
      <c r="S243" s="34"/>
      <c r="T243" s="30" t="str">
        <f aca="true">IF(OR(B243="",H243="Paid",H243="Not now",S243=""),"",IF(S243&lt;=TODAY(),"DUE",""))</f>
        <v/>
      </c>
      <c r="U243" s="12"/>
      <c r="V243" s="33"/>
      <c r="W243" s="12"/>
    </row>
    <row r="244" customFormat="false" ht="15" hidden="false" customHeight="false" outlineLevel="0" collapsed="false">
      <c r="A244" s="32" t="str">
        <f aca="false">IF(B244="","",ROW()-4)</f>
        <v/>
      </c>
      <c r="B244" s="12"/>
      <c r="C244" s="12"/>
      <c r="D244" s="12"/>
      <c r="E244" s="12"/>
      <c r="F244" s="12"/>
      <c r="G244" s="12"/>
      <c r="H244" s="33"/>
      <c r="I244" s="33"/>
      <c r="J244" s="8"/>
      <c r="K244" s="8"/>
      <c r="L244" s="33"/>
      <c r="M244" s="33"/>
      <c r="N244" s="33"/>
      <c r="O244" s="12"/>
      <c r="P244" s="12"/>
      <c r="Q244" s="12"/>
      <c r="R244" s="34"/>
      <c r="S244" s="34"/>
      <c r="T244" s="30" t="str">
        <f aca="true">IF(OR(B244="",H244="Paid",H244="Not now",S244=""),"",IF(S244&lt;=TODAY(),"DUE",""))</f>
        <v/>
      </c>
      <c r="U244" s="12"/>
      <c r="V244" s="33"/>
      <c r="W244" s="12"/>
    </row>
    <row r="245" customFormat="false" ht="15" hidden="false" customHeight="false" outlineLevel="0" collapsed="false">
      <c r="A245" s="32" t="str">
        <f aca="false">IF(B245="","",ROW()-4)</f>
        <v/>
      </c>
      <c r="B245" s="12"/>
      <c r="C245" s="12"/>
      <c r="D245" s="12"/>
      <c r="E245" s="12"/>
      <c r="F245" s="12"/>
      <c r="G245" s="12"/>
      <c r="H245" s="33"/>
      <c r="I245" s="33"/>
      <c r="J245" s="8"/>
      <c r="K245" s="8"/>
      <c r="L245" s="33"/>
      <c r="M245" s="33"/>
      <c r="N245" s="33"/>
      <c r="O245" s="12"/>
      <c r="P245" s="12"/>
      <c r="Q245" s="12"/>
      <c r="R245" s="34"/>
      <c r="S245" s="34"/>
      <c r="T245" s="30" t="str">
        <f aca="true">IF(OR(B245="",H245="Paid",H245="Not now",S245=""),"",IF(S245&lt;=TODAY(),"DUE",""))</f>
        <v/>
      </c>
      <c r="U245" s="12"/>
      <c r="V245" s="33"/>
      <c r="W245" s="12"/>
    </row>
    <row r="246" customFormat="false" ht="15" hidden="false" customHeight="false" outlineLevel="0" collapsed="false">
      <c r="A246" s="32" t="str">
        <f aca="false">IF(B246="","",ROW()-4)</f>
        <v/>
      </c>
      <c r="B246" s="12"/>
      <c r="C246" s="12"/>
      <c r="D246" s="12"/>
      <c r="E246" s="12"/>
      <c r="F246" s="12"/>
      <c r="G246" s="12"/>
      <c r="H246" s="33"/>
      <c r="I246" s="33"/>
      <c r="J246" s="8"/>
      <c r="K246" s="8"/>
      <c r="L246" s="33"/>
      <c r="M246" s="33"/>
      <c r="N246" s="33"/>
      <c r="O246" s="12"/>
      <c r="P246" s="12"/>
      <c r="Q246" s="12"/>
      <c r="R246" s="34"/>
      <c r="S246" s="34"/>
      <c r="T246" s="30" t="str">
        <f aca="true">IF(OR(B246="",H246="Paid",H246="Not now",S246=""),"",IF(S246&lt;=TODAY(),"DUE",""))</f>
        <v/>
      </c>
      <c r="U246" s="12"/>
      <c r="V246" s="33"/>
      <c r="W246" s="12"/>
    </row>
    <row r="247" customFormat="false" ht="15" hidden="false" customHeight="false" outlineLevel="0" collapsed="false">
      <c r="A247" s="32" t="str">
        <f aca="false">IF(B247="","",ROW()-4)</f>
        <v/>
      </c>
      <c r="B247" s="12"/>
      <c r="C247" s="12"/>
      <c r="D247" s="12"/>
      <c r="E247" s="12"/>
      <c r="F247" s="12"/>
      <c r="G247" s="12"/>
      <c r="H247" s="33"/>
      <c r="I247" s="33"/>
      <c r="J247" s="8"/>
      <c r="K247" s="8"/>
      <c r="L247" s="33"/>
      <c r="M247" s="33"/>
      <c r="N247" s="33"/>
      <c r="O247" s="12"/>
      <c r="P247" s="12"/>
      <c r="Q247" s="12"/>
      <c r="R247" s="34"/>
      <c r="S247" s="34"/>
      <c r="T247" s="30" t="str">
        <f aca="true">IF(OR(B247="",H247="Paid",H247="Not now",S247=""),"",IF(S247&lt;=TODAY(),"DUE",""))</f>
        <v/>
      </c>
      <c r="U247" s="12"/>
      <c r="V247" s="33"/>
      <c r="W247" s="12"/>
    </row>
    <row r="248" customFormat="false" ht="15" hidden="false" customHeight="false" outlineLevel="0" collapsed="false">
      <c r="A248" s="32" t="str">
        <f aca="false">IF(B248="","",ROW()-4)</f>
        <v/>
      </c>
      <c r="B248" s="12"/>
      <c r="C248" s="12"/>
      <c r="D248" s="12"/>
      <c r="E248" s="12"/>
      <c r="F248" s="12"/>
      <c r="G248" s="12"/>
      <c r="H248" s="33"/>
      <c r="I248" s="33"/>
      <c r="J248" s="8"/>
      <c r="K248" s="8"/>
      <c r="L248" s="33"/>
      <c r="M248" s="33"/>
      <c r="N248" s="33"/>
      <c r="O248" s="12"/>
      <c r="P248" s="12"/>
      <c r="Q248" s="12"/>
      <c r="R248" s="34"/>
      <c r="S248" s="34"/>
      <c r="T248" s="30" t="str">
        <f aca="true">IF(OR(B248="",H248="Paid",H248="Not now",S248=""),"",IF(S248&lt;=TODAY(),"DUE",""))</f>
        <v/>
      </c>
      <c r="U248" s="12"/>
      <c r="V248" s="33"/>
      <c r="W248" s="12"/>
    </row>
    <row r="249" customFormat="false" ht="15" hidden="false" customHeight="false" outlineLevel="0" collapsed="false">
      <c r="A249" s="32" t="str">
        <f aca="false">IF(B249="","",ROW()-4)</f>
        <v/>
      </c>
      <c r="B249" s="12"/>
      <c r="C249" s="12"/>
      <c r="D249" s="12"/>
      <c r="E249" s="12"/>
      <c r="F249" s="12"/>
      <c r="G249" s="12"/>
      <c r="H249" s="33"/>
      <c r="I249" s="33"/>
      <c r="J249" s="8"/>
      <c r="K249" s="8"/>
      <c r="L249" s="33"/>
      <c r="M249" s="33"/>
      <c r="N249" s="33"/>
      <c r="O249" s="12"/>
      <c r="P249" s="12"/>
      <c r="Q249" s="12"/>
      <c r="R249" s="34"/>
      <c r="S249" s="34"/>
      <c r="T249" s="30" t="str">
        <f aca="true">IF(OR(B249="",H249="Paid",H249="Not now",S249=""),"",IF(S249&lt;=TODAY(),"DUE",""))</f>
        <v/>
      </c>
      <c r="U249" s="12"/>
      <c r="V249" s="33"/>
      <c r="W249" s="12"/>
    </row>
    <row r="250" customFormat="false" ht="15" hidden="false" customHeight="false" outlineLevel="0" collapsed="false">
      <c r="A250" s="32" t="str">
        <f aca="false">IF(B250="","",ROW()-4)</f>
        <v/>
      </c>
      <c r="B250" s="12"/>
      <c r="C250" s="12"/>
      <c r="D250" s="12"/>
      <c r="E250" s="12"/>
      <c r="F250" s="12"/>
      <c r="G250" s="12"/>
      <c r="H250" s="33"/>
      <c r="I250" s="33"/>
      <c r="J250" s="8"/>
      <c r="K250" s="8"/>
      <c r="L250" s="33"/>
      <c r="M250" s="33"/>
      <c r="N250" s="33"/>
      <c r="O250" s="12"/>
      <c r="P250" s="12"/>
      <c r="Q250" s="12"/>
      <c r="R250" s="34"/>
      <c r="S250" s="34"/>
      <c r="T250" s="30" t="str">
        <f aca="true">IF(OR(B250="",H250="Paid",H250="Not now",S250=""),"",IF(S250&lt;=TODAY(),"DUE",""))</f>
        <v/>
      </c>
      <c r="U250" s="12"/>
      <c r="V250" s="33"/>
      <c r="W250" s="12"/>
    </row>
    <row r="251" customFormat="false" ht="15" hidden="false" customHeight="false" outlineLevel="0" collapsed="false">
      <c r="A251" s="32" t="str">
        <f aca="false">IF(B251="","",ROW()-4)</f>
        <v/>
      </c>
      <c r="B251" s="12"/>
      <c r="C251" s="12"/>
      <c r="D251" s="12"/>
      <c r="E251" s="12"/>
      <c r="F251" s="12"/>
      <c r="G251" s="12"/>
      <c r="H251" s="33"/>
      <c r="I251" s="33"/>
      <c r="J251" s="8"/>
      <c r="K251" s="8"/>
      <c r="L251" s="33"/>
      <c r="M251" s="33"/>
      <c r="N251" s="33"/>
      <c r="O251" s="12"/>
      <c r="P251" s="12"/>
      <c r="Q251" s="12"/>
      <c r="R251" s="34"/>
      <c r="S251" s="34"/>
      <c r="T251" s="30" t="str">
        <f aca="true">IF(OR(B251="",H251="Paid",H251="Not now",S251=""),"",IF(S251&lt;=TODAY(),"DUE",""))</f>
        <v/>
      </c>
      <c r="U251" s="12"/>
      <c r="V251" s="33"/>
      <c r="W251" s="12"/>
    </row>
    <row r="252" customFormat="false" ht="15" hidden="false" customHeight="false" outlineLevel="0" collapsed="false">
      <c r="A252" s="32" t="str">
        <f aca="false">IF(B252="","",ROW()-4)</f>
        <v/>
      </c>
      <c r="B252" s="12"/>
      <c r="C252" s="12"/>
      <c r="D252" s="12"/>
      <c r="E252" s="12"/>
      <c r="F252" s="12"/>
      <c r="G252" s="12"/>
      <c r="H252" s="33"/>
      <c r="I252" s="33"/>
      <c r="J252" s="8"/>
      <c r="K252" s="8"/>
      <c r="L252" s="33"/>
      <c r="M252" s="33"/>
      <c r="N252" s="33"/>
      <c r="O252" s="12"/>
      <c r="P252" s="12"/>
      <c r="Q252" s="12"/>
      <c r="R252" s="34"/>
      <c r="S252" s="34"/>
      <c r="T252" s="30" t="str">
        <f aca="true">IF(OR(B252="",H252="Paid",H252="Not now",S252=""),"",IF(S252&lt;=TODAY(),"DUE",""))</f>
        <v/>
      </c>
      <c r="U252" s="12"/>
      <c r="V252" s="33"/>
      <c r="W252" s="12"/>
    </row>
    <row r="253" customFormat="false" ht="15" hidden="false" customHeight="false" outlineLevel="0" collapsed="false">
      <c r="A253" s="32" t="str">
        <f aca="false">IF(B253="","",ROW()-4)</f>
        <v/>
      </c>
      <c r="B253" s="12"/>
      <c r="C253" s="12"/>
      <c r="D253" s="12"/>
      <c r="E253" s="12"/>
      <c r="F253" s="12"/>
      <c r="G253" s="12"/>
      <c r="H253" s="33"/>
      <c r="I253" s="33"/>
      <c r="J253" s="8"/>
      <c r="K253" s="8"/>
      <c r="L253" s="33"/>
      <c r="M253" s="33"/>
      <c r="N253" s="33"/>
      <c r="O253" s="12"/>
      <c r="P253" s="12"/>
      <c r="Q253" s="12"/>
      <c r="R253" s="34"/>
      <c r="S253" s="34"/>
      <c r="T253" s="30" t="str">
        <f aca="true">IF(OR(B253="",H253="Paid",H253="Not now",S253=""),"",IF(S253&lt;=TODAY(),"DUE",""))</f>
        <v/>
      </c>
      <c r="U253" s="12"/>
      <c r="V253" s="33"/>
      <c r="W253" s="12"/>
    </row>
    <row r="254" customFormat="false" ht="15" hidden="false" customHeight="false" outlineLevel="0" collapsed="false">
      <c r="A254" s="32" t="str">
        <f aca="false">IF(B254="","",ROW()-4)</f>
        <v/>
      </c>
      <c r="B254" s="12"/>
      <c r="C254" s="12"/>
      <c r="D254" s="12"/>
      <c r="E254" s="12"/>
      <c r="F254" s="12"/>
      <c r="G254" s="12"/>
      <c r="H254" s="33"/>
      <c r="I254" s="33"/>
      <c r="J254" s="8"/>
      <c r="K254" s="8"/>
      <c r="L254" s="33"/>
      <c r="M254" s="33"/>
      <c r="N254" s="33"/>
      <c r="O254" s="12"/>
      <c r="P254" s="12"/>
      <c r="Q254" s="12"/>
      <c r="R254" s="34"/>
      <c r="S254" s="34"/>
      <c r="T254" s="30" t="str">
        <f aca="true">IF(OR(B254="",H254="Paid",H254="Not now",S254=""),"",IF(S254&lt;=TODAY(),"DUE",""))</f>
        <v/>
      </c>
      <c r="U254" s="12"/>
      <c r="V254" s="33"/>
      <c r="W254" s="12"/>
    </row>
    <row r="255" customFormat="false" ht="15" hidden="false" customHeight="false" outlineLevel="0" collapsed="false">
      <c r="A255" s="32" t="str">
        <f aca="false">IF(B255="","",ROW()-4)</f>
        <v/>
      </c>
      <c r="B255" s="12"/>
      <c r="C255" s="12"/>
      <c r="D255" s="12"/>
      <c r="E255" s="12"/>
      <c r="F255" s="12"/>
      <c r="G255" s="12"/>
      <c r="H255" s="33"/>
      <c r="I255" s="33"/>
      <c r="J255" s="8"/>
      <c r="K255" s="8"/>
      <c r="L255" s="33"/>
      <c r="M255" s="33"/>
      <c r="N255" s="33"/>
      <c r="O255" s="12"/>
      <c r="P255" s="12"/>
      <c r="Q255" s="12"/>
      <c r="R255" s="34"/>
      <c r="S255" s="34"/>
      <c r="T255" s="30" t="str">
        <f aca="true">IF(OR(B255="",H255="Paid",H255="Not now",S255=""),"",IF(S255&lt;=TODAY(),"DUE",""))</f>
        <v/>
      </c>
      <c r="U255" s="12"/>
      <c r="V255" s="33"/>
      <c r="W255" s="12"/>
    </row>
    <row r="256" customFormat="false" ht="15" hidden="false" customHeight="false" outlineLevel="0" collapsed="false">
      <c r="A256" s="32" t="str">
        <f aca="false">IF(B256="","",ROW()-4)</f>
        <v/>
      </c>
      <c r="B256" s="12"/>
      <c r="C256" s="12"/>
      <c r="D256" s="12"/>
      <c r="E256" s="12"/>
      <c r="F256" s="12"/>
      <c r="G256" s="12"/>
      <c r="H256" s="33"/>
      <c r="I256" s="33"/>
      <c r="J256" s="8"/>
      <c r="K256" s="8"/>
      <c r="L256" s="33"/>
      <c r="M256" s="33"/>
      <c r="N256" s="33"/>
      <c r="O256" s="12"/>
      <c r="P256" s="12"/>
      <c r="Q256" s="12"/>
      <c r="R256" s="34"/>
      <c r="S256" s="34"/>
      <c r="T256" s="30" t="str">
        <f aca="true">IF(OR(B256="",H256="Paid",H256="Not now",S256=""),"",IF(S256&lt;=TODAY(),"DUE",""))</f>
        <v/>
      </c>
      <c r="U256" s="12"/>
      <c r="V256" s="33"/>
      <c r="W256" s="12"/>
    </row>
    <row r="257" customFormat="false" ht="15" hidden="false" customHeight="false" outlineLevel="0" collapsed="false">
      <c r="A257" s="32" t="str">
        <f aca="false">IF(B257="","",ROW()-4)</f>
        <v/>
      </c>
      <c r="B257" s="12"/>
      <c r="C257" s="12"/>
      <c r="D257" s="12"/>
      <c r="E257" s="12"/>
      <c r="F257" s="12"/>
      <c r="G257" s="12"/>
      <c r="H257" s="33"/>
      <c r="I257" s="33"/>
      <c r="J257" s="8"/>
      <c r="K257" s="8"/>
      <c r="L257" s="33"/>
      <c r="M257" s="33"/>
      <c r="N257" s="33"/>
      <c r="O257" s="12"/>
      <c r="P257" s="12"/>
      <c r="Q257" s="12"/>
      <c r="R257" s="34"/>
      <c r="S257" s="34"/>
      <c r="T257" s="30" t="str">
        <f aca="true">IF(OR(B257="",H257="Paid",H257="Not now",S257=""),"",IF(S257&lt;=TODAY(),"DUE",""))</f>
        <v/>
      </c>
      <c r="U257" s="12"/>
      <c r="V257" s="33"/>
      <c r="W257" s="12"/>
    </row>
    <row r="258" customFormat="false" ht="15" hidden="false" customHeight="false" outlineLevel="0" collapsed="false">
      <c r="A258" s="32" t="str">
        <f aca="false">IF(B258="","",ROW()-4)</f>
        <v/>
      </c>
      <c r="B258" s="12"/>
      <c r="C258" s="12"/>
      <c r="D258" s="12"/>
      <c r="E258" s="12"/>
      <c r="F258" s="12"/>
      <c r="G258" s="12"/>
      <c r="H258" s="33"/>
      <c r="I258" s="33"/>
      <c r="J258" s="8"/>
      <c r="K258" s="8"/>
      <c r="L258" s="33"/>
      <c r="M258" s="33"/>
      <c r="N258" s="33"/>
      <c r="O258" s="12"/>
      <c r="P258" s="12"/>
      <c r="Q258" s="12"/>
      <c r="R258" s="34"/>
      <c r="S258" s="34"/>
      <c r="T258" s="30" t="str">
        <f aca="true">IF(OR(B258="",H258="Paid",H258="Not now",S258=""),"",IF(S258&lt;=TODAY(),"DUE",""))</f>
        <v/>
      </c>
      <c r="U258" s="12"/>
      <c r="V258" s="33"/>
      <c r="W258" s="12"/>
    </row>
    <row r="259" customFormat="false" ht="15" hidden="false" customHeight="false" outlineLevel="0" collapsed="false">
      <c r="A259" s="32" t="str">
        <f aca="false">IF(B259="","",ROW()-4)</f>
        <v/>
      </c>
      <c r="B259" s="12"/>
      <c r="C259" s="12"/>
      <c r="D259" s="12"/>
      <c r="E259" s="12"/>
      <c r="F259" s="12"/>
      <c r="G259" s="12"/>
      <c r="H259" s="33"/>
      <c r="I259" s="33"/>
      <c r="J259" s="8"/>
      <c r="K259" s="8"/>
      <c r="L259" s="33"/>
      <c r="M259" s="33"/>
      <c r="N259" s="33"/>
      <c r="O259" s="12"/>
      <c r="P259" s="12"/>
      <c r="Q259" s="12"/>
      <c r="R259" s="34"/>
      <c r="S259" s="34"/>
      <c r="T259" s="30" t="str">
        <f aca="true">IF(OR(B259="",H259="Paid",H259="Not now",S259=""),"",IF(S259&lt;=TODAY(),"DUE",""))</f>
        <v/>
      </c>
      <c r="U259" s="12"/>
      <c r="V259" s="33"/>
      <c r="W259" s="12"/>
    </row>
    <row r="260" customFormat="false" ht="15" hidden="false" customHeight="false" outlineLevel="0" collapsed="false">
      <c r="A260" s="32" t="str">
        <f aca="false">IF(B260="","",ROW()-4)</f>
        <v/>
      </c>
      <c r="B260" s="12"/>
      <c r="C260" s="12"/>
      <c r="D260" s="12"/>
      <c r="E260" s="12"/>
      <c r="F260" s="12"/>
      <c r="G260" s="12"/>
      <c r="H260" s="33"/>
      <c r="I260" s="33"/>
      <c r="J260" s="8"/>
      <c r="K260" s="8"/>
      <c r="L260" s="33"/>
      <c r="M260" s="33"/>
      <c r="N260" s="33"/>
      <c r="O260" s="12"/>
      <c r="P260" s="12"/>
      <c r="Q260" s="12"/>
      <c r="R260" s="34"/>
      <c r="S260" s="34"/>
      <c r="T260" s="30" t="str">
        <f aca="true">IF(OR(B260="",H260="Paid",H260="Not now",S260=""),"",IF(S260&lt;=TODAY(),"DUE",""))</f>
        <v/>
      </c>
      <c r="U260" s="12"/>
      <c r="V260" s="33"/>
      <c r="W260" s="12"/>
    </row>
    <row r="261" customFormat="false" ht="15" hidden="false" customHeight="false" outlineLevel="0" collapsed="false">
      <c r="A261" s="32" t="str">
        <f aca="false">IF(B261="","",ROW()-4)</f>
        <v/>
      </c>
      <c r="B261" s="12"/>
      <c r="C261" s="12"/>
      <c r="D261" s="12"/>
      <c r="E261" s="12"/>
      <c r="F261" s="12"/>
      <c r="G261" s="12"/>
      <c r="H261" s="33"/>
      <c r="I261" s="33"/>
      <c r="J261" s="8"/>
      <c r="K261" s="8"/>
      <c r="L261" s="33"/>
      <c r="M261" s="33"/>
      <c r="N261" s="33"/>
      <c r="O261" s="12"/>
      <c r="P261" s="12"/>
      <c r="Q261" s="12"/>
      <c r="R261" s="34"/>
      <c r="S261" s="34"/>
      <c r="T261" s="30" t="str">
        <f aca="true">IF(OR(B261="",H261="Paid",H261="Not now",S261=""),"",IF(S261&lt;=TODAY(),"DUE",""))</f>
        <v/>
      </c>
      <c r="U261" s="12"/>
      <c r="V261" s="33"/>
      <c r="W261" s="12"/>
    </row>
    <row r="262" customFormat="false" ht="15" hidden="false" customHeight="false" outlineLevel="0" collapsed="false">
      <c r="A262" s="32" t="str">
        <f aca="false">IF(B262="","",ROW()-4)</f>
        <v/>
      </c>
      <c r="B262" s="12"/>
      <c r="C262" s="12"/>
      <c r="D262" s="12"/>
      <c r="E262" s="12"/>
      <c r="F262" s="12"/>
      <c r="G262" s="12"/>
      <c r="H262" s="33"/>
      <c r="I262" s="33"/>
      <c r="J262" s="8"/>
      <c r="K262" s="8"/>
      <c r="L262" s="33"/>
      <c r="M262" s="33"/>
      <c r="N262" s="33"/>
      <c r="O262" s="12"/>
      <c r="P262" s="12"/>
      <c r="Q262" s="12"/>
      <c r="R262" s="34"/>
      <c r="S262" s="34"/>
      <c r="T262" s="30" t="str">
        <f aca="true">IF(OR(B262="",H262="Paid",H262="Not now",S262=""),"",IF(S262&lt;=TODAY(),"DUE",""))</f>
        <v/>
      </c>
      <c r="U262" s="12"/>
      <c r="V262" s="33"/>
      <c r="W262" s="12"/>
    </row>
    <row r="263" customFormat="false" ht="15" hidden="false" customHeight="false" outlineLevel="0" collapsed="false">
      <c r="A263" s="32" t="str">
        <f aca="false">IF(B263="","",ROW()-4)</f>
        <v/>
      </c>
      <c r="B263" s="12"/>
      <c r="C263" s="12"/>
      <c r="D263" s="12"/>
      <c r="E263" s="12"/>
      <c r="F263" s="12"/>
      <c r="G263" s="12"/>
      <c r="H263" s="33"/>
      <c r="I263" s="33"/>
      <c r="J263" s="8"/>
      <c r="K263" s="8"/>
      <c r="L263" s="33"/>
      <c r="M263" s="33"/>
      <c r="N263" s="33"/>
      <c r="O263" s="12"/>
      <c r="P263" s="12"/>
      <c r="Q263" s="12"/>
      <c r="R263" s="34"/>
      <c r="S263" s="34"/>
      <c r="T263" s="30" t="str">
        <f aca="true">IF(OR(B263="",H263="Paid",H263="Not now",S263=""),"",IF(S263&lt;=TODAY(),"DUE",""))</f>
        <v/>
      </c>
      <c r="U263" s="12"/>
      <c r="V263" s="33"/>
      <c r="W263" s="12"/>
    </row>
    <row r="264" customFormat="false" ht="15" hidden="false" customHeight="false" outlineLevel="0" collapsed="false">
      <c r="A264" s="32" t="str">
        <f aca="false">IF(B264="","",ROW()-4)</f>
        <v/>
      </c>
      <c r="B264" s="12"/>
      <c r="C264" s="12"/>
      <c r="D264" s="12"/>
      <c r="E264" s="12"/>
      <c r="F264" s="12"/>
      <c r="G264" s="12"/>
      <c r="H264" s="33"/>
      <c r="I264" s="33"/>
      <c r="J264" s="8"/>
      <c r="K264" s="8"/>
      <c r="L264" s="33"/>
      <c r="M264" s="33"/>
      <c r="N264" s="33"/>
      <c r="O264" s="12"/>
      <c r="P264" s="12"/>
      <c r="Q264" s="12"/>
      <c r="R264" s="34"/>
      <c r="S264" s="34"/>
      <c r="T264" s="30" t="str">
        <f aca="true">IF(OR(B264="",H264="Paid",H264="Not now",S264=""),"",IF(S264&lt;=TODAY(),"DUE",""))</f>
        <v/>
      </c>
      <c r="U264" s="12"/>
      <c r="V264" s="33"/>
      <c r="W264" s="12"/>
    </row>
    <row r="265" customFormat="false" ht="15" hidden="false" customHeight="false" outlineLevel="0" collapsed="false">
      <c r="A265" s="32" t="str">
        <f aca="false">IF(B265="","",ROW()-4)</f>
        <v/>
      </c>
      <c r="B265" s="12"/>
      <c r="C265" s="12"/>
      <c r="D265" s="12"/>
      <c r="E265" s="12"/>
      <c r="F265" s="12"/>
      <c r="G265" s="12"/>
      <c r="H265" s="33"/>
      <c r="I265" s="33"/>
      <c r="J265" s="8"/>
      <c r="K265" s="8"/>
      <c r="L265" s="33"/>
      <c r="M265" s="33"/>
      <c r="N265" s="33"/>
      <c r="O265" s="12"/>
      <c r="P265" s="12"/>
      <c r="Q265" s="12"/>
      <c r="R265" s="34"/>
      <c r="S265" s="34"/>
      <c r="T265" s="30" t="str">
        <f aca="true">IF(OR(B265="",H265="Paid",H265="Not now",S265=""),"",IF(S265&lt;=TODAY(),"DUE",""))</f>
        <v/>
      </c>
      <c r="U265" s="12"/>
      <c r="V265" s="33"/>
      <c r="W265" s="12"/>
    </row>
    <row r="266" customFormat="false" ht="15" hidden="false" customHeight="false" outlineLevel="0" collapsed="false">
      <c r="A266" s="32" t="str">
        <f aca="false">IF(B266="","",ROW()-4)</f>
        <v/>
      </c>
      <c r="B266" s="12"/>
      <c r="C266" s="12"/>
      <c r="D266" s="12"/>
      <c r="E266" s="12"/>
      <c r="F266" s="12"/>
      <c r="G266" s="12"/>
      <c r="H266" s="33"/>
      <c r="I266" s="33"/>
      <c r="J266" s="8"/>
      <c r="K266" s="8"/>
      <c r="L266" s="33"/>
      <c r="M266" s="33"/>
      <c r="N266" s="33"/>
      <c r="O266" s="12"/>
      <c r="P266" s="12"/>
      <c r="Q266" s="12"/>
      <c r="R266" s="34"/>
      <c r="S266" s="34"/>
      <c r="T266" s="30" t="str">
        <f aca="true">IF(OR(B266="",H266="Paid",H266="Not now",S266=""),"",IF(S266&lt;=TODAY(),"DUE",""))</f>
        <v/>
      </c>
      <c r="U266" s="12"/>
      <c r="V266" s="33"/>
      <c r="W266" s="12"/>
    </row>
    <row r="267" customFormat="false" ht="15" hidden="false" customHeight="false" outlineLevel="0" collapsed="false">
      <c r="A267" s="32" t="str">
        <f aca="false">IF(B267="","",ROW()-4)</f>
        <v/>
      </c>
      <c r="B267" s="12"/>
      <c r="C267" s="12"/>
      <c r="D267" s="12"/>
      <c r="E267" s="12"/>
      <c r="F267" s="12"/>
      <c r="G267" s="12"/>
      <c r="H267" s="33"/>
      <c r="I267" s="33"/>
      <c r="J267" s="8"/>
      <c r="K267" s="8"/>
      <c r="L267" s="33"/>
      <c r="M267" s="33"/>
      <c r="N267" s="33"/>
      <c r="O267" s="12"/>
      <c r="P267" s="12"/>
      <c r="Q267" s="12"/>
      <c r="R267" s="34"/>
      <c r="S267" s="34"/>
      <c r="T267" s="30" t="str">
        <f aca="true">IF(OR(B267="",H267="Paid",H267="Not now",S267=""),"",IF(S267&lt;=TODAY(),"DUE",""))</f>
        <v/>
      </c>
      <c r="U267" s="12"/>
      <c r="V267" s="33"/>
      <c r="W267" s="12"/>
    </row>
    <row r="268" customFormat="false" ht="15" hidden="false" customHeight="false" outlineLevel="0" collapsed="false">
      <c r="A268" s="32" t="str">
        <f aca="false">IF(B268="","",ROW()-4)</f>
        <v/>
      </c>
      <c r="B268" s="12"/>
      <c r="C268" s="12"/>
      <c r="D268" s="12"/>
      <c r="E268" s="12"/>
      <c r="F268" s="12"/>
      <c r="G268" s="12"/>
      <c r="H268" s="33"/>
      <c r="I268" s="33"/>
      <c r="J268" s="8"/>
      <c r="K268" s="8"/>
      <c r="L268" s="33"/>
      <c r="M268" s="33"/>
      <c r="N268" s="33"/>
      <c r="O268" s="12"/>
      <c r="P268" s="12"/>
      <c r="Q268" s="12"/>
      <c r="R268" s="34"/>
      <c r="S268" s="34"/>
      <c r="T268" s="30" t="str">
        <f aca="true">IF(OR(B268="",H268="Paid",H268="Not now",S268=""),"",IF(S268&lt;=TODAY(),"DUE",""))</f>
        <v/>
      </c>
      <c r="U268" s="12"/>
      <c r="V268" s="33"/>
      <c r="W268" s="12"/>
    </row>
    <row r="269" customFormat="false" ht="15" hidden="false" customHeight="false" outlineLevel="0" collapsed="false">
      <c r="A269" s="32" t="str">
        <f aca="false">IF(B269="","",ROW()-4)</f>
        <v/>
      </c>
      <c r="B269" s="12"/>
      <c r="C269" s="12"/>
      <c r="D269" s="12"/>
      <c r="E269" s="12"/>
      <c r="F269" s="12"/>
      <c r="G269" s="12"/>
      <c r="H269" s="33"/>
      <c r="I269" s="33"/>
      <c r="J269" s="8"/>
      <c r="K269" s="8"/>
      <c r="L269" s="33"/>
      <c r="M269" s="33"/>
      <c r="N269" s="33"/>
      <c r="O269" s="12"/>
      <c r="P269" s="12"/>
      <c r="Q269" s="12"/>
      <c r="R269" s="34"/>
      <c r="S269" s="34"/>
      <c r="T269" s="30" t="str">
        <f aca="true">IF(OR(B269="",H269="Paid",H269="Not now",S269=""),"",IF(S269&lt;=TODAY(),"DUE",""))</f>
        <v/>
      </c>
      <c r="U269" s="12"/>
      <c r="V269" s="33"/>
      <c r="W269" s="12"/>
    </row>
    <row r="270" customFormat="false" ht="15" hidden="false" customHeight="false" outlineLevel="0" collapsed="false">
      <c r="A270" s="32" t="str">
        <f aca="false">IF(B270="","",ROW()-4)</f>
        <v/>
      </c>
      <c r="B270" s="12"/>
      <c r="C270" s="12"/>
      <c r="D270" s="12"/>
      <c r="E270" s="12"/>
      <c r="F270" s="12"/>
      <c r="G270" s="12"/>
      <c r="H270" s="33"/>
      <c r="I270" s="33"/>
      <c r="J270" s="8"/>
      <c r="K270" s="8"/>
      <c r="L270" s="33"/>
      <c r="M270" s="33"/>
      <c r="N270" s="33"/>
      <c r="O270" s="12"/>
      <c r="P270" s="12"/>
      <c r="Q270" s="12"/>
      <c r="R270" s="34"/>
      <c r="S270" s="34"/>
      <c r="T270" s="30" t="str">
        <f aca="true">IF(OR(B270="",H270="Paid",H270="Not now",S270=""),"",IF(S270&lt;=TODAY(),"DUE",""))</f>
        <v/>
      </c>
      <c r="U270" s="12"/>
      <c r="V270" s="33"/>
      <c r="W270" s="12"/>
    </row>
    <row r="271" customFormat="false" ht="15" hidden="false" customHeight="false" outlineLevel="0" collapsed="false">
      <c r="A271" s="32" t="str">
        <f aca="false">IF(B271="","",ROW()-4)</f>
        <v/>
      </c>
      <c r="B271" s="12"/>
      <c r="C271" s="12"/>
      <c r="D271" s="12"/>
      <c r="E271" s="12"/>
      <c r="F271" s="12"/>
      <c r="G271" s="12"/>
      <c r="H271" s="33"/>
      <c r="I271" s="33"/>
      <c r="J271" s="8"/>
      <c r="K271" s="8"/>
      <c r="L271" s="33"/>
      <c r="M271" s="33"/>
      <c r="N271" s="33"/>
      <c r="O271" s="12"/>
      <c r="P271" s="12"/>
      <c r="Q271" s="12"/>
      <c r="R271" s="34"/>
      <c r="S271" s="34"/>
      <c r="T271" s="30" t="str">
        <f aca="true">IF(OR(B271="",H271="Paid",H271="Not now",S271=""),"",IF(S271&lt;=TODAY(),"DUE",""))</f>
        <v/>
      </c>
      <c r="U271" s="12"/>
      <c r="V271" s="33"/>
      <c r="W271" s="12"/>
    </row>
    <row r="272" customFormat="false" ht="15" hidden="false" customHeight="false" outlineLevel="0" collapsed="false">
      <c r="A272" s="32" t="str">
        <f aca="false">IF(B272="","",ROW()-4)</f>
        <v/>
      </c>
      <c r="B272" s="12"/>
      <c r="C272" s="12"/>
      <c r="D272" s="12"/>
      <c r="E272" s="12"/>
      <c r="F272" s="12"/>
      <c r="G272" s="12"/>
      <c r="H272" s="33"/>
      <c r="I272" s="33"/>
      <c r="J272" s="8"/>
      <c r="K272" s="8"/>
      <c r="L272" s="33"/>
      <c r="M272" s="33"/>
      <c r="N272" s="33"/>
      <c r="O272" s="12"/>
      <c r="P272" s="12"/>
      <c r="Q272" s="12"/>
      <c r="R272" s="34"/>
      <c r="S272" s="34"/>
      <c r="T272" s="30" t="str">
        <f aca="true">IF(OR(B272="",H272="Paid",H272="Not now",S272=""),"",IF(S272&lt;=TODAY(),"DUE",""))</f>
        <v/>
      </c>
      <c r="U272" s="12"/>
      <c r="V272" s="33"/>
      <c r="W272" s="12"/>
    </row>
    <row r="273" customFormat="false" ht="15" hidden="false" customHeight="false" outlineLevel="0" collapsed="false">
      <c r="A273" s="32" t="str">
        <f aca="false">IF(B273="","",ROW()-4)</f>
        <v/>
      </c>
      <c r="B273" s="12"/>
      <c r="C273" s="12"/>
      <c r="D273" s="12"/>
      <c r="E273" s="12"/>
      <c r="F273" s="12"/>
      <c r="G273" s="12"/>
      <c r="H273" s="33"/>
      <c r="I273" s="33"/>
      <c r="J273" s="8"/>
      <c r="K273" s="8"/>
      <c r="L273" s="33"/>
      <c r="M273" s="33"/>
      <c r="N273" s="33"/>
      <c r="O273" s="12"/>
      <c r="P273" s="12"/>
      <c r="Q273" s="12"/>
      <c r="R273" s="34"/>
      <c r="S273" s="34"/>
      <c r="T273" s="30" t="str">
        <f aca="true">IF(OR(B273="",H273="Paid",H273="Not now",S273=""),"",IF(S273&lt;=TODAY(),"DUE",""))</f>
        <v/>
      </c>
      <c r="U273" s="12"/>
      <c r="V273" s="33"/>
      <c r="W273" s="12"/>
    </row>
    <row r="274" customFormat="false" ht="15" hidden="false" customHeight="false" outlineLevel="0" collapsed="false">
      <c r="A274" s="32" t="str">
        <f aca="false">IF(B274="","",ROW()-4)</f>
        <v/>
      </c>
      <c r="B274" s="12"/>
      <c r="C274" s="12"/>
      <c r="D274" s="12"/>
      <c r="E274" s="12"/>
      <c r="F274" s="12"/>
      <c r="G274" s="12"/>
      <c r="H274" s="33"/>
      <c r="I274" s="33"/>
      <c r="J274" s="8"/>
      <c r="K274" s="8"/>
      <c r="L274" s="33"/>
      <c r="M274" s="33"/>
      <c r="N274" s="33"/>
      <c r="O274" s="12"/>
      <c r="P274" s="12"/>
      <c r="Q274" s="12"/>
      <c r="R274" s="34"/>
      <c r="S274" s="34"/>
      <c r="T274" s="30" t="str">
        <f aca="true">IF(OR(B274="",H274="Paid",H274="Not now",S274=""),"",IF(S274&lt;=TODAY(),"DUE",""))</f>
        <v/>
      </c>
      <c r="U274" s="12"/>
      <c r="V274" s="33"/>
      <c r="W274" s="12"/>
    </row>
    <row r="275" customFormat="false" ht="15" hidden="false" customHeight="false" outlineLevel="0" collapsed="false">
      <c r="A275" s="32" t="str">
        <f aca="false">IF(B275="","",ROW()-4)</f>
        <v/>
      </c>
      <c r="B275" s="12"/>
      <c r="C275" s="12"/>
      <c r="D275" s="12"/>
      <c r="E275" s="12"/>
      <c r="F275" s="12"/>
      <c r="G275" s="12"/>
      <c r="H275" s="33"/>
      <c r="I275" s="33"/>
      <c r="J275" s="8"/>
      <c r="K275" s="8"/>
      <c r="L275" s="33"/>
      <c r="M275" s="33"/>
      <c r="N275" s="33"/>
      <c r="O275" s="12"/>
      <c r="P275" s="12"/>
      <c r="Q275" s="12"/>
      <c r="R275" s="34"/>
      <c r="S275" s="34"/>
      <c r="T275" s="30" t="str">
        <f aca="true">IF(OR(B275="",H275="Paid",H275="Not now",S275=""),"",IF(S275&lt;=TODAY(),"DUE",""))</f>
        <v/>
      </c>
      <c r="U275" s="12"/>
      <c r="V275" s="33"/>
      <c r="W275" s="12"/>
    </row>
    <row r="276" customFormat="false" ht="15" hidden="false" customHeight="false" outlineLevel="0" collapsed="false">
      <c r="A276" s="32" t="str">
        <f aca="false">IF(B276="","",ROW()-4)</f>
        <v/>
      </c>
      <c r="B276" s="12"/>
      <c r="C276" s="12"/>
      <c r="D276" s="12"/>
      <c r="E276" s="12"/>
      <c r="F276" s="12"/>
      <c r="G276" s="12"/>
      <c r="H276" s="33"/>
      <c r="I276" s="33"/>
      <c r="J276" s="8"/>
      <c r="K276" s="8"/>
      <c r="L276" s="33"/>
      <c r="M276" s="33"/>
      <c r="N276" s="33"/>
      <c r="O276" s="12"/>
      <c r="P276" s="12"/>
      <c r="Q276" s="12"/>
      <c r="R276" s="34"/>
      <c r="S276" s="34"/>
      <c r="T276" s="30" t="str">
        <f aca="true">IF(OR(B276="",H276="Paid",H276="Not now",S276=""),"",IF(S276&lt;=TODAY(),"DUE",""))</f>
        <v/>
      </c>
      <c r="U276" s="12"/>
      <c r="V276" s="33"/>
      <c r="W276" s="12"/>
    </row>
    <row r="277" customFormat="false" ht="15" hidden="false" customHeight="false" outlineLevel="0" collapsed="false">
      <c r="A277" s="32" t="str">
        <f aca="false">IF(B277="","",ROW()-4)</f>
        <v/>
      </c>
      <c r="B277" s="12"/>
      <c r="C277" s="12"/>
      <c r="D277" s="12"/>
      <c r="E277" s="12"/>
      <c r="F277" s="12"/>
      <c r="G277" s="12"/>
      <c r="H277" s="33"/>
      <c r="I277" s="33"/>
      <c r="J277" s="8"/>
      <c r="K277" s="8"/>
      <c r="L277" s="33"/>
      <c r="M277" s="33"/>
      <c r="N277" s="33"/>
      <c r="O277" s="12"/>
      <c r="P277" s="12"/>
      <c r="Q277" s="12"/>
      <c r="R277" s="34"/>
      <c r="S277" s="34"/>
      <c r="T277" s="30" t="str">
        <f aca="true">IF(OR(B277="",H277="Paid",H277="Not now",S277=""),"",IF(S277&lt;=TODAY(),"DUE",""))</f>
        <v/>
      </c>
      <c r="U277" s="12"/>
      <c r="V277" s="33"/>
      <c r="W277" s="12"/>
    </row>
    <row r="278" customFormat="false" ht="15" hidden="false" customHeight="false" outlineLevel="0" collapsed="false">
      <c r="A278" s="32" t="str">
        <f aca="false">IF(B278="","",ROW()-4)</f>
        <v/>
      </c>
      <c r="B278" s="12"/>
      <c r="C278" s="12"/>
      <c r="D278" s="12"/>
      <c r="E278" s="12"/>
      <c r="F278" s="12"/>
      <c r="G278" s="12"/>
      <c r="H278" s="33"/>
      <c r="I278" s="33"/>
      <c r="J278" s="8"/>
      <c r="K278" s="8"/>
      <c r="L278" s="33"/>
      <c r="M278" s="33"/>
      <c r="N278" s="33"/>
      <c r="O278" s="12"/>
      <c r="P278" s="12"/>
      <c r="Q278" s="12"/>
      <c r="R278" s="34"/>
      <c r="S278" s="34"/>
      <c r="T278" s="30" t="str">
        <f aca="true">IF(OR(B278="",H278="Paid",H278="Not now",S278=""),"",IF(S278&lt;=TODAY(),"DUE",""))</f>
        <v/>
      </c>
      <c r="U278" s="12"/>
      <c r="V278" s="33"/>
      <c r="W278" s="12"/>
    </row>
    <row r="279" customFormat="false" ht="15" hidden="false" customHeight="false" outlineLevel="0" collapsed="false">
      <c r="A279" s="32" t="str">
        <f aca="false">IF(B279="","",ROW()-4)</f>
        <v/>
      </c>
      <c r="B279" s="12"/>
      <c r="C279" s="12"/>
      <c r="D279" s="12"/>
      <c r="E279" s="12"/>
      <c r="F279" s="12"/>
      <c r="G279" s="12"/>
      <c r="H279" s="33"/>
      <c r="I279" s="33"/>
      <c r="J279" s="8"/>
      <c r="K279" s="8"/>
      <c r="L279" s="33"/>
      <c r="M279" s="33"/>
      <c r="N279" s="33"/>
      <c r="O279" s="12"/>
      <c r="P279" s="12"/>
      <c r="Q279" s="12"/>
      <c r="R279" s="34"/>
      <c r="S279" s="34"/>
      <c r="T279" s="30" t="str">
        <f aca="true">IF(OR(B279="",H279="Paid",H279="Not now",S279=""),"",IF(S279&lt;=TODAY(),"DUE",""))</f>
        <v/>
      </c>
      <c r="U279" s="12"/>
      <c r="V279" s="33"/>
      <c r="W279" s="12"/>
    </row>
    <row r="280" customFormat="false" ht="15" hidden="false" customHeight="false" outlineLevel="0" collapsed="false">
      <c r="A280" s="32" t="str">
        <f aca="false">IF(B280="","",ROW()-4)</f>
        <v/>
      </c>
      <c r="B280" s="12"/>
      <c r="C280" s="12"/>
      <c r="D280" s="12"/>
      <c r="E280" s="12"/>
      <c r="F280" s="12"/>
      <c r="G280" s="12"/>
      <c r="H280" s="33"/>
      <c r="I280" s="33"/>
      <c r="J280" s="8"/>
      <c r="K280" s="8"/>
      <c r="L280" s="33"/>
      <c r="M280" s="33"/>
      <c r="N280" s="33"/>
      <c r="O280" s="12"/>
      <c r="P280" s="12"/>
      <c r="Q280" s="12"/>
      <c r="R280" s="34"/>
      <c r="S280" s="34"/>
      <c r="T280" s="30" t="str">
        <f aca="true">IF(OR(B280="",H280="Paid",H280="Not now",S280=""),"",IF(S280&lt;=TODAY(),"DUE",""))</f>
        <v/>
      </c>
      <c r="U280" s="12"/>
      <c r="V280" s="33"/>
      <c r="W280" s="12"/>
    </row>
    <row r="281" customFormat="false" ht="15" hidden="false" customHeight="false" outlineLevel="0" collapsed="false">
      <c r="A281" s="32" t="str">
        <f aca="false">IF(B281="","",ROW()-4)</f>
        <v/>
      </c>
      <c r="B281" s="12"/>
      <c r="C281" s="12"/>
      <c r="D281" s="12"/>
      <c r="E281" s="12"/>
      <c r="F281" s="12"/>
      <c r="G281" s="12"/>
      <c r="H281" s="33"/>
      <c r="I281" s="33"/>
      <c r="J281" s="8"/>
      <c r="K281" s="8"/>
      <c r="L281" s="33"/>
      <c r="M281" s="33"/>
      <c r="N281" s="33"/>
      <c r="O281" s="12"/>
      <c r="P281" s="12"/>
      <c r="Q281" s="12"/>
      <c r="R281" s="34"/>
      <c r="S281" s="34"/>
      <c r="T281" s="30" t="str">
        <f aca="true">IF(OR(B281="",H281="Paid",H281="Not now",S281=""),"",IF(S281&lt;=TODAY(),"DUE",""))</f>
        <v/>
      </c>
      <c r="U281" s="12"/>
      <c r="V281" s="33"/>
      <c r="W281" s="12"/>
    </row>
    <row r="282" customFormat="false" ht="15" hidden="false" customHeight="false" outlineLevel="0" collapsed="false">
      <c r="A282" s="32" t="str">
        <f aca="false">IF(B282="","",ROW()-4)</f>
        <v/>
      </c>
      <c r="B282" s="12"/>
      <c r="C282" s="12"/>
      <c r="D282" s="12"/>
      <c r="E282" s="12"/>
      <c r="F282" s="12"/>
      <c r="G282" s="12"/>
      <c r="H282" s="33"/>
      <c r="I282" s="33"/>
      <c r="J282" s="8"/>
      <c r="K282" s="8"/>
      <c r="L282" s="33"/>
      <c r="M282" s="33"/>
      <c r="N282" s="33"/>
      <c r="O282" s="12"/>
      <c r="P282" s="12"/>
      <c r="Q282" s="12"/>
      <c r="R282" s="34"/>
      <c r="S282" s="34"/>
      <c r="T282" s="30" t="str">
        <f aca="true">IF(OR(B282="",H282="Paid",H282="Not now",S282=""),"",IF(S282&lt;=TODAY(),"DUE",""))</f>
        <v/>
      </c>
      <c r="U282" s="12"/>
      <c r="V282" s="33"/>
      <c r="W282" s="12"/>
    </row>
    <row r="283" customFormat="false" ht="15" hidden="false" customHeight="false" outlineLevel="0" collapsed="false">
      <c r="A283" s="32" t="str">
        <f aca="false">IF(B283="","",ROW()-4)</f>
        <v/>
      </c>
      <c r="B283" s="12"/>
      <c r="C283" s="12"/>
      <c r="D283" s="12"/>
      <c r="E283" s="12"/>
      <c r="F283" s="12"/>
      <c r="G283" s="12"/>
      <c r="H283" s="33"/>
      <c r="I283" s="33"/>
      <c r="J283" s="8"/>
      <c r="K283" s="8"/>
      <c r="L283" s="33"/>
      <c r="M283" s="33"/>
      <c r="N283" s="33"/>
      <c r="O283" s="12"/>
      <c r="P283" s="12"/>
      <c r="Q283" s="12"/>
      <c r="R283" s="34"/>
      <c r="S283" s="34"/>
      <c r="T283" s="30" t="str">
        <f aca="true">IF(OR(B283="",H283="Paid",H283="Not now",S283=""),"",IF(S283&lt;=TODAY(),"DUE",""))</f>
        <v/>
      </c>
      <c r="U283" s="12"/>
      <c r="V283" s="33"/>
      <c r="W283" s="12"/>
    </row>
    <row r="284" customFormat="false" ht="15" hidden="false" customHeight="false" outlineLevel="0" collapsed="false">
      <c r="A284" s="32" t="str">
        <f aca="false">IF(B284="","",ROW()-4)</f>
        <v/>
      </c>
      <c r="B284" s="12"/>
      <c r="C284" s="12"/>
      <c r="D284" s="12"/>
      <c r="E284" s="12"/>
      <c r="F284" s="12"/>
      <c r="G284" s="12"/>
      <c r="H284" s="33"/>
      <c r="I284" s="33"/>
      <c r="J284" s="8"/>
      <c r="K284" s="8"/>
      <c r="L284" s="33"/>
      <c r="M284" s="33"/>
      <c r="N284" s="33"/>
      <c r="O284" s="12"/>
      <c r="P284" s="12"/>
      <c r="Q284" s="12"/>
      <c r="R284" s="34"/>
      <c r="S284" s="34"/>
      <c r="T284" s="30" t="str">
        <f aca="true">IF(OR(B284="",H284="Paid",H284="Not now",S284=""),"",IF(S284&lt;=TODAY(),"DUE",""))</f>
        <v/>
      </c>
      <c r="U284" s="12"/>
      <c r="V284" s="33"/>
      <c r="W284" s="12"/>
    </row>
    <row r="285" customFormat="false" ht="15" hidden="false" customHeight="false" outlineLevel="0" collapsed="false">
      <c r="A285" s="32" t="str">
        <f aca="false">IF(B285="","",ROW()-4)</f>
        <v/>
      </c>
      <c r="B285" s="12"/>
      <c r="C285" s="12"/>
      <c r="D285" s="12"/>
      <c r="E285" s="12"/>
      <c r="F285" s="12"/>
      <c r="G285" s="12"/>
      <c r="H285" s="33"/>
      <c r="I285" s="33"/>
      <c r="J285" s="8"/>
      <c r="K285" s="8"/>
      <c r="L285" s="33"/>
      <c r="M285" s="33"/>
      <c r="N285" s="33"/>
      <c r="O285" s="12"/>
      <c r="P285" s="12"/>
      <c r="Q285" s="12"/>
      <c r="R285" s="34"/>
      <c r="S285" s="34"/>
      <c r="T285" s="30" t="str">
        <f aca="true">IF(OR(B285="",H285="Paid",H285="Not now",S285=""),"",IF(S285&lt;=TODAY(),"DUE",""))</f>
        <v/>
      </c>
      <c r="U285" s="12"/>
      <c r="V285" s="33"/>
      <c r="W285" s="12"/>
    </row>
    <row r="286" customFormat="false" ht="15" hidden="false" customHeight="false" outlineLevel="0" collapsed="false">
      <c r="A286" s="32" t="str">
        <f aca="false">IF(B286="","",ROW()-4)</f>
        <v/>
      </c>
      <c r="B286" s="12"/>
      <c r="C286" s="12"/>
      <c r="D286" s="12"/>
      <c r="E286" s="12"/>
      <c r="F286" s="12"/>
      <c r="G286" s="12"/>
      <c r="H286" s="33"/>
      <c r="I286" s="33"/>
      <c r="J286" s="8"/>
      <c r="K286" s="8"/>
      <c r="L286" s="33"/>
      <c r="M286" s="33"/>
      <c r="N286" s="33"/>
      <c r="O286" s="12"/>
      <c r="P286" s="12"/>
      <c r="Q286" s="12"/>
      <c r="R286" s="34"/>
      <c r="S286" s="34"/>
      <c r="T286" s="30" t="str">
        <f aca="true">IF(OR(B286="",H286="Paid",H286="Not now",S286=""),"",IF(S286&lt;=TODAY(),"DUE",""))</f>
        <v/>
      </c>
      <c r="U286" s="12"/>
      <c r="V286" s="33"/>
      <c r="W286" s="12"/>
    </row>
    <row r="287" customFormat="false" ht="15" hidden="false" customHeight="false" outlineLevel="0" collapsed="false">
      <c r="A287" s="32" t="str">
        <f aca="false">IF(B287="","",ROW()-4)</f>
        <v/>
      </c>
      <c r="B287" s="12"/>
      <c r="C287" s="12"/>
      <c r="D287" s="12"/>
      <c r="E287" s="12"/>
      <c r="F287" s="12"/>
      <c r="G287" s="12"/>
      <c r="H287" s="33"/>
      <c r="I287" s="33"/>
      <c r="J287" s="8"/>
      <c r="K287" s="8"/>
      <c r="L287" s="33"/>
      <c r="M287" s="33"/>
      <c r="N287" s="33"/>
      <c r="O287" s="12"/>
      <c r="P287" s="12"/>
      <c r="Q287" s="12"/>
      <c r="R287" s="34"/>
      <c r="S287" s="34"/>
      <c r="T287" s="30" t="str">
        <f aca="true">IF(OR(B287="",H287="Paid",H287="Not now",S287=""),"",IF(S287&lt;=TODAY(),"DUE",""))</f>
        <v/>
      </c>
      <c r="U287" s="12"/>
      <c r="V287" s="33"/>
      <c r="W287" s="12"/>
    </row>
    <row r="288" customFormat="false" ht="15" hidden="false" customHeight="false" outlineLevel="0" collapsed="false">
      <c r="A288" s="32" t="str">
        <f aca="false">IF(B288="","",ROW()-4)</f>
        <v/>
      </c>
      <c r="B288" s="12"/>
      <c r="C288" s="12"/>
      <c r="D288" s="12"/>
      <c r="E288" s="12"/>
      <c r="F288" s="12"/>
      <c r="G288" s="12"/>
      <c r="H288" s="33"/>
      <c r="I288" s="33"/>
      <c r="J288" s="8"/>
      <c r="K288" s="8"/>
      <c r="L288" s="33"/>
      <c r="M288" s="33"/>
      <c r="N288" s="33"/>
      <c r="O288" s="12"/>
      <c r="P288" s="12"/>
      <c r="Q288" s="12"/>
      <c r="R288" s="34"/>
      <c r="S288" s="34"/>
      <c r="T288" s="30" t="str">
        <f aca="true">IF(OR(B288="",H288="Paid",H288="Not now",S288=""),"",IF(S288&lt;=TODAY(),"DUE",""))</f>
        <v/>
      </c>
      <c r="U288" s="12"/>
      <c r="V288" s="33"/>
      <c r="W288" s="12"/>
    </row>
    <row r="289" customFormat="false" ht="15" hidden="false" customHeight="false" outlineLevel="0" collapsed="false">
      <c r="A289" s="32" t="str">
        <f aca="false">IF(B289="","",ROW()-4)</f>
        <v/>
      </c>
      <c r="B289" s="12"/>
      <c r="C289" s="12"/>
      <c r="D289" s="12"/>
      <c r="E289" s="12"/>
      <c r="F289" s="12"/>
      <c r="G289" s="12"/>
      <c r="H289" s="33"/>
      <c r="I289" s="33"/>
      <c r="J289" s="8"/>
      <c r="K289" s="8"/>
      <c r="L289" s="33"/>
      <c r="M289" s="33"/>
      <c r="N289" s="33"/>
      <c r="O289" s="12"/>
      <c r="P289" s="12"/>
      <c r="Q289" s="12"/>
      <c r="R289" s="34"/>
      <c r="S289" s="34"/>
      <c r="T289" s="30" t="str">
        <f aca="true">IF(OR(B289="",H289="Paid",H289="Not now",S289=""),"",IF(S289&lt;=TODAY(),"DUE",""))</f>
        <v/>
      </c>
      <c r="U289" s="12"/>
      <c r="V289" s="33"/>
      <c r="W289" s="12"/>
    </row>
    <row r="290" customFormat="false" ht="15" hidden="false" customHeight="false" outlineLevel="0" collapsed="false">
      <c r="A290" s="32" t="str">
        <f aca="false">IF(B290="","",ROW()-4)</f>
        <v/>
      </c>
      <c r="B290" s="12"/>
      <c r="C290" s="12"/>
      <c r="D290" s="12"/>
      <c r="E290" s="12"/>
      <c r="F290" s="12"/>
      <c r="G290" s="12"/>
      <c r="H290" s="33"/>
      <c r="I290" s="33"/>
      <c r="J290" s="8"/>
      <c r="K290" s="8"/>
      <c r="L290" s="33"/>
      <c r="M290" s="33"/>
      <c r="N290" s="33"/>
      <c r="O290" s="12"/>
      <c r="P290" s="12"/>
      <c r="Q290" s="12"/>
      <c r="R290" s="34"/>
      <c r="S290" s="34"/>
      <c r="T290" s="30" t="str">
        <f aca="true">IF(OR(B290="",H290="Paid",H290="Not now",S290=""),"",IF(S290&lt;=TODAY(),"DUE",""))</f>
        <v/>
      </c>
      <c r="U290" s="12"/>
      <c r="V290" s="33"/>
      <c r="W290" s="12"/>
    </row>
    <row r="291" customFormat="false" ht="15" hidden="false" customHeight="false" outlineLevel="0" collapsed="false">
      <c r="A291" s="32" t="str">
        <f aca="false">IF(B291="","",ROW()-4)</f>
        <v/>
      </c>
      <c r="B291" s="12"/>
      <c r="C291" s="12"/>
      <c r="D291" s="12"/>
      <c r="E291" s="12"/>
      <c r="F291" s="12"/>
      <c r="G291" s="12"/>
      <c r="H291" s="33"/>
      <c r="I291" s="33"/>
      <c r="J291" s="8"/>
      <c r="K291" s="8"/>
      <c r="L291" s="33"/>
      <c r="M291" s="33"/>
      <c r="N291" s="33"/>
      <c r="O291" s="12"/>
      <c r="P291" s="12"/>
      <c r="Q291" s="12"/>
      <c r="R291" s="34"/>
      <c r="S291" s="34"/>
      <c r="T291" s="30" t="str">
        <f aca="true">IF(OR(B291="",H291="Paid",H291="Not now",S291=""),"",IF(S291&lt;=TODAY(),"DUE",""))</f>
        <v/>
      </c>
      <c r="U291" s="12"/>
      <c r="V291" s="33"/>
      <c r="W291" s="12"/>
    </row>
    <row r="292" customFormat="false" ht="15" hidden="false" customHeight="false" outlineLevel="0" collapsed="false">
      <c r="A292" s="32" t="str">
        <f aca="false">IF(B292="","",ROW()-4)</f>
        <v/>
      </c>
      <c r="B292" s="12"/>
      <c r="C292" s="12"/>
      <c r="D292" s="12"/>
      <c r="E292" s="12"/>
      <c r="F292" s="12"/>
      <c r="G292" s="12"/>
      <c r="H292" s="33"/>
      <c r="I292" s="33"/>
      <c r="J292" s="8"/>
      <c r="K292" s="8"/>
      <c r="L292" s="33"/>
      <c r="M292" s="33"/>
      <c r="N292" s="33"/>
      <c r="O292" s="12"/>
      <c r="P292" s="12"/>
      <c r="Q292" s="12"/>
      <c r="R292" s="34"/>
      <c r="S292" s="34"/>
      <c r="T292" s="30" t="str">
        <f aca="true">IF(OR(B292="",H292="Paid",H292="Not now",S292=""),"",IF(S292&lt;=TODAY(),"DUE",""))</f>
        <v/>
      </c>
      <c r="U292" s="12"/>
      <c r="V292" s="33"/>
      <c r="W292" s="12"/>
    </row>
    <row r="293" customFormat="false" ht="15" hidden="false" customHeight="false" outlineLevel="0" collapsed="false">
      <c r="A293" s="32" t="str">
        <f aca="false">IF(B293="","",ROW()-4)</f>
        <v/>
      </c>
      <c r="B293" s="12"/>
      <c r="C293" s="12"/>
      <c r="D293" s="12"/>
      <c r="E293" s="12"/>
      <c r="F293" s="12"/>
      <c r="G293" s="12"/>
      <c r="H293" s="33"/>
      <c r="I293" s="33"/>
      <c r="J293" s="8"/>
      <c r="K293" s="8"/>
      <c r="L293" s="33"/>
      <c r="M293" s="33"/>
      <c r="N293" s="33"/>
      <c r="O293" s="12"/>
      <c r="P293" s="12"/>
      <c r="Q293" s="12"/>
      <c r="R293" s="34"/>
      <c r="S293" s="34"/>
      <c r="T293" s="30" t="str">
        <f aca="true">IF(OR(B293="",H293="Paid",H293="Not now",S293=""),"",IF(S293&lt;=TODAY(),"DUE",""))</f>
        <v/>
      </c>
      <c r="U293" s="12"/>
      <c r="V293" s="33"/>
      <c r="W293" s="12"/>
    </row>
    <row r="294" customFormat="false" ht="15" hidden="false" customHeight="false" outlineLevel="0" collapsed="false">
      <c r="A294" s="32" t="str">
        <f aca="false">IF(B294="","",ROW()-4)</f>
        <v/>
      </c>
      <c r="B294" s="12"/>
      <c r="C294" s="12"/>
      <c r="D294" s="12"/>
      <c r="E294" s="12"/>
      <c r="F294" s="12"/>
      <c r="G294" s="12"/>
      <c r="H294" s="33"/>
      <c r="I294" s="33"/>
      <c r="J294" s="8"/>
      <c r="K294" s="8"/>
      <c r="L294" s="33"/>
      <c r="M294" s="33"/>
      <c r="N294" s="33"/>
      <c r="O294" s="12"/>
      <c r="P294" s="12"/>
      <c r="Q294" s="12"/>
      <c r="R294" s="34"/>
      <c r="S294" s="34"/>
      <c r="T294" s="30" t="str">
        <f aca="true">IF(OR(B294="",H294="Paid",H294="Not now",S294=""),"",IF(S294&lt;=TODAY(),"DUE",""))</f>
        <v/>
      </c>
      <c r="U294" s="12"/>
      <c r="V294" s="33"/>
      <c r="W294" s="12"/>
    </row>
    <row r="295" customFormat="false" ht="15" hidden="false" customHeight="false" outlineLevel="0" collapsed="false">
      <c r="A295" s="32" t="str">
        <f aca="false">IF(B295="","",ROW()-4)</f>
        <v/>
      </c>
      <c r="B295" s="12"/>
      <c r="C295" s="12"/>
      <c r="D295" s="12"/>
      <c r="E295" s="12"/>
      <c r="F295" s="12"/>
      <c r="G295" s="12"/>
      <c r="H295" s="33"/>
      <c r="I295" s="33"/>
      <c r="J295" s="8"/>
      <c r="K295" s="8"/>
      <c r="L295" s="33"/>
      <c r="M295" s="33"/>
      <c r="N295" s="33"/>
      <c r="O295" s="12"/>
      <c r="P295" s="12"/>
      <c r="Q295" s="12"/>
      <c r="R295" s="34"/>
      <c r="S295" s="34"/>
      <c r="T295" s="30" t="str">
        <f aca="true">IF(OR(B295="",H295="Paid",H295="Not now",S295=""),"",IF(S295&lt;=TODAY(),"DUE",""))</f>
        <v/>
      </c>
      <c r="U295" s="12"/>
      <c r="V295" s="33"/>
      <c r="W295" s="12"/>
    </row>
    <row r="296" customFormat="false" ht="15" hidden="false" customHeight="false" outlineLevel="0" collapsed="false">
      <c r="A296" s="32" t="str">
        <f aca="false">IF(B296="","",ROW()-4)</f>
        <v/>
      </c>
      <c r="B296" s="12"/>
      <c r="C296" s="12"/>
      <c r="D296" s="12"/>
      <c r="E296" s="12"/>
      <c r="F296" s="12"/>
      <c r="G296" s="12"/>
      <c r="H296" s="33"/>
      <c r="I296" s="33"/>
      <c r="J296" s="8"/>
      <c r="K296" s="8"/>
      <c r="L296" s="33"/>
      <c r="M296" s="33"/>
      <c r="N296" s="33"/>
      <c r="O296" s="12"/>
      <c r="P296" s="12"/>
      <c r="Q296" s="12"/>
      <c r="R296" s="34"/>
      <c r="S296" s="34"/>
      <c r="T296" s="30" t="str">
        <f aca="true">IF(OR(B296="",H296="Paid",H296="Not now",S296=""),"",IF(S296&lt;=TODAY(),"DUE",""))</f>
        <v/>
      </c>
      <c r="U296" s="12"/>
      <c r="V296" s="33"/>
      <c r="W296" s="12"/>
    </row>
    <row r="297" customFormat="false" ht="15" hidden="false" customHeight="false" outlineLevel="0" collapsed="false">
      <c r="A297" s="32" t="str">
        <f aca="false">IF(B297="","",ROW()-4)</f>
        <v/>
      </c>
      <c r="B297" s="12"/>
      <c r="C297" s="12"/>
      <c r="D297" s="12"/>
      <c r="E297" s="12"/>
      <c r="F297" s="12"/>
      <c r="G297" s="12"/>
      <c r="H297" s="33"/>
      <c r="I297" s="33"/>
      <c r="J297" s="8"/>
      <c r="K297" s="8"/>
      <c r="L297" s="33"/>
      <c r="M297" s="33"/>
      <c r="N297" s="33"/>
      <c r="O297" s="12"/>
      <c r="P297" s="12"/>
      <c r="Q297" s="12"/>
      <c r="R297" s="34"/>
      <c r="S297" s="34"/>
      <c r="T297" s="30" t="str">
        <f aca="true">IF(OR(B297="",H297="Paid",H297="Not now",S297=""),"",IF(S297&lt;=TODAY(),"DUE",""))</f>
        <v/>
      </c>
      <c r="U297" s="12"/>
      <c r="V297" s="33"/>
      <c r="W297" s="12"/>
    </row>
    <row r="298" customFormat="false" ht="15" hidden="false" customHeight="false" outlineLevel="0" collapsed="false">
      <c r="A298" s="32" t="str">
        <f aca="false">IF(B298="","",ROW()-4)</f>
        <v/>
      </c>
      <c r="B298" s="12"/>
      <c r="C298" s="12"/>
      <c r="D298" s="12"/>
      <c r="E298" s="12"/>
      <c r="F298" s="12"/>
      <c r="G298" s="12"/>
      <c r="H298" s="33"/>
      <c r="I298" s="33"/>
      <c r="J298" s="8"/>
      <c r="K298" s="8"/>
      <c r="L298" s="33"/>
      <c r="M298" s="33"/>
      <c r="N298" s="33"/>
      <c r="O298" s="12"/>
      <c r="P298" s="12"/>
      <c r="Q298" s="12"/>
      <c r="R298" s="34"/>
      <c r="S298" s="34"/>
      <c r="T298" s="30" t="str">
        <f aca="true">IF(OR(B298="",H298="Paid",H298="Not now",S298=""),"",IF(S298&lt;=TODAY(),"DUE",""))</f>
        <v/>
      </c>
      <c r="U298" s="12"/>
      <c r="V298" s="33"/>
      <c r="W298" s="12"/>
    </row>
    <row r="299" customFormat="false" ht="15" hidden="false" customHeight="false" outlineLevel="0" collapsed="false">
      <c r="A299" s="32" t="str">
        <f aca="false">IF(B299="","",ROW()-4)</f>
        <v/>
      </c>
      <c r="B299" s="12"/>
      <c r="C299" s="12"/>
      <c r="D299" s="12"/>
      <c r="E299" s="12"/>
      <c r="F299" s="12"/>
      <c r="G299" s="12"/>
      <c r="H299" s="33"/>
      <c r="I299" s="33"/>
      <c r="J299" s="8"/>
      <c r="K299" s="8"/>
      <c r="L299" s="33"/>
      <c r="M299" s="33"/>
      <c r="N299" s="33"/>
      <c r="O299" s="12"/>
      <c r="P299" s="12"/>
      <c r="Q299" s="12"/>
      <c r="R299" s="34"/>
      <c r="S299" s="34"/>
      <c r="T299" s="30" t="str">
        <f aca="true">IF(OR(B299="",H299="Paid",H299="Not now",S299=""),"",IF(S299&lt;=TODAY(),"DUE",""))</f>
        <v/>
      </c>
      <c r="U299" s="12"/>
      <c r="V299" s="33"/>
      <c r="W299" s="12"/>
    </row>
    <row r="300" customFormat="false" ht="15" hidden="false" customHeight="false" outlineLevel="0" collapsed="false">
      <c r="A300" s="32" t="str">
        <f aca="false">IF(B300="","",ROW()-4)</f>
        <v/>
      </c>
      <c r="B300" s="12"/>
      <c r="C300" s="12"/>
      <c r="D300" s="12"/>
      <c r="E300" s="12"/>
      <c r="F300" s="12"/>
      <c r="G300" s="12"/>
      <c r="H300" s="33"/>
      <c r="I300" s="33"/>
      <c r="J300" s="8"/>
      <c r="K300" s="8"/>
      <c r="L300" s="33"/>
      <c r="M300" s="33"/>
      <c r="N300" s="33"/>
      <c r="O300" s="12"/>
      <c r="P300" s="12"/>
      <c r="Q300" s="12"/>
      <c r="R300" s="34"/>
      <c r="S300" s="34"/>
      <c r="T300" s="30" t="str">
        <f aca="true">IF(OR(B300="",H300="Paid",H300="Not now",S300=""),"",IF(S300&lt;=TODAY(),"DUE",""))</f>
        <v/>
      </c>
      <c r="U300" s="12"/>
      <c r="V300" s="33"/>
      <c r="W300" s="12"/>
    </row>
    <row r="301" customFormat="false" ht="15" hidden="false" customHeight="false" outlineLevel="0" collapsed="false">
      <c r="A301" s="32" t="str">
        <f aca="false">IF(B301="","",ROW()-4)</f>
        <v/>
      </c>
      <c r="B301" s="12"/>
      <c r="C301" s="12"/>
      <c r="D301" s="12"/>
      <c r="E301" s="12"/>
      <c r="F301" s="12"/>
      <c r="G301" s="12"/>
      <c r="H301" s="33"/>
      <c r="I301" s="33"/>
      <c r="J301" s="8"/>
      <c r="K301" s="8"/>
      <c r="L301" s="33"/>
      <c r="M301" s="33"/>
      <c r="N301" s="33"/>
      <c r="O301" s="12"/>
      <c r="P301" s="12"/>
      <c r="Q301" s="12"/>
      <c r="R301" s="34"/>
      <c r="S301" s="34"/>
      <c r="T301" s="30" t="str">
        <f aca="true">IF(OR(B301="",H301="Paid",H301="Not now",S301=""),"",IF(S301&lt;=TODAY(),"DUE",""))</f>
        <v/>
      </c>
      <c r="U301" s="12"/>
      <c r="V301" s="33"/>
      <c r="W301" s="12"/>
    </row>
    <row r="302" customFormat="false" ht="15" hidden="false" customHeight="false" outlineLevel="0" collapsed="false">
      <c r="A302" s="32" t="str">
        <f aca="false">IF(B302="","",ROW()-4)</f>
        <v/>
      </c>
      <c r="B302" s="12"/>
      <c r="C302" s="12"/>
      <c r="D302" s="12"/>
      <c r="E302" s="12"/>
      <c r="F302" s="12"/>
      <c r="G302" s="12"/>
      <c r="H302" s="33"/>
      <c r="I302" s="33"/>
      <c r="J302" s="8"/>
      <c r="K302" s="8"/>
      <c r="L302" s="33"/>
      <c r="M302" s="33"/>
      <c r="N302" s="33"/>
      <c r="O302" s="12"/>
      <c r="P302" s="12"/>
      <c r="Q302" s="12"/>
      <c r="R302" s="34"/>
      <c r="S302" s="34"/>
      <c r="T302" s="30" t="str">
        <f aca="true">IF(OR(B302="",H302="Paid",H302="Not now",S302=""),"",IF(S302&lt;=TODAY(),"DUE",""))</f>
        <v/>
      </c>
      <c r="U302" s="12"/>
      <c r="V302" s="33"/>
      <c r="W302" s="12"/>
    </row>
    <row r="303" customFormat="false" ht="15" hidden="false" customHeight="false" outlineLevel="0" collapsed="false">
      <c r="A303" s="32" t="str">
        <f aca="false">IF(B303="","",ROW()-4)</f>
        <v/>
      </c>
      <c r="B303" s="12"/>
      <c r="C303" s="12"/>
      <c r="D303" s="12"/>
      <c r="E303" s="12"/>
      <c r="F303" s="12"/>
      <c r="G303" s="12"/>
      <c r="H303" s="33"/>
      <c r="I303" s="33"/>
      <c r="J303" s="8"/>
      <c r="K303" s="8"/>
      <c r="L303" s="33"/>
      <c r="M303" s="33"/>
      <c r="N303" s="33"/>
      <c r="O303" s="12"/>
      <c r="P303" s="12"/>
      <c r="Q303" s="12"/>
      <c r="R303" s="34"/>
      <c r="S303" s="34"/>
      <c r="T303" s="30" t="str">
        <f aca="true">IF(OR(B303="",H303="Paid",H303="Not now",S303=""),"",IF(S303&lt;=TODAY(),"DUE",""))</f>
        <v/>
      </c>
      <c r="U303" s="12"/>
      <c r="V303" s="33"/>
      <c r="W303" s="12"/>
    </row>
    <row r="304" customFormat="false" ht="15" hidden="false" customHeight="false" outlineLevel="0" collapsed="false">
      <c r="A304" s="32" t="str">
        <f aca="false">IF(B304="","",ROW()-4)</f>
        <v/>
      </c>
      <c r="B304" s="12"/>
      <c r="C304" s="12"/>
      <c r="D304" s="12"/>
      <c r="E304" s="12"/>
      <c r="F304" s="12"/>
      <c r="G304" s="12"/>
      <c r="H304" s="33"/>
      <c r="I304" s="33"/>
      <c r="J304" s="8"/>
      <c r="K304" s="8"/>
      <c r="L304" s="33"/>
      <c r="M304" s="33"/>
      <c r="N304" s="33"/>
      <c r="O304" s="12"/>
      <c r="P304" s="12"/>
      <c r="Q304" s="12"/>
      <c r="R304" s="34"/>
      <c r="S304" s="34"/>
      <c r="T304" s="30" t="str">
        <f aca="true">IF(OR(B304="",H304="Paid",H304="Not now",S304=""),"",IF(S304&lt;=TODAY(),"DUE",""))</f>
        <v/>
      </c>
      <c r="U304" s="12"/>
      <c r="V304" s="33"/>
      <c r="W304" s="12"/>
    </row>
  </sheetData>
  <autoFilter ref="A4:W304"/>
  <mergeCells count="2">
    <mergeCell ref="A1:W1"/>
    <mergeCell ref="A2:W2"/>
  </mergeCells>
  <conditionalFormatting sqref="H5:H304">
    <cfRule type="cellIs" priority="2" operator="equal" aboveAverage="0" equalAverage="0" bottom="0" percent="0" rank="0" text="" dxfId="8">
      <formula>"Contacted"</formula>
    </cfRule>
    <cfRule type="cellIs" priority="3" operator="equal" aboveAverage="0" equalAverage="0" bottom="0" percent="0" rank="0" text="" dxfId="9">
      <formula>"Interested"</formula>
    </cfRule>
    <cfRule type="cellIs" priority="4" operator="equal" aboveAverage="0" equalAverage="0" bottom="0" percent="0" rank="0" text="" dxfId="10">
      <formula>"Proposal sent"</formula>
    </cfRule>
    <cfRule type="cellIs" priority="5" operator="equal" aboveAverage="0" equalAverage="0" bottom="0" percent="0" rank="0" text="" dxfId="11">
      <formula>"Signed"</formula>
    </cfRule>
    <cfRule type="cellIs" priority="6" operator="equal" aboveAverage="0" equalAverage="0" bottom="0" percent="0" rank="0" text="" dxfId="12">
      <formula>"Paid"</formula>
    </cfRule>
    <cfRule type="cellIs" priority="7" operator="equal" aboveAverage="0" equalAverage="0" bottom="0" percent="0" rank="0" text="" dxfId="13">
      <formula>"Not now"</formula>
    </cfRule>
  </conditionalFormatting>
  <dataValidations count="5">
    <dataValidation allowBlank="true" errorStyle="stop" operator="between" showDropDown="false" showErrorMessage="false" showInputMessage="false" sqref="H5:H304" type="list">
      <formula1>"Prospect,Contacted,Interested,Proposal sent,Signed,Paid,Not now"</formula1>
      <formula2>0</formula2>
    </dataValidation>
    <dataValidation allowBlank="true" errorStyle="stop" operator="between" showDropDown="false" showErrorMessage="false" showInputMessage="false" sqref="I5:I304" type="list">
      <formula1>"Title Sponsor,Gold Sponsor,Silver Sponsor,Bronze Sponsor,Community Sponsor,In-kind Partner,VIP Corporate Table"</formula1>
      <formula2>0</formula2>
    </dataValidation>
    <dataValidation allowBlank="true" errorStyle="stop" operator="between" showDropDown="false" showErrorMessage="false" showInputMessage="false" sqref="L5:L304" type="list">
      <formula1>"Not booked yet,Show 1 · 2027,Show 2 · 2027,Show 3 · 2027,Show 4 · 2027,All 2027 shows"</formula1>
      <formula2>0</formula2>
    </dataValidation>
    <dataValidation allowBlank="true" errorStyle="stop" operator="between" showDropDown="false" showErrorMessage="false" showInputMessage="false" sqref="M5:M304" type="list">
      <formula1>"Cody,Kyle,Staff"</formula1>
      <formula2>0</formula2>
    </dataValidation>
    <dataValidation allowBlank="true" errorStyle="stop" operator="between" showDropDown="false" showErrorMessage="false" showInputMessage="false" sqref="R5:S304" type="dat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70"/>
    <col collapsed="false" customWidth="true" hidden="false" outlineLevel="0" max="4" min="4" style="0" width="8"/>
    <col collapsed="false" customWidth="true" hidden="false" outlineLevel="0" max="5" min="5" style="0" width="44"/>
  </cols>
  <sheetData>
    <row r="1" customFormat="false" ht="30" hidden="false" customHeight="true" outlineLevel="0" collapsed="false">
      <c r="A1" s="1" t="s">
        <v>656</v>
      </c>
      <c r="B1" s="1"/>
      <c r="C1" s="1"/>
      <c r="D1" s="1"/>
      <c r="E1" s="1"/>
    </row>
    <row r="2" customFormat="false" ht="30" hidden="false" customHeight="true" outlineLevel="0" collapsed="false">
      <c r="A2" s="2" t="s">
        <v>657</v>
      </c>
      <c r="B2" s="2"/>
      <c r="C2" s="2"/>
      <c r="D2" s="2"/>
      <c r="E2" s="2"/>
    </row>
    <row r="4" customFormat="false" ht="31.5" hidden="false" customHeight="true" outlineLevel="0" collapsed="false">
      <c r="A4" s="24" t="s">
        <v>75</v>
      </c>
      <c r="B4" s="24" t="s">
        <v>76</v>
      </c>
      <c r="C4" s="24" t="s">
        <v>658</v>
      </c>
      <c r="D4" s="24" t="s">
        <v>78</v>
      </c>
      <c r="E4" s="24" t="s">
        <v>659</v>
      </c>
    </row>
    <row r="5" customFormat="false" ht="57.75" hidden="false" customHeight="true" outlineLevel="0" collapsed="false">
      <c r="A5" s="15" t="s">
        <v>80</v>
      </c>
      <c r="B5" s="35" t="n">
        <v>7500</v>
      </c>
      <c r="C5" s="31" t="s">
        <v>660</v>
      </c>
      <c r="D5" s="36" t="n">
        <v>1</v>
      </c>
      <c r="E5" s="9" t="s">
        <v>661</v>
      </c>
    </row>
    <row r="6" customFormat="false" ht="57.75" hidden="false" customHeight="true" outlineLevel="0" collapsed="false">
      <c r="A6" s="15" t="s">
        <v>81</v>
      </c>
      <c r="B6" s="35" t="n">
        <v>4000</v>
      </c>
      <c r="C6" s="31" t="s">
        <v>662</v>
      </c>
      <c r="D6" s="36" t="n">
        <v>2</v>
      </c>
      <c r="E6" s="9" t="s">
        <v>663</v>
      </c>
    </row>
    <row r="7" customFormat="false" ht="57.75" hidden="false" customHeight="true" outlineLevel="0" collapsed="false">
      <c r="A7" s="15" t="s">
        <v>82</v>
      </c>
      <c r="B7" s="35" t="n">
        <v>2000</v>
      </c>
      <c r="C7" s="31" t="s">
        <v>664</v>
      </c>
      <c r="D7" s="36" t="n">
        <v>4</v>
      </c>
      <c r="E7" s="9" t="s">
        <v>665</v>
      </c>
    </row>
    <row r="8" customFormat="false" ht="57.75" hidden="false" customHeight="true" outlineLevel="0" collapsed="false">
      <c r="A8" s="15" t="s">
        <v>83</v>
      </c>
      <c r="B8" s="35" t="n">
        <v>1000</v>
      </c>
      <c r="C8" s="31" t="s">
        <v>666</v>
      </c>
      <c r="D8" s="36" t="n">
        <v>10</v>
      </c>
      <c r="E8" s="9" t="s">
        <v>667</v>
      </c>
    </row>
    <row r="9" customFormat="false" ht="57.75" hidden="false" customHeight="true" outlineLevel="0" collapsed="false">
      <c r="A9" s="15" t="s">
        <v>84</v>
      </c>
      <c r="B9" s="35" t="n">
        <v>300</v>
      </c>
      <c r="C9" s="31" t="s">
        <v>668</v>
      </c>
      <c r="D9" s="36" t="n">
        <v>20</v>
      </c>
      <c r="E9" s="9" t="s">
        <v>669</v>
      </c>
    </row>
    <row r="10" customFormat="false" ht="57.75" hidden="false" customHeight="true" outlineLevel="0" collapsed="false">
      <c r="A10" s="15" t="s">
        <v>85</v>
      </c>
      <c r="B10" s="35" t="n">
        <v>0</v>
      </c>
      <c r="C10" s="31" t="s">
        <v>670</v>
      </c>
      <c r="D10" s="36" t="n">
        <v>6</v>
      </c>
      <c r="E10" s="9" t="s">
        <v>671</v>
      </c>
    </row>
    <row r="11" customFormat="false" ht="57.75" hidden="false" customHeight="true" outlineLevel="0" collapsed="false">
      <c r="A11" s="15" t="s">
        <v>86</v>
      </c>
      <c r="B11" s="35" t="n">
        <v>1500</v>
      </c>
      <c r="C11" s="31" t="s">
        <v>672</v>
      </c>
      <c r="D11" s="36" t="n">
        <v>6</v>
      </c>
      <c r="E11" s="9" t="s">
        <v>673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false"/>
  </sheetPr>
  <dimension ref="A1:P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7"/>
    <col collapsed="false" customWidth="true" hidden="false" outlineLevel="0" max="3" min="3" style="0" width="20"/>
    <col collapsed="false" customWidth="true" hidden="false" outlineLevel="0" max="4" min="4" style="0" width="11"/>
    <col collapsed="false" customWidth="true" hidden="false" outlineLevel="0" max="6" min="5" style="0" width="10"/>
    <col collapsed="false" customWidth="true" hidden="false" outlineLevel="0" max="8" min="7" style="0" width="11"/>
    <col collapsed="false" customWidth="true" hidden="false" outlineLevel="0" max="9" min="9" style="0" width="9"/>
    <col collapsed="false" customWidth="true" hidden="false" outlineLevel="0" max="10" min="10" style="0" width="10"/>
    <col collapsed="false" customWidth="true" hidden="false" outlineLevel="0" max="11" min="11" style="0" width="9"/>
    <col collapsed="false" customWidth="true" hidden="false" outlineLevel="0" max="13" min="12" style="0" width="11"/>
    <col collapsed="false" customWidth="true" hidden="false" outlineLevel="0" max="14" min="14" style="0" width="12"/>
    <col collapsed="false" customWidth="true" hidden="false" outlineLevel="0" max="15" min="15" style="0" width="9"/>
    <col collapsed="false" customWidth="true" hidden="false" outlineLevel="0" max="16" min="16" style="0" width="30"/>
  </cols>
  <sheetData>
    <row r="1" customFormat="false" ht="30" hidden="false" customHeight="true" outlineLevel="0" collapsed="false">
      <c r="A1" s="1" t="s">
        <v>674</v>
      </c>
      <c r="B1" s="1"/>
      <c r="C1" s="1"/>
      <c r="D1" s="1"/>
      <c r="E1" s="1"/>
      <c r="F1" s="1"/>
      <c r="G1" s="1"/>
      <c r="H1" s="1"/>
      <c r="I1" s="1"/>
      <c r="J1" s="1"/>
      <c r="K1" s="1"/>
      <c r="L1" s="1"/>
      <c r="M1" s="1"/>
      <c r="N1" s="1"/>
      <c r="O1" s="1"/>
      <c r="P1" s="1"/>
    </row>
    <row r="2" customFormat="false" ht="30" hidden="false" customHeight="true" outlineLevel="0" collapsed="false">
      <c r="A2" s="2" t="s">
        <v>675</v>
      </c>
      <c r="B2" s="2"/>
      <c r="C2" s="2"/>
      <c r="D2" s="2"/>
      <c r="E2" s="2"/>
      <c r="F2" s="2"/>
      <c r="G2" s="2"/>
      <c r="H2" s="2"/>
      <c r="I2" s="2"/>
      <c r="J2" s="2"/>
      <c r="K2" s="2"/>
      <c r="L2" s="2"/>
      <c r="M2" s="2"/>
      <c r="N2" s="2"/>
      <c r="O2" s="2"/>
      <c r="P2" s="2"/>
    </row>
    <row r="4" customFormat="false" ht="31.5" hidden="false" customHeight="true" outlineLevel="0" collapsed="false">
      <c r="A4" s="24" t="s">
        <v>89</v>
      </c>
      <c r="B4" s="24" t="s">
        <v>75</v>
      </c>
      <c r="C4" s="24" t="s">
        <v>98</v>
      </c>
      <c r="D4" s="24" t="s">
        <v>676</v>
      </c>
      <c r="E4" s="24" t="s">
        <v>677</v>
      </c>
      <c r="F4" s="24" t="s">
        <v>678</v>
      </c>
      <c r="G4" s="24" t="s">
        <v>679</v>
      </c>
      <c r="H4" s="24" t="s">
        <v>680</v>
      </c>
      <c r="I4" s="24" t="s">
        <v>681</v>
      </c>
      <c r="J4" s="24" t="s">
        <v>682</v>
      </c>
      <c r="K4" s="24" t="s">
        <v>683</v>
      </c>
      <c r="L4" s="24" t="s">
        <v>684</v>
      </c>
      <c r="M4" s="24" t="s">
        <v>685</v>
      </c>
      <c r="N4" s="24" t="s">
        <v>686</v>
      </c>
      <c r="O4" s="24" t="s">
        <v>687</v>
      </c>
      <c r="P4" s="24" t="s">
        <v>108</v>
      </c>
    </row>
    <row r="5" customFormat="false" ht="15" hidden="false" customHeight="false" outlineLevel="0" collapsed="false">
      <c r="A5" s="33" t="s">
        <v>688</v>
      </c>
      <c r="B5" s="33" t="s">
        <v>83</v>
      </c>
      <c r="C5" s="33" t="s">
        <v>689</v>
      </c>
      <c r="D5" s="33" t="s">
        <v>690</v>
      </c>
      <c r="E5" s="33" t="s">
        <v>691</v>
      </c>
      <c r="F5" s="33" t="s">
        <v>691</v>
      </c>
      <c r="G5" s="33" t="s">
        <v>690</v>
      </c>
      <c r="H5" s="33" t="s">
        <v>692</v>
      </c>
      <c r="I5" s="33" t="s">
        <v>690</v>
      </c>
      <c r="J5" s="33" t="s">
        <v>692</v>
      </c>
      <c r="K5" s="33" t="s">
        <v>692</v>
      </c>
      <c r="L5" s="33" t="s">
        <v>692</v>
      </c>
      <c r="M5" s="33" t="s">
        <v>692</v>
      </c>
      <c r="N5" s="33" t="s">
        <v>692</v>
      </c>
      <c r="O5" s="37" t="str">
        <f aca="false">IF(A5="","",IF(COUNTIF(D5:N5,"Yes")+COUNTIF(D5:N5,"N/A")=11,"DONE",11-COUNTIF(D5:N5,"Yes")-COUNTIF(D5:N5,"N/A")&amp;" left"))</f>
        <v>6 left</v>
      </c>
      <c r="P5" s="33" t="s">
        <v>693</v>
      </c>
    </row>
    <row r="6" customFormat="false" ht="15" hidden="false" customHeight="false" outlineLevel="0" collapsed="false">
      <c r="A6" s="33"/>
      <c r="B6" s="33"/>
      <c r="C6" s="33"/>
      <c r="D6" s="33"/>
      <c r="E6" s="33"/>
      <c r="F6" s="33"/>
      <c r="G6" s="33"/>
      <c r="H6" s="33"/>
      <c r="I6" s="33"/>
      <c r="J6" s="33"/>
      <c r="K6" s="33"/>
      <c r="L6" s="33"/>
      <c r="M6" s="33"/>
      <c r="N6" s="33"/>
      <c r="O6" s="37" t="str">
        <f aca="false">IF(A6="","",IF(COUNTIF(D6:N6,"Yes")+COUNTIF(D6:N6,"N/A")=11,"DONE",11-COUNTIF(D6:N6,"Yes")-COUNTIF(D6:N6,"N/A")&amp;" left"))</f>
        <v/>
      </c>
      <c r="P6" s="33"/>
    </row>
    <row r="7" customFormat="false" ht="15" hidden="false" customHeight="false" outlineLevel="0" collapsed="false">
      <c r="A7" s="33"/>
      <c r="B7" s="33"/>
      <c r="C7" s="33"/>
      <c r="D7" s="33"/>
      <c r="E7" s="33"/>
      <c r="F7" s="33"/>
      <c r="G7" s="33"/>
      <c r="H7" s="33"/>
      <c r="I7" s="33"/>
      <c r="J7" s="33"/>
      <c r="K7" s="33"/>
      <c r="L7" s="33"/>
      <c r="M7" s="33"/>
      <c r="N7" s="33"/>
      <c r="O7" s="37" t="str">
        <f aca="false">IF(A7="","",IF(COUNTIF(D7:N7,"Yes")+COUNTIF(D7:N7,"N/A")=11,"DONE",11-COUNTIF(D7:N7,"Yes")-COUNTIF(D7:N7,"N/A")&amp;" left"))</f>
        <v/>
      </c>
      <c r="P7" s="33"/>
    </row>
    <row r="8" customFormat="false" ht="15" hidden="false" customHeight="false" outlineLevel="0" collapsed="false">
      <c r="A8" s="33"/>
      <c r="B8" s="33"/>
      <c r="C8" s="33"/>
      <c r="D8" s="33"/>
      <c r="E8" s="33"/>
      <c r="F8" s="33"/>
      <c r="G8" s="33"/>
      <c r="H8" s="33"/>
      <c r="I8" s="33"/>
      <c r="J8" s="33"/>
      <c r="K8" s="33"/>
      <c r="L8" s="33"/>
      <c r="M8" s="33"/>
      <c r="N8" s="33"/>
      <c r="O8" s="37" t="str">
        <f aca="false">IF(A8="","",IF(COUNTIF(D8:N8,"Yes")+COUNTIF(D8:N8,"N/A")=11,"DONE",11-COUNTIF(D8:N8,"Yes")-COUNTIF(D8:N8,"N/A")&amp;" left"))</f>
        <v/>
      </c>
      <c r="P8" s="33"/>
    </row>
    <row r="9" customFormat="false" ht="15" hidden="false" customHeight="false" outlineLevel="0" collapsed="false">
      <c r="A9" s="33"/>
      <c r="B9" s="33"/>
      <c r="C9" s="33"/>
      <c r="D9" s="33"/>
      <c r="E9" s="33"/>
      <c r="F9" s="33"/>
      <c r="G9" s="33"/>
      <c r="H9" s="33"/>
      <c r="I9" s="33"/>
      <c r="J9" s="33"/>
      <c r="K9" s="33"/>
      <c r="L9" s="33"/>
      <c r="M9" s="33"/>
      <c r="N9" s="33"/>
      <c r="O9" s="37" t="str">
        <f aca="false">IF(A9="","",IF(COUNTIF(D9:N9,"Yes")+COUNTIF(D9:N9,"N/A")=11,"DONE",11-COUNTIF(D9:N9,"Yes")-COUNTIF(D9:N9,"N/A")&amp;" left"))</f>
        <v/>
      </c>
      <c r="P9" s="33"/>
    </row>
    <row r="10" customFormat="false" ht="15" hidden="false" customHeight="false" outlineLevel="0" collapsed="false">
      <c r="A10" s="33"/>
      <c r="B10" s="33"/>
      <c r="C10" s="33"/>
      <c r="D10" s="33"/>
      <c r="E10" s="33"/>
      <c r="F10" s="33"/>
      <c r="G10" s="33"/>
      <c r="H10" s="33"/>
      <c r="I10" s="33"/>
      <c r="J10" s="33"/>
      <c r="K10" s="33"/>
      <c r="L10" s="33"/>
      <c r="M10" s="33"/>
      <c r="N10" s="33"/>
      <c r="O10" s="37" t="str">
        <f aca="false">IF(A10="","",IF(COUNTIF(D10:N10,"Yes")+COUNTIF(D10:N10,"N/A")=11,"DONE",11-COUNTIF(D10:N10,"Yes")-COUNTIF(D10:N10,"N/A")&amp;" left"))</f>
        <v/>
      </c>
      <c r="P10" s="33"/>
    </row>
    <row r="11" customFormat="false" ht="15" hidden="false" customHeight="false" outlineLevel="0" collapsed="false">
      <c r="A11" s="33"/>
      <c r="B11" s="33"/>
      <c r="C11" s="33"/>
      <c r="D11" s="33"/>
      <c r="E11" s="33"/>
      <c r="F11" s="33"/>
      <c r="G11" s="33"/>
      <c r="H11" s="33"/>
      <c r="I11" s="33"/>
      <c r="J11" s="33"/>
      <c r="K11" s="33"/>
      <c r="L11" s="33"/>
      <c r="M11" s="33"/>
      <c r="N11" s="33"/>
      <c r="O11" s="37" t="str">
        <f aca="false">IF(A11="","",IF(COUNTIF(D11:N11,"Yes")+COUNTIF(D11:N11,"N/A")=11,"DONE",11-COUNTIF(D11:N11,"Yes")-COUNTIF(D11:N11,"N/A")&amp;" left"))</f>
        <v/>
      </c>
      <c r="P11" s="33"/>
    </row>
    <row r="12" customFormat="false" ht="15" hidden="false" customHeight="false" outlineLevel="0" collapsed="false">
      <c r="A12" s="33"/>
      <c r="B12" s="33"/>
      <c r="C12" s="33"/>
      <c r="D12" s="33"/>
      <c r="E12" s="33"/>
      <c r="F12" s="33"/>
      <c r="G12" s="33"/>
      <c r="H12" s="33"/>
      <c r="I12" s="33"/>
      <c r="J12" s="33"/>
      <c r="K12" s="33"/>
      <c r="L12" s="33"/>
      <c r="M12" s="33"/>
      <c r="N12" s="33"/>
      <c r="O12" s="37" t="str">
        <f aca="false">IF(A12="","",IF(COUNTIF(D12:N12,"Yes")+COUNTIF(D12:N12,"N/A")=11,"DONE",11-COUNTIF(D12:N12,"Yes")-COUNTIF(D12:N12,"N/A")&amp;" left"))</f>
        <v/>
      </c>
      <c r="P12" s="33"/>
    </row>
    <row r="13" customFormat="false" ht="15" hidden="false" customHeight="false" outlineLevel="0" collapsed="false">
      <c r="A13" s="33"/>
      <c r="B13" s="33"/>
      <c r="C13" s="33"/>
      <c r="D13" s="33"/>
      <c r="E13" s="33"/>
      <c r="F13" s="33"/>
      <c r="G13" s="33"/>
      <c r="H13" s="33"/>
      <c r="I13" s="33"/>
      <c r="J13" s="33"/>
      <c r="K13" s="33"/>
      <c r="L13" s="33"/>
      <c r="M13" s="33"/>
      <c r="N13" s="33"/>
      <c r="O13" s="37" t="str">
        <f aca="false">IF(A13="","",IF(COUNTIF(D13:N13,"Yes")+COUNTIF(D13:N13,"N/A")=11,"DONE",11-COUNTIF(D13:N13,"Yes")-COUNTIF(D13:N13,"N/A")&amp;" left"))</f>
        <v/>
      </c>
      <c r="P13" s="33"/>
    </row>
    <row r="14" customFormat="false" ht="15" hidden="false" customHeight="false" outlineLevel="0" collapsed="false">
      <c r="A14" s="33"/>
      <c r="B14" s="33"/>
      <c r="C14" s="33"/>
      <c r="D14" s="33"/>
      <c r="E14" s="33"/>
      <c r="F14" s="33"/>
      <c r="G14" s="33"/>
      <c r="H14" s="33"/>
      <c r="I14" s="33"/>
      <c r="J14" s="33"/>
      <c r="K14" s="33"/>
      <c r="L14" s="33"/>
      <c r="M14" s="33"/>
      <c r="N14" s="33"/>
      <c r="O14" s="37" t="str">
        <f aca="false">IF(A14="","",IF(COUNTIF(D14:N14,"Yes")+COUNTIF(D14:N14,"N/A")=11,"DONE",11-COUNTIF(D14:N14,"Yes")-COUNTIF(D14:N14,"N/A")&amp;" left"))</f>
        <v/>
      </c>
      <c r="P14" s="33"/>
    </row>
    <row r="15" customFormat="false" ht="15" hidden="false" customHeight="false" outlineLevel="0" collapsed="false">
      <c r="A15" s="33"/>
      <c r="B15" s="33"/>
      <c r="C15" s="33"/>
      <c r="D15" s="33"/>
      <c r="E15" s="33"/>
      <c r="F15" s="33"/>
      <c r="G15" s="33"/>
      <c r="H15" s="33"/>
      <c r="I15" s="33"/>
      <c r="J15" s="33"/>
      <c r="K15" s="33"/>
      <c r="L15" s="33"/>
      <c r="M15" s="33"/>
      <c r="N15" s="33"/>
      <c r="O15" s="37" t="str">
        <f aca="false">IF(A15="","",IF(COUNTIF(D15:N15,"Yes")+COUNTIF(D15:N15,"N/A")=11,"DONE",11-COUNTIF(D15:N15,"Yes")-COUNTIF(D15:N15,"N/A")&amp;" left"))</f>
        <v/>
      </c>
      <c r="P15" s="33"/>
    </row>
    <row r="16" customFormat="false" ht="15" hidden="false" customHeight="false" outlineLevel="0" collapsed="false">
      <c r="A16" s="33"/>
      <c r="B16" s="33"/>
      <c r="C16" s="33"/>
      <c r="D16" s="33"/>
      <c r="E16" s="33"/>
      <c r="F16" s="33"/>
      <c r="G16" s="33"/>
      <c r="H16" s="33"/>
      <c r="I16" s="33"/>
      <c r="J16" s="33"/>
      <c r="K16" s="33"/>
      <c r="L16" s="33"/>
      <c r="M16" s="33"/>
      <c r="N16" s="33"/>
      <c r="O16" s="37" t="str">
        <f aca="false">IF(A16="","",IF(COUNTIF(D16:N16,"Yes")+COUNTIF(D16:N16,"N/A")=11,"DONE",11-COUNTIF(D16:N16,"Yes")-COUNTIF(D16:N16,"N/A")&amp;" left"))</f>
        <v/>
      </c>
      <c r="P16" s="33"/>
    </row>
    <row r="17" customFormat="false" ht="15" hidden="false" customHeight="false" outlineLevel="0" collapsed="false">
      <c r="A17" s="33"/>
      <c r="B17" s="33"/>
      <c r="C17" s="33"/>
      <c r="D17" s="33"/>
      <c r="E17" s="33"/>
      <c r="F17" s="33"/>
      <c r="G17" s="33"/>
      <c r="H17" s="33"/>
      <c r="I17" s="33"/>
      <c r="J17" s="33"/>
      <c r="K17" s="33"/>
      <c r="L17" s="33"/>
      <c r="M17" s="33"/>
      <c r="N17" s="33"/>
      <c r="O17" s="37" t="str">
        <f aca="false">IF(A17="","",IF(COUNTIF(D17:N17,"Yes")+COUNTIF(D17:N17,"N/A")=11,"DONE",11-COUNTIF(D17:N17,"Yes")-COUNTIF(D17:N17,"N/A")&amp;" left"))</f>
        <v/>
      </c>
      <c r="P17" s="33"/>
    </row>
    <row r="18" customFormat="false" ht="15" hidden="false" customHeight="false" outlineLevel="0" collapsed="false">
      <c r="A18" s="33"/>
      <c r="B18" s="33"/>
      <c r="C18" s="33"/>
      <c r="D18" s="33"/>
      <c r="E18" s="33"/>
      <c r="F18" s="33"/>
      <c r="G18" s="33"/>
      <c r="H18" s="33"/>
      <c r="I18" s="33"/>
      <c r="J18" s="33"/>
      <c r="K18" s="33"/>
      <c r="L18" s="33"/>
      <c r="M18" s="33"/>
      <c r="N18" s="33"/>
      <c r="O18" s="37" t="str">
        <f aca="false">IF(A18="","",IF(COUNTIF(D18:N18,"Yes")+COUNTIF(D18:N18,"N/A")=11,"DONE",11-COUNTIF(D18:N18,"Yes")-COUNTIF(D18:N18,"N/A")&amp;" left"))</f>
        <v/>
      </c>
      <c r="P18" s="33"/>
    </row>
    <row r="19" customFormat="false" ht="15" hidden="false" customHeight="false" outlineLevel="0" collapsed="false">
      <c r="A19" s="33"/>
      <c r="B19" s="33"/>
      <c r="C19" s="33"/>
      <c r="D19" s="33"/>
      <c r="E19" s="33"/>
      <c r="F19" s="33"/>
      <c r="G19" s="33"/>
      <c r="H19" s="33"/>
      <c r="I19" s="33"/>
      <c r="J19" s="33"/>
      <c r="K19" s="33"/>
      <c r="L19" s="33"/>
      <c r="M19" s="33"/>
      <c r="N19" s="33"/>
      <c r="O19" s="37" t="str">
        <f aca="false">IF(A19="","",IF(COUNTIF(D19:N19,"Yes")+COUNTIF(D19:N19,"N/A")=11,"DONE",11-COUNTIF(D19:N19,"Yes")-COUNTIF(D19:N19,"N/A")&amp;" left"))</f>
        <v/>
      </c>
      <c r="P19" s="33"/>
    </row>
    <row r="20" customFormat="false" ht="15" hidden="false" customHeight="false" outlineLevel="0" collapsed="false">
      <c r="A20" s="33"/>
      <c r="B20" s="33"/>
      <c r="C20" s="33"/>
      <c r="D20" s="33"/>
      <c r="E20" s="33"/>
      <c r="F20" s="33"/>
      <c r="G20" s="33"/>
      <c r="H20" s="33"/>
      <c r="I20" s="33"/>
      <c r="J20" s="33"/>
      <c r="K20" s="33"/>
      <c r="L20" s="33"/>
      <c r="M20" s="33"/>
      <c r="N20" s="33"/>
      <c r="O20" s="37" t="str">
        <f aca="false">IF(A20="","",IF(COUNTIF(D20:N20,"Yes")+COUNTIF(D20:N20,"N/A")=11,"DONE",11-COUNTIF(D20:N20,"Yes")-COUNTIF(D20:N20,"N/A")&amp;" left"))</f>
        <v/>
      </c>
      <c r="P20" s="33"/>
    </row>
    <row r="21" customFormat="false" ht="15" hidden="false" customHeight="false" outlineLevel="0" collapsed="false">
      <c r="A21" s="33"/>
      <c r="B21" s="33"/>
      <c r="C21" s="33"/>
      <c r="D21" s="33"/>
      <c r="E21" s="33"/>
      <c r="F21" s="33"/>
      <c r="G21" s="33"/>
      <c r="H21" s="33"/>
      <c r="I21" s="33"/>
      <c r="J21" s="33"/>
      <c r="K21" s="33"/>
      <c r="L21" s="33"/>
      <c r="M21" s="33"/>
      <c r="N21" s="33"/>
      <c r="O21" s="37" t="str">
        <f aca="false">IF(A21="","",IF(COUNTIF(D21:N21,"Yes")+COUNTIF(D21:N21,"N/A")=11,"DONE",11-COUNTIF(D21:N21,"Yes")-COUNTIF(D21:N21,"N/A")&amp;" left"))</f>
        <v/>
      </c>
      <c r="P21" s="33"/>
    </row>
    <row r="22" customFormat="false" ht="15" hidden="false" customHeight="false" outlineLevel="0" collapsed="false">
      <c r="A22" s="33"/>
      <c r="B22" s="33"/>
      <c r="C22" s="33"/>
      <c r="D22" s="33"/>
      <c r="E22" s="33"/>
      <c r="F22" s="33"/>
      <c r="G22" s="33"/>
      <c r="H22" s="33"/>
      <c r="I22" s="33"/>
      <c r="J22" s="33"/>
      <c r="K22" s="33"/>
      <c r="L22" s="33"/>
      <c r="M22" s="33"/>
      <c r="N22" s="33"/>
      <c r="O22" s="37" t="str">
        <f aca="false">IF(A22="","",IF(COUNTIF(D22:N22,"Yes")+COUNTIF(D22:N22,"N/A")=11,"DONE",11-COUNTIF(D22:N22,"Yes")-COUNTIF(D22:N22,"N/A")&amp;" left"))</f>
        <v/>
      </c>
      <c r="P22" s="33"/>
    </row>
    <row r="23" customFormat="false" ht="15" hidden="false" customHeight="false" outlineLevel="0" collapsed="false">
      <c r="A23" s="33"/>
      <c r="B23" s="33"/>
      <c r="C23" s="33"/>
      <c r="D23" s="33"/>
      <c r="E23" s="33"/>
      <c r="F23" s="33"/>
      <c r="G23" s="33"/>
      <c r="H23" s="33"/>
      <c r="I23" s="33"/>
      <c r="J23" s="33"/>
      <c r="K23" s="33"/>
      <c r="L23" s="33"/>
      <c r="M23" s="33"/>
      <c r="N23" s="33"/>
      <c r="O23" s="37" t="str">
        <f aca="false">IF(A23="","",IF(COUNTIF(D23:N23,"Yes")+COUNTIF(D23:N23,"N/A")=11,"DONE",11-COUNTIF(D23:N23,"Yes")-COUNTIF(D23:N23,"N/A")&amp;" left"))</f>
        <v/>
      </c>
      <c r="P23" s="33"/>
    </row>
    <row r="24" customFormat="false" ht="15" hidden="false" customHeight="false" outlineLevel="0" collapsed="false">
      <c r="A24" s="33"/>
      <c r="B24" s="33"/>
      <c r="C24" s="33"/>
      <c r="D24" s="33"/>
      <c r="E24" s="33"/>
      <c r="F24" s="33"/>
      <c r="G24" s="33"/>
      <c r="H24" s="33"/>
      <c r="I24" s="33"/>
      <c r="J24" s="33"/>
      <c r="K24" s="33"/>
      <c r="L24" s="33"/>
      <c r="M24" s="33"/>
      <c r="N24" s="33"/>
      <c r="O24" s="37" t="str">
        <f aca="false">IF(A24="","",IF(COUNTIF(D24:N24,"Yes")+COUNTIF(D24:N24,"N/A")=11,"DONE",11-COUNTIF(D24:N24,"Yes")-COUNTIF(D24:N24,"N/A")&amp;" left"))</f>
        <v/>
      </c>
      <c r="P24" s="33"/>
    </row>
    <row r="25" customFormat="false" ht="15" hidden="false" customHeight="false" outlineLevel="0" collapsed="false">
      <c r="A25" s="33"/>
      <c r="B25" s="33"/>
      <c r="C25" s="33"/>
      <c r="D25" s="33"/>
      <c r="E25" s="33"/>
      <c r="F25" s="33"/>
      <c r="G25" s="33"/>
      <c r="H25" s="33"/>
      <c r="I25" s="33"/>
      <c r="J25" s="33"/>
      <c r="K25" s="33"/>
      <c r="L25" s="33"/>
      <c r="M25" s="33"/>
      <c r="N25" s="33"/>
      <c r="O25" s="37" t="str">
        <f aca="false">IF(A25="","",IF(COUNTIF(D25:N25,"Yes")+COUNTIF(D25:N25,"N/A")=11,"DONE",11-COUNTIF(D25:N25,"Yes")-COUNTIF(D25:N25,"N/A")&amp;" left"))</f>
        <v/>
      </c>
      <c r="P25" s="33"/>
    </row>
    <row r="26" customFormat="false" ht="15" hidden="false" customHeight="false" outlineLevel="0" collapsed="false">
      <c r="A26" s="33"/>
      <c r="B26" s="33"/>
      <c r="C26" s="33"/>
      <c r="D26" s="33"/>
      <c r="E26" s="33"/>
      <c r="F26" s="33"/>
      <c r="G26" s="33"/>
      <c r="H26" s="33"/>
      <c r="I26" s="33"/>
      <c r="J26" s="33"/>
      <c r="K26" s="33"/>
      <c r="L26" s="33"/>
      <c r="M26" s="33"/>
      <c r="N26" s="33"/>
      <c r="O26" s="37" t="str">
        <f aca="false">IF(A26="","",IF(COUNTIF(D26:N26,"Yes")+COUNTIF(D26:N26,"N/A")=11,"DONE",11-COUNTIF(D26:N26,"Yes")-COUNTIF(D26:N26,"N/A")&amp;" left"))</f>
        <v/>
      </c>
      <c r="P26" s="33"/>
    </row>
    <row r="27" customFormat="false" ht="15" hidden="false" customHeight="false" outlineLevel="0" collapsed="false">
      <c r="A27" s="33"/>
      <c r="B27" s="33"/>
      <c r="C27" s="33"/>
      <c r="D27" s="33"/>
      <c r="E27" s="33"/>
      <c r="F27" s="33"/>
      <c r="G27" s="33"/>
      <c r="H27" s="33"/>
      <c r="I27" s="33"/>
      <c r="J27" s="33"/>
      <c r="K27" s="33"/>
      <c r="L27" s="33"/>
      <c r="M27" s="33"/>
      <c r="N27" s="33"/>
      <c r="O27" s="37" t="str">
        <f aca="false">IF(A27="","",IF(COUNTIF(D27:N27,"Yes")+COUNTIF(D27:N27,"N/A")=11,"DONE",11-COUNTIF(D27:N27,"Yes")-COUNTIF(D27:N27,"N/A")&amp;" left"))</f>
        <v/>
      </c>
      <c r="P27" s="33"/>
    </row>
    <row r="28" customFormat="false" ht="15" hidden="false" customHeight="false" outlineLevel="0" collapsed="false">
      <c r="A28" s="33"/>
      <c r="B28" s="33"/>
      <c r="C28" s="33"/>
      <c r="D28" s="33"/>
      <c r="E28" s="33"/>
      <c r="F28" s="33"/>
      <c r="G28" s="33"/>
      <c r="H28" s="33"/>
      <c r="I28" s="33"/>
      <c r="J28" s="33"/>
      <c r="K28" s="33"/>
      <c r="L28" s="33"/>
      <c r="M28" s="33"/>
      <c r="N28" s="33"/>
      <c r="O28" s="37" t="str">
        <f aca="false">IF(A28="","",IF(COUNTIF(D28:N28,"Yes")+COUNTIF(D28:N28,"N/A")=11,"DONE",11-COUNTIF(D28:N28,"Yes")-COUNTIF(D28:N28,"N/A")&amp;" left"))</f>
        <v/>
      </c>
      <c r="P28" s="33"/>
    </row>
    <row r="29" customFormat="false" ht="15" hidden="false" customHeight="false" outlineLevel="0" collapsed="false">
      <c r="A29" s="33"/>
      <c r="B29" s="33"/>
      <c r="C29" s="33"/>
      <c r="D29" s="33"/>
      <c r="E29" s="33"/>
      <c r="F29" s="33"/>
      <c r="G29" s="33"/>
      <c r="H29" s="33"/>
      <c r="I29" s="33"/>
      <c r="J29" s="33"/>
      <c r="K29" s="33"/>
      <c r="L29" s="33"/>
      <c r="M29" s="33"/>
      <c r="N29" s="33"/>
      <c r="O29" s="37" t="str">
        <f aca="false">IF(A29="","",IF(COUNTIF(D29:N29,"Yes")+COUNTIF(D29:N29,"N/A")=11,"DONE",11-COUNTIF(D29:N29,"Yes")-COUNTIF(D29:N29,"N/A")&amp;" left"))</f>
        <v/>
      </c>
      <c r="P29" s="33"/>
    </row>
    <row r="30" customFormat="false" ht="15" hidden="false" customHeight="false" outlineLevel="0" collapsed="false">
      <c r="A30" s="33"/>
      <c r="B30" s="33"/>
      <c r="C30" s="33"/>
      <c r="D30" s="33"/>
      <c r="E30" s="33"/>
      <c r="F30" s="33"/>
      <c r="G30" s="33"/>
      <c r="H30" s="33"/>
      <c r="I30" s="33"/>
      <c r="J30" s="33"/>
      <c r="K30" s="33"/>
      <c r="L30" s="33"/>
      <c r="M30" s="33"/>
      <c r="N30" s="33"/>
      <c r="O30" s="37" t="str">
        <f aca="false">IF(A30="","",IF(COUNTIF(D30:N30,"Yes")+COUNTIF(D30:N30,"N/A")=11,"DONE",11-COUNTIF(D30:N30,"Yes")-COUNTIF(D30:N30,"N/A")&amp;" left"))</f>
        <v/>
      </c>
      <c r="P30" s="33"/>
    </row>
    <row r="31" customFormat="false" ht="15" hidden="false" customHeight="false" outlineLevel="0" collapsed="false">
      <c r="A31" s="33"/>
      <c r="B31" s="33"/>
      <c r="C31" s="33"/>
      <c r="D31" s="33"/>
      <c r="E31" s="33"/>
      <c r="F31" s="33"/>
      <c r="G31" s="33"/>
      <c r="H31" s="33"/>
      <c r="I31" s="33"/>
      <c r="J31" s="33"/>
      <c r="K31" s="33"/>
      <c r="L31" s="33"/>
      <c r="M31" s="33"/>
      <c r="N31" s="33"/>
      <c r="O31" s="37" t="str">
        <f aca="false">IF(A31="","",IF(COUNTIF(D31:N31,"Yes")+COUNTIF(D31:N31,"N/A")=11,"DONE",11-COUNTIF(D31:N31,"Yes")-COUNTIF(D31:N31,"N/A")&amp;" left"))</f>
        <v/>
      </c>
      <c r="P31" s="33"/>
    </row>
    <row r="32" customFormat="false" ht="15" hidden="false" customHeight="false" outlineLevel="0" collapsed="false">
      <c r="A32" s="33"/>
      <c r="B32" s="33"/>
      <c r="C32" s="33"/>
      <c r="D32" s="33"/>
      <c r="E32" s="33"/>
      <c r="F32" s="33"/>
      <c r="G32" s="33"/>
      <c r="H32" s="33"/>
      <c r="I32" s="33"/>
      <c r="J32" s="33"/>
      <c r="K32" s="33"/>
      <c r="L32" s="33"/>
      <c r="M32" s="33"/>
      <c r="N32" s="33"/>
      <c r="O32" s="37" t="str">
        <f aca="false">IF(A32="","",IF(COUNTIF(D32:N32,"Yes")+COUNTIF(D32:N32,"N/A")=11,"DONE",11-COUNTIF(D32:N32,"Yes")-COUNTIF(D32:N32,"N/A")&amp;" left"))</f>
        <v/>
      </c>
      <c r="P32" s="33"/>
    </row>
    <row r="33" customFormat="false" ht="15" hidden="false" customHeight="false" outlineLevel="0" collapsed="false">
      <c r="A33" s="33"/>
      <c r="B33" s="33"/>
      <c r="C33" s="33"/>
      <c r="D33" s="33"/>
      <c r="E33" s="33"/>
      <c r="F33" s="33"/>
      <c r="G33" s="33"/>
      <c r="H33" s="33"/>
      <c r="I33" s="33"/>
      <c r="J33" s="33"/>
      <c r="K33" s="33"/>
      <c r="L33" s="33"/>
      <c r="M33" s="33"/>
      <c r="N33" s="33"/>
      <c r="O33" s="37" t="str">
        <f aca="false">IF(A33="","",IF(COUNTIF(D33:N33,"Yes")+COUNTIF(D33:N33,"N/A")=11,"DONE",11-COUNTIF(D33:N33,"Yes")-COUNTIF(D33:N33,"N/A")&amp;" left"))</f>
        <v/>
      </c>
      <c r="P33" s="33"/>
    </row>
    <row r="34" customFormat="false" ht="15" hidden="false" customHeight="false" outlineLevel="0" collapsed="false">
      <c r="A34" s="33"/>
      <c r="B34" s="33"/>
      <c r="C34" s="33"/>
      <c r="D34" s="33"/>
      <c r="E34" s="33"/>
      <c r="F34" s="33"/>
      <c r="G34" s="33"/>
      <c r="H34" s="33"/>
      <c r="I34" s="33"/>
      <c r="J34" s="33"/>
      <c r="K34" s="33"/>
      <c r="L34" s="33"/>
      <c r="M34" s="33"/>
      <c r="N34" s="33"/>
      <c r="O34" s="37" t="str">
        <f aca="false">IF(A34="","",IF(COUNTIF(D34:N34,"Yes")+COUNTIF(D34:N34,"N/A")=11,"DONE",11-COUNTIF(D34:N34,"Yes")-COUNTIF(D34:N34,"N/A")&amp;" left"))</f>
        <v/>
      </c>
      <c r="P34" s="33"/>
    </row>
    <row r="35" customFormat="false" ht="15" hidden="false" customHeight="false" outlineLevel="0" collapsed="false">
      <c r="A35" s="33"/>
      <c r="B35" s="33"/>
      <c r="C35" s="33"/>
      <c r="D35" s="33"/>
      <c r="E35" s="33"/>
      <c r="F35" s="33"/>
      <c r="G35" s="33"/>
      <c r="H35" s="33"/>
      <c r="I35" s="33"/>
      <c r="J35" s="33"/>
      <c r="K35" s="33"/>
      <c r="L35" s="33"/>
      <c r="M35" s="33"/>
      <c r="N35" s="33"/>
      <c r="O35" s="37" t="str">
        <f aca="false">IF(A35="","",IF(COUNTIF(D35:N35,"Yes")+COUNTIF(D35:N35,"N/A")=11,"DONE",11-COUNTIF(D35:N35,"Yes")-COUNTIF(D35:N35,"N/A")&amp;" left"))</f>
        <v/>
      </c>
      <c r="P35" s="33"/>
    </row>
    <row r="36" customFormat="false" ht="15" hidden="false" customHeight="false" outlineLevel="0" collapsed="false">
      <c r="A36" s="33"/>
      <c r="B36" s="33"/>
      <c r="C36" s="33"/>
      <c r="D36" s="33"/>
      <c r="E36" s="33"/>
      <c r="F36" s="33"/>
      <c r="G36" s="33"/>
      <c r="H36" s="33"/>
      <c r="I36" s="33"/>
      <c r="J36" s="33"/>
      <c r="K36" s="33"/>
      <c r="L36" s="33"/>
      <c r="M36" s="33"/>
      <c r="N36" s="33"/>
      <c r="O36" s="37" t="str">
        <f aca="false">IF(A36="","",IF(COUNTIF(D36:N36,"Yes")+COUNTIF(D36:N36,"N/A")=11,"DONE",11-COUNTIF(D36:N36,"Yes")-COUNTIF(D36:N36,"N/A")&amp;" left"))</f>
        <v/>
      </c>
      <c r="P36" s="33"/>
    </row>
    <row r="37" customFormat="false" ht="15" hidden="false" customHeight="false" outlineLevel="0" collapsed="false">
      <c r="A37" s="33"/>
      <c r="B37" s="33"/>
      <c r="C37" s="33"/>
      <c r="D37" s="33"/>
      <c r="E37" s="33"/>
      <c r="F37" s="33"/>
      <c r="G37" s="33"/>
      <c r="H37" s="33"/>
      <c r="I37" s="33"/>
      <c r="J37" s="33"/>
      <c r="K37" s="33"/>
      <c r="L37" s="33"/>
      <c r="M37" s="33"/>
      <c r="N37" s="33"/>
      <c r="O37" s="37" t="str">
        <f aca="false">IF(A37="","",IF(COUNTIF(D37:N37,"Yes")+COUNTIF(D37:N37,"N/A")=11,"DONE",11-COUNTIF(D37:N37,"Yes")-COUNTIF(D37:N37,"N/A")&amp;" left"))</f>
        <v/>
      </c>
      <c r="P37" s="33"/>
    </row>
    <row r="38" customFormat="false" ht="15" hidden="false" customHeight="false" outlineLevel="0" collapsed="false">
      <c r="A38" s="33"/>
      <c r="B38" s="33"/>
      <c r="C38" s="33"/>
      <c r="D38" s="33"/>
      <c r="E38" s="33"/>
      <c r="F38" s="33"/>
      <c r="G38" s="33"/>
      <c r="H38" s="33"/>
      <c r="I38" s="33"/>
      <c r="J38" s="33"/>
      <c r="K38" s="33"/>
      <c r="L38" s="33"/>
      <c r="M38" s="33"/>
      <c r="N38" s="33"/>
      <c r="O38" s="37" t="str">
        <f aca="false">IF(A38="","",IF(COUNTIF(D38:N38,"Yes")+COUNTIF(D38:N38,"N/A")=11,"DONE",11-COUNTIF(D38:N38,"Yes")-COUNTIF(D38:N38,"N/A")&amp;" left"))</f>
        <v/>
      </c>
      <c r="P38" s="33"/>
    </row>
    <row r="39" customFormat="false" ht="15" hidden="false" customHeight="false" outlineLevel="0" collapsed="false">
      <c r="A39" s="33"/>
      <c r="B39" s="33"/>
      <c r="C39" s="33"/>
      <c r="D39" s="33"/>
      <c r="E39" s="33"/>
      <c r="F39" s="33"/>
      <c r="G39" s="33"/>
      <c r="H39" s="33"/>
      <c r="I39" s="33"/>
      <c r="J39" s="33"/>
      <c r="K39" s="33"/>
      <c r="L39" s="33"/>
      <c r="M39" s="33"/>
      <c r="N39" s="33"/>
      <c r="O39" s="37" t="str">
        <f aca="false">IF(A39="","",IF(COUNTIF(D39:N39,"Yes")+COUNTIF(D39:N39,"N/A")=11,"DONE",11-COUNTIF(D39:N39,"Yes")-COUNTIF(D39:N39,"N/A")&amp;" left"))</f>
        <v/>
      </c>
      <c r="P39" s="33"/>
    </row>
    <row r="40" customFormat="false" ht="15" hidden="false" customHeight="false" outlineLevel="0" collapsed="false">
      <c r="A40" s="33"/>
      <c r="B40" s="33"/>
      <c r="C40" s="33"/>
      <c r="D40" s="33"/>
      <c r="E40" s="33"/>
      <c r="F40" s="33"/>
      <c r="G40" s="33"/>
      <c r="H40" s="33"/>
      <c r="I40" s="33"/>
      <c r="J40" s="33"/>
      <c r="K40" s="33"/>
      <c r="L40" s="33"/>
      <c r="M40" s="33"/>
      <c r="N40" s="33"/>
      <c r="O40" s="37" t="str">
        <f aca="false">IF(A40="","",IF(COUNTIF(D40:N40,"Yes")+COUNTIF(D40:N40,"N/A")=11,"DONE",11-COUNTIF(D40:N40,"Yes")-COUNTIF(D40:N40,"N/A")&amp;" left"))</f>
        <v/>
      </c>
      <c r="P40" s="33"/>
    </row>
    <row r="41" customFormat="false" ht="15" hidden="false" customHeight="false" outlineLevel="0" collapsed="false">
      <c r="A41" s="33"/>
      <c r="B41" s="33"/>
      <c r="C41" s="33"/>
      <c r="D41" s="33"/>
      <c r="E41" s="33"/>
      <c r="F41" s="33"/>
      <c r="G41" s="33"/>
      <c r="H41" s="33"/>
      <c r="I41" s="33"/>
      <c r="J41" s="33"/>
      <c r="K41" s="33"/>
      <c r="L41" s="33"/>
      <c r="M41" s="33"/>
      <c r="N41" s="33"/>
      <c r="O41" s="37" t="str">
        <f aca="false">IF(A41="","",IF(COUNTIF(D41:N41,"Yes")+COUNTIF(D41:N41,"N/A")=11,"DONE",11-COUNTIF(D41:N41,"Yes")-COUNTIF(D41:N41,"N/A")&amp;" left"))</f>
        <v/>
      </c>
      <c r="P41" s="33"/>
    </row>
    <row r="42" customFormat="false" ht="15" hidden="false" customHeight="false" outlineLevel="0" collapsed="false">
      <c r="A42" s="33"/>
      <c r="B42" s="33"/>
      <c r="C42" s="33"/>
      <c r="D42" s="33"/>
      <c r="E42" s="33"/>
      <c r="F42" s="33"/>
      <c r="G42" s="33"/>
      <c r="H42" s="33"/>
      <c r="I42" s="33"/>
      <c r="J42" s="33"/>
      <c r="K42" s="33"/>
      <c r="L42" s="33"/>
      <c r="M42" s="33"/>
      <c r="N42" s="33"/>
      <c r="O42" s="37" t="str">
        <f aca="false">IF(A42="","",IF(COUNTIF(D42:N42,"Yes")+COUNTIF(D42:N42,"N/A")=11,"DONE",11-COUNTIF(D42:N42,"Yes")-COUNTIF(D42:N42,"N/A")&amp;" left"))</f>
        <v/>
      </c>
      <c r="P42" s="33"/>
    </row>
    <row r="43" customFormat="false" ht="15" hidden="false" customHeight="false" outlineLevel="0" collapsed="false">
      <c r="A43" s="33"/>
      <c r="B43" s="33"/>
      <c r="C43" s="33"/>
      <c r="D43" s="33"/>
      <c r="E43" s="33"/>
      <c r="F43" s="33"/>
      <c r="G43" s="33"/>
      <c r="H43" s="33"/>
      <c r="I43" s="33"/>
      <c r="J43" s="33"/>
      <c r="K43" s="33"/>
      <c r="L43" s="33"/>
      <c r="M43" s="33"/>
      <c r="N43" s="33"/>
      <c r="O43" s="37" t="str">
        <f aca="false">IF(A43="","",IF(COUNTIF(D43:N43,"Yes")+COUNTIF(D43:N43,"N/A")=11,"DONE",11-COUNTIF(D43:N43,"Yes")-COUNTIF(D43:N43,"N/A")&amp;" left"))</f>
        <v/>
      </c>
      <c r="P43" s="33"/>
    </row>
    <row r="44" customFormat="false" ht="15" hidden="false" customHeight="false" outlineLevel="0" collapsed="false">
      <c r="A44" s="33"/>
      <c r="B44" s="33"/>
      <c r="C44" s="33"/>
      <c r="D44" s="33"/>
      <c r="E44" s="33"/>
      <c r="F44" s="33"/>
      <c r="G44" s="33"/>
      <c r="H44" s="33"/>
      <c r="I44" s="33"/>
      <c r="J44" s="33"/>
      <c r="K44" s="33"/>
      <c r="L44" s="33"/>
      <c r="M44" s="33"/>
      <c r="N44" s="33"/>
      <c r="O44" s="37" t="str">
        <f aca="false">IF(A44="","",IF(COUNTIF(D44:N44,"Yes")+COUNTIF(D44:N44,"N/A")=11,"DONE",11-COUNTIF(D44:N44,"Yes")-COUNTIF(D44:N44,"N/A")&amp;" left"))</f>
        <v/>
      </c>
      <c r="P44" s="33"/>
    </row>
    <row r="45" customFormat="false" ht="15" hidden="false" customHeight="false" outlineLevel="0" collapsed="false">
      <c r="A45" s="33"/>
      <c r="B45" s="33"/>
      <c r="C45" s="33"/>
      <c r="D45" s="33"/>
      <c r="E45" s="33"/>
      <c r="F45" s="33"/>
      <c r="G45" s="33"/>
      <c r="H45" s="33"/>
      <c r="I45" s="33"/>
      <c r="J45" s="33"/>
      <c r="K45" s="33"/>
      <c r="L45" s="33"/>
      <c r="M45" s="33"/>
      <c r="N45" s="33"/>
      <c r="O45" s="37" t="str">
        <f aca="false">IF(A45="","",IF(COUNTIF(D45:N45,"Yes")+COUNTIF(D45:N45,"N/A")=11,"DONE",11-COUNTIF(D45:N45,"Yes")-COUNTIF(D45:N45,"N/A")&amp;" left"))</f>
        <v/>
      </c>
      <c r="P45" s="33"/>
    </row>
    <row r="46" customFormat="false" ht="15" hidden="false" customHeight="false" outlineLevel="0" collapsed="false">
      <c r="A46" s="33"/>
      <c r="B46" s="33"/>
      <c r="C46" s="33"/>
      <c r="D46" s="33"/>
      <c r="E46" s="33"/>
      <c r="F46" s="33"/>
      <c r="G46" s="33"/>
      <c r="H46" s="33"/>
      <c r="I46" s="33"/>
      <c r="J46" s="33"/>
      <c r="K46" s="33"/>
      <c r="L46" s="33"/>
      <c r="M46" s="33"/>
      <c r="N46" s="33"/>
      <c r="O46" s="37" t="str">
        <f aca="false">IF(A46="","",IF(COUNTIF(D46:N46,"Yes")+COUNTIF(D46:N46,"N/A")=11,"DONE",11-COUNTIF(D46:N46,"Yes")-COUNTIF(D46:N46,"N/A")&amp;" left"))</f>
        <v/>
      </c>
      <c r="P46" s="33"/>
    </row>
    <row r="47" customFormat="false" ht="15" hidden="false" customHeight="false" outlineLevel="0" collapsed="false">
      <c r="A47" s="33"/>
      <c r="B47" s="33"/>
      <c r="C47" s="33"/>
      <c r="D47" s="33"/>
      <c r="E47" s="33"/>
      <c r="F47" s="33"/>
      <c r="G47" s="33"/>
      <c r="H47" s="33"/>
      <c r="I47" s="33"/>
      <c r="J47" s="33"/>
      <c r="K47" s="33"/>
      <c r="L47" s="33"/>
      <c r="M47" s="33"/>
      <c r="N47" s="33"/>
      <c r="O47" s="37" t="str">
        <f aca="false">IF(A47="","",IF(COUNTIF(D47:N47,"Yes")+COUNTIF(D47:N47,"N/A")=11,"DONE",11-COUNTIF(D47:N47,"Yes")-COUNTIF(D47:N47,"N/A")&amp;" left"))</f>
        <v/>
      </c>
      <c r="P47" s="33"/>
    </row>
    <row r="48" customFormat="false" ht="15" hidden="false" customHeight="false" outlineLevel="0" collapsed="false">
      <c r="A48" s="33"/>
      <c r="B48" s="33"/>
      <c r="C48" s="33"/>
      <c r="D48" s="33"/>
      <c r="E48" s="33"/>
      <c r="F48" s="33"/>
      <c r="G48" s="33"/>
      <c r="H48" s="33"/>
      <c r="I48" s="33"/>
      <c r="J48" s="33"/>
      <c r="K48" s="33"/>
      <c r="L48" s="33"/>
      <c r="M48" s="33"/>
      <c r="N48" s="33"/>
      <c r="O48" s="37" t="str">
        <f aca="false">IF(A48="","",IF(COUNTIF(D48:N48,"Yes")+COUNTIF(D48:N48,"N/A")=11,"DONE",11-COUNTIF(D48:N48,"Yes")-COUNTIF(D48:N48,"N/A")&amp;" left"))</f>
        <v/>
      </c>
      <c r="P48" s="33"/>
    </row>
    <row r="49" customFormat="false" ht="15" hidden="false" customHeight="false" outlineLevel="0" collapsed="false">
      <c r="A49" s="33"/>
      <c r="B49" s="33"/>
      <c r="C49" s="33"/>
      <c r="D49" s="33"/>
      <c r="E49" s="33"/>
      <c r="F49" s="33"/>
      <c r="G49" s="33"/>
      <c r="H49" s="33"/>
      <c r="I49" s="33"/>
      <c r="J49" s="33"/>
      <c r="K49" s="33"/>
      <c r="L49" s="33"/>
      <c r="M49" s="33"/>
      <c r="N49" s="33"/>
      <c r="O49" s="37" t="str">
        <f aca="false">IF(A49="","",IF(COUNTIF(D49:N49,"Yes")+COUNTIF(D49:N49,"N/A")=11,"DONE",11-COUNTIF(D49:N49,"Yes")-COUNTIF(D49:N49,"N/A")&amp;" left"))</f>
        <v/>
      </c>
      <c r="P49" s="33"/>
    </row>
    <row r="50" customFormat="false" ht="15" hidden="false" customHeight="false" outlineLevel="0" collapsed="false">
      <c r="A50" s="33"/>
      <c r="B50" s="33"/>
      <c r="C50" s="33"/>
      <c r="D50" s="33"/>
      <c r="E50" s="33"/>
      <c r="F50" s="33"/>
      <c r="G50" s="33"/>
      <c r="H50" s="33"/>
      <c r="I50" s="33"/>
      <c r="J50" s="33"/>
      <c r="K50" s="33"/>
      <c r="L50" s="33"/>
      <c r="M50" s="33"/>
      <c r="N50" s="33"/>
      <c r="O50" s="37" t="str">
        <f aca="false">IF(A50="","",IF(COUNTIF(D50:N50,"Yes")+COUNTIF(D50:N50,"N/A")=11,"DONE",11-COUNTIF(D50:N50,"Yes")-COUNTIF(D50:N50,"N/A")&amp;" left"))</f>
        <v/>
      </c>
      <c r="P50" s="33"/>
    </row>
    <row r="51" customFormat="false" ht="15" hidden="false" customHeight="false" outlineLevel="0" collapsed="false">
      <c r="A51" s="33"/>
      <c r="B51" s="33"/>
      <c r="C51" s="33"/>
      <c r="D51" s="33"/>
      <c r="E51" s="33"/>
      <c r="F51" s="33"/>
      <c r="G51" s="33"/>
      <c r="H51" s="33"/>
      <c r="I51" s="33"/>
      <c r="J51" s="33"/>
      <c r="K51" s="33"/>
      <c r="L51" s="33"/>
      <c r="M51" s="33"/>
      <c r="N51" s="33"/>
      <c r="O51" s="37" t="str">
        <f aca="false">IF(A51="","",IF(COUNTIF(D51:N51,"Yes")+COUNTIF(D51:N51,"N/A")=11,"DONE",11-COUNTIF(D51:N51,"Yes")-COUNTIF(D51:N51,"N/A")&amp;" left"))</f>
        <v/>
      </c>
      <c r="P51" s="33"/>
    </row>
    <row r="52" customFormat="false" ht="15" hidden="false" customHeight="false" outlineLevel="0" collapsed="false">
      <c r="A52" s="33"/>
      <c r="B52" s="33"/>
      <c r="C52" s="33"/>
      <c r="D52" s="33"/>
      <c r="E52" s="33"/>
      <c r="F52" s="33"/>
      <c r="G52" s="33"/>
      <c r="H52" s="33"/>
      <c r="I52" s="33"/>
      <c r="J52" s="33"/>
      <c r="K52" s="33"/>
      <c r="L52" s="33"/>
      <c r="M52" s="33"/>
      <c r="N52" s="33"/>
      <c r="O52" s="37" t="str">
        <f aca="false">IF(A52="","",IF(COUNTIF(D52:N52,"Yes")+COUNTIF(D52:N52,"N/A")=11,"DONE",11-COUNTIF(D52:N52,"Yes")-COUNTIF(D52:N52,"N/A")&amp;" left"))</f>
        <v/>
      </c>
      <c r="P52" s="33"/>
    </row>
    <row r="53" customFormat="false" ht="15" hidden="false" customHeight="false" outlineLevel="0" collapsed="false">
      <c r="A53" s="33"/>
      <c r="B53" s="33"/>
      <c r="C53" s="33"/>
      <c r="D53" s="33"/>
      <c r="E53" s="33"/>
      <c r="F53" s="33"/>
      <c r="G53" s="33"/>
      <c r="H53" s="33"/>
      <c r="I53" s="33"/>
      <c r="J53" s="33"/>
      <c r="K53" s="33"/>
      <c r="L53" s="33"/>
      <c r="M53" s="33"/>
      <c r="N53" s="33"/>
      <c r="O53" s="37" t="str">
        <f aca="false">IF(A53="","",IF(COUNTIF(D53:N53,"Yes")+COUNTIF(D53:N53,"N/A")=11,"DONE",11-COUNTIF(D53:N53,"Yes")-COUNTIF(D53:N53,"N/A")&amp;" left"))</f>
        <v/>
      </c>
      <c r="P53" s="33"/>
    </row>
    <row r="54" customFormat="false" ht="15" hidden="false" customHeight="false" outlineLevel="0" collapsed="false">
      <c r="A54" s="33"/>
      <c r="B54" s="33"/>
      <c r="C54" s="33"/>
      <c r="D54" s="33"/>
      <c r="E54" s="33"/>
      <c r="F54" s="33"/>
      <c r="G54" s="33"/>
      <c r="H54" s="33"/>
      <c r="I54" s="33"/>
      <c r="J54" s="33"/>
      <c r="K54" s="33"/>
      <c r="L54" s="33"/>
      <c r="M54" s="33"/>
      <c r="N54" s="33"/>
      <c r="O54" s="37" t="str">
        <f aca="false">IF(A54="","",IF(COUNTIF(D54:N54,"Yes")+COUNTIF(D54:N54,"N/A")=11,"DONE",11-COUNTIF(D54:N54,"Yes")-COUNTIF(D54:N54,"N/A")&amp;" left"))</f>
        <v/>
      </c>
      <c r="P54" s="33"/>
    </row>
    <row r="55" customFormat="false" ht="15" hidden="false" customHeight="false" outlineLevel="0" collapsed="false">
      <c r="A55" s="33"/>
      <c r="B55" s="33"/>
      <c r="C55" s="33"/>
      <c r="D55" s="33"/>
      <c r="E55" s="33"/>
      <c r="F55" s="33"/>
      <c r="G55" s="33"/>
      <c r="H55" s="33"/>
      <c r="I55" s="33"/>
      <c r="J55" s="33"/>
      <c r="K55" s="33"/>
      <c r="L55" s="33"/>
      <c r="M55" s="33"/>
      <c r="N55" s="33"/>
      <c r="O55" s="37" t="str">
        <f aca="false">IF(A55="","",IF(COUNTIF(D55:N55,"Yes")+COUNTIF(D55:N55,"N/A")=11,"DONE",11-COUNTIF(D55:N55,"Yes")-COUNTIF(D55:N55,"N/A")&amp;" left"))</f>
        <v/>
      </c>
      <c r="P55" s="33"/>
    </row>
    <row r="56" customFormat="false" ht="15" hidden="false" customHeight="false" outlineLevel="0" collapsed="false">
      <c r="A56" s="33"/>
      <c r="B56" s="33"/>
      <c r="C56" s="33"/>
      <c r="D56" s="33"/>
      <c r="E56" s="33"/>
      <c r="F56" s="33"/>
      <c r="G56" s="33"/>
      <c r="H56" s="33"/>
      <c r="I56" s="33"/>
      <c r="J56" s="33"/>
      <c r="K56" s="33"/>
      <c r="L56" s="33"/>
      <c r="M56" s="33"/>
      <c r="N56" s="33"/>
      <c r="O56" s="37" t="str">
        <f aca="false">IF(A56="","",IF(COUNTIF(D56:N56,"Yes")+COUNTIF(D56:N56,"N/A")=11,"DONE",11-COUNTIF(D56:N56,"Yes")-COUNTIF(D56:N56,"N/A")&amp;" left"))</f>
        <v/>
      </c>
      <c r="P56" s="33"/>
    </row>
    <row r="57" customFormat="false" ht="15" hidden="false" customHeight="false" outlineLevel="0" collapsed="false">
      <c r="A57" s="33"/>
      <c r="B57" s="33"/>
      <c r="C57" s="33"/>
      <c r="D57" s="33"/>
      <c r="E57" s="33"/>
      <c r="F57" s="33"/>
      <c r="G57" s="33"/>
      <c r="H57" s="33"/>
      <c r="I57" s="33"/>
      <c r="J57" s="33"/>
      <c r="K57" s="33"/>
      <c r="L57" s="33"/>
      <c r="M57" s="33"/>
      <c r="N57" s="33"/>
      <c r="O57" s="37" t="str">
        <f aca="false">IF(A57="","",IF(COUNTIF(D57:N57,"Yes")+COUNTIF(D57:N57,"N/A")=11,"DONE",11-COUNTIF(D57:N57,"Yes")-COUNTIF(D57:N57,"N/A")&amp;" left"))</f>
        <v/>
      </c>
      <c r="P57" s="33"/>
    </row>
    <row r="58" customFormat="false" ht="15" hidden="false" customHeight="false" outlineLevel="0" collapsed="false">
      <c r="A58" s="33"/>
      <c r="B58" s="33"/>
      <c r="C58" s="33"/>
      <c r="D58" s="33"/>
      <c r="E58" s="33"/>
      <c r="F58" s="33"/>
      <c r="G58" s="33"/>
      <c r="H58" s="33"/>
      <c r="I58" s="33"/>
      <c r="J58" s="33"/>
      <c r="K58" s="33"/>
      <c r="L58" s="33"/>
      <c r="M58" s="33"/>
      <c r="N58" s="33"/>
      <c r="O58" s="37" t="str">
        <f aca="false">IF(A58="","",IF(COUNTIF(D58:N58,"Yes")+COUNTIF(D58:N58,"N/A")=11,"DONE",11-COUNTIF(D58:N58,"Yes")-COUNTIF(D58:N58,"N/A")&amp;" left"))</f>
        <v/>
      </c>
      <c r="P58" s="33"/>
    </row>
    <row r="59" customFormat="false" ht="15" hidden="false" customHeight="false" outlineLevel="0" collapsed="false">
      <c r="A59" s="33"/>
      <c r="B59" s="33"/>
      <c r="C59" s="33"/>
      <c r="D59" s="33"/>
      <c r="E59" s="33"/>
      <c r="F59" s="33"/>
      <c r="G59" s="33"/>
      <c r="H59" s="33"/>
      <c r="I59" s="33"/>
      <c r="J59" s="33"/>
      <c r="K59" s="33"/>
      <c r="L59" s="33"/>
      <c r="M59" s="33"/>
      <c r="N59" s="33"/>
      <c r="O59" s="37" t="str">
        <f aca="false">IF(A59="","",IF(COUNTIF(D59:N59,"Yes")+COUNTIF(D59:N59,"N/A")=11,"DONE",11-COUNTIF(D59:N59,"Yes")-COUNTIF(D59:N59,"N/A")&amp;" left"))</f>
        <v/>
      </c>
      <c r="P59" s="33"/>
    </row>
    <row r="60" customFormat="false" ht="15" hidden="false" customHeight="false" outlineLevel="0" collapsed="false">
      <c r="A60" s="33"/>
      <c r="B60" s="33"/>
      <c r="C60" s="33"/>
      <c r="D60" s="33"/>
      <c r="E60" s="33"/>
      <c r="F60" s="33"/>
      <c r="G60" s="33"/>
      <c r="H60" s="33"/>
      <c r="I60" s="33"/>
      <c r="J60" s="33"/>
      <c r="K60" s="33"/>
      <c r="L60" s="33"/>
      <c r="M60" s="33"/>
      <c r="N60" s="33"/>
      <c r="O60" s="37" t="str">
        <f aca="false">IF(A60="","",IF(COUNTIF(D60:N60,"Yes")+COUNTIF(D60:N60,"N/A")=11,"DONE",11-COUNTIF(D60:N60,"Yes")-COUNTIF(D60:N60,"N/A")&amp;" left"))</f>
        <v/>
      </c>
      <c r="P60" s="33"/>
    </row>
    <row r="61" customFormat="false" ht="15" hidden="false" customHeight="false" outlineLevel="0" collapsed="false">
      <c r="A61" s="33"/>
      <c r="B61" s="33"/>
      <c r="C61" s="33"/>
      <c r="D61" s="33"/>
      <c r="E61" s="33"/>
      <c r="F61" s="33"/>
      <c r="G61" s="33"/>
      <c r="H61" s="33"/>
      <c r="I61" s="33"/>
      <c r="J61" s="33"/>
      <c r="K61" s="33"/>
      <c r="L61" s="33"/>
      <c r="M61" s="33"/>
      <c r="N61" s="33"/>
      <c r="O61" s="37" t="str">
        <f aca="false">IF(A61="","",IF(COUNTIF(D61:N61,"Yes")+COUNTIF(D61:N61,"N/A")=11,"DONE",11-COUNTIF(D61:N61,"Yes")-COUNTIF(D61:N61,"N/A")&amp;" left"))</f>
        <v/>
      </c>
      <c r="P61" s="33"/>
    </row>
    <row r="62" customFormat="false" ht="15" hidden="false" customHeight="false" outlineLevel="0" collapsed="false">
      <c r="A62" s="33"/>
      <c r="B62" s="33"/>
      <c r="C62" s="33"/>
      <c r="D62" s="33"/>
      <c r="E62" s="33"/>
      <c r="F62" s="33"/>
      <c r="G62" s="33"/>
      <c r="H62" s="33"/>
      <c r="I62" s="33"/>
      <c r="J62" s="33"/>
      <c r="K62" s="33"/>
      <c r="L62" s="33"/>
      <c r="M62" s="33"/>
      <c r="N62" s="33"/>
      <c r="O62" s="37" t="str">
        <f aca="false">IF(A62="","",IF(COUNTIF(D62:N62,"Yes")+COUNTIF(D62:N62,"N/A")=11,"DONE",11-COUNTIF(D62:N62,"Yes")-COUNTIF(D62:N62,"N/A")&amp;" left"))</f>
        <v/>
      </c>
      <c r="P62" s="33"/>
    </row>
    <row r="63" customFormat="false" ht="15" hidden="false" customHeight="false" outlineLevel="0" collapsed="false">
      <c r="A63" s="33"/>
      <c r="B63" s="33"/>
      <c r="C63" s="33"/>
      <c r="D63" s="33"/>
      <c r="E63" s="33"/>
      <c r="F63" s="33"/>
      <c r="G63" s="33"/>
      <c r="H63" s="33"/>
      <c r="I63" s="33"/>
      <c r="J63" s="33"/>
      <c r="K63" s="33"/>
      <c r="L63" s="33"/>
      <c r="M63" s="33"/>
      <c r="N63" s="33"/>
      <c r="O63" s="37" t="str">
        <f aca="false">IF(A63="","",IF(COUNTIF(D63:N63,"Yes")+COUNTIF(D63:N63,"N/A")=11,"DONE",11-COUNTIF(D63:N63,"Yes")-COUNTIF(D63:N63,"N/A")&amp;" left"))</f>
        <v/>
      </c>
      <c r="P63" s="33"/>
    </row>
    <row r="64" customFormat="false" ht="15" hidden="false" customHeight="false" outlineLevel="0" collapsed="false">
      <c r="A64" s="33"/>
      <c r="B64" s="33"/>
      <c r="C64" s="33"/>
      <c r="D64" s="33"/>
      <c r="E64" s="33"/>
      <c r="F64" s="33"/>
      <c r="G64" s="33"/>
      <c r="H64" s="33"/>
      <c r="I64" s="33"/>
      <c r="J64" s="33"/>
      <c r="K64" s="33"/>
      <c r="L64" s="33"/>
      <c r="M64" s="33"/>
      <c r="N64" s="33"/>
      <c r="O64" s="37" t="str">
        <f aca="false">IF(A64="","",IF(COUNTIF(D64:N64,"Yes")+COUNTIF(D64:N64,"N/A")=11,"DONE",11-COUNTIF(D64:N64,"Yes")-COUNTIF(D64:N64,"N/A")&amp;" left"))</f>
        <v/>
      </c>
      <c r="P64" s="33"/>
    </row>
  </sheetData>
  <mergeCells count="2">
    <mergeCell ref="A1:P1"/>
    <mergeCell ref="A2:P2"/>
  </mergeCells>
  <conditionalFormatting sqref="D5:N64">
    <cfRule type="cellIs" priority="2" operator="equal" aboveAverage="0" equalAverage="0" bottom="0" percent="0" rank="0" text="" dxfId="14">
      <formula>"Yes"</formula>
    </cfRule>
  </conditionalFormatting>
  <conditionalFormatting sqref="O5:O64">
    <cfRule type="cellIs" priority="3" operator="equal" aboveAverage="0" equalAverage="0" bottom="0" percent="0" rank="0" text="" dxfId="12">
      <formula>"DONE"</formula>
    </cfRule>
  </conditionalFormatting>
  <dataValidations count="4">
    <dataValidation allowBlank="true" errorStyle="stop" operator="between" showDropDown="false" showErrorMessage="false" showInputMessage="false" sqref="A5:A64" type="list">
      <formula1>Pipeline!$B$5:$B$304</formula1>
      <formula2>0</formula2>
    </dataValidation>
    <dataValidation allowBlank="true" errorStyle="stop" operator="between" showDropDown="false" showErrorMessage="false" showInputMessage="false" sqref="B5:B64" type="list">
      <formula1>Packages!$A$5:$A$11</formula1>
      <formula2>0</formula2>
    </dataValidation>
    <dataValidation allowBlank="true" errorStyle="stop" operator="between" showDropDown="false" showErrorMessage="false" showInputMessage="false" sqref="C5:C64" type="list">
      <formula1>"Not booked yet,Show 1 · 2027,Show 2 · 2027,Show 3 · 2027,Show 4 · 2027,All 2027 shows"</formula1>
      <formula2>0</formula2>
    </dataValidation>
    <dataValidation allowBlank="true" errorStyle="stop" operator="between" showDropDown="false" showErrorMessage="false" showInputMessage="false" sqref="D5:N64"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2026-10-21T03:23:42Z</dcterms:created>
  <dc:creator>openpyxl</dc:creator>
  <dc:description/>
  <dc:language>en-US</dc:language>
  <cp:lastModifiedBy/>
  <dcterms:modified xsi:type="dcterms:W3CDTF">2026-10-21T03:23:43Z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