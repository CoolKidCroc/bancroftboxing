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puts" sheetId="2" state="visible" r:id="rId4"/>
    <sheet name="Compare" sheetId="3" state="visible" r:id="rId5"/>
    <sheet name="Haliburton 2026 Check" sheetId="4" state="visible" r:id="rId6"/>
    <sheet name="Town Scout" sheetId="5" state="visible" r:id="rId7"/>
    <sheet name="2027 Venues" sheetId="6" state="visible" r:id="rId8"/>
    <sheet name="19+ Show Check" sheetId="7" state="visible" r:id="rId9"/>
    <sheet name="Ticket Tracker" sheetId="8" state="visible" r:id="rId10"/>
  </sheets>
  <definedNames>
    <definedName function="false" hidden="true" localSheetId="5" name="_xlnm._FilterDatabase" vbProcedure="false">'2027 Venues'!$A$4:$N$28</definedName>
    <definedName function="false" hidden="true" localSheetId="4" name="_xlnm._FilterDatabase" vbProcedure="false">'Town Scout'!$A$4:$S$29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<sst xmlns="http://schemas.openxmlformats.org/spreadsheetml/2006/main" count="977" uniqueCount="726">
  <si>
    <t xml:space="preserve">CCCL EVENT PROFIT PREDICTOR</t>
  </si>
  <si>
    <t xml:space="preserve">Compare towns and venues for the next Cottage Country Combat League show before signing anything. Built for Cody Purtell by Kyle. Opens in Google Sheets or Excel.</t>
  </si>
  <si>
    <t xml:space="preserve">Good to know: on Cody's numbers the first show made about $18,000. That profit went into the gym and other projects, which is why it felt like breaking even. Profits on Compare are the show's profit before any money goes to the gym.</t>
  </si>
  <si>
    <t xml:space="preserve">HOW TO USE IT</t>
  </si>
  <si>
    <t xml:space="preserve">1</t>
  </si>
  <si>
    <t xml:space="preserve">Haliburton 2026 Check tab</t>
  </si>
  <si>
    <t xml:space="preserve">The first show's real numbers. When Cody has the Eventbrite payout report, put the exact profit that went to the gym in Part 2.</t>
  </si>
  <si>
    <t xml:space="preserve">2</t>
  </si>
  <si>
    <t xml:space="preserve">Inputs tab</t>
  </si>
  <si>
    <t xml:space="preserve">Cody's real 2026 prices and costs are already in. Replace every ESTIMATE with a real quote or invoice.</t>
  </si>
  <si>
    <t xml:space="preserve">3</t>
  </si>
  <si>
    <t xml:space="preserve">Inputs tab, venue columns</t>
  </si>
  <si>
    <t xml:space="preserve">Call each venue (numbers are in the 'Who to call' row) for capacity, the full event price and open dates.</t>
  </si>
  <si>
    <t xml:space="preserve">4</t>
  </si>
  <si>
    <t xml:space="preserve">Compare tab</t>
  </si>
  <si>
    <t xml:space="preserve">Read the verdict, the break-even ticket count and how much sponsorship each option needs. Venues whose expected crowd is under Cody's 1,000 minimum get flagged.</t>
  </si>
  <si>
    <t xml:space="preserve">5</t>
  </si>
  <si>
    <t xml:space="preserve">Before committing</t>
  </si>
  <si>
    <t xml:space="preserve">Check the stress-test row: can CCCL survive 30% fewer people and half the sponsors pulling out?</t>
  </si>
  <si>
    <t xml:space="preserve">6</t>
  </si>
  <si>
    <t xml:space="preserve">2027 Venues tab</t>
  </si>
  <si>
    <t xml:space="preserve">24 venues in Cody's 10 towns plus casinos and event centres: capacity, winter use, rates, who to call, clashes and other promotions.</t>
  </si>
  <si>
    <t xml:space="preserve">7</t>
  </si>
  <si>
    <t xml:space="preserve">Town Scout tab</t>
  </si>
  <si>
    <t xml:space="preserve">25 smaller towns within 2 hours, ranked. To compare any venue that isn't on Compare, type it over a venue column on Inputs.</t>
  </si>
  <si>
    <t xml:space="preserve">8</t>
  </si>
  <si>
    <t xml:space="preserve">19+ Show Check tab</t>
  </si>
  <si>
    <t xml:space="preserve">Is an adults-only show worth it? Compares a family show, a family show with a 19+ bar area, and an adults-only show at every venue.</t>
  </si>
  <si>
    <t xml:space="preserve">9</t>
  </si>
  <si>
    <t xml:space="preserve">Ticket Tracker tab</t>
  </si>
  <si>
    <t xml:space="preserve">Once tickets are on sale: pick the show, type Eventbrite totals once a week, and see how far from break-even you are.</t>
  </si>
  <si>
    <t xml:space="preserve">COLOUR KEY</t>
  </si>
  <si>
    <t xml:space="preserve">Yellow cell, blue text</t>
  </si>
  <si>
    <t xml:space="preserve">You type here.</t>
  </si>
  <si>
    <t xml:space="preserve">Green text</t>
  </si>
  <si>
    <t xml:space="preserve">Pulled from another tab. Don't type over it.</t>
  </si>
  <si>
    <t xml:space="preserve">Black text</t>
  </si>
  <si>
    <t xml:space="preserve">Calculated. Don't type over it.</t>
  </si>
  <si>
    <t xml:space="preserve">ESTIMATE in the notes</t>
  </si>
  <si>
    <t xml:space="preserve">A placeholder. Replace it with a real quote or invoice.</t>
  </si>
  <si>
    <t xml:space="preserve">WHAT IT ANSWERS</t>
  </si>
  <si>
    <t xml:space="preserve">•  How many tickets do we have to sell at each venue just to break even?</t>
  </si>
  <si>
    <t xml:space="preserve">•  How much sponsorship do we need if the crowd is small?</t>
  </si>
  <si>
    <t xml:space="preserve">•  Which town makes the most money at a normal crowd?</t>
  </si>
  <si>
    <t xml:space="preserve">•  What happens if 30% fewer people come and half the sponsors back out?</t>
  </si>
  <si>
    <t xml:space="preserve">SOURCES FOR THE NUMBERS</t>
  </si>
  <si>
    <t xml:space="preserve">First show (May 2, 2026)</t>
  </si>
  <si>
    <t xml:space="preserve">The Highlander, Mar 12 2026: thehighlander.ca/2026/03/12/fight-night-coming-to-haliburton-county/  (A.J. LaRue Arena, 8-12 amateur bouts, 800-1,000 expected, sanctioned by the Ontario Athletics Commission)</t>
  </si>
  <si>
    <t xml:space="preserve">First show real numbers</t>
  </si>
  <si>
    <t xml:space="preserve">Cody's answers, Oct 2026: GA $60, VIP $100, tables $1,500 for 8 (6 sold), 400 tickets, 400-600 people, 15 sponsors / $18,000, Eventbrite fees paid by CCCL, bar run by others, costs listed at $29,000. Profit went into the gym and other projects (Kyle).</t>
  </si>
  <si>
    <t xml:space="preserve">Haliburton venue rates</t>
  </si>
  <si>
    <t xml:space="preserve">Dysart et al facility rentals: dysartetal.ca (A.J. LaRue Community Centre): $1,030/day profit-making event, $30/hr setup with staff</t>
  </si>
  <si>
    <t xml:space="preserve">Bancroft venue</t>
  </si>
  <si>
    <t xml:space="preserve">Town of Bancroft and mybancroftnow.com (Sept 2026): NHCC upgrades complete; rates and capacity not published; call 613-332-2062</t>
  </si>
  <si>
    <t xml:space="preserve">Amateur event permit</t>
  </si>
  <si>
    <t xml:space="preserve">O. Reg. 507/24 and ontario.ca: $600 per show (one permit should cover the whole card), $3,000 for up to 8 shows in a year; $2M liability insurance; physician on site. Details on the Fight Night Kit's Rules tab.</t>
  </si>
  <si>
    <t xml:space="preserve">Marmora</t>
  </si>
  <si>
    <t xml:space="preserve">marmoraandlake.ca community centre: dry floor 1,000 capacity, $600/day event</t>
  </si>
  <si>
    <t xml:space="preserve">City arenas</t>
  </si>
  <si>
    <t xml:space="preserve">Peterborough Memorial Centre Tech Pack 2024 (setups 1,722 to 5,501); Visit Kingston (Slush Puppie Place 5,700 cold-season); tributecommunitiescentre.com (1,000 to 7,600). None publish rental rates: those columns are ESTIMATES.</t>
  </si>
  <si>
    <t xml:space="preserve">24 venues and 5 other promotions researched by Claude, October 2026. Sources are in each row.</t>
  </si>
  <si>
    <t xml:space="preserve">25 towns researched by Claude from municipal sites and local news, October 2026. Sources are in each row.</t>
  </si>
  <si>
    <t xml:space="preserve">Everything else</t>
  </si>
  <si>
    <t xml:space="preserve">ESTIMATES by Kyle. Replace with real quotes and invoices.</t>
  </si>
  <si>
    <t xml:space="preserve">CCCL EVENT PROFIT PREDICTOR  ·  INPUTS</t>
  </si>
  <si>
    <t xml:space="preserve">Type only in YELLOW cells (blue text). Everything on the Compare tab updates by itself. Numbers marked ESTIMATE are placeholders: replace them with real quotes as they come in.</t>
  </si>
  <si>
    <t xml:space="preserve">GLOBAL ASSUMPTIONS  (same for every venue)</t>
  </si>
  <si>
    <t xml:space="preserve">Low crowd: % of sellable capacity that shows up</t>
  </si>
  <si>
    <t xml:space="preserve">ESTIMATE. A bad night: weather, a clash with another event, weak card.</t>
  </si>
  <si>
    <t xml:space="preserve">Expected crowd: % of sellable capacity</t>
  </si>
  <si>
    <t xml:space="preserve">Set from the first show: about 500 people (Cody said 400-600) in a building of about 1,000. Tune it on the 'Haliburton 2026 Check' tab after each show.</t>
  </si>
  <si>
    <t xml:space="preserve">High crowd: % of sellable capacity</t>
  </si>
  <si>
    <t xml:space="preserve">ESTIMATE. A big card or a strong pre-sale.</t>
  </si>
  <si>
    <t xml:space="preserve">People who didn't buy a ticket: % of the crowd</t>
  </si>
  <si>
    <t xml:space="preserve">From the first show: 400 tickets sold, about 500 people in the building, so about 1 in 5 came free (sponsor guests, fighters' teams, volunteers, officials). Tune it after each show.</t>
  </si>
  <si>
    <t xml:space="preserve">Smallest crowd worth doing a show for (people)</t>
  </si>
  <si>
    <t xml:space="preserve">Cody, Oct 2026: 1,000+. A venue whose expected crowd is below this gets flagged on Compare.</t>
  </si>
  <si>
    <t xml:space="preserve">Ticket tier</t>
  </si>
  <si>
    <t xml:space="preserve">Price per person ($)</t>
  </si>
  <si>
    <t xml:space="preserve">Share of paid tickets</t>
  </si>
  <si>
    <t xml:space="preserve">Prices are what CCCL charged in May 2026 (Cody, Oct 2026). A VIP table is $1,500 and seats 8-10 depending on the venue's tables; 8 seats = $187.50 a seat. Shares: 48 of the 400 tickets were table seats (12%); the GA / VIP split is an ESTIMATE. Shares must add to 100%.</t>
  </si>
  <si>
    <t xml:space="preserve">General admission</t>
  </si>
  <si>
    <t xml:space="preserve">VIP single seat</t>
  </si>
  <si>
    <t xml:space="preserve">VIP table seat ($1,500 table of 8, per seat)</t>
  </si>
  <si>
    <t xml:space="preserve">Shares add up to (must be 100%)</t>
  </si>
  <si>
    <t xml:space="preserve">Average price per paid ticket</t>
  </si>
  <si>
    <t xml:space="preserve">Ticketing fees CCCL pays (% of ticket sales)</t>
  </si>
  <si>
    <t xml:space="preserve">CCCL paid the Eventbrite fees in 2026 (Cody). Eventbrite Canada (help centre, Oct 2026): 3.5% + $1.29 per ticket, plus 2.9% processing. That's 8.6% on a $60 ticket, 7.7% on $100 and 6.5% on a $1,500 table, about 7.9% across the 2026 mix. Passing fees to buyers would make this 0%.</t>
  </si>
  <si>
    <t xml:space="preserve">HST inside the ticket price that goes to the government (%)</t>
  </si>
  <si>
    <t xml:space="preserve">0% unless CCCL is registered for HST and the ticket prices included tax. Then use 11.5% (the 13% HST inside a tax-included price). Ask the bookkeeper.</t>
  </si>
  <si>
    <t xml:space="preserve">Bar &amp; concession profit per person in the building ($)</t>
  </si>
  <si>
    <t xml:space="preserve">0: in 2026 the arena or a local group ran the bar and kept it (Cody). If CCCL ever runs or shares the bar, put the profit per person here.</t>
  </si>
  <si>
    <t xml:space="preserve">Merch profit per person ($)</t>
  </si>
  <si>
    <t xml:space="preserve">0 until CCCL sells shirts or hats at shows. $1-3 a person is typical once it does (ESTIMATE).</t>
  </si>
  <si>
    <t xml:space="preserve">Livestream / pay-per-view profit per event ($)</t>
  </si>
  <si>
    <t xml:space="preserve">0: the 2026 livestream didn't bring in money (Cody). The Marketing Kit's Livestream tab works out what a paid stream could bring in.</t>
  </si>
  <si>
    <t xml:space="preserve">Contingency buffer (% of fixed costs)</t>
  </si>
  <si>
    <t xml:space="preserve">Cushion for surprises. 5-10% is normal for a first or second show.</t>
  </si>
  <si>
    <t xml:space="preserve">Stress test: crowd drop vs Expected</t>
  </si>
  <si>
    <t xml:space="preserve">What if 30% fewer people show up?</t>
  </si>
  <si>
    <t xml:space="preserve">Stress test: sponsorship that falls through</t>
  </si>
  <si>
    <t xml:space="preserve">What if half the sponsor money never comes?</t>
  </si>
  <si>
    <t xml:space="preserve">VENUE OPTIONS  (one column per option)</t>
  </si>
  <si>
    <t xml:space="preserve">Venue (building)</t>
  </si>
  <si>
    <t xml:space="preserve">A.J. LaRue Arena</t>
  </si>
  <si>
    <t xml:space="preserve">North Hastings Community Centre</t>
  </si>
  <si>
    <t xml:space="preserve">Dr. Hamilton Crawford Memorial Arena</t>
  </si>
  <si>
    <t xml:space="preserve">Peterborough Memorial Centre</t>
  </si>
  <si>
    <t xml:space="preserve">Slush Puppie Place</t>
  </si>
  <si>
    <t xml:space="preserve">Tribute Communities Centre</t>
  </si>
  <si>
    <t xml:space="preserve">Town</t>
  </si>
  <si>
    <t xml:space="preserve">Haliburton</t>
  </si>
  <si>
    <t xml:space="preserve">Bancroft</t>
  </si>
  <si>
    <t xml:space="preserve">Peterborough</t>
  </si>
  <si>
    <t xml:space="preserve">Kingston</t>
  </si>
  <si>
    <t xml:space="preserve">Oshawa</t>
  </si>
  <si>
    <t xml:space="preserve">Who to call for a quote</t>
  </si>
  <si>
    <t xml:space="preserve">Dysart et al arena 705-457-1740 x635</t>
  </si>
  <si>
    <t xml:space="preserve">Town of Bancroft 613-332-2062, communitycentre@bancroft.ca</t>
  </si>
  <si>
    <t xml:space="preserve">Marmora &amp; Lake Parks &amp; Rec 613-472-2410, arena@marmoraandlake.ca</t>
  </si>
  <si>
    <t xml:space="preserve">Jose Garcia-Perez, Event Services, 705-743-3561 x2504</t>
  </si>
  <si>
    <t xml:space="preserve">ASM Global 613-650-5000 ('Private Venue Bookings' on slushpuppieplace.com)</t>
  </si>
  <si>
    <t xml:space="preserve">Oak View Group 905-438-8881 x116 ('Request a Proposal' online)</t>
  </si>
  <si>
    <t xml:space="preserve">Phone numbers from each municipality's website (Oct 2026).</t>
  </si>
  <si>
    <t xml:space="preserve">Date idea</t>
  </si>
  <si>
    <t xml:space="preserve">May 2027 (2nd annual)</t>
  </si>
  <si>
    <t xml:space="preserve">June 2027 (dry floor; the Gemboree fills it on the Civic Holiday weekend)</t>
  </si>
  <si>
    <t xml:space="preserve">Aug 2027 (dry floor May to Aug)</t>
  </si>
  <si>
    <t xml:space="preserve">Feb or Nov 2027, around Petes home games (holds winter floor events)</t>
  </si>
  <si>
    <t xml:space="preserve">Nov 2027, around Frontenacs home games (held BTC MMA in March 2023 and 2024)</t>
  </si>
  <si>
    <t xml:space="preserve">Winter 2027 (renovation starts in 2027; PFC plans Oshawa in Nov)</t>
  </si>
  <si>
    <t xml:space="preserve">Cody's months for 2027: Jan, Feb, Apr, May, Jun, Aug, Nov. Arenas have ice in winter, so Jan, Feb and Nov need a hall, event centre or casino.</t>
  </si>
  <si>
    <t xml:space="preserve">Sellable capacity (people)</t>
  </si>
  <si>
    <t xml:space="preserve">Set it to about twice the crowd you expect (the Expected crowd % is 50%). Haliburton ~1,000 and Bancroft 800 are ESTIMATES (not published). Marmora 1,000 is published. City arenas are set to 2,000 (ESTIMATE): Peterborough's published setups run 1,722 to 5,501, Kingston lists 5,700 for cold-season events, Oshawa 1,000 to 7,600. Cody's minimum crowd is 1,000.</t>
  </si>
  <si>
    <t xml:space="preserve">Venue rental per day ($)</t>
  </si>
  <si>
    <t xml:space="preserve">Haliburton: $1,500 was the real 2026 arena bill (Cody), entered as one day. Marmora $600/day is published. Bancroft is an ESTIMATE. Peterborough, Kingston and Oshawa don't publish rates: ESTIMATES until they quote (rent, staff, ushers, box office). For scale, Peterborough's smaller Healthy Planet Arena charges $3,700.75 a day for a floor pad.</t>
  </si>
  <si>
    <t xml:space="preserve">Days booked (setup + show)</t>
  </si>
  <si>
    <t xml:space="preserve">Setup day + show day, unless the venue quotes the whole event.</t>
  </si>
  <si>
    <t xml:space="preserve">Venue staff hours (setup + teardown)</t>
  </si>
  <si>
    <t xml:space="preserve">ESTIMATE. 0 where the quote already includes staff. City arenas need ushers, box office and a bigger setup crew.</t>
  </si>
  <si>
    <t xml:space="preserve">Venue staff rate per hour ($)</t>
  </si>
  <si>
    <t xml:space="preserve">Haliburton lists $30/hr for setup and teardown with staff. Others are ESTIMATES.</t>
  </si>
  <si>
    <t xml:space="preserve">Ontario Athletics Commission event permit ($)</t>
  </si>
  <si>
    <t xml:space="preserve">Ontario Athletics Commission: $600 permit per show. Under the regulation a 'contest' is one bout or several in a row, so one $600 permit should cover the whole card (confirm with the Commission). The $3,000 permit covers up to 8 shows in a year. Assumed to be inside Cody's $15,000 'everything else'.</t>
  </si>
  <si>
    <t xml:space="preserve">Cage rental &amp; delivery ($)</t>
  </si>
  <si>
    <t xml:space="preserve">Cage, officials, medical, insurance, security and lights/sound/stream are Cody's real 2026 costs. For the three city arenas, security, lights/sound, seating, athlete costs and crew food are raised (ESTIMATES) for a 2,000-seat room and the longer drive. The cage must sit on a platform 3-4 ft high (Ontario rule): make sure the quote includes it.</t>
  </si>
  <si>
    <t xml:space="preserve">Officials: referees, judges, timekeeper ($)</t>
  </si>
  <si>
    <t xml:space="preserve">Medical: ringside doctor, paramedics ($)</t>
  </si>
  <si>
    <t xml:space="preserve">Event insurance ($)</t>
  </si>
  <si>
    <t xml:space="preserve">Security ($)</t>
  </si>
  <si>
    <t xml:space="preserve">Lighting, sound &amp; staging ($)</t>
  </si>
  <si>
    <t xml:space="preserve">Livestream production ($)</t>
  </si>
  <si>
    <t xml:space="preserve">0: in 2026 the stream was part of the $1,000 lights/sound/stream bill.</t>
  </si>
  <si>
    <t xml:space="preserve">Marketing, posters &amp; ads ($)</t>
  </si>
  <si>
    <t xml:space="preserve">ESTIMATE, part of Cody's $15,000 'everything else'. Bigger towns need more.</t>
  </si>
  <si>
    <t xml:space="preserve">Athlete costs: medals, belts, travel, officials' hotel ($)</t>
  </si>
  <si>
    <t xml:space="preserve">ESTIMATE, part of Cody's $15,000 'everything else'.</t>
  </si>
  <si>
    <t xml:space="preserve">Chairs, tables &amp; VIP setup ($)</t>
  </si>
  <si>
    <t xml:space="preserve">Crew &amp; volunteer food ($)</t>
  </si>
  <si>
    <t xml:space="preserve">Anything else ($)</t>
  </si>
  <si>
    <t xml:space="preserve">The rest of Cody's $15,000 'everything else' (it's $15,000 minus the permit, marketing, athletes, seating and food lines). Replace with the real invoices when Cody finds them.</t>
  </si>
  <si>
    <t xml:space="preserve">Sponsorship expected: signed AND paid ($)</t>
  </si>
  <si>
    <t xml:space="preserve">Haliburton 2026: 15 sponsors, $18,000 (Cody). With 4+ shows in 2027, the same local sponsors can't give that to every show, so count only what's signed AND paid for THIS show. Other venues: ESTIMATES (Bancroft is home; the cities are new markets).</t>
  </si>
  <si>
    <t xml:space="preserve">CCCL EVENT PROFIT PREDICTOR  ·  COMPARE VENUES</t>
  </si>
  <si>
    <t xml:space="preserve">Nothing to type here. Every number comes from the Inputs tab. Green = pulled from Inputs, black = calculated.</t>
  </si>
  <si>
    <t xml:space="preserve">Venue</t>
  </si>
  <si>
    <t xml:space="preserve">COSTS THAT DON'T DEPEND ON THE CROWD</t>
  </si>
  <si>
    <t xml:space="preserve">Venue rental (rate × days)</t>
  </si>
  <si>
    <t xml:space="preserve">Venue staff (hours × rate)</t>
  </si>
  <si>
    <t xml:space="preserve">All other costs (permit, cage, officials, medical, etc.)</t>
  </si>
  <si>
    <t xml:space="preserve">Contingency buffer</t>
  </si>
  <si>
    <t xml:space="preserve">TOTAL EVENT COST</t>
  </si>
  <si>
    <t xml:space="preserve">WHAT EACH PAID TICKET BRINGS IN</t>
  </si>
  <si>
    <t xml:space="preserve">Ticket money after fees and HST (per paid ticket)</t>
  </si>
  <si>
    <t xml:space="preserve">Bar + merch (per paid ticket, comps included)</t>
  </si>
  <si>
    <t xml:space="preserve">Total per paid ticket</t>
  </si>
  <si>
    <t xml:space="preserve">BREAK-EVEN: WHAT IT TAKES NOT TO LOSE MONEY</t>
  </si>
  <si>
    <t xml:space="preserve">Paid tickets needed (with expected sponsors)</t>
  </si>
  <si>
    <t xml:space="preserve">... as % of capacity</t>
  </si>
  <si>
    <t xml:space="preserve">Paid tickets needed with NO sponsors</t>
  </si>
  <si>
    <t xml:space="preserve">Sponsorship needed to break even on a LOW night</t>
  </si>
  <si>
    <t xml:space="preserve">Sponsorship you expect (from Inputs)</t>
  </si>
  <si>
    <t xml:space="preserve">SCENARIO: LOW CROWD</t>
  </si>
  <si>
    <t xml:space="preserve">Crowd (people in the building)</t>
  </si>
  <si>
    <t xml:space="preserve">Paid tickets</t>
  </si>
  <si>
    <t xml:space="preserve">Ticket money after fees</t>
  </si>
  <si>
    <t xml:space="preserve">Bar + merch</t>
  </si>
  <si>
    <t xml:space="preserve">Sponsorship + livestream</t>
  </si>
  <si>
    <t xml:space="preserve">Total money in</t>
  </si>
  <si>
    <t xml:space="preserve">Total event cost</t>
  </si>
  <si>
    <t xml:space="preserve">PROFIT / (LOSS)</t>
  </si>
  <si>
    <t xml:space="preserve">SCENARIO: EXPECTED CROWD</t>
  </si>
  <si>
    <t xml:space="preserve">SCENARIO: HIGH CROWD</t>
  </si>
  <si>
    <t xml:space="preserve">STRESS TEST: expected crowd drops AND sponsors pull out</t>
  </si>
  <si>
    <t xml:space="preserve">BOTTOM LINE</t>
  </si>
  <si>
    <t xml:space="preserve">Verdict</t>
  </si>
  <si>
    <t xml:space="preserve">Best option at the expected crowd</t>
  </si>
  <si>
    <t xml:space="preserve">A budget tool, not a promise. Every ESTIMATE on the Inputs tab needs a real quote before money is committed. Sponsorship only counts once it's signed and paid.</t>
  </si>
  <si>
    <t xml:space="preserve">HALIBURTON MAY 2026: WHAT REALLY HAPPENED</t>
  </si>
  <si>
    <t xml:space="preserve">Part 1 adds up Cody's numbers (Oct 2026): about $18,000 profit. That profit went into the gym and other projects (Kyle, Oct 2026), which is why it felt like breaking even. Part 2 records where the money went: type the real amounts once Cody has the Eventbrite payout report. Part 3 checks the model against the real result.</t>
  </si>
  <si>
    <t xml:space="preserve">PART 1: THE NUMBERS CODY GAVE (Oct 2026)</t>
  </si>
  <si>
    <t xml:space="preserve">General admission price</t>
  </si>
  <si>
    <t xml:space="preserve">From Cody.</t>
  </si>
  <si>
    <t xml:space="preserve">VIP single seat price</t>
  </si>
  <si>
    <t xml:space="preserve">VIP table price</t>
  </si>
  <si>
    <t xml:space="preserve">From Cody. Tables seat 8-10 depending on the venue's tables (Kyle).</t>
  </si>
  <si>
    <t xml:space="preserve">Seats per table</t>
  </si>
  <si>
    <t xml:space="preserve">VIP tables sold</t>
  </si>
  <si>
    <t xml:space="preserve">Tickets sold, all types</t>
  </si>
  <si>
    <t xml:space="preserve">From Cody. Assumed to include the 48 table seats.</t>
  </si>
  <si>
    <t xml:space="preserve">VIP single seats sold</t>
  </si>
  <si>
    <t xml:space="preserve">ESTIMATE. Cody didn't split GA and VIP. Fix it from the Eventbrite sales report.</t>
  </si>
  <si>
    <t xml:space="preserve">Table seats (tables × seats)</t>
  </si>
  <si>
    <t xml:space="preserve">General admission tickets (what's left)</t>
  </si>
  <si>
    <t xml:space="preserve">Ticket money before fees</t>
  </si>
  <si>
    <t xml:space="preserve">Eventbrite fees CCCL paid (% from Inputs)</t>
  </si>
  <si>
    <t xml:space="preserve">Sponsor money (15 sponsors)</t>
  </si>
  <si>
    <t xml:space="preserve">From Cody. Title sponsor: Dillabough Millwrighting &amp; Welding.</t>
  </si>
  <si>
    <t xml:space="preserve">Bar profit to CCCL</t>
  </si>
  <si>
    <t xml:space="preserve">The arena or a local group ran the bar (Cody).</t>
  </si>
  <si>
    <t xml:space="preserve">TOTAL MONEY IN</t>
  </si>
  <si>
    <t xml:space="preserve">Arena rental</t>
  </si>
  <si>
    <t xml:space="preserve">Cage</t>
  </si>
  <si>
    <t xml:space="preserve">Medical</t>
  </si>
  <si>
    <t xml:space="preserve">Officials</t>
  </si>
  <si>
    <t xml:space="preserve">Insurance</t>
  </si>
  <si>
    <t xml:space="preserve">Security</t>
  </si>
  <si>
    <t xml:space="preserve">Lights, sound, stream</t>
  </si>
  <si>
    <t xml:space="preserve">From Cody. What's in this $15,000 is the biggest unknown: the Commission permit, ads, belts and medals, hotels, food, seating?</t>
  </si>
  <si>
    <t xml:space="preserve">TOTAL COST</t>
  </si>
  <si>
    <t xml:space="preserve">PROFIT THESE NUMBERS ADD UP TO</t>
  </si>
  <si>
    <t xml:space="preserve">Profit left over that Cody remembers ($)</t>
  </si>
  <si>
    <t xml:space="preserve">Cody said 'broke even, slight profit' because the show's profit went into the gym and other projects (Kyle, Oct 2026).</t>
  </si>
  <si>
    <t xml:space="preserve">MONEY TO ACCOUNT FOR</t>
  </si>
  <si>
    <t xml:space="preserve">PART 2: WHERE THE MONEY WENT  (type what applies, leave the rest at 0)</t>
  </si>
  <si>
    <t xml:space="preserve">Show profit put into the gym and other projects ($)</t>
  </si>
  <si>
    <t xml:space="preserve">Left at 0 until Cody has the real amount (Eventbrite payout report and bank records). Kyle's understanding (Oct 2026): the show made money and it went into the gym and other projects. This doesn't lower the show's profit; it's where the profit went.</t>
  </si>
  <si>
    <t xml:space="preserve">Anything below made the show's real profit smaller:</t>
  </si>
  <si>
    <t xml:space="preserve">VIP table money already counted inside the $18,000 sponsor total ($)</t>
  </si>
  <si>
    <t xml:space="preserve">If tables were sold as part of sponsor packages, up to $9,000 got counted twice.</t>
  </si>
  <si>
    <t xml:space="preserve">Free tickets counted inside the 400 (how many)</t>
  </si>
  <si>
    <t xml:space="preserve">Sponsor tickets, fighters' families, volunteers. Valued at the GA price below.</t>
  </si>
  <si>
    <t xml:space="preserve">... worth (free tickets × GA price)</t>
  </si>
  <si>
    <t xml:space="preserve">Sponsor money promised but never paid, or given as goods/services instead of cash ($)</t>
  </si>
  <si>
    <t xml:space="preserve">HST CCCL sent to the government ($)</t>
  </si>
  <si>
    <t xml:space="preserve">Only if CCCL is HST-registered. On tax-included prices it's about 11.5% of ticket and sponsor money.</t>
  </si>
  <si>
    <t xml:space="preserve">Refunds and chargebacks ($)</t>
  </si>
  <si>
    <t xml:space="preserve">Bills paid that aren't in the $29,000 ($)</t>
  </si>
  <si>
    <t xml:space="preserve">Fighter travel, hotels, posters and ads, food, gear CCCL bought, the Commission permit if it wasn't in 'everything else'.</t>
  </si>
  <si>
    <t xml:space="preserve">TOTAL ACCOUNTED FOR</t>
  </si>
  <si>
    <t xml:space="preserve">STILL UNEXPLAINED</t>
  </si>
  <si>
    <t xml:space="preserve">Goal: under $1,000 either way.</t>
  </si>
  <si>
    <t xml:space="preserve">PART 3: REAL RESULT vs THE MODEL</t>
  </si>
  <si>
    <t xml:space="preserve">Real (May 2026)</t>
  </si>
  <si>
    <t xml:space="preserve">Model (Expected)</t>
  </si>
  <si>
    <t xml:space="preserve">Difference</t>
  </si>
  <si>
    <t xml:space="preserve">If it's off, tune this on Inputs</t>
  </si>
  <si>
    <t xml:space="preserve">People in the building</t>
  </si>
  <si>
    <t xml:space="preserve">Expected crowd %. Cody said 400-600 people; 500 is the middle.</t>
  </si>
  <si>
    <t xml:space="preserve">'People who didn't buy a ticket' %</t>
  </si>
  <si>
    <t xml:space="preserve">Ticket money (after fees)</t>
  </si>
  <si>
    <t xml:space="preserve">Ticket prices, tier shares, fee % and HST %</t>
  </si>
  <si>
    <t xml:space="preserve">Bar + merch profit</t>
  </si>
  <si>
    <t xml:space="preserve">Bar and merch profit per person</t>
  </si>
  <si>
    <t xml:space="preserve">Sponsorship received</t>
  </si>
  <si>
    <t xml:space="preserve">Sponsorship expected (Haliburton column)</t>
  </si>
  <si>
    <t xml:space="preserve">Total cost</t>
  </si>
  <si>
    <t xml:space="preserve">The cost lines. The model adds a contingency buffer on top.</t>
  </si>
  <si>
    <t xml:space="preserve">Profit / (loss)</t>
  </si>
  <si>
    <t xml:space="preserve">Real show profit, before the money that went to the gym.</t>
  </si>
  <si>
    <t xml:space="preserve">TOWN SCOUT: WHERE TO RUN CCCL IN 2027</t>
  </si>
  <si>
    <t xml:space="preserve">25 towns within about 2 hours of Bancroft, scored 1-5 (5 = best). Distance: 5 = 30 min or less, 1 = over 2 h. Overall is the simple average. Researched Oct 2026; drive times are estimates. Confirm rates and capacity with each venue.</t>
  </si>
  <si>
    <t xml:space="preserve">#</t>
  </si>
  <si>
    <t xml:space="preserve">Overall</t>
  </si>
  <si>
    <t xml:space="preserve">Crowd</t>
  </si>
  <si>
    <t xml:space="preserve">Fighters</t>
  </si>
  <si>
    <t xml:space="preserve">Competition</t>
  </si>
  <si>
    <t xml:space="preserve">Distance</t>
  </si>
  <si>
    <t xml:space="preserve">In the Compare tab?</t>
  </si>
  <si>
    <t xml:space="preserve">Drive from Bancroft</t>
  </si>
  <si>
    <t xml:space="preserve">Population</t>
  </si>
  <si>
    <t xml:space="preserve">Best venue</t>
  </si>
  <si>
    <t xml:space="preserve">Capacity</t>
  </si>
  <si>
    <t xml:space="preserve">Rental rate (as published)</t>
  </si>
  <si>
    <t xml:space="preserve">Dry floor season</t>
  </si>
  <si>
    <t xml:space="preserve">Combat gyms nearby</t>
  </si>
  <si>
    <t xml:space="preserve">Combat shows nearby</t>
  </si>
  <si>
    <t xml:space="preserve">Venue source</t>
  </si>
  <si>
    <t xml:space="preserve">Yes</t>
  </si>
  <si>
    <t xml:space="preserve">0 km (home base)</t>
  </si>
  <si>
    <t xml:space="preserve">4,065 (Town of Bancroft, 2021 census); town site cites a…</t>
  </si>
  <si>
    <t xml:space="preserve">North Hastings Community Centre (NHCC) arena</t>
  </si>
  <si>
    <t xml:space="preserve">Not published</t>
  </si>
  <si>
    <t xml:space="preserve">Not published. Town said in 2023 that rental agreements/fees for year-round (dry-floor) use were being designed to be 'competitive'; ice fees kept at old Commission rates (Feb 2024).</t>
  </si>
  <si>
    <t xml:space="preserve">Ice normally goes in during August (mayor, Mar 2026). 2026: ice delayed to ~Sept 21 by an ice-plant part. Dry floor is expected…</t>
  </si>
  <si>
    <t xml:space="preserve">Bancroft Boxing &amp; Grappling</t>
  </si>
  <si>
    <t xml:space="preserve">No 2025-2026 combat events found in Bancroft (2015-05-15)</t>
  </si>
  <si>
    <t xml:space="preserve">Best fit for show 2: home gym and home crowd, renovated arena back online, no competition - lock a spring/early-summer 2027 dry-floor date before the Gemboree.</t>
  </si>
  <si>
    <t xml:space="preserve">https://bancroft.hosted.civiclive.com/living/recreation___leisure/north_hastings_community_centre</t>
  </si>
  <si>
    <t xml:space="preserve">~70 km / ~1 h via Hwy 118 (estimate)</t>
  </si>
  <si>
    <t xml:space="preserve">7,182 (Dysart et al, 2021 census); Haliburton County…</t>
  </si>
  <si>
    <t xml:space="preserve">A.J. LaRue Arena &amp; Community Centre</t>
  </si>
  <si>
    <t xml:space="preserve">By-Law 2023-39 (winter rates effective Sept 5, 2023; summer Jan 1, 2024): ice surface rental "$1,030.00 per day" for profit-making events / "$463.50 per day" non-profit; auditorium "$42.45 per hour, maximum of $265.25…</t>
  </si>
  <si>
    <t xml:space="preserve">Summer ice runs from 'start of season through Labour Day', so ice can be back in during summer; spring (e.g. early May) dry floor proven…</t>
  </si>
  <si>
    <t xml:space="preserve">The Chop Shop MMA</t>
  </si>
  <si>
    <t xml:space="preserve">CCCL 1 - Cottage Country Combat League (2026-05-02)</t>
  </si>
  <si>
    <t xml:space="preserve">Proven venue: the 2026 show made about $18,000 on Cody's numbers (exact figure waiting on the Eventbrite payout report). Keep it as the annual anchor show (spring dry floor), not more than once a year to avoid wearing out the market.</t>
  </si>
  <si>
    <t xml:space="preserve">https://www.dysartetal.ca/en/explore-and-play/resources/Arena/2023-39%20Parks%20and%20Recreation%20Fees%20and%20Charges.pdf</t>
  </si>
  <si>
    <t xml:space="preserve">~115 km / ~1 h 25 min south on Hwy 28 (estimate)</t>
  </si>
  <si>
    <t xml:space="preserve">83,651 (City of Peterborough, 2021 census)</t>
  </si>
  <si>
    <t xml:space="preserve">Theatre configuration 2,380; end-stage 4,530; in-the-round…</t>
  </si>
  <si>
    <t xml:space="preserve">Kawartha Combat; 10th Planet Jiu Jitsu Peterborough; Corcoran's Boxing Club &amp; Fitness Centre; Eastside Boxing; BEL Boxing Club</t>
  </si>
  <si>
    <t xml:space="preserve">OFSAA Wrestling Championship (2026-03-02 to 2026-03-04); GCW live pro wrestling at The Venue, Peterborough (2025-06-29); Homecoming IV (2019-02-09)</t>
  </si>
  <si>
    <t xml:space="preserve">Biggest upside but highest cost and risk - target once CCCL has 2-3 shows behind it; test the market via Lakefield first.</t>
  </si>
  <si>
    <t xml:space="preserve">https://venuecoalition.com/peterborough-memorial-centre/</t>
  </si>
  <si>
    <t xml:space="preserve">Apsley</t>
  </si>
  <si>
    <t xml:space="preserve">~55 km / ~45-50 min south on Hwy 28 (estimate)</t>
  </si>
  <si>
    <t xml:space="preserve">2,877 (North Kawartha, 2021 census)</t>
  </si>
  <si>
    <t xml:space="preserve">North Kawartha Community Centre (NKCC)</t>
  </si>
  <si>
    <t xml:space="preserve">Banquet hall up to 325; arena floor capacity not published</t>
  </si>
  <si>
    <t xml:space="preserve">2026 page (+HST): arena "Daily flat rate for special events (excluding dances): $600.00"; hall daily flat $300.00 + $50 kitchen/bar; ice primetime $127.05/hr.</t>
  </si>
  <si>
    <t xml:space="preserve">Ice late August to mid-March, so dry floor roughly mid-March to late August.</t>
  </si>
  <si>
    <t xml:space="preserve">None found</t>
  </si>
  <si>
    <t xml:space="preserve">Low-cost, close, untouched market - good for a smaller spring or summer show; confirm arena floor capacity.</t>
  </si>
  <si>
    <t xml:space="preserve">https://northkawartha.ca/living-here/facility-rentals</t>
  </si>
  <si>
    <t xml:space="preserve">~110 km / ~1 h 20 min via Hwy 62 &amp; Hwy 7 (estimate)</t>
  </si>
  <si>
    <t xml:space="preserve">4,267 (Marmora and Lake, 2021 census)</t>
  </si>
  <si>
    <t xml:space="preserve">Dr. Hamilton Crawford Memorial Arena, Lions Hall &amp; Fairgrounds Park (Marmora &amp;…</t>
  </si>
  <si>
    <t xml:space="preserve">1,000 (arena dry floor)</t>
  </si>
  <si>
    <t xml:space="preserve">Town page (year not stated): arena dry floor "Event: $600/day" (youth $50/hr, adult program $75/hr); Lions Hall public event no bar $300/day, wedding reception with renter-run bar $700/day. Town ran a '2025 Municipal…</t>
  </si>
  <si>
    <t xml:space="preserve">Ice September to April; lower level is a dry-floor event space May to August.</t>
  </si>
  <si>
    <t xml:space="preserve">Best-value summer venue on the list (1,000 cap, $600/day, bar) - strong option for a May-August show.</t>
  </si>
  <si>
    <t xml:space="preserve">https://marmoraandlake.ca/community-centre</t>
  </si>
  <si>
    <t xml:space="preserve">Lakefield</t>
  </si>
  <si>
    <t xml:space="preserve">~100 km / ~1 h 15 min south on Hwy 28 (estimate)</t>
  </si>
  <si>
    <t xml:space="preserve">18,653 (Selwyn Township, 2021 census)</t>
  </si>
  <si>
    <t xml:space="preserve">Lakefield-Smith Community Centre</t>
  </si>
  <si>
    <t xml:space="preserve">Selwyn rates page (year not stated): "Arena floor event rate (up to 1am)" $761.23 (covers Ennismore &amp; Lakefield); "Daily Floor Rental (All hours)" $103.07 under Summer Floor Rate (Sports) - facility page instead says…</t>
  </si>
  <si>
    <t xml:space="preserve">Summer floor season (dates not given).</t>
  </si>
  <si>
    <t xml:space="preserve">BEL Boxing Club; Kawartha Combat; 10th Planet Jiu Jitsu Peterborough; Corcoran's Boxing Club &amp; Fitness Centre</t>
  </si>
  <si>
    <t xml:space="preserve">War in Ennismore: Revival (2022-08-20)</t>
  </si>
  <si>
    <t xml:space="preserve">Smart way into the Peterborough market without Memorial Centre costs - good 2027 expansion show.</t>
  </si>
  <si>
    <t xml:space="preserve">https://www.selwyntownship.ca/en/township-hall/facility-rental-rates.aspx</t>
  </si>
  <si>
    <t xml:space="preserve">Belleville</t>
  </si>
  <si>
    <t xml:space="preserve">~150 km / ~1 h 50 min south on Hwy 62 (estimate)</t>
  </si>
  <si>
    <t xml:space="preserve">55,071 (City of Belleville, 2021 census); Quinte West next…</t>
  </si>
  <si>
    <t xml:space="preserve">Quinte Sports &amp; Wellness Centre - main bowl (City lists 'CIBC Place';…</t>
  </si>
  <si>
    <t xml:space="preserve">Over 4,400 (City) / 4,365 hockey (Wikipedia); other pads…</t>
  </si>
  <si>
    <t xml:space="preserve">City page (excl. HST, year not stated): adult ball hockey/floor $119.75/hr, minor $81.75/hr; "Benefit Exhibition Games: $609.50 plus expenses". No event day rate published.</t>
  </si>
  <si>
    <t xml:space="preserve">Floor rates listed year-round; summer ice sold July-August.</t>
  </si>
  <si>
    <t xml:space="preserve">Infinite Martial Arts and Fitness; Pinnacle Boxing Academy; Bulldog Boxing Academy</t>
  </si>
  <si>
    <t xml:space="preserve">BTC XXVII: Bellevegas (2025-03-15); Friday Night Fights (2025-09-12)</t>
  </si>
  <si>
    <t xml:space="preserve">Big market with real competition (BTC) - only with a distinct amateur/cottage-league angle or a co-promotion.</t>
  </si>
  <si>
    <t xml:space="preserve">https://www.belleville.ca/learn-and-play/facilities-and-rentals/arenas/</t>
  </si>
  <si>
    <t xml:space="preserve">Lindsay</t>
  </si>
  <si>
    <t xml:space="preserve">~150 km / ~1 h 50 min (estimate)</t>
  </si>
  <si>
    <t xml:space="preserve">79,247 (City of Kawartha Lakes, 2021 census); Ross…</t>
  </si>
  <si>
    <t xml:space="preserve">Lindsay Recreation Complex</t>
  </si>
  <si>
    <t xml:space="preserve">Not published (booked via the City's PerfectMind portal)</t>
  </si>
  <si>
    <t xml:space="preserve">Many City arenas become floors April through August.</t>
  </si>
  <si>
    <t xml:space="preserve">Big Country - Lindsay</t>
  </si>
  <si>
    <t xml:space="preserve">Strong fighter base and market, but far - consider a co-promoted show with Big Country later in 2027.</t>
  </si>
  <si>
    <t xml:space="preserve">https://www.kawarthalakes.ca/explore-play/facility-and-park-rentals/arena-and-ice-rentals/</t>
  </si>
  <si>
    <t xml:space="preserve">Wilberforce</t>
  </si>
  <si>
    <t xml:space="preserve">About a half-hour drive (My Bancroft Now, Sept 2026)</t>
  </si>
  <si>
    <t xml:space="preserve">3,830 (Highlands East, 2021 census)</t>
  </si>
  <si>
    <t xml:space="preserve">Keith Tallman Memorial Arena</t>
  </si>
  <si>
    <t xml:space="preserve">Highlands East page (year not stated): "Summer Prime Time ... $40 plus HST" per hour, "Summer Non-Prime ... $25 plus HST"; winter prime $95 + HST; "Full Day Rate not available"; events need $2M liability.</t>
  </si>
  <si>
    <t xml:space="preserve">Summer = dry season (ice put in early in 2026 for Bancroft groups)</t>
  </si>
  <si>
    <t xml:space="preserve">Low-cost fallback only (e.g., a small youth grappling/amateur night) - too small for a 1,000+ crowd.</t>
  </si>
  <si>
    <t xml:space="preserve">https://www.highlandseast.ca/municipal-services/fees/facility-fees/</t>
  </si>
  <si>
    <t xml:space="preserve">Minden</t>
  </si>
  <si>
    <t xml:space="preserve">~95 km / ~1 h 15 min via Haliburton (estimate)</t>
  </si>
  <si>
    <t xml:space="preserve">6,971 (Minden Hills, 2021 census)</t>
  </si>
  <si>
    <t xml:space="preserve">S.G. Nesbitt Memorial Arena (Minden Hills Recreation Complex)</t>
  </si>
  <si>
    <t xml:space="preserve">294 seats (Town) / 390 (Stadium Journey)</t>
  </si>
  <si>
    <t xml:space="preserve">Town page (year not stated, 2026 site): "Rink area rental $1,147.50 per day or night"; floor sports $55.50/hr; special occasion permit surcharge $222.50; stat holidays +20%; non-resident (outside Haliburton County) ice…</t>
  </si>
  <si>
    <t xml:space="preserve">Summer ice is sold June 1-Aug 31, so a summer dry floor is not guaranteed; spring is the likely window - confirm.</t>
  </si>
  <si>
    <t xml:space="preserve">Good modern backup to Haliburton, but same market - use only if LaRue is unavailable.</t>
  </si>
  <si>
    <t xml:space="preserve">https://www.mindenhills.ca/explore-discover/rent-a-facility/arena-and-ice-rentals/</t>
  </si>
  <si>
    <t xml:space="preserve">Huntsville</t>
  </si>
  <si>
    <t xml:space="preserve">~165 km / ~2 h via Hwy 127/60 or Haliburton (estimate)</t>
  </si>
  <si>
    <t xml:space="preserve">21,147 (Town of Huntsville, 2021 census); Muskoka 66,674…</t>
  </si>
  <si>
    <t xml:space="preserve">Canada Summit Centre - Don Lough Arena</t>
  </si>
  <si>
    <t xml:space="preserve">2,200 max (incl. standing); 1,371 seated</t>
  </si>
  <si>
    <t xml:space="preserve">Not published (Town also sells summer ice)</t>
  </si>
  <si>
    <t xml:space="preserve">Big Country - Muskoka</t>
  </si>
  <si>
    <t xml:space="preserve">Rock Solid Wrestling 'Brace For Impact' (2025-03-29); OFF1: First Strike (2025-05-09)</t>
  </si>
  <si>
    <t xml:space="preserve">Great summer-tourist venue but far from the Bancroft base - consider for a 2028 Muskoka expansion with Big Country Muskoka.</t>
  </si>
  <si>
    <t xml:space="preserve">https://huntsville.ca/media/czqfwb2f/town-of-huntsville-2025_sales-kit.pdf</t>
  </si>
  <si>
    <t xml:space="preserve">Bracebridge</t>
  </si>
  <si>
    <t xml:space="preserve">~145 km / ~1 h 50 min via Hwy 118 (estimate)</t>
  </si>
  <si>
    <t xml:space="preserve">17,305 (Town of Bracebridge, 2021 census)</t>
  </si>
  <si>
    <t xml:space="preserve">Muskoka Lumber Arena (Muskoka Lumber Community Centre)</t>
  </si>
  <si>
    <t xml:space="preserve">Good fighter + crowd mix in Muskoka; get venue capacity before considering.</t>
  </si>
  <si>
    <t xml:space="preserve">https://www.bracebridge.ca/be-active/recreation-facilities-and-rentals/</t>
  </si>
  <si>
    <t xml:space="preserve">Maynooth</t>
  </si>
  <si>
    <t xml:space="preserve">~22 km / ~20 min north on Hwy 62 (estimate)</t>
  </si>
  <si>
    <t xml:space="preserve">4,385 (Hastings Highlands, 2021 census)</t>
  </si>
  <si>
    <t xml:space="preserve">Hastings Highlands Centre (Emond Hall)</t>
  </si>
  <si>
    <t xml:space="preserve">165</t>
  </si>
  <si>
    <t xml:space="preserve">Not listed</t>
  </si>
  <si>
    <t xml:space="preserve">N/A (no ice)</t>
  </si>
  <si>
    <t xml:space="preserve">Not viable for a caged show (165-person hall) - treat as Bancroft's catchment.</t>
  </si>
  <si>
    <t xml:space="preserve">https://www.hastingshighlands.ca/recreation-culture/facilities-and-rentals/hastings-highlands-centre-emond-hall-program-room/</t>
  </si>
  <si>
    <t xml:space="preserve">Madoc</t>
  </si>
  <si>
    <t xml:space="preserve">~95 km / ~1 h 10 min south on Hwy 62 (estimate)</t>
  </si>
  <si>
    <t xml:space="preserve">4,801 (Centre Hastings, 2021 census)</t>
  </si>
  <si>
    <t xml:space="preserve">Madoc &amp; District Recreation Centre (arena)</t>
  </si>
  <si>
    <t xml:space="preserve">Open September to May for ice, so dry floor ~June-August.</t>
  </si>
  <si>
    <t xml:space="preserve">Possible summer show if capacity checks out; secondary option.</t>
  </si>
  <si>
    <t xml:space="preserve">https://www.centrehastings.com/media/ntcdeugb/centre-hastings-prc-master-plan-technical-compendium_may2023.pdf</t>
  </si>
  <si>
    <t xml:space="preserve">Fenelon Falls</t>
  </si>
  <si>
    <t xml:space="preserve">~140 km / ~1 h 45 min (estimate)</t>
  </si>
  <si>
    <t xml:space="preserve">Part of Kawartha Lakes (79,247, 2021 census); village…</t>
  </si>
  <si>
    <t xml:space="preserve">Fenelon Falls Community Centre (Roger Bellwood Arena &amp; Gord Innes Community…</t>
  </si>
  <si>
    <t xml:space="preserve">280 arena seats</t>
  </si>
  <si>
    <t xml:space="preserve">City arenas typically floors April-August</t>
  </si>
  <si>
    <t xml:space="preserve">Decent summer cottage-crowd option if Lindsay is too big or busy.</t>
  </si>
  <si>
    <t xml:space="preserve">https://explorefenelonfalls.com/news-archive/roger-bellwood-arena-and-gord-innes-community-centre-opened-2012</t>
  </si>
  <si>
    <t xml:space="preserve">Barry's Bay</t>
  </si>
  <si>
    <t xml:space="preserve">~80 km / ~1 h north via Hwy 62 (estimate)</t>
  </si>
  <si>
    <t xml:space="preserve">3,927 (Madawaska Valley, 2021 census)</t>
  </si>
  <si>
    <t xml:space="preserve">Paul J. Yakabuski Community Centre (PJYCC)</t>
  </si>
  <si>
    <t xml:space="preserve">Ice surface 800; upstairs Community Hall 285</t>
  </si>
  <si>
    <t xml:space="preserve">2026 Schedule of Fees: "PJYCC Renter Run Bar: downstairs ice surface" $1224; Municipal Run Bar downstairs $816; ice regular hourly $173; fundraising/community group rate "50% of rental fee". No dry-floor day rate listed.</t>
  </si>
  <si>
    <t xml:space="preserve">Ice mid-September to mid-April, so dry floor ~mid-April to mid-September.</t>
  </si>
  <si>
    <t xml:space="preserve">Workable 800-cap venue in an untouched market, but no fighter base - a later-2027 expansion test.</t>
  </si>
  <si>
    <t xml:space="preserve">https://www.madawaskavalley.ca/recreation-tourism/facilities-rentals/paul-j-yakabuski-community-centre/</t>
  </si>
  <si>
    <t xml:space="preserve">Havelock</t>
  </si>
  <si>
    <t xml:space="preserve">~115 km / ~1 h 25 min (estimate)</t>
  </si>
  <si>
    <t xml:space="preserve">5,083 (Havelock-Belmont-Methuen, 2021 census)</t>
  </si>
  <si>
    <t xml:space="preserve">Havelock Community Centre (arena)</t>
  </si>
  <si>
    <t xml:space="preserve">Not shown; fees set by By-Law 2024-032 (not retrieved)</t>
  </si>
  <si>
    <t xml:space="preserve">Not stated</t>
  </si>
  <si>
    <t xml:space="preserve">Middling - licensed hall on site is a plus, but Marmora is a better-documented option on the same Hwy 7 corridor.</t>
  </si>
  <si>
    <t xml:space="preserve">https://www.hbmtwp.ca/play-and-discover/facilities/rent-a-facility</t>
  </si>
  <si>
    <t xml:space="preserve">Pembroke</t>
  </si>
  <si>
    <t xml:space="preserve">~175 km / ~2 h 10 min via Barry's Bay &amp; Hwy 60/41 (estimate)</t>
  </si>
  <si>
    <t xml:space="preserve">14,364 (City of Pembroke, 2021 census); Petawawa next door…</t>
  </si>
  <si>
    <t xml:space="preserve">Pembroke Memorial Centre</t>
  </si>
  <si>
    <t xml:space="preserve">2,250 seats; 3,750 with standing room</t>
  </si>
  <si>
    <t xml:space="preserve">Public skating Oct-Mar; spring/summer floor likely (estimate)</t>
  </si>
  <si>
    <t xml:space="preserve">Ottawa Valley Boxing</t>
  </si>
  <si>
    <t xml:space="preserve">Next Wave Combat (2026-08-01)</t>
  </si>
  <si>
    <t xml:space="preserve">Too far for 2027.</t>
  </si>
  <si>
    <t xml:space="preserve">https://en.wikipedia.org/wiki/Pembroke_Memorial_Centre</t>
  </si>
  <si>
    <t xml:space="preserve">Gravenhurst</t>
  </si>
  <si>
    <t xml:space="preserve">~165 km / ~2 h 05 min (estimate)</t>
  </si>
  <si>
    <t xml:space="preserve">13,157 (Town of Gravenhurst, 2021 census)</t>
  </si>
  <si>
    <t xml:space="preserve">Gravenhurst Centennial Centre (Graeme Murray Arena)</t>
  </si>
  <si>
    <t xml:space="preserve">2025 fee sheet (effective Jan 1, 2025; columns poorly aligned in PDF text): arena floor trade shows/concerts per hour ~ Commercial $231 / Non-commercial $209 / Youth-NFP $157; "Special Events Flat Rates... Complete use…</t>
  </si>
  <si>
    <t xml:space="preserve">Summer ice listed July-Labour Day; set-up fees apply 'whether ice is in or not'</t>
  </si>
  <si>
    <t xml:space="preserve">Rock Solid Wrestling 'Brace For Impact' (2025-03-29)</t>
  </si>
  <si>
    <t xml:space="preserve">Too far for now.</t>
  </si>
  <si>
    <t xml:space="preserve">https://gravenhurst.ca/media/msmpvc4a/centennial-centre-arena-fees-2025.pdf</t>
  </si>
  <si>
    <t xml:space="preserve">Campbellford</t>
  </si>
  <si>
    <t xml:space="preserve">~135 km / ~1 h 45 min (estimate)</t>
  </si>
  <si>
    <t xml:space="preserve">13,861 (Trent Hills, 2021 census)</t>
  </si>
  <si>
    <t xml:space="preserve">Sunny Life Recreation &amp; Wellness Centre</t>
  </si>
  <si>
    <t xml:space="preserve">Low priority - far, no fighter base.</t>
  </si>
  <si>
    <t xml:space="preserve">https://trenthills.ca/parks-recreation-community/sunny-life-recreation-wellness-centre</t>
  </si>
  <si>
    <t xml:space="preserve">Tweed</t>
  </si>
  <si>
    <t xml:space="preserve">~120 km / ~1 h 30 min via Madoc &amp; Hwy 7/37 (estimate)</t>
  </si>
  <si>
    <t xml:space="preserve">6,067 (Municipality of Tweed, 2021 census)</t>
  </si>
  <si>
    <t xml:space="preserve">Tweed Hungerford Community Centre (arena)</t>
  </si>
  <si>
    <t xml:space="preserve">Not found</t>
  </si>
  <si>
    <t xml:space="preserve">Infinite Martial Arts and Fitness</t>
  </si>
  <si>
    <t xml:space="preserve">Low priority - farther than Marmora/Madoc with no published venue info.</t>
  </si>
  <si>
    <t xml:space="preserve">https://tweed.ca/business-directory-c451/tweed-community-centre/236</t>
  </si>
  <si>
    <t xml:space="preserve">Norwood</t>
  </si>
  <si>
    <t xml:space="preserve">~125 km / ~1 h 30 min (estimate)</t>
  </si>
  <si>
    <t xml:space="preserve">4,658 (Asphodel-Norwood, 2021 census)</t>
  </si>
  <si>
    <t xml:space="preserve">Asphodel-Norwood Community Centre</t>
  </si>
  <si>
    <t xml:space="preserve">Kawartha Combat; 10th Planet Jiu Jitsu Peterborough; Corcoran's Boxing Club &amp; Fitness Centre</t>
  </si>
  <si>
    <t xml:space="preserve">Low priority - no published venue data and Peterborough is the bigger draw nearby.</t>
  </si>
  <si>
    <t xml:space="preserve">https://www.antownship.ca/township-services/facilities/community-centre</t>
  </si>
  <si>
    <t xml:space="preserve">Bobcaygeon</t>
  </si>
  <si>
    <t xml:space="preserve">~120 km / ~1 h 30 min via Hwy 28 &amp; Hwy 36 (estimate)</t>
  </si>
  <si>
    <t xml:space="preserve">Part of Kawartha Lakes (79,247, 2021 census)</t>
  </si>
  <si>
    <t xml:space="preserve">Bobcaygeon/Verulam Community Centre</t>
  </si>
  <si>
    <t xml:space="preserve">Hall 200</t>
  </si>
  <si>
    <t xml:space="preserve">Low priority - no venue capacity data.</t>
  </si>
  <si>
    <t xml:space="preserve">https://www.kawarthalakes.ca/explore-play/facility-and-park-rentals/community-hall-rentals/</t>
  </si>
  <si>
    <t xml:space="preserve">Coe Hill / Wollaston</t>
  </si>
  <si>
    <t xml:space="preserve">~40 km / ~35 min (estimate)</t>
  </si>
  <si>
    <t xml:space="preserve">721 (Wollaston, 2021 census)</t>
  </si>
  <si>
    <t xml:space="preserve">Coe Hill Fair Grounds (outdoor)</t>
  </si>
  <si>
    <t xml:space="preserve">Outdoor only</t>
  </si>
  <si>
    <t xml:space="preserve">Skip as a host; at most a promo booth at the Coe Hill Fair.</t>
  </si>
  <si>
    <t xml:space="preserve">https://hastings.ca/adventures/events/coe-hill-agricultural-society-fair-coe-hill-fair-grounds</t>
  </si>
  <si>
    <t xml:space="preserve">Coboconk</t>
  </si>
  <si>
    <t xml:space="preserve">~125 km / ~1 h 35 min via Minden &amp; Hwy 35 (estimate)</t>
  </si>
  <si>
    <t xml:space="preserve">Coboconk Community Centre (hall)</t>
  </si>
  <si>
    <t xml:space="preserve">175</t>
  </si>
  <si>
    <t xml:space="preserve">N/A</t>
  </si>
  <si>
    <t xml:space="preserve">Not viable - no arena.</t>
  </si>
  <si>
    <t xml:space="preserve">2027 VENUES: WHERE A 1,000+ CROWD OR A WINTER SHOW COULD WORK</t>
  </si>
  <si>
    <t xml:space="preserve">Cody's 10 towns plus casinos and event centres up to 3 hours from Bancroft, researched October 2026. Score 1-5 (crowd, venue, fighters, competition, distance). Arenas have ice in winter, so Jan, Feb and Nov need a venue that holds floor events in hockey season.</t>
  </si>
  <si>
    <t xml:space="preserve">Type</t>
  </si>
  <si>
    <t xml:space="preserve">Score</t>
  </si>
  <si>
    <t xml:space="preserve">Winter OK (Jan/Feb/Nov)?</t>
  </si>
  <si>
    <t xml:space="preserve">Event capacity (as published)</t>
  </si>
  <si>
    <t xml:space="preserve">Combat shows held there</t>
  </si>
  <si>
    <t xml:space="preserve">Who to call</t>
  </si>
  <si>
    <t xml:space="preserve">Town verdict</t>
  </si>
  <si>
    <t xml:space="preserve">Clashes to avoid</t>
  </si>
  <si>
    <t xml:space="preserve">Source</t>
  </si>
  <si>
    <t xml:space="preserve">~1 h 37 min</t>
  </si>
  <si>
    <t xml:space="preserve">Peterborough Memorial Centre (PMC)</t>
  </si>
  <si>
    <t xml:space="preserve">Arena</t>
  </si>
  <si>
    <t xml:space="preserve">Concerts: 'customizable capacity ranging from 1722 to 5501 including floor capacity'; ice events 4,050 max. No boxing/MMA configuration published.</t>
  </si>
  <si>
    <t xml:space="preserve">Not published - request a quote</t>
  </si>
  <si>
    <t xml:space="preserve">No 2024-2026 boxing/MMA found. Earlier pro 'Homecoming' cards (e.g., Feb 9, 2019, where Cody Purtell was billed; confirm with Cody). OFSAA high-school wrestling, Mar…</t>
  </si>
  <si>
    <t xml:space="preserve">Jose Garcia-Perez, Event Services Supervisor, 705-743-3561 ext. 2504, jgarcia-perez@peterborough.ca</t>
  </si>
  <si>
    <t xml:space="preserve">Best 2027 bet for a 1,000+ winter show: closest city arena that holds events in Nov-Feb, smallest published setup 1,722, deepest local fighter pool, and no recent MMA competition. Cost is the unknown.</t>
  </si>
  <si>
    <t xml:space="preserve">Peterborough Petes (OHL) home games at PMC (Late Sept to March (plus playoffs)); Dean Brody &amp; The Reklaws at PMC (Sat Nov 21, 2026 (one-off; shows PMC books November Saturdays))</t>
  </si>
  <si>
    <t xml:space="preserve">https://venuecoalition.com/wp-content/uploads/2025/02/Tech-Pack-2024.pdf</t>
  </si>
  <si>
    <t xml:space="preserve">Healthy Planet Arena (formerly Evinrude Centre)</t>
  </si>
  <si>
    <t xml:space="preserve">No (ice)</t>
  </si>
  <si>
    <t xml:space="preserve">Special events on a floor pad: $3,700.75 per day per pad (City of Peterborough)</t>
  </si>
  <si>
    <t xml:space="preserve">None found 2024-2026 (a kickboxing event was held here in 2011 per ptbocanada.com).</t>
  </si>
  <si>
    <t xml:space="preserve">Facility Booking 705-742-7777 ext. 2577, facilitybooking@peterborough.ca</t>
  </si>
  <si>
    <t xml:space="preserve">https://www.peterborough.ca/arenas</t>
  </si>
  <si>
    <t xml:space="preserve">0 (home base)</t>
  </si>
  <si>
    <t xml:space="preserve">Not published. The Town has said it wants year-round rentals; the arena ran a $207,350 deficit in 2023.</t>
  </si>
  <si>
    <t xml:space="preserve">No MMA or boxing found. Smash Wrestling (pro wrestling) ran here May 15, 2015.</t>
  </si>
  <si>
    <t xml:space="preserve">613-332-2062; communitycentre@bancroft.ca (2023)</t>
  </si>
  <si>
    <t xml:space="preserve">Home show for spring or early summer only (no winter option). 1,000+ is unproven: show 1 sold ~400 tickets. Get the NHCC floor capacity before booking.</t>
  </si>
  <si>
    <t xml:space="preserve">Rockhound Gemboree (fills NHCC) (Civic Holiday long weekend; 2026 opened Thu Jul 30. In 2027 the Civic Holiday is Mon Aug 2 (calendar).)</t>
  </si>
  <si>
    <t xml:space="preserve">~2 h 29 min</t>
  </si>
  <si>
    <t xml:space="preserve">Tribute Communities Centre (TCC)</t>
  </si>
  <si>
    <t xml:space="preserve">Main rink seating is flexible: 'can host events that require seating from 1,000 to 7,600'. Hockey 5,180 (6,125 with standing room).</t>
  </si>
  <si>
    <t xml:space="preserve">Not published - 'Request a Proposal' via Oak View Group</t>
  </si>
  <si>
    <t xml:space="preserve">Rise of the Phoenix (Durham Fight Series, Oshawa's first pro MMA card), June 3, 2023; boxing at the 2015 Pan Am Games</t>
  </si>
  <si>
    <t xml:space="preserve">Oak View Group; 905-438-8881 x116; tributecommunitiescentre.com/host-an-event/request-a-proposal</t>
  </si>
  <si>
    <t xml:space="preserve">Biggest market within 2.5 h and a winter-capable arena that scales down to 1,000, but crowded: BTC ran there in 2024 and 2025, PFC wants back in, and pro boxing runs in Pickering. TCC's renovation starts in 2027.</t>
  </si>
  <si>
    <t xml:space="preserve">Oshawa Generals (OHL) and Oshawa FireWolves (NLL) home dates at TCC (Generals Sept-March; FireWolves home opener Nov 27, 2026, season into spring); Oshawa Peony Festival (next to Children's Arena, 155 Arena St) (Early…</t>
  </si>
  <si>
    <t xml:space="preserve">https://www.tributecommunitiescentre.com/host-an-event</t>
  </si>
  <si>
    <t xml:space="preserve">~54 min</t>
  </si>
  <si>
    <t xml:space="preserve">Not published. Show 1 (May 2, 2026) was planned for 800-1,000 (Highlander). Cody's actual figures: about 400 tickets sold and 400-600 people in the building.</t>
  </si>
  <si>
    <t xml:space="preserve">By-Law 2023-39: ice surface $1,030.00/day for profit events ($463.50 non-profit); auditorium $42.45/hr (max $265.25/day); staff set-up $30/hr. These are 2023-24 rates.</t>
  </si>
  <si>
    <t xml:space="preserve">CCCL 1 - Cottage Country Combat League amateur MMA, May 2, 2026</t>
  </si>
  <si>
    <t xml:space="preserve">705-457-1740 ext. 635 (Municipality of Dysart et al)</t>
  </si>
  <si>
    <t xml:space="preserve">Proven and cheap, but the crowd was about 400-600, half of the 1,000 target. Keep it as the yearly spring anniversary show only if Cody accepts a smaller house there.</t>
  </si>
  <si>
    <t xml:space="preserve">Haliburton County Fair (Minden fairgrounds, 20 min away) (Mid-June; Sat June 13, 2026)</t>
  </si>
  <si>
    <t xml:space="preserve">~38 min</t>
  </si>
  <si>
    <t xml:space="preserve">Arena floor not published; banquet hall up to 325</t>
  </si>
  <si>
    <t xml:space="preserve">2026, plus HST: arena special-event flat rate $600.00/day; hall $300/day + $50 kitchen/bar</t>
  </si>
  <si>
    <t xml:space="preserve">705-656-4445; Shawn Tucker, Parks &amp; Rec Supervisor, s.tucker@northkawartha.ca</t>
  </si>
  <si>
    <t xml:space="preserve">Cheapest rental ($600/day) and close, but the population is tiny and floor capacity is unpublished. Use it only for a smaller summer show or one that pulls from Peterborough.</t>
  </si>
  <si>
    <t xml:space="preserve">Apsley Lions Home &amp; Cottage Show (at NKCC) (Early May; May 2-3, 2026); Apsley Lions Giant Flea Market (at NKCC) (Mid-July; July 18-19, 2026)</t>
  </si>
  <si>
    <t xml:space="preserve">~2 h 02 min (Rome2rio estimate;…</t>
  </si>
  <si>
    <t xml:space="preserve">Not published (booked through the City's portal)</t>
  </si>
  <si>
    <t xml:space="preserve">Facility Booking 705-324-9411 ext. 1226, facilitybooking@kawarthalakes.ca; complex 705-324-9112</t>
  </si>
  <si>
    <t xml:space="preserve">Strong fighter partner (Big Country), but no verified 1,000+ venue and no winter option. Better to bring Big Country fighters to Peterborough than to run in Lindsay.</t>
  </si>
  <si>
    <t xml:space="preserve">Lindsay Exhibition (LEX) (Late September; Sept 23-27, 2026)</t>
  </si>
  <si>
    <t xml:space="preserve">Lindsay Exhibition Grounds</t>
  </si>
  <si>
    <t xml:space="preserve">Fairgrounds</t>
  </si>
  <si>
    <t xml:space="preserve">Lindsay Agricultural Society</t>
  </si>
  <si>
    <t xml:space="preserve">https://ontariovisited.ca/las-presents-the-lex-2026/</t>
  </si>
  <si>
    <t xml:space="preserve">Children's Arena (City of Oshawa)</t>
  </si>
  <si>
    <t xml:space="preserve">Floor, commercial: $120/hr + HST (effective Apr 1, 2026); no event day rate published</t>
  </si>
  <si>
    <t xml:space="preserve">BTC 25: Legacy (BTC Fight Promotions), Sept 14, 2024</t>
  </si>
  <si>
    <t xml:space="preserve">Service Oshawa 905-436-3311, service@oshawa.ca; online Arena Rental Application</t>
  </si>
  <si>
    <t xml:space="preserve">https://www.oshawa.ca/explore-play/recreation/facilities-and-rentals/arena-rentals/</t>
  </si>
  <si>
    <t xml:space="preserve">Rama / Orillia (Casino Rama)</t>
  </si>
  <si>
    <t xml:space="preserve">~2 h 20 min to Orillia; Casino Rama is…</t>
  </si>
  <si>
    <t xml:space="preserve">Casino Rama Resort - Entertainment Centre</t>
  </si>
  <si>
    <t xml:space="preserve">Casino</t>
  </si>
  <si>
    <t xml:space="preserve">Over 5,000 seats (Wikipedia); no boxing/MMA configuration published</t>
  </si>
  <si>
    <t xml:space="preserve">Pro boxing Jan 19, 2008 (Orion Sports Management); MMA Apr 2, 2011, billed as Ontario's first sanctioned MMA event; Bellator events 2011 and Bellator 67 (May 2012).…</t>
  </si>
  <si>
    <t xml:space="preserve">Casino Rama Resort entertainment / events department</t>
  </si>
  <si>
    <t xml:space="preserve">Big winter-proof room with MMA history, but no combat since about 2012 and no rental terms. Worth one inquiry as a future 'big show', not a 2027 base.</t>
  </si>
  <si>
    <t xml:space="preserve">https://en.wikipedia.org/wiki/Casino_Rama</t>
  </si>
  <si>
    <t xml:space="preserve">Pickering (Pickering Casino Resort)</t>
  </si>
  <si>
    <t xml:space="preserve">~2 h 40 min</t>
  </si>
  <si>
    <t xml:space="preserve">The Arena at Pickering Casino Resort</t>
  </si>
  <si>
    <t xml:space="preserve">2,500 seats (opened Apr 26, 2023)</t>
  </si>
  <si>
    <t xml:space="preserve">United Boxing Promotions 'Fight Night at the Casino' pro boxing: 4th edition Oct 21, 2023 (first three reported sold out); Sept 20, 2024; Oct 19, 2024 (announced);…</t>
  </si>
  <si>
    <t xml:space="preserve">Pickering Casino Resort events</t>
  </si>
  <si>
    <t xml:space="preserve">Right-sized (2,500) winter-proof casino arena that already does combat nights, but it's 2 h 40 min away in a crowded market. A fallback if TCC or PMC fall through.</t>
  </si>
  <si>
    <t xml:space="preserve">United Boxing Promotions' recurring casino fight nights at the same venue (Several per year (2023-2024))</t>
  </si>
  <si>
    <t xml:space="preserve">https://blogto.com/music/2023/03/arena-pickering-casino-resort-officially-opening</t>
  </si>
  <si>
    <t xml:space="preserve">~2 h 36 min</t>
  </si>
  <si>
    <t xml:space="preserve">Slush Puppie Place (formerly Leon's Centre / K-Rock Centre)</t>
  </si>
  <si>
    <t xml:space="preserve">6,700 seats, or 5,700 for cold-season events (Visit Kingston guide); 5,000 for hockey (Wikipedia). No MMA configuration published.</t>
  </si>
  <si>
    <t xml:space="preserve">BTC 19: Fight Night Kingston (pro MMA, Mar 18, 2023) and BTC 23: Revolution (Mar 16, 2024), both as Leon's Centre</t>
  </si>
  <si>
    <t xml:space="preserve">Managed by ASM Global; venue 613-650-5000; 'Private Venue Bookings' page on slushpuppieplace.com. Tourism Kingston sport team:…</t>
  </si>
  <si>
    <t xml:space="preserve">Arena already proven for winter MMA (BTC held two March cards), in a 132k city. Good for a November show, but the 2.5 h+ drive and a thin known amateur MMA gym base are the drawbacks.</t>
  </si>
  <si>
    <t xml:space="preserve">Kingston Frontenacs (OHL) home games (Sept-March; e.g., Nov 27, 2026, Jan 2/13/15/30 and Feb 26, 2027); Spirit of Winter festival (downtown) (February; began Feb 1, 2026); Kingston Fall Fair (Memorial Centre…</t>
  </si>
  <si>
    <t xml:space="preserve">https://www.visitkingston.ca/media/documents/sports/Sport-Facilities-Guide.pdf</t>
  </si>
  <si>
    <t xml:space="preserve">Bond Street Event Centre (BOND|ST)</t>
  </si>
  <si>
    <t xml:space="preserve">Event Centre</t>
  </si>
  <si>
    <t xml:space="preserve">PFC 24 (Prospect Fighting Championships) was booked here for June 20, 2026, then moved to Caledonia because of the FIFA World Cup</t>
  </si>
  <si>
    <t xml:space="preserve">bondst.ca</t>
  </si>
  <si>
    <t xml:space="preserve">https://doorsopenontario.on.ca/oshawa/bond-st-event-centre</t>
  </si>
  <si>
    <t xml:space="preserve">~1 h 01 min</t>
  </si>
  <si>
    <t xml:space="preserve">613-473-4206</t>
  </si>
  <si>
    <t xml:space="preserve">Not a 1,000+ market and there's no winter option. Marmora (25 min away) publishes a 1,000-person dry floor at $600/day and is the better summer pick in this area.</t>
  </si>
  <si>
    <t xml:space="preserve">Madoc Fair (at the arena grounds) (3rd weekend of September; Sept 18-20, 2026)</t>
  </si>
  <si>
    <t xml:space="preserve">Port Perry (Great Blue Heron Casino)</t>
  </si>
  <si>
    <t xml:space="preserve">~2 h 27 min</t>
  </si>
  <si>
    <t xml:space="preserve">Great Blue Heron Casino &amp; Hotel - live entertainment/special events venue</t>
  </si>
  <si>
    <t xml:space="preserve">About 800 seats (12,637 sq ft; banquet, theatre or GA), so under 1,000</t>
  </si>
  <si>
    <t xml:space="preserve">Great Blue Heron Casino events</t>
  </si>
  <si>
    <t xml:space="preserve">Too small (about 800) for the 1,000+ target. Skip.</t>
  </si>
  <si>
    <t xml:space="preserve">https://toronto.ctvnews.ca/a-new-entertainment-venue-just-opened-in-the-gta-1.6736507</t>
  </si>
  <si>
    <t xml:space="preserve">Kingston Memorial Centre</t>
  </si>
  <si>
    <t xml:space="preserve">Unclear</t>
  </si>
  <si>
    <t xml:space="preserve">3,300 seats (Wikipedia); Visit Kingston guide says 2,500, or bleachers for up to 1,000. Figures conflict.</t>
  </si>
  <si>
    <t xml:space="preserve">None found. The fairgrounds host the Kingston Fall Fair.</t>
  </si>
  <si>
    <t xml:space="preserve">City of Kingston recreation</t>
  </si>
  <si>
    <t xml:space="preserve">Queen's Athletics &amp; Recreation Centre (ARC) main gym</t>
  </si>
  <si>
    <t xml:space="preserve">Main gym seats 1,904 (15,488 sq ft floor with seats retracted)</t>
  </si>
  <si>
    <t xml:space="preserve">Queen's Athletics &amp; Recreation</t>
  </si>
  <si>
    <t xml:space="preserve">INVISTA Centre</t>
  </si>
  <si>
    <t xml:space="preserve">725 seats on the main pad (250 on each of three others) plus 1,000 standing room</t>
  </si>
  <si>
    <t xml:space="preserve">City of Kingston</t>
  </si>
  <si>
    <t xml:space="preserve">General Sikorski Hall</t>
  </si>
  <si>
    <t xml:space="preserve">Hall</t>
  </si>
  <si>
    <t xml:space="preserve">565 max (Grand Ballroom 500), so under 1,000</t>
  </si>
  <si>
    <t xml:space="preserve">BTC 31: Invictus, Aug 9, 2025</t>
  </si>
  <si>
    <t xml:space="preserve">289-356-6399</t>
  </si>
  <si>
    <t xml:space="preserve">https://www.eventective.com/oshawa-on/general-sikorski-hall-596553.html</t>
  </si>
  <si>
    <t xml:space="preserve">Niagara Falls</t>
  </si>
  <si>
    <t xml:space="preserve">OVER 3 H: ~4 h 29 min</t>
  </si>
  <si>
    <t xml:space="preserve">Niagara Falls Convention Centre</t>
  </si>
  <si>
    <t xml:space="preserve">Exhibit Hall A 2,142 theatre; Exhibit Hall ABC 6,400 theatre; Peller Estates Ballroom 1,722 theatre. No boxing configuration published.</t>
  </si>
  <si>
    <t xml:space="preserve">Pro boxing: Lucas Bahdi bouts Jul 2, 2022, May 21, 2023 and Jun 1, 2024. Tarps Off Fight Club 'Brawl by the Falls' MMA, Dec 18, 2021, listed as 'ScotiaBank Convention…</t>
  </si>
  <si>
    <t xml:space="preserve">Niagara Falls Convention Centre sales (fallsconventions.com)</t>
  </si>
  <si>
    <t xml:space="preserve">Good venues and tourist traffic, but 4.5 h from Bancroft, outside Cody's 3 h limit, and already served by BTC, PFC and pro boxing. Not for 2027.</t>
  </si>
  <si>
    <t xml:space="preserve">Winter Festival of Lights (Mid-Nov to early Jan; Nov 14, 2026 to Jan 10, 2027)</t>
  </si>
  <si>
    <t xml:space="preserve">https://fallsconventions.com/plan/rooms-spaces</t>
  </si>
  <si>
    <t xml:space="preserve">OLG Stage at Fallsview Casino</t>
  </si>
  <si>
    <t xml:space="preserve">5,000-seat theatre</t>
  </si>
  <si>
    <t xml:space="preserve">None found (concerts and comedy)</t>
  </si>
  <si>
    <t xml:space="preserve">MGE Niagara Entertainment (Mohegan), operator for OLG</t>
  </si>
  <si>
    <t xml:space="preserve">https://www.canadiangamingbusiness.com/2022/09/01/fallsview-olg-partner-up-on-new-casino-theatre/</t>
  </si>
  <si>
    <t xml:space="preserve">Alliston (New Tecumseth)</t>
  </si>
  <si>
    <t xml:space="preserve">OVER 3 H: ~3 h 16 min</t>
  </si>
  <si>
    <t xml:space="preserve">Nottawasaga Inn Resort - Trade Centre</t>
  </si>
  <si>
    <t xml:space="preserve">Trade Centre 20,358 sq ft: 1,000 theatre / 1,000 banquet</t>
  </si>
  <si>
    <t xml:space="preserve">Nottawasaga Resort sales</t>
  </si>
  <si>
    <t xml:space="preserve">Over the 3 h limit, with no local fight gym found and only a 1,000-seat hotel hall. Not worth it in 2027.</t>
  </si>
  <si>
    <t xml:space="preserve">Alliston Potato Festival (Church Street Fairgrounds) (Early-mid August; Aug 8-10, 2025)</t>
  </si>
  <si>
    <t xml:space="preserve">https://www.successfulmeetings.com/Meeting-Event-Venues/Alliston-ON/Convention-Hotel/Nottawasaga-Inn-Resort-Conference-Ctr-p5578841</t>
  </si>
  <si>
    <t xml:space="preserve">New Tecumseth Recreation Centre (main arena)</t>
  </si>
  <si>
    <t xml:space="preserve">Main arena seats 750 (2021)</t>
  </si>
  <si>
    <t xml:space="preserve">Town of New Tecumseth</t>
  </si>
  <si>
    <t xml:space="preserve">https://newtectimes.com/new-tecumseth-recreation-centre-getting-a-new-roof/</t>
  </si>
  <si>
    <t xml:space="preserve">Americana Resort (Grande Ballroom)</t>
  </si>
  <si>
    <t xml:space="preserve">Grande Ballroom 750 theatre / 625 banquet, so under 1,000</t>
  </si>
  <si>
    <t xml:space="preserve">BTC 32: The Battle of Lundy's Lane (pro-am MMA), Sept 13, 2025</t>
  </si>
  <si>
    <t xml:space="preserve">Americana Resort sales</t>
  </si>
  <si>
    <t xml:space="preserve">https://www.meetings-conventions.com/Meeting-Event-Venues/Niagara-Falls-ON/Convention-Hotel/Americana-Resort-Spa-Waterpark-p2357166</t>
  </si>
  <si>
    <t xml:space="preserve">OTHER PROMOTIONS RUNNING IN THESE MARKETS</t>
  </si>
  <si>
    <t xml:space="preserve">Promotion</t>
  </si>
  <si>
    <t xml:space="preserve">Where</t>
  </si>
  <si>
    <t xml:space="preserve">How often</t>
  </si>
  <si>
    <t xml:space="preserve">BTC Fight Promotions (Burlington; owner Irene Starr; pro-am MMA since amateur MMA was legalized on Jan 1, 2025)</t>
  </si>
  <si>
    <t xml:space="preserve">Kingston, Oshawa, Belleville, Niagara Falls, Burlington, London</t>
  </si>
  <si>
    <t xml:space="preserve">About 5-7 cards a year (estimate from numbering: BTC 25 in Sept 2024 to BTC 37 in June 2026). Moves around Ontario and has already worked Kingston and Oshawa.</t>
  </si>
  <si>
    <t xml:space="preserve">Prospect Fighting Championships (PFC; London-based; founder Jamie Champion; pro and amateur; OAC-sanctioned)</t>
  </si>
  <si>
    <t xml:space="preserve">London, Sarnia, Niagara-on-the-Lake, Caledonia; Oshawa planned</t>
  </si>
  <si>
    <t xml:space="preserve">Six events in 2026, about one every 1-2 months. Organizer said it plans to return to Oshawa in November.</t>
  </si>
  <si>
    <t xml:space="preserve">Official Fight Federation (OFF; 'presented by Gary Goodridge')</t>
  </si>
  <si>
    <t xml:space="preserve">Barrie / Simcoe County</t>
  </si>
  <si>
    <t xml:space="preserve">One event found; no follow-up found</t>
  </si>
  <si>
    <t xml:space="preserve">United Boxing Promotions (pro boxing; president Tyler Buxton)</t>
  </si>
  <si>
    <t xml:space="preserve">Pickering / Durham</t>
  </si>
  <si>
    <t xml:space="preserve">Recurring 'Fight Night at the Casino': at least 4 by Oct 2023 plus Sept, Oct and Dec 2024; 2025-26 schedule not found</t>
  </si>
  <si>
    <t xml:space="preserve">Durham Fight Series (pro MMA)</t>
  </si>
  <si>
    <t xml:space="preserve">One event found (2023); no 2024-2026 events found</t>
  </si>
  <si>
    <t xml:space="preserve">Lead time: the Ontario Athletics Commission needs the event permit at least 30 days ahead (120 days for rule changes), so a January 2027 show is very tight and February only works if the venue is booked now. No big venue publishes its rental cost: ask each for a quote. Drive times are estimates.</t>
  </si>
  <si>
    <t xml:space="preserve">ADULTS-ONLY (19+) SHOW: IS IT WORTH IT?</t>
  </si>
  <si>
    <t xml:space="preserve">Compares each venue as a family show, a family show with a 19+ bar area, and an adults-only show. Adults-only means no youth grappling and no one under 19 in the building, but a full bar and room for an alcohol sponsor. Yellow cells are ESTIMATES: change them.</t>
  </si>
  <si>
    <t xml:space="preserve">ASSUMPTIONS (ESTIMATES: ask each venue who runs the bar and what CCCL gets)</t>
  </si>
  <si>
    <t xml:space="preserve">Adults (19+) at a family show: % of the crowd</t>
  </si>
  <si>
    <t xml:space="preserve">ESTIMATE. The rest are kids, teens and youth grapplers.</t>
  </si>
  <si>
    <t xml:space="preserve">Bar sales per adult: family show with a 19+ area ($)</t>
  </si>
  <si>
    <t xml:space="preserve">ESTIMATE. Fewer adults drink when the family is with them.</t>
  </si>
  <si>
    <t xml:space="preserve">Bar sales per adult: adults-only show ($)</t>
  </si>
  <si>
    <t xml:space="preserve">ESTIMATE.</t>
  </si>
  <si>
    <t xml:space="preserve">CCCL's share of bar sales</t>
  </si>
  <si>
    <t xml:space="preserve">Mat McTrash's offer: 50% of total bar sales to CCCL (Cody, Oct 20, 2026). It only applies where Mat McTrash runs the bar; ask every other venue. A for-profit promoter usually can't hold the public-event liquor permit itself (AGCO: charities, non-profits, or events a council names municipally significant).</t>
  </si>
  <si>
    <t xml:space="preserve">Crowd change for an adults-only show</t>
  </si>
  <si>
    <t xml:space="preserve">ESTIMATE. Lose kids, teens and youth grapplers' families. Make it less negative if CCCL's crowd is mostly adults.</t>
  </si>
  <si>
    <t xml:space="preserve">Alcohol brand sponsorship, adults-only show only ($)</t>
  </si>
  <si>
    <t xml:space="preserve">0 until signed. Proper No. Twelve at Gold would be $4,000, a long shot. Alcohol brands need a mostly-adult audience, so not at family shows.</t>
  </si>
  <si>
    <t xml:space="preserve">Extra cost: 19+ area at a family show ($)</t>
  </si>
  <si>
    <t xml:space="preserve">ESTIMATE. Fencing, wristbands, ID checks, an extra security guard.</t>
  </si>
  <si>
    <t xml:space="preserve">Extra cost: adults-only show ($)</t>
  </si>
  <si>
    <t xml:space="preserve">ESTIMATE. ID checks at the door and extra security.</t>
  </si>
  <si>
    <t xml:space="preserve">RESULT AT THE EXPECTED CROWD (from the Compare tab)</t>
  </si>
  <si>
    <t xml:space="preserve">Family show profit</t>
  </si>
  <si>
    <t xml:space="preserve">Family + 19+ area profit</t>
  </si>
  <si>
    <t xml:space="preserve">Adults-only crowd</t>
  </si>
  <si>
    <t xml:space="preserve">Adults-only profit</t>
  </si>
  <si>
    <t xml:space="preserve">Best option</t>
  </si>
  <si>
    <t xml:space="preserve">Bar money CCCL needs per adult for adults-only to beat the best family option</t>
  </si>
  <si>
    <t xml:space="preserve">Biggest crowd drop adults-only can take (vs the best family option)</t>
  </si>
  <si>
    <t xml:space="preserve">How to read it: an adults-only show gives up every under-19 ticket (kids, teens, youth grapplers' families) to get a full bar and room for an alcohol sponsor. Each paid ticket brings in about $73 after fees, and CCCL only gets a slice of the bar, so a big crowd drop is hard to make up. The second-last column is the number to take to a venue: it's what CCCL's share of the bar must reach per adult for adults-only to beat the better of the two family options. If CCCL can't get that much, keep the show family-friendly.</t>
  </si>
  <si>
    <t xml:space="preserve">Rules to check before an adults-only show (a summary, not legal advice): who holds the liquor licence or Special Occasion Permit (AGCO), the venue's municipal alcohol policy, the Ontario Athletics Commission, and the alcohol advertising rules (no alcohol branding near anything aimed at under-19s). A family show with a fenced 19+ area keeps the kids and still sells drinks to adults.</t>
  </si>
  <si>
    <t xml:space="preserve">TICKET TRACKER</t>
  </si>
  <si>
    <t xml:space="preserve">Pick the show, then once a week type the running totals from Eventbrite. It shows how close you are to break-even and how many tickets a week you still need.</t>
  </si>
  <si>
    <t xml:space="preserve">Show (pick the venue)</t>
  </si>
  <si>
    <t xml:space="preserve">A.J. LaRue Arena · Haliburton</t>
  </si>
  <si>
    <t xml:space="preserve">Pick from the list (it's the venue names on Compare).</t>
  </si>
  <si>
    <t xml:space="preserve">Show date</t>
  </si>
  <si>
    <t xml:space="preserve">Type the show date.</t>
  </si>
  <si>
    <t xml:space="preserve">Paid tickets to break even</t>
  </si>
  <si>
    <t xml:space="preserve">Paid tickets at the expected crowd</t>
  </si>
  <si>
    <t xml:space="preserve">Sellable capacity</t>
  </si>
  <si>
    <t xml:space="preserve">Ticket money uses the prices on Inputs and doesn't take off Eventbrite fees. Comps don't count toward break-even.</t>
  </si>
  <si>
    <t xml:space="preserve">Week ending</t>
  </si>
  <si>
    <t xml:space="preserve">GA sold (total so far)</t>
  </si>
  <si>
    <t xml:space="preserve">VIP seats sold (total)</t>
  </si>
  <si>
    <t xml:space="preserve">VIP table seats sold (total)</t>
  </si>
  <si>
    <t xml:space="preserve">Comps given (total)</t>
  </si>
  <si>
    <t xml:space="preserve">Ticket money so far ($)</t>
  </si>
  <si>
    <t xml:space="preserve">% of break-even</t>
  </si>
  <si>
    <t xml:space="preserve">Weeks to show</t>
  </si>
  <si>
    <t xml:space="preserve">Paid tickets still needed</t>
  </si>
  <si>
    <t xml:space="preserve">Needed per week</t>
  </si>
  <si>
    <t xml:space="preserve">Notes</t>
  </si>
</sst>
</file>

<file path=xl/styles.xml><?xml version="1.0" encoding="utf-8"?>
<styleSheet xmlns="http://schemas.openxmlformats.org/spreadsheetml/2006/main">
  <numFmts count="13">
    <numFmt numFmtId="164" formatCode="General"/>
    <numFmt numFmtId="165" formatCode="0%;\(0%\);\-"/>
    <numFmt numFmtId="166" formatCode="#,##0;\(#,##0\);\-"/>
    <numFmt numFmtId="167" formatCode="\$#,##0;&quot;($&quot;#,##0\);\-"/>
    <numFmt numFmtId="168" formatCode="\$#,##0.00"/>
    <numFmt numFmtId="169" formatCode="0.0%"/>
    <numFmt numFmtId="170" formatCode="\$#,##0.00;&quot;($&quot;#,##0.00\);\-"/>
    <numFmt numFmtId="171" formatCode="@"/>
    <numFmt numFmtId="172" formatCode="0.0"/>
    <numFmt numFmtId="173" formatCode="0%;\-0%;0%"/>
    <numFmt numFmtId="174" formatCode="0%"/>
    <numFmt numFmtId="175" formatCode="mmm\ d&quot;, &quot;yyyy"/>
    <numFmt numFmtId="176" formatCode="mmm\ d"/>
  </numFmts>
  <fonts count="18">
    <font>
      <sz val="11"/>
      <color theme="1"/>
      <name val="Calibri"/>
      <family val="2"/>
      <charset val="1"/>
    </font>
    <font>
      <sz val="10"/>
      <name val="Arial"/>
      <family val="0"/>
    </font>
    <font>
      <sz val="10"/>
      <name val="Arial"/>
      <family val="0"/>
    </font>
    <font>
      <sz val="10"/>
      <name val="Arial"/>
      <family val="0"/>
    </font>
    <font>
      <b val="true"/>
      <sz val="16"/>
      <color rgb="FFEAA959"/>
      <name val="Arial"/>
      <family val="0"/>
      <charset val="1"/>
    </font>
    <font>
      <sz val="10"/>
      <color rgb="FFFFFFFF"/>
      <name val="Arial"/>
      <family val="0"/>
      <charset val="1"/>
    </font>
    <font>
      <b val="true"/>
      <sz val="11"/>
      <color rgb="FF1D5A3A"/>
      <name val="Arial"/>
      <family val="0"/>
      <charset val="1"/>
    </font>
    <font>
      <b val="true"/>
      <sz val="11"/>
      <color rgb="FF081C2B"/>
      <name val="Arial"/>
      <family val="0"/>
      <charset val="1"/>
    </font>
    <font>
      <b val="true"/>
      <sz val="12"/>
      <color rgb="FFEAA959"/>
      <name val="Arial"/>
      <family val="0"/>
      <charset val="1"/>
    </font>
    <font>
      <b val="true"/>
      <sz val="10"/>
      <name val="Arial"/>
      <family val="0"/>
      <charset val="1"/>
    </font>
    <font>
      <sz val="10"/>
      <color rgb="FF000000"/>
      <name val="Arial"/>
      <family val="0"/>
      <charset val="1"/>
    </font>
    <font>
      <sz val="10"/>
      <color rgb="FF0000FF"/>
      <name val="Arial"/>
      <family val="0"/>
      <charset val="1"/>
    </font>
    <font>
      <sz val="10"/>
      <color rgb="FF008000"/>
      <name val="Arial"/>
      <family val="0"/>
      <charset val="1"/>
    </font>
    <font>
      <i val="true"/>
      <sz val="9"/>
      <color rgb="FF555555"/>
      <name val="Arial"/>
      <family val="0"/>
      <charset val="1"/>
    </font>
    <font>
      <b val="true"/>
      <sz val="11"/>
      <color rgb="FFFFFFFF"/>
      <name val="Arial"/>
      <family val="0"/>
      <charset val="1"/>
    </font>
    <font>
      <b val="true"/>
      <sz val="10"/>
      <color rgb="FF0000FF"/>
      <name val="Arial"/>
      <family val="0"/>
      <charset val="1"/>
    </font>
    <font>
      <b val="true"/>
      <sz val="10"/>
      <color rgb="FFFFFFFF"/>
      <name val="Arial"/>
      <family val="0"/>
      <charset val="1"/>
    </font>
    <font>
      <b val="true"/>
      <sz val="10"/>
      <color rgb="FF000000"/>
      <name val="Arial"/>
      <family val="0"/>
      <charset val="1"/>
    </font>
  </fonts>
  <fills count="8">
    <fill>
      <patternFill patternType="none"/>
    </fill>
    <fill>
      <patternFill patternType="gray125"/>
    </fill>
    <fill>
      <patternFill patternType="solid">
        <fgColor rgb="FF081C2B"/>
        <bgColor rgb="FF000000"/>
      </patternFill>
    </fill>
    <fill>
      <patternFill patternType="solid">
        <fgColor rgb="FFE8F3EC"/>
        <bgColor rgb="FFF2F2F2"/>
      </patternFill>
    </fill>
    <fill>
      <patternFill patternType="solid">
        <fgColor rgb="FFFFFF00"/>
        <bgColor rgb="FFFFFF00"/>
      </patternFill>
    </fill>
    <fill>
      <patternFill patternType="solid">
        <fgColor rgb="FFFBEBD3"/>
        <bgColor rgb="FFF2F2F2"/>
      </patternFill>
    </fill>
    <fill>
      <patternFill patternType="solid">
        <fgColor rgb="FFEAA959"/>
        <bgColor rgb="FFFF8080"/>
      </patternFill>
    </fill>
    <fill>
      <patternFill patternType="solid">
        <fgColor rgb="FFF2F2F2"/>
        <bgColor rgb="FFE8F3E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17" fillId="5"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8" fontId="17" fillId="0" borderId="1" xfId="0" applyFont="true" applyBorder="true" applyAlignment="false" applyProtection="false">
      <alignment horizontal="general" vertical="bottom" textRotation="0" wrapText="false" indent="0" shrinkToFit="false"/>
      <protection locked="true" hidden="false"/>
    </xf>
    <xf numFmtId="166" fontId="17" fillId="5"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1" fontId="17" fillId="0" borderId="1"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7" fontId="17" fillId="6"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72"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4" fillId="2" borderId="1" xfId="0" applyFont="true" applyBorder="true" applyAlignment="true" applyProtection="false">
      <alignment horizontal="general" vertical="center" textRotation="0" wrapText="true" indent="0" shrinkToFit="false"/>
      <protection locked="true" hidden="false"/>
    </xf>
    <xf numFmtId="172" fontId="10" fillId="0"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72" fontId="10" fillId="7"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73" fontId="11"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74" fontId="10"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75" fontId="11" fillId="4" borderId="1" xfId="0" applyFont="true" applyBorder="true" applyAlignment="false" applyProtection="false">
      <alignment horizontal="general" vertical="bottom" textRotation="0" wrapText="false" indent="0" shrinkToFit="false"/>
      <protection locked="true" hidden="false"/>
    </xf>
    <xf numFmtId="176" fontId="11" fillId="4"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
    <dxf>
      <fill>
        <patternFill>
          <bgColor rgb="FFF8CBAD"/>
        </patternFill>
      </fill>
    </dxf>
    <dxf>
      <font>
        <name val="Arial"/>
        <charset val="1"/>
        <family val="0"/>
        <b val="1"/>
        <color rgb="FFC00000"/>
        <sz val="10"/>
      </font>
      <fill>
        <patternFill>
          <bgColor rgb="FFF8CBAD"/>
        </patternFill>
      </fill>
    </dxf>
    <dxf>
      <fill>
        <patternFill>
          <bgColor rgb="FFC6EFCE"/>
        </patternFill>
      </fill>
    </dxf>
    <dxf>
      <fill>
        <patternFill>
          <bgColor rgb="FFFFEB9C"/>
        </patternFill>
      </fill>
    </dxf>
    <dxf>
      <fill>
        <patternFill patternType="solid">
          <fgColor rgb="FF081C2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CDEA7"/>
          <bgColor rgb="FF000000"/>
        </patternFill>
      </fill>
    </dxf>
    <dxf>
      <fill>
        <patternFill patternType="solid">
          <fgColor rgb="FFD4E1AD"/>
          <bgColor rgb="FF000000"/>
        </patternFill>
      </fill>
    </dxf>
    <dxf>
      <fill>
        <patternFill patternType="solid">
          <fgColor rgb="FFDDE5B4"/>
          <bgColor rgb="FF000000"/>
        </patternFill>
      </fill>
    </dxf>
    <dxf>
      <fill>
        <patternFill patternType="solid">
          <fgColor rgb="FFE6E8BA"/>
          <bgColor rgb="FF000000"/>
        </patternFill>
      </fill>
    </dxf>
    <dxf>
      <fill>
        <patternFill patternType="solid">
          <fgColor rgb="FFEEECC0"/>
          <bgColor rgb="FF000000"/>
        </patternFill>
      </fill>
    </dxf>
    <dxf>
      <fill>
        <patternFill patternType="solid">
          <fgColor rgb="FFF7EFC6"/>
          <bgColor rgb="FF000000"/>
        </patternFill>
      </fill>
    </dxf>
    <dxf>
      <fill>
        <patternFill patternType="solid">
          <fgColor rgb="FFFCE6C2"/>
          <bgColor rgb="FF000000"/>
        </patternFill>
      </fill>
    </dxf>
    <dxf>
      <fill>
        <patternFill patternType="solid">
          <fgColor rgb="FFFDEAC5"/>
          <bgColor rgb="FF000000"/>
        </patternFill>
      </fill>
    </dxf>
    <dxf>
      <fill>
        <patternFill patternType="solid">
          <fgColor rgb="FFFEEEC8"/>
          <bgColor rgb="FF000000"/>
        </patternFill>
      </fill>
    </dxf>
    <dxf>
      <fill>
        <patternFill patternType="solid">
          <fgColor rgb="FFFFF2CC"/>
          <bgColor rgb="FF000000"/>
        </patternFill>
      </fill>
    </dxf>
    <dxf>
      <fill>
        <patternFill patternType="solid">
          <fgColor rgb="FFA9D08E"/>
          <bgColor rgb="FF000000"/>
        </patternFill>
      </fill>
    </dxf>
    <dxf>
      <fill>
        <patternFill patternType="solid">
          <fgColor rgb="FFF8CBAD"/>
          <bgColor rgb="FF000000"/>
        </patternFill>
      </fill>
    </dxf>
    <dxf>
      <fill>
        <patternFill patternType="solid">
          <fgColor rgb="FFFBDEBC"/>
          <bgColor rgb="FF000000"/>
        </patternFill>
      </fill>
    </dxf>
    <dxf>
      <fill>
        <patternFill patternType="solid">
          <fgColor rgb="FFF2F2F2"/>
          <bgColor rgb="FF000000"/>
        </patternFill>
      </fill>
    </dxf>
    <dxf>
      <fill>
        <patternFill patternType="solid">
          <fgColor rgb="FFB0D393"/>
          <bgColor rgb="FF000000"/>
        </patternFill>
      </fill>
    </dxf>
    <dxf>
      <fill>
        <patternFill patternType="solid">
          <fgColor rgb="FFCBDEA6"/>
          <bgColor rgb="FF000000"/>
        </patternFill>
      </fill>
    </dxf>
    <dxf>
      <fill>
        <patternFill patternType="solid">
          <fgColor rgb="FFD8E3B0"/>
          <bgColor rgb="FF000000"/>
        </patternFill>
      </fill>
    </dxf>
    <dxf>
      <fill>
        <patternFill patternType="solid">
          <fgColor rgb="FFE5E8B9"/>
          <bgColor rgb="FF000000"/>
        </patternFill>
      </fill>
    </dxf>
    <dxf>
      <fill>
        <patternFill patternType="solid">
          <fgColor rgb="FFF2EDC3"/>
          <bgColor rgb="FF000000"/>
        </patternFill>
      </fill>
    </dxf>
    <dxf>
      <fill>
        <patternFill patternType="solid">
          <fgColor rgb="FFF9D1B2"/>
          <bgColor rgb="FF000000"/>
        </patternFill>
      </fill>
    </dxf>
    <dxf>
      <fill>
        <patternFill patternType="solid">
          <fgColor rgb="FFFAD7B7"/>
          <bgColor rgb="FF000000"/>
        </patternFill>
      </fill>
    </dxf>
    <dxf>
      <fill>
        <patternFill patternType="solid">
          <fgColor rgb="FFFCE4C1"/>
          <bgColor rgb="FF000000"/>
        </patternFill>
      </fill>
    </dxf>
    <dxf>
      <fill>
        <patternFill patternType="solid">
          <fgColor rgb="FFFDEBC6"/>
          <bgColor rgb="FF000000"/>
        </patternFill>
      </fill>
    </dxf>
    <dxf>
      <fill>
        <patternFill patternType="solid">
          <fgColor rgb="FFC6EFCE"/>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BD3"/>
      <rgbColor rgb="FFE8F3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EAA959"/>
      <rgbColor rgb="FFFF6600"/>
      <rgbColor rgb="FF555555"/>
      <rgbColor rgb="FF969696"/>
      <rgbColor rgb="FF003366"/>
      <rgbColor rgb="FF339966"/>
      <rgbColor rgb="FF081C2B"/>
      <rgbColor rgb="FF333300"/>
      <rgbColor rgb="FF993300"/>
      <rgbColor rgb="FF993366"/>
      <rgbColor rgb="FF333399"/>
      <rgbColor rgb="FF1D5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A959"/>
    <pageSetUpPr fitToPage="true"/>
  </sheetPr>
  <dimension ref="A1: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0"/>
  </cols>
  <sheetData>
    <row r="1" customFormat="false" ht="30" hidden="false" customHeight="true" outlineLevel="0" collapsed="false">
      <c r="A1" s="1" t="s">
        <v>0</v>
      </c>
      <c r="B1" s="1"/>
      <c r="C1" s="1"/>
    </row>
    <row r="2" customFormat="false" ht="30" hidden="false" customHeight="true" outlineLevel="0" collapsed="false">
      <c r="A2" s="2" t="s">
        <v>1</v>
      </c>
      <c r="B2" s="2"/>
      <c r="C2" s="2"/>
    </row>
    <row r="4" customFormat="false" ht="33.75" hidden="false" customHeight="true" outlineLevel="0" collapsed="false">
      <c r="B4" s="3" t="s">
        <v>2</v>
      </c>
      <c r="C4" s="3"/>
    </row>
    <row r="6" customFormat="false" ht="15" hidden="false" customHeight="false" outlineLevel="0" collapsed="false">
      <c r="B6" s="4" t="s">
        <v>3</v>
      </c>
    </row>
    <row r="7" customFormat="false" ht="27.75" hidden="false" customHeight="true" outlineLevel="0" collapsed="false">
      <c r="A7" s="5" t="s">
        <v>4</v>
      </c>
      <c r="B7" s="6" t="s">
        <v>5</v>
      </c>
      <c r="C7" s="7" t="s">
        <v>6</v>
      </c>
    </row>
    <row r="8" customFormat="false" ht="27.75" hidden="false" customHeight="true" outlineLevel="0" collapsed="false">
      <c r="A8" s="5" t="s">
        <v>7</v>
      </c>
      <c r="B8" s="6" t="s">
        <v>8</v>
      </c>
      <c r="C8" s="7" t="s">
        <v>9</v>
      </c>
    </row>
    <row r="9" customFormat="false" ht="27.75" hidden="false" customHeight="true" outlineLevel="0" collapsed="false">
      <c r="A9" s="5" t="s">
        <v>10</v>
      </c>
      <c r="B9" s="6" t="s">
        <v>11</v>
      </c>
      <c r="C9" s="7" t="s">
        <v>12</v>
      </c>
    </row>
    <row r="10" customFormat="false" ht="27.75" hidden="false" customHeight="true" outlineLevel="0" collapsed="false">
      <c r="A10" s="5" t="s">
        <v>13</v>
      </c>
      <c r="B10" s="6" t="s">
        <v>14</v>
      </c>
      <c r="C10" s="7" t="s">
        <v>15</v>
      </c>
    </row>
    <row r="11" customFormat="false" ht="15" hidden="false" customHeight="false" outlineLevel="0" collapsed="false">
      <c r="A11" s="5" t="s">
        <v>16</v>
      </c>
      <c r="B11" s="6" t="s">
        <v>17</v>
      </c>
      <c r="C11" s="7" t="s">
        <v>18</v>
      </c>
    </row>
    <row r="12" customFormat="false" ht="27.75" hidden="false" customHeight="true" outlineLevel="0" collapsed="false">
      <c r="A12" s="5" t="s">
        <v>19</v>
      </c>
      <c r="B12" s="6" t="s">
        <v>20</v>
      </c>
      <c r="C12" s="7" t="s">
        <v>21</v>
      </c>
    </row>
    <row r="13" customFormat="false" ht="27.75" hidden="false" customHeight="true" outlineLevel="0" collapsed="false">
      <c r="A13" s="5" t="s">
        <v>22</v>
      </c>
      <c r="B13" s="6" t="s">
        <v>23</v>
      </c>
      <c r="C13" s="7" t="s">
        <v>24</v>
      </c>
    </row>
    <row r="14" customFormat="false" ht="27.75" hidden="false" customHeight="true" outlineLevel="0" collapsed="false">
      <c r="A14" s="5" t="s">
        <v>25</v>
      </c>
      <c r="B14" s="6" t="s">
        <v>26</v>
      </c>
      <c r="C14" s="7" t="s">
        <v>27</v>
      </c>
    </row>
    <row r="15" customFormat="false" ht="27.75" hidden="false" customHeight="true" outlineLevel="0" collapsed="false">
      <c r="A15" s="5" t="s">
        <v>28</v>
      </c>
      <c r="B15" s="6" t="s">
        <v>29</v>
      </c>
      <c r="C15" s="7" t="s">
        <v>30</v>
      </c>
    </row>
    <row r="17" customFormat="false" ht="15" hidden="false" customHeight="false" outlineLevel="0" collapsed="false">
      <c r="B17" s="4" t="s">
        <v>31</v>
      </c>
    </row>
    <row r="18" customFormat="false" ht="15" hidden="false" customHeight="false" outlineLevel="0" collapsed="false">
      <c r="B18" s="8" t="s">
        <v>32</v>
      </c>
      <c r="C18" s="9" t="s">
        <v>33</v>
      </c>
    </row>
    <row r="19" customFormat="false" ht="15" hidden="false" customHeight="false" outlineLevel="0" collapsed="false">
      <c r="B19" s="10" t="s">
        <v>34</v>
      </c>
      <c r="C19" s="9" t="s">
        <v>35</v>
      </c>
    </row>
    <row r="20" customFormat="false" ht="15" hidden="false" customHeight="false" outlineLevel="0" collapsed="false">
      <c r="B20" s="9" t="s">
        <v>36</v>
      </c>
      <c r="C20" s="9" t="s">
        <v>37</v>
      </c>
    </row>
    <row r="21" customFormat="false" ht="15" hidden="false" customHeight="false" outlineLevel="0" collapsed="false">
      <c r="B21" s="11" t="s">
        <v>38</v>
      </c>
      <c r="C21" s="9" t="s">
        <v>39</v>
      </c>
    </row>
    <row r="23" customFormat="false" ht="15" hidden="false" customHeight="false" outlineLevel="0" collapsed="false">
      <c r="B23" s="4" t="s">
        <v>40</v>
      </c>
    </row>
    <row r="24" customFormat="false" ht="15" hidden="false" customHeight="false" outlineLevel="0" collapsed="false">
      <c r="C24" s="9" t="s">
        <v>41</v>
      </c>
    </row>
    <row r="25" customFormat="false" ht="15" hidden="false" customHeight="false" outlineLevel="0" collapsed="false">
      <c r="C25" s="9" t="s">
        <v>42</v>
      </c>
    </row>
    <row r="26" customFormat="false" ht="15" hidden="false" customHeight="false" outlineLevel="0" collapsed="false">
      <c r="C26" s="9" t="s">
        <v>43</v>
      </c>
    </row>
    <row r="27" customFormat="false" ht="15" hidden="false" customHeight="false" outlineLevel="0" collapsed="false">
      <c r="C27" s="9" t="s">
        <v>44</v>
      </c>
    </row>
    <row r="29" customFormat="false" ht="15" hidden="false" customHeight="false" outlineLevel="0" collapsed="false">
      <c r="B29" s="4" t="s">
        <v>45</v>
      </c>
    </row>
    <row r="30" customFormat="false" ht="30" hidden="false" customHeight="true" outlineLevel="0" collapsed="false">
      <c r="B30" s="12" t="s">
        <v>46</v>
      </c>
      <c r="C30" s="7" t="s">
        <v>47</v>
      </c>
    </row>
    <row r="31" customFormat="false" ht="30" hidden="false" customHeight="true" outlineLevel="0" collapsed="false">
      <c r="B31" s="12" t="s">
        <v>48</v>
      </c>
      <c r="C31" s="7" t="s">
        <v>49</v>
      </c>
    </row>
    <row r="32" customFormat="false" ht="30" hidden="false" customHeight="true" outlineLevel="0" collapsed="false">
      <c r="B32" s="12" t="s">
        <v>50</v>
      </c>
      <c r="C32" s="7" t="s">
        <v>51</v>
      </c>
    </row>
    <row r="33" customFormat="false" ht="30" hidden="false" customHeight="true" outlineLevel="0" collapsed="false">
      <c r="B33" s="12" t="s">
        <v>52</v>
      </c>
      <c r="C33" s="7" t="s">
        <v>53</v>
      </c>
    </row>
    <row r="34" customFormat="false" ht="30" hidden="false" customHeight="true" outlineLevel="0" collapsed="false">
      <c r="B34" s="12" t="s">
        <v>54</v>
      </c>
      <c r="C34" s="7" t="s">
        <v>55</v>
      </c>
    </row>
    <row r="35" customFormat="false" ht="30" hidden="false" customHeight="true" outlineLevel="0" collapsed="false">
      <c r="B35" s="12" t="s">
        <v>56</v>
      </c>
      <c r="C35" s="7" t="s">
        <v>57</v>
      </c>
    </row>
    <row r="36" customFormat="false" ht="30" hidden="false" customHeight="true" outlineLevel="0" collapsed="false">
      <c r="B36" s="12" t="s">
        <v>58</v>
      </c>
      <c r="C36" s="7" t="s">
        <v>59</v>
      </c>
    </row>
    <row r="37" customFormat="false" ht="30" hidden="false" customHeight="true" outlineLevel="0" collapsed="false">
      <c r="B37" s="12" t="s">
        <v>20</v>
      </c>
      <c r="C37" s="7" t="s">
        <v>60</v>
      </c>
    </row>
    <row r="38" customFormat="false" ht="30" hidden="false" customHeight="true" outlineLevel="0" collapsed="false">
      <c r="B38" s="12" t="s">
        <v>23</v>
      </c>
      <c r="C38" s="7" t="s">
        <v>61</v>
      </c>
    </row>
    <row r="39" customFormat="false" ht="30" hidden="false" customHeight="true" outlineLevel="0" collapsed="false">
      <c r="B39" s="12" t="s">
        <v>62</v>
      </c>
      <c r="C39" s="7" t="s">
        <v>63</v>
      </c>
    </row>
  </sheetData>
  <mergeCells count="3">
    <mergeCell ref="A1:C1"/>
    <mergeCell ref="A2:C2"/>
    <mergeCell ref="B4:C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9"/>
    <col collapsed="false" customWidth="true" hidden="false" outlineLevel="0" max="8" min="8" style="0" width="62"/>
  </cols>
  <sheetData>
    <row r="1" customFormat="false" ht="30" hidden="false" customHeight="true" outlineLevel="0" collapsed="false">
      <c r="A1" s="1" t="s">
        <v>64</v>
      </c>
      <c r="B1" s="1"/>
      <c r="C1" s="1"/>
      <c r="D1" s="1"/>
      <c r="E1" s="1"/>
      <c r="F1" s="1"/>
      <c r="G1" s="1"/>
      <c r="H1" s="1"/>
    </row>
    <row r="2" customFormat="false" ht="30" hidden="false" customHeight="true" outlineLevel="0" collapsed="false">
      <c r="A2" s="2" t="s">
        <v>65</v>
      </c>
      <c r="B2" s="2"/>
      <c r="C2" s="2"/>
      <c r="D2" s="2"/>
      <c r="E2" s="2"/>
      <c r="F2" s="2"/>
      <c r="G2" s="2"/>
      <c r="H2" s="2"/>
    </row>
    <row r="4" customFormat="false" ht="19.5" hidden="false" customHeight="true" outlineLevel="0" collapsed="false">
      <c r="A4" s="13" t="s">
        <v>66</v>
      </c>
      <c r="B4" s="14"/>
      <c r="C4" s="14"/>
      <c r="D4" s="14"/>
      <c r="E4" s="14"/>
      <c r="F4" s="14"/>
      <c r="G4" s="14"/>
      <c r="H4" s="14"/>
    </row>
    <row r="5" customFormat="false" ht="15" hidden="false" customHeight="false" outlineLevel="0" collapsed="false">
      <c r="A5" s="15" t="s">
        <v>67</v>
      </c>
      <c r="B5" s="16" t="n">
        <v>0.35</v>
      </c>
      <c r="H5" s="17" t="s">
        <v>68</v>
      </c>
    </row>
    <row r="6" customFormat="false" ht="22.35" hidden="false" customHeight="false" outlineLevel="0" collapsed="false">
      <c r="A6" s="15" t="s">
        <v>69</v>
      </c>
      <c r="B6" s="16" t="n">
        <v>0.5</v>
      </c>
      <c r="H6" s="17" t="s">
        <v>70</v>
      </c>
    </row>
    <row r="7" customFormat="false" ht="15" hidden="false" customHeight="false" outlineLevel="0" collapsed="false">
      <c r="A7" s="15" t="s">
        <v>71</v>
      </c>
      <c r="B7" s="16" t="n">
        <v>0.8</v>
      </c>
      <c r="H7" s="17" t="s">
        <v>72</v>
      </c>
    </row>
    <row r="8" customFormat="false" ht="32.8" hidden="false" customHeight="false" outlineLevel="0" collapsed="false">
      <c r="A8" s="15" t="s">
        <v>73</v>
      </c>
      <c r="B8" s="16" t="n">
        <v>0.2</v>
      </c>
      <c r="H8" s="17" t="s">
        <v>74</v>
      </c>
    </row>
    <row r="9" customFormat="false" ht="22.35" hidden="false" customHeight="false" outlineLevel="0" collapsed="false">
      <c r="A9" s="15" t="s">
        <v>75</v>
      </c>
      <c r="B9" s="18" t="n">
        <v>1000</v>
      </c>
      <c r="H9" s="17" t="s">
        <v>76</v>
      </c>
    </row>
    <row r="11" customFormat="false" ht="43.25" hidden="false" customHeight="false" outlineLevel="0" collapsed="false">
      <c r="A11" s="19" t="s">
        <v>77</v>
      </c>
      <c r="B11" s="19" t="s">
        <v>78</v>
      </c>
      <c r="C11" s="19" t="s">
        <v>79</v>
      </c>
      <c r="H11" s="17" t="s">
        <v>80</v>
      </c>
    </row>
    <row r="12" customFormat="false" ht="15" hidden="false" customHeight="false" outlineLevel="0" collapsed="false">
      <c r="A12" s="9" t="s">
        <v>81</v>
      </c>
      <c r="B12" s="20" t="n">
        <v>60</v>
      </c>
      <c r="C12" s="16" t="n">
        <v>0.78</v>
      </c>
    </row>
    <row r="13" customFormat="false" ht="15" hidden="false" customHeight="false" outlineLevel="0" collapsed="false">
      <c r="A13" s="9" t="s">
        <v>82</v>
      </c>
      <c r="B13" s="20" t="n">
        <v>100</v>
      </c>
      <c r="C13" s="16" t="n">
        <v>0.1</v>
      </c>
    </row>
    <row r="14" customFormat="false" ht="15" hidden="false" customHeight="false" outlineLevel="0" collapsed="false">
      <c r="A14" s="9" t="s">
        <v>83</v>
      </c>
      <c r="B14" s="20" t="n">
        <v>187.5</v>
      </c>
      <c r="C14" s="16" t="n">
        <v>0.12</v>
      </c>
    </row>
    <row r="15" customFormat="false" ht="15" hidden="false" customHeight="false" outlineLevel="0" collapsed="false">
      <c r="A15" s="9" t="s">
        <v>84</v>
      </c>
      <c r="C15" s="21" t="n">
        <f aca="false">SUM(C12:C14)</f>
        <v>1</v>
      </c>
    </row>
    <row r="16" customFormat="false" ht="15" hidden="false" customHeight="false" outlineLevel="0" collapsed="false">
      <c r="A16" s="6" t="s">
        <v>85</v>
      </c>
      <c r="B16" s="22" t="n">
        <f aca="false">IF(SUM(C12:C14)=0,0,SUMPRODUCT(B12:B14,C12:C14)/SUM(C12:C14))</f>
        <v>79.3</v>
      </c>
    </row>
    <row r="18" customFormat="false" ht="43.25" hidden="false" customHeight="false" outlineLevel="0" collapsed="false">
      <c r="A18" s="15" t="s">
        <v>86</v>
      </c>
      <c r="B18" s="23" t="n">
        <v>0.079</v>
      </c>
      <c r="H18" s="17" t="s">
        <v>87</v>
      </c>
    </row>
    <row r="19" customFormat="false" ht="22.35" hidden="false" customHeight="false" outlineLevel="0" collapsed="false">
      <c r="A19" s="15" t="s">
        <v>88</v>
      </c>
      <c r="B19" s="23" t="n">
        <v>0</v>
      </c>
      <c r="H19" s="17" t="s">
        <v>89</v>
      </c>
    </row>
    <row r="20" customFormat="false" ht="22.35" hidden="false" customHeight="false" outlineLevel="0" collapsed="false">
      <c r="A20" s="15" t="s">
        <v>90</v>
      </c>
      <c r="B20" s="24" t="n">
        <v>0</v>
      </c>
      <c r="H20" s="17" t="s">
        <v>91</v>
      </c>
    </row>
    <row r="21" customFormat="false" ht="22.35" hidden="false" customHeight="false" outlineLevel="0" collapsed="false">
      <c r="A21" s="15" t="s">
        <v>92</v>
      </c>
      <c r="B21" s="24" t="n">
        <v>0</v>
      </c>
      <c r="H21" s="17" t="s">
        <v>93</v>
      </c>
    </row>
    <row r="22" customFormat="false" ht="22.35" hidden="false" customHeight="false" outlineLevel="0" collapsed="false">
      <c r="A22" s="15" t="s">
        <v>94</v>
      </c>
      <c r="B22" s="20" t="n">
        <v>0</v>
      </c>
      <c r="H22" s="17" t="s">
        <v>95</v>
      </c>
    </row>
    <row r="23" customFormat="false" ht="15" hidden="false" customHeight="false" outlineLevel="0" collapsed="false">
      <c r="A23" s="15" t="s">
        <v>96</v>
      </c>
      <c r="B23" s="16" t="n">
        <v>0.05</v>
      </c>
      <c r="H23" s="17" t="s">
        <v>97</v>
      </c>
    </row>
    <row r="24" customFormat="false" ht="15" hidden="false" customHeight="false" outlineLevel="0" collapsed="false">
      <c r="A24" s="15" t="s">
        <v>98</v>
      </c>
      <c r="B24" s="16" t="n">
        <v>0.3</v>
      </c>
      <c r="H24" s="17" t="s">
        <v>99</v>
      </c>
    </row>
    <row r="25" customFormat="false" ht="15" hidden="false" customHeight="false" outlineLevel="0" collapsed="false">
      <c r="A25" s="15" t="s">
        <v>100</v>
      </c>
      <c r="B25" s="16" t="n">
        <v>0.5</v>
      </c>
      <c r="H25" s="17" t="s">
        <v>101</v>
      </c>
    </row>
    <row r="27" customFormat="false" ht="19.5" hidden="false" customHeight="true" outlineLevel="0" collapsed="false">
      <c r="A27" s="13" t="s">
        <v>102</v>
      </c>
      <c r="B27" s="14"/>
      <c r="C27" s="14"/>
      <c r="D27" s="14"/>
      <c r="E27" s="14"/>
      <c r="F27" s="14"/>
      <c r="G27" s="14"/>
      <c r="H27" s="14"/>
    </row>
    <row r="28" customFormat="false" ht="40.5" hidden="false" customHeight="true" outlineLevel="0" collapsed="false">
      <c r="A28" s="7" t="s">
        <v>103</v>
      </c>
      <c r="B28" s="25" t="s">
        <v>104</v>
      </c>
      <c r="C28" s="25" t="s">
        <v>105</v>
      </c>
      <c r="D28" s="25" t="s">
        <v>106</v>
      </c>
      <c r="E28" s="25" t="s">
        <v>107</v>
      </c>
      <c r="F28" s="25" t="s">
        <v>108</v>
      </c>
      <c r="G28" s="25" t="s">
        <v>109</v>
      </c>
    </row>
    <row r="29" customFormat="false" ht="15" hidden="false" customHeight="false" outlineLevel="0" collapsed="false">
      <c r="A29" s="7" t="s">
        <v>110</v>
      </c>
      <c r="B29" s="26" t="s">
        <v>111</v>
      </c>
      <c r="C29" s="26" t="s">
        <v>112</v>
      </c>
      <c r="D29" s="26" t="s">
        <v>56</v>
      </c>
      <c r="E29" s="26" t="s">
        <v>113</v>
      </c>
      <c r="F29" s="26" t="s">
        <v>114</v>
      </c>
      <c r="G29" s="26" t="s">
        <v>115</v>
      </c>
    </row>
    <row r="30" customFormat="false" ht="40.5" hidden="false" customHeight="true" outlineLevel="0" collapsed="false">
      <c r="A30" s="7" t="s">
        <v>116</v>
      </c>
      <c r="B30" s="26" t="s">
        <v>117</v>
      </c>
      <c r="C30" s="26" t="s">
        <v>118</v>
      </c>
      <c r="D30" s="26" t="s">
        <v>119</v>
      </c>
      <c r="E30" s="26" t="s">
        <v>120</v>
      </c>
      <c r="F30" s="26" t="s">
        <v>121</v>
      </c>
      <c r="G30" s="26" t="s">
        <v>122</v>
      </c>
      <c r="H30" s="17" t="s">
        <v>123</v>
      </c>
    </row>
    <row r="31" customFormat="false" ht="40.5" hidden="false" customHeight="true" outlineLevel="0" collapsed="false">
      <c r="A31" s="7" t="s">
        <v>124</v>
      </c>
      <c r="B31" s="26" t="s">
        <v>125</v>
      </c>
      <c r="C31" s="26" t="s">
        <v>126</v>
      </c>
      <c r="D31" s="26" t="s">
        <v>127</v>
      </c>
      <c r="E31" s="26" t="s">
        <v>128</v>
      </c>
      <c r="F31" s="26" t="s">
        <v>129</v>
      </c>
      <c r="G31" s="26" t="s">
        <v>130</v>
      </c>
      <c r="H31" s="17" t="s">
        <v>131</v>
      </c>
    </row>
    <row r="32" customFormat="false" ht="66.75" hidden="false" customHeight="true" outlineLevel="0" collapsed="false">
      <c r="A32" s="7" t="s">
        <v>132</v>
      </c>
      <c r="B32" s="18" t="n">
        <v>1000</v>
      </c>
      <c r="C32" s="18" t="n">
        <v>800</v>
      </c>
      <c r="D32" s="18" t="n">
        <v>1000</v>
      </c>
      <c r="E32" s="18" t="n">
        <v>2000</v>
      </c>
      <c r="F32" s="18" t="n">
        <v>2000</v>
      </c>
      <c r="G32" s="18" t="n">
        <v>2000</v>
      </c>
      <c r="H32" s="17" t="s">
        <v>133</v>
      </c>
    </row>
    <row r="33" customFormat="false" ht="54" hidden="false" customHeight="true" outlineLevel="0" collapsed="false">
      <c r="A33" s="7" t="s">
        <v>134</v>
      </c>
      <c r="B33" s="20" t="n">
        <v>1500</v>
      </c>
      <c r="C33" s="20" t="n">
        <v>1000</v>
      </c>
      <c r="D33" s="20" t="n">
        <v>600</v>
      </c>
      <c r="E33" s="20" t="n">
        <v>6000</v>
      </c>
      <c r="F33" s="20" t="n">
        <v>8000</v>
      </c>
      <c r="G33" s="20" t="n">
        <v>8000</v>
      </c>
      <c r="H33" s="17" t="s">
        <v>135</v>
      </c>
    </row>
    <row r="34" customFormat="false" ht="15" hidden="false" customHeight="false" outlineLevel="0" collapsed="false">
      <c r="A34" s="7" t="s">
        <v>136</v>
      </c>
      <c r="B34" s="18" t="n">
        <v>1</v>
      </c>
      <c r="C34" s="18" t="n">
        <v>2</v>
      </c>
      <c r="D34" s="18" t="n">
        <v>2</v>
      </c>
      <c r="E34" s="18" t="n">
        <v>1</v>
      </c>
      <c r="F34" s="18" t="n">
        <v>1</v>
      </c>
      <c r="G34" s="18" t="n">
        <v>1</v>
      </c>
      <c r="H34" s="17" t="s">
        <v>137</v>
      </c>
    </row>
    <row r="35" customFormat="false" ht="27.75" hidden="false" customHeight="true" outlineLevel="0" collapsed="false">
      <c r="A35" s="7" t="s">
        <v>138</v>
      </c>
      <c r="B35" s="18" t="n">
        <v>0</v>
      </c>
      <c r="C35" s="18" t="n">
        <v>16</v>
      </c>
      <c r="D35" s="18" t="n">
        <v>16</v>
      </c>
      <c r="E35" s="18" t="n">
        <v>60</v>
      </c>
      <c r="F35" s="18" t="n">
        <v>80</v>
      </c>
      <c r="G35" s="18" t="n">
        <v>80</v>
      </c>
      <c r="H35" s="17" t="s">
        <v>139</v>
      </c>
    </row>
    <row r="36" customFormat="false" ht="15" hidden="false" customHeight="false" outlineLevel="0" collapsed="false">
      <c r="A36" s="7" t="s">
        <v>140</v>
      </c>
      <c r="B36" s="20" t="n">
        <v>30</v>
      </c>
      <c r="C36" s="20" t="n">
        <v>30</v>
      </c>
      <c r="D36" s="20" t="n">
        <v>30</v>
      </c>
      <c r="E36" s="20" t="n">
        <v>40</v>
      </c>
      <c r="F36" s="20" t="n">
        <v>40</v>
      </c>
      <c r="G36" s="20" t="n">
        <v>40</v>
      </c>
      <c r="H36" s="17" t="s">
        <v>141</v>
      </c>
    </row>
    <row r="37" customFormat="false" ht="54" hidden="false" customHeight="true" outlineLevel="0" collapsed="false">
      <c r="A37" s="7" t="s">
        <v>142</v>
      </c>
      <c r="B37" s="20" t="n">
        <v>600</v>
      </c>
      <c r="C37" s="20" t="n">
        <v>600</v>
      </c>
      <c r="D37" s="20" t="n">
        <v>600</v>
      </c>
      <c r="E37" s="20" t="n">
        <v>600</v>
      </c>
      <c r="F37" s="20" t="n">
        <v>600</v>
      </c>
      <c r="G37" s="20" t="n">
        <v>600</v>
      </c>
      <c r="H37" s="17" t="s">
        <v>143</v>
      </c>
    </row>
    <row r="38" customFormat="false" ht="54" hidden="false" customHeight="true" outlineLevel="0" collapsed="false">
      <c r="A38" s="7" t="s">
        <v>144</v>
      </c>
      <c r="B38" s="20" t="n">
        <v>3000</v>
      </c>
      <c r="C38" s="20" t="n">
        <v>3000</v>
      </c>
      <c r="D38" s="20" t="n">
        <v>3000</v>
      </c>
      <c r="E38" s="20" t="n">
        <v>3000</v>
      </c>
      <c r="F38" s="20" t="n">
        <v>3000</v>
      </c>
      <c r="G38" s="20" t="n">
        <v>3000</v>
      </c>
      <c r="H38" s="17" t="s">
        <v>145</v>
      </c>
    </row>
    <row r="39" customFormat="false" ht="15" hidden="false" customHeight="false" outlineLevel="0" collapsed="false">
      <c r="A39" s="7" t="s">
        <v>146</v>
      </c>
      <c r="B39" s="20" t="n">
        <v>3000</v>
      </c>
      <c r="C39" s="20" t="n">
        <v>3000</v>
      </c>
      <c r="D39" s="20" t="n">
        <v>3000</v>
      </c>
      <c r="E39" s="20" t="n">
        <v>3000</v>
      </c>
      <c r="F39" s="20" t="n">
        <v>3000</v>
      </c>
      <c r="G39" s="20" t="n">
        <v>3000</v>
      </c>
    </row>
    <row r="40" customFormat="false" ht="15" hidden="false" customHeight="false" outlineLevel="0" collapsed="false">
      <c r="A40" s="7" t="s">
        <v>147</v>
      </c>
      <c r="B40" s="20" t="n">
        <v>2000</v>
      </c>
      <c r="C40" s="20" t="n">
        <v>2000</v>
      </c>
      <c r="D40" s="20" t="n">
        <v>2000</v>
      </c>
      <c r="E40" s="20" t="n">
        <v>2000</v>
      </c>
      <c r="F40" s="20" t="n">
        <v>2000</v>
      </c>
      <c r="G40" s="20" t="n">
        <v>2000</v>
      </c>
    </row>
    <row r="41" customFormat="false" ht="15" hidden="false" customHeight="false" outlineLevel="0" collapsed="false">
      <c r="A41" s="7" t="s">
        <v>148</v>
      </c>
      <c r="B41" s="20" t="n">
        <v>2000</v>
      </c>
      <c r="C41" s="20" t="n">
        <v>2000</v>
      </c>
      <c r="D41" s="20" t="n">
        <v>2000</v>
      </c>
      <c r="E41" s="20" t="n">
        <v>2000</v>
      </c>
      <c r="F41" s="20" t="n">
        <v>2000</v>
      </c>
      <c r="G41" s="20" t="n">
        <v>2000</v>
      </c>
    </row>
    <row r="42" customFormat="false" ht="15" hidden="false" customHeight="false" outlineLevel="0" collapsed="false">
      <c r="A42" s="7" t="s">
        <v>149</v>
      </c>
      <c r="B42" s="20" t="n">
        <v>1500</v>
      </c>
      <c r="C42" s="20" t="n">
        <v>1500</v>
      </c>
      <c r="D42" s="20" t="n">
        <v>1500</v>
      </c>
      <c r="E42" s="20" t="n">
        <v>3500</v>
      </c>
      <c r="F42" s="20" t="n">
        <v>3500</v>
      </c>
      <c r="G42" s="20" t="n">
        <v>3500</v>
      </c>
    </row>
    <row r="43" customFormat="false" ht="15" hidden="false" customHeight="false" outlineLevel="0" collapsed="false">
      <c r="A43" s="7" t="s">
        <v>150</v>
      </c>
      <c r="B43" s="20" t="n">
        <v>1000</v>
      </c>
      <c r="C43" s="20" t="n">
        <v>1000</v>
      </c>
      <c r="D43" s="20" t="n">
        <v>1000</v>
      </c>
      <c r="E43" s="20" t="n">
        <v>3500</v>
      </c>
      <c r="F43" s="20" t="n">
        <v>3500</v>
      </c>
      <c r="G43" s="20" t="n">
        <v>3500</v>
      </c>
    </row>
    <row r="44" customFormat="false" ht="15" hidden="false" customHeight="false" outlineLevel="0" collapsed="false">
      <c r="A44" s="7" t="s">
        <v>151</v>
      </c>
      <c r="B44" s="20" t="n">
        <v>0</v>
      </c>
      <c r="C44" s="20" t="n">
        <v>0</v>
      </c>
      <c r="D44" s="20" t="n">
        <v>0</v>
      </c>
      <c r="E44" s="20" t="n">
        <v>0</v>
      </c>
      <c r="F44" s="20" t="n">
        <v>0</v>
      </c>
      <c r="G44" s="20" t="n">
        <v>0</v>
      </c>
      <c r="H44" s="17" t="s">
        <v>152</v>
      </c>
    </row>
    <row r="45" customFormat="false" ht="15" hidden="false" customHeight="false" outlineLevel="0" collapsed="false">
      <c r="A45" s="7" t="s">
        <v>153</v>
      </c>
      <c r="B45" s="20" t="n">
        <v>2000</v>
      </c>
      <c r="C45" s="20" t="n">
        <v>1500</v>
      </c>
      <c r="D45" s="20" t="n">
        <v>2500</v>
      </c>
      <c r="E45" s="20" t="n">
        <v>5000</v>
      </c>
      <c r="F45" s="20" t="n">
        <v>6000</v>
      </c>
      <c r="G45" s="20" t="n">
        <v>6000</v>
      </c>
      <c r="H45" s="17" t="s">
        <v>154</v>
      </c>
    </row>
    <row r="46" customFormat="false" ht="15" hidden="false" customHeight="false" outlineLevel="0" collapsed="false">
      <c r="A46" s="7" t="s">
        <v>155</v>
      </c>
      <c r="B46" s="20" t="n">
        <v>1500</v>
      </c>
      <c r="C46" s="20" t="n">
        <v>1500</v>
      </c>
      <c r="D46" s="20" t="n">
        <v>1500</v>
      </c>
      <c r="E46" s="20" t="n">
        <v>2500</v>
      </c>
      <c r="F46" s="20" t="n">
        <v>2500</v>
      </c>
      <c r="G46" s="20" t="n">
        <v>2500</v>
      </c>
      <c r="H46" s="17" t="s">
        <v>156</v>
      </c>
    </row>
    <row r="47" customFormat="false" ht="15" hidden="false" customHeight="false" outlineLevel="0" collapsed="false">
      <c r="A47" s="7" t="s">
        <v>157</v>
      </c>
      <c r="B47" s="20" t="n">
        <v>1000</v>
      </c>
      <c r="C47" s="20" t="n">
        <v>1000</v>
      </c>
      <c r="D47" s="20" t="n">
        <v>1000</v>
      </c>
      <c r="E47" s="20" t="n">
        <v>2000</v>
      </c>
      <c r="F47" s="20" t="n">
        <v>2000</v>
      </c>
      <c r="G47" s="20" t="n">
        <v>2000</v>
      </c>
    </row>
    <row r="48" customFormat="false" ht="15" hidden="false" customHeight="false" outlineLevel="0" collapsed="false">
      <c r="A48" s="7" t="s">
        <v>158</v>
      </c>
      <c r="B48" s="20" t="n">
        <v>600</v>
      </c>
      <c r="C48" s="20" t="n">
        <v>600</v>
      </c>
      <c r="D48" s="20" t="n">
        <v>600</v>
      </c>
      <c r="E48" s="20" t="n">
        <v>1200</v>
      </c>
      <c r="F48" s="20" t="n">
        <v>1200</v>
      </c>
      <c r="G48" s="20" t="n">
        <v>1200</v>
      </c>
    </row>
    <row r="49" customFormat="false" ht="27.75" hidden="false" customHeight="true" outlineLevel="0" collapsed="false">
      <c r="A49" s="7" t="s">
        <v>159</v>
      </c>
      <c r="B49" s="20" t="n">
        <v>9300</v>
      </c>
      <c r="C49" s="20" t="n">
        <v>9300</v>
      </c>
      <c r="D49" s="20" t="n">
        <v>9300</v>
      </c>
      <c r="E49" s="20" t="n">
        <v>9300</v>
      </c>
      <c r="F49" s="20" t="n">
        <v>9300</v>
      </c>
      <c r="G49" s="20" t="n">
        <v>9300</v>
      </c>
      <c r="H49" s="17" t="s">
        <v>160</v>
      </c>
    </row>
    <row r="50" customFormat="false" ht="40.5" hidden="false" customHeight="true" outlineLevel="0" collapsed="false">
      <c r="A50" s="7" t="s">
        <v>161</v>
      </c>
      <c r="B50" s="20" t="n">
        <v>18000</v>
      </c>
      <c r="C50" s="20" t="n">
        <v>12000</v>
      </c>
      <c r="D50" s="20" t="n">
        <v>6000</v>
      </c>
      <c r="E50" s="20" t="n">
        <v>10000</v>
      </c>
      <c r="F50" s="20" t="n">
        <v>6000</v>
      </c>
      <c r="G50" s="20" t="n">
        <v>6000</v>
      </c>
      <c r="H50" s="17" t="s">
        <v>162</v>
      </c>
    </row>
  </sheetData>
  <mergeCells count="2">
    <mergeCell ref="A1:H1"/>
    <mergeCell ref="A2:H2"/>
  </mergeCells>
  <conditionalFormatting sqref="C15">
    <cfRule type="cellIs" priority="2" operator="not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A959"/>
    <pageSetUpPr fitToPage="true"/>
  </sheetPr>
  <dimension ref="A1:G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7" min="2" style="0" width="21"/>
  </cols>
  <sheetData>
    <row r="1" customFormat="false" ht="30" hidden="false" customHeight="true" outlineLevel="0" collapsed="false">
      <c r="A1" s="1" t="s">
        <v>163</v>
      </c>
      <c r="B1" s="1"/>
      <c r="C1" s="1"/>
      <c r="D1" s="1"/>
      <c r="E1" s="1"/>
      <c r="F1" s="1"/>
      <c r="G1" s="1"/>
    </row>
    <row r="2" customFormat="false" ht="30" hidden="false" customHeight="true" outlineLevel="0" collapsed="false">
      <c r="A2" s="2" t="s">
        <v>164</v>
      </c>
      <c r="B2" s="2"/>
      <c r="C2" s="2"/>
      <c r="D2" s="2"/>
      <c r="E2" s="2"/>
      <c r="F2" s="2"/>
      <c r="G2" s="2"/>
    </row>
    <row r="4" customFormat="false" ht="48" hidden="false" customHeight="true" outlineLevel="0" collapsed="false">
      <c r="A4" s="6" t="s">
        <v>165</v>
      </c>
      <c r="B4" s="27" t="str">
        <f aca="false">IF(Inputs!B28="","(add another city)",Inputs!B28&amp;" · "&amp;Inputs!B29)</f>
        <v>A.J. LaRue Arena · Haliburton</v>
      </c>
      <c r="C4" s="27" t="str">
        <f aca="false">IF(Inputs!C28="","(add another city)",Inputs!C28&amp;" · "&amp;Inputs!C29)</f>
        <v>North Hastings Community Centre · Bancroft</v>
      </c>
      <c r="D4" s="27" t="str">
        <f aca="false">IF(Inputs!D28="","(add another city)",Inputs!D28&amp;" · "&amp;Inputs!D29)</f>
        <v>Dr. Hamilton Crawford Memorial Arena · Marmora</v>
      </c>
      <c r="E4" s="27" t="str">
        <f aca="false">IF(Inputs!E28="","(add another city)",Inputs!E28&amp;" · "&amp;Inputs!E29)</f>
        <v>Peterborough Memorial Centre · Peterborough</v>
      </c>
      <c r="F4" s="27" t="str">
        <f aca="false">IF(Inputs!F28="","(add another city)",Inputs!F28&amp;" · "&amp;Inputs!F29)</f>
        <v>Slush Puppie Place · Kingston</v>
      </c>
      <c r="G4" s="27" t="str">
        <f aca="false">IF(Inputs!G28="","(add another city)",Inputs!G28&amp;" · "&amp;Inputs!G29)</f>
        <v>Tribute Communities Centre · Oshawa</v>
      </c>
    </row>
    <row r="5" customFormat="false" ht="15" hidden="false" customHeight="false" outlineLevel="0" collapsed="false">
      <c r="A5" s="9" t="s">
        <v>132</v>
      </c>
      <c r="B5" s="28" t="n">
        <f aca="false">Inputs!B32</f>
        <v>1000</v>
      </c>
      <c r="C5" s="28" t="n">
        <f aca="false">Inputs!C32</f>
        <v>800</v>
      </c>
      <c r="D5" s="28" t="n">
        <f aca="false">Inputs!D32</f>
        <v>1000</v>
      </c>
      <c r="E5" s="28" t="n">
        <f aca="false">Inputs!E32</f>
        <v>2000</v>
      </c>
      <c r="F5" s="28" t="n">
        <f aca="false">Inputs!F32</f>
        <v>2000</v>
      </c>
      <c r="G5" s="28" t="n">
        <f aca="false">Inputs!G32</f>
        <v>2000</v>
      </c>
    </row>
    <row r="7" customFormat="false" ht="19.5" hidden="false" customHeight="true" outlineLevel="0" collapsed="false">
      <c r="A7" s="13" t="s">
        <v>166</v>
      </c>
      <c r="B7" s="14"/>
      <c r="C7" s="14"/>
      <c r="D7" s="14"/>
      <c r="E7" s="14"/>
      <c r="F7" s="14"/>
      <c r="G7" s="14"/>
    </row>
    <row r="8" customFormat="false" ht="15" hidden="false" customHeight="false" outlineLevel="0" collapsed="false">
      <c r="A8" s="9" t="s">
        <v>167</v>
      </c>
      <c r="B8" s="29" t="n">
        <f aca="false">Inputs!B33*Inputs!B34</f>
        <v>1500</v>
      </c>
      <c r="C8" s="29" t="n">
        <f aca="false">Inputs!C33*Inputs!C34</f>
        <v>2000</v>
      </c>
      <c r="D8" s="29" t="n">
        <f aca="false">Inputs!D33*Inputs!D34</f>
        <v>1200</v>
      </c>
      <c r="E8" s="29" t="n">
        <f aca="false">Inputs!E33*Inputs!E34</f>
        <v>6000</v>
      </c>
      <c r="F8" s="29" t="n">
        <f aca="false">Inputs!F33*Inputs!F34</f>
        <v>8000</v>
      </c>
      <c r="G8" s="29" t="n">
        <f aca="false">Inputs!G33*Inputs!G34</f>
        <v>8000</v>
      </c>
    </row>
    <row r="9" customFormat="false" ht="15" hidden="false" customHeight="false" outlineLevel="0" collapsed="false">
      <c r="A9" s="9" t="s">
        <v>168</v>
      </c>
      <c r="B9" s="29" t="n">
        <f aca="false">Inputs!B35*Inputs!B36</f>
        <v>0</v>
      </c>
      <c r="C9" s="29" t="n">
        <f aca="false">Inputs!C35*Inputs!C36</f>
        <v>480</v>
      </c>
      <c r="D9" s="29" t="n">
        <f aca="false">Inputs!D35*Inputs!D36</f>
        <v>480</v>
      </c>
      <c r="E9" s="29" t="n">
        <f aca="false">Inputs!E35*Inputs!E36</f>
        <v>2400</v>
      </c>
      <c r="F9" s="29" t="n">
        <f aca="false">Inputs!F35*Inputs!F36</f>
        <v>3200</v>
      </c>
      <c r="G9" s="29" t="n">
        <f aca="false">Inputs!G35*Inputs!G36</f>
        <v>3200</v>
      </c>
    </row>
    <row r="10" customFormat="false" ht="15" hidden="false" customHeight="false" outlineLevel="0" collapsed="false">
      <c r="A10" s="9" t="s">
        <v>169</v>
      </c>
      <c r="B10" s="29" t="n">
        <f aca="false">SUM(Inputs!B37:B49)</f>
        <v>27500</v>
      </c>
      <c r="C10" s="29" t="n">
        <f aca="false">SUM(Inputs!C37:C49)</f>
        <v>27000</v>
      </c>
      <c r="D10" s="29" t="n">
        <f aca="false">SUM(Inputs!D37:D49)</f>
        <v>28000</v>
      </c>
      <c r="E10" s="29" t="n">
        <f aca="false">SUM(Inputs!E37:E49)</f>
        <v>37600</v>
      </c>
      <c r="F10" s="29" t="n">
        <f aca="false">SUM(Inputs!F37:F49)</f>
        <v>38600</v>
      </c>
      <c r="G10" s="29" t="n">
        <f aca="false">SUM(Inputs!G37:G49)</f>
        <v>38600</v>
      </c>
    </row>
    <row r="11" customFormat="false" ht="15" hidden="false" customHeight="false" outlineLevel="0" collapsed="false">
      <c r="A11" s="9" t="s">
        <v>170</v>
      </c>
      <c r="B11" s="29" t="n">
        <f aca="false">(B8+B9+B10)*Inputs!$B$23</f>
        <v>1450</v>
      </c>
      <c r="C11" s="29" t="n">
        <f aca="false">(C8+C9+C10)*Inputs!$B$23</f>
        <v>1474</v>
      </c>
      <c r="D11" s="29" t="n">
        <f aca="false">(D8+D9+D10)*Inputs!$B$23</f>
        <v>1484</v>
      </c>
      <c r="E11" s="29" t="n">
        <f aca="false">(E8+E9+E10)*Inputs!$B$23</f>
        <v>2300</v>
      </c>
      <c r="F11" s="29" t="n">
        <f aca="false">(F8+F9+F10)*Inputs!$B$23</f>
        <v>2490</v>
      </c>
      <c r="G11" s="29" t="n">
        <f aca="false">(G8+G9+G10)*Inputs!$B$23</f>
        <v>2490</v>
      </c>
    </row>
    <row r="12" customFormat="false" ht="15" hidden="false" customHeight="false" outlineLevel="0" collapsed="false">
      <c r="A12" s="6" t="s">
        <v>171</v>
      </c>
      <c r="B12" s="30" t="n">
        <f aca="false">SUM(B8:B11)</f>
        <v>30450</v>
      </c>
      <c r="C12" s="30" t="n">
        <f aca="false">SUM(C8:C11)</f>
        <v>30954</v>
      </c>
      <c r="D12" s="30" t="n">
        <f aca="false">SUM(D8:D11)</f>
        <v>31164</v>
      </c>
      <c r="E12" s="30" t="n">
        <f aca="false">SUM(E8:E11)</f>
        <v>48300</v>
      </c>
      <c r="F12" s="30" t="n">
        <f aca="false">SUM(F8:F11)</f>
        <v>52290</v>
      </c>
      <c r="G12" s="30" t="n">
        <f aca="false">SUM(G8:G11)</f>
        <v>52290</v>
      </c>
    </row>
    <row r="14" customFormat="false" ht="19.5" hidden="false" customHeight="true" outlineLevel="0" collapsed="false">
      <c r="A14" s="13" t="s">
        <v>172</v>
      </c>
      <c r="B14" s="14"/>
      <c r="C14" s="14"/>
      <c r="D14" s="14"/>
      <c r="E14" s="14"/>
      <c r="F14" s="14"/>
      <c r="G14" s="14"/>
    </row>
    <row r="15" customFormat="false" ht="15" hidden="false" customHeight="false" outlineLevel="0" collapsed="false">
      <c r="A15" s="9" t="s">
        <v>173</v>
      </c>
      <c r="B15" s="31" t="n">
        <f aca="false">IF(B$5&gt;0,Inputs!$B$16*(1-Inputs!$B$18-Inputs!$B$19),0)</f>
        <v>73.0353</v>
      </c>
      <c r="C15" s="31" t="n">
        <f aca="false">IF(C$5&gt;0,Inputs!$B$16*(1-Inputs!$B$18-Inputs!$B$19),0)</f>
        <v>73.0353</v>
      </c>
      <c r="D15" s="31" t="n">
        <f aca="false">IF(D$5&gt;0,Inputs!$B$16*(1-Inputs!$B$18-Inputs!$B$19),0)</f>
        <v>73.0353</v>
      </c>
      <c r="E15" s="31" t="n">
        <f aca="false">IF(E$5&gt;0,Inputs!$B$16*(1-Inputs!$B$18-Inputs!$B$19),0)</f>
        <v>73.0353</v>
      </c>
      <c r="F15" s="31" t="n">
        <f aca="false">IF(F$5&gt;0,Inputs!$B$16*(1-Inputs!$B$18-Inputs!$B$19),0)</f>
        <v>73.0353</v>
      </c>
      <c r="G15" s="31" t="n">
        <f aca="false">IF(G$5&gt;0,Inputs!$B$16*(1-Inputs!$B$18-Inputs!$B$19),0)</f>
        <v>73.0353</v>
      </c>
    </row>
    <row r="16" customFormat="false" ht="15" hidden="false" customHeight="false" outlineLevel="0" collapsed="false">
      <c r="A16" s="9" t="s">
        <v>174</v>
      </c>
      <c r="B16" s="31" t="n">
        <f aca="false">IF(B$5&gt;0,(Inputs!$B$20+Inputs!$B$21)/(1-Inputs!$B$8),0)</f>
        <v>0</v>
      </c>
      <c r="C16" s="31" t="n">
        <f aca="false">IF(C$5&gt;0,(Inputs!$B$20+Inputs!$B$21)/(1-Inputs!$B$8),0)</f>
        <v>0</v>
      </c>
      <c r="D16" s="31" t="n">
        <f aca="false">IF(D$5&gt;0,(Inputs!$B$20+Inputs!$B$21)/(1-Inputs!$B$8),0)</f>
        <v>0</v>
      </c>
      <c r="E16" s="31" t="n">
        <f aca="false">IF(E$5&gt;0,(Inputs!$B$20+Inputs!$B$21)/(1-Inputs!$B$8),0)</f>
        <v>0</v>
      </c>
      <c r="F16" s="31" t="n">
        <f aca="false">IF(F$5&gt;0,(Inputs!$B$20+Inputs!$B$21)/(1-Inputs!$B$8),0)</f>
        <v>0</v>
      </c>
      <c r="G16" s="31" t="n">
        <f aca="false">IF(G$5&gt;0,(Inputs!$B$20+Inputs!$B$21)/(1-Inputs!$B$8),0)</f>
        <v>0</v>
      </c>
    </row>
    <row r="17" customFormat="false" ht="15" hidden="false" customHeight="false" outlineLevel="0" collapsed="false">
      <c r="A17" s="6" t="s">
        <v>175</v>
      </c>
      <c r="B17" s="32" t="n">
        <f aca="false">B15+B16</f>
        <v>73.0353</v>
      </c>
      <c r="C17" s="32" t="n">
        <f aca="false">C15+C16</f>
        <v>73.0353</v>
      </c>
      <c r="D17" s="32" t="n">
        <f aca="false">D15+D16</f>
        <v>73.0353</v>
      </c>
      <c r="E17" s="32" t="n">
        <f aca="false">E15+E16</f>
        <v>73.0353</v>
      </c>
      <c r="F17" s="32" t="n">
        <f aca="false">F15+F16</f>
        <v>73.0353</v>
      </c>
      <c r="G17" s="32" t="n">
        <f aca="false">G15+G16</f>
        <v>73.0353</v>
      </c>
    </row>
    <row r="19" customFormat="false" ht="19.5" hidden="false" customHeight="true" outlineLevel="0" collapsed="false">
      <c r="A19" s="13" t="s">
        <v>176</v>
      </c>
      <c r="B19" s="14"/>
      <c r="C19" s="14"/>
      <c r="D19" s="14"/>
      <c r="E19" s="14"/>
      <c r="F19" s="14"/>
      <c r="G19" s="14"/>
    </row>
    <row r="20" customFormat="false" ht="15" hidden="false" customHeight="false" outlineLevel="0" collapsed="false">
      <c r="A20" s="6" t="s">
        <v>177</v>
      </c>
      <c r="B20" s="33" t="n">
        <f aca="false">IF(AND(B$5&gt;0,B17&gt;0),MAX(0,ROUNDUP((B12-Inputs!B50-Inputs!$B$22)/B17,0)),0)</f>
        <v>171</v>
      </c>
      <c r="C20" s="33" t="n">
        <f aca="false">IF(AND(C$5&gt;0,C17&gt;0),MAX(0,ROUNDUP((C12-Inputs!C50-Inputs!$B$22)/C17,0)),0)</f>
        <v>260</v>
      </c>
      <c r="D20" s="33" t="n">
        <f aca="false">IF(AND(D$5&gt;0,D17&gt;0),MAX(0,ROUNDUP((D12-Inputs!D50-Inputs!$B$22)/D17,0)),0)</f>
        <v>345</v>
      </c>
      <c r="E20" s="33" t="n">
        <f aca="false">IF(AND(E$5&gt;0,E17&gt;0),MAX(0,ROUNDUP((E12-Inputs!E50-Inputs!$B$22)/E17,0)),0)</f>
        <v>525</v>
      </c>
      <c r="F20" s="33" t="n">
        <f aca="false">IF(AND(F$5&gt;0,F17&gt;0),MAX(0,ROUNDUP((F12-Inputs!F50-Inputs!$B$22)/F17,0)),0)</f>
        <v>634</v>
      </c>
      <c r="G20" s="33" t="n">
        <f aca="false">IF(AND(G$5&gt;0,G17&gt;0),MAX(0,ROUNDUP((G12-Inputs!G50-Inputs!$B$22)/G17,0)),0)</f>
        <v>634</v>
      </c>
    </row>
    <row r="21" customFormat="false" ht="15" hidden="false" customHeight="false" outlineLevel="0" collapsed="false">
      <c r="A21" s="9" t="s">
        <v>178</v>
      </c>
      <c r="B21" s="21" t="n">
        <f aca="false">IF(B$5&gt;0,B20/(1-Inputs!$B$8)/B5,0)</f>
        <v>0.21375</v>
      </c>
      <c r="C21" s="21" t="n">
        <f aca="false">IF(C$5&gt;0,C20/(1-Inputs!$B$8)/C5,0)</f>
        <v>0.40625</v>
      </c>
      <c r="D21" s="21" t="n">
        <f aca="false">IF(D$5&gt;0,D20/(1-Inputs!$B$8)/D5,0)</f>
        <v>0.43125</v>
      </c>
      <c r="E21" s="21" t="n">
        <f aca="false">IF(E$5&gt;0,E20/(1-Inputs!$B$8)/E5,0)</f>
        <v>0.328125</v>
      </c>
      <c r="F21" s="21" t="n">
        <f aca="false">IF(F$5&gt;0,F20/(1-Inputs!$B$8)/F5,0)</f>
        <v>0.39625</v>
      </c>
      <c r="G21" s="21" t="n">
        <f aca="false">IF(G$5&gt;0,G20/(1-Inputs!$B$8)/G5,0)</f>
        <v>0.39625</v>
      </c>
    </row>
    <row r="22" customFormat="false" ht="15" hidden="false" customHeight="false" outlineLevel="0" collapsed="false">
      <c r="A22" s="9" t="s">
        <v>179</v>
      </c>
      <c r="B22" s="34" t="n">
        <f aca="false">IF(AND(B$5&gt;0,B17&gt;0),MAX(0,ROUNDUP((B12-Inputs!$B$22)/B17,0)),0)</f>
        <v>417</v>
      </c>
      <c r="C22" s="34" t="n">
        <f aca="false">IF(AND(C$5&gt;0,C17&gt;0),MAX(0,ROUNDUP((C12-Inputs!$B$22)/C17,0)),0)</f>
        <v>424</v>
      </c>
      <c r="D22" s="34" t="n">
        <f aca="false">IF(AND(D$5&gt;0,D17&gt;0),MAX(0,ROUNDUP((D12-Inputs!$B$22)/D17,0)),0)</f>
        <v>427</v>
      </c>
      <c r="E22" s="34" t="n">
        <f aca="false">IF(AND(E$5&gt;0,E17&gt;0),MAX(0,ROUNDUP((E12-Inputs!$B$22)/E17,0)),0)</f>
        <v>662</v>
      </c>
      <c r="F22" s="34" t="n">
        <f aca="false">IF(AND(F$5&gt;0,F17&gt;0),MAX(0,ROUNDUP((F12-Inputs!$B$22)/F17,0)),0)</f>
        <v>716</v>
      </c>
      <c r="G22" s="34" t="n">
        <f aca="false">IF(AND(G$5&gt;0,G17&gt;0),MAX(0,ROUNDUP((G12-Inputs!$B$22)/G17,0)),0)</f>
        <v>716</v>
      </c>
    </row>
    <row r="23" customFormat="false" ht="15" hidden="false" customHeight="false" outlineLevel="0" collapsed="false">
      <c r="A23" s="6" t="s">
        <v>180</v>
      </c>
      <c r="B23" s="35" t="n">
        <f aca="false">IF(B$5&gt;0,MAX(0,B12-Inputs!$B$22-ROUND(B5*Inputs!$B$5*(1-Inputs!$B$8),0)*B17),0)</f>
        <v>10000.116</v>
      </c>
      <c r="C23" s="35" t="n">
        <f aca="false">IF(C$5&gt;0,MAX(0,C12-Inputs!$B$22-ROUND(C5*Inputs!$B$5*(1-Inputs!$B$8),0)*C17),0)</f>
        <v>14594.0928</v>
      </c>
      <c r="D23" s="35" t="n">
        <f aca="false">IF(D$5&gt;0,MAX(0,D12-Inputs!$B$22-ROUND(D5*Inputs!$B$5*(1-Inputs!$B$8),0)*D17),0)</f>
        <v>10714.116</v>
      </c>
      <c r="E23" s="35" t="n">
        <f aca="false">IF(E$5&gt;0,MAX(0,E12-Inputs!$B$22-ROUND(E5*Inputs!$B$5*(1-Inputs!$B$8),0)*E17),0)</f>
        <v>7400.23199999999</v>
      </c>
      <c r="F23" s="35" t="n">
        <f aca="false">IF(F$5&gt;0,MAX(0,F12-Inputs!$B$22-ROUND(F5*Inputs!$B$5*(1-Inputs!$B$8),0)*F17),0)</f>
        <v>11390.232</v>
      </c>
      <c r="G23" s="35" t="n">
        <f aca="false">IF(G$5&gt;0,MAX(0,G12-Inputs!$B$22-ROUND(G5*Inputs!$B$5*(1-Inputs!$B$8),0)*G17),0)</f>
        <v>11390.232</v>
      </c>
    </row>
    <row r="24" customFormat="false" ht="15" hidden="false" customHeight="false" outlineLevel="0" collapsed="false">
      <c r="A24" s="9" t="s">
        <v>181</v>
      </c>
      <c r="B24" s="36" t="n">
        <f aca="false">Inputs!B50</f>
        <v>18000</v>
      </c>
      <c r="C24" s="36" t="n">
        <f aca="false">Inputs!C50</f>
        <v>12000</v>
      </c>
      <c r="D24" s="36" t="n">
        <f aca="false">Inputs!D50</f>
        <v>6000</v>
      </c>
      <c r="E24" s="36" t="n">
        <f aca="false">Inputs!E50</f>
        <v>10000</v>
      </c>
      <c r="F24" s="36" t="n">
        <f aca="false">Inputs!F50</f>
        <v>6000</v>
      </c>
      <c r="G24" s="36" t="n">
        <f aca="false">Inputs!G50</f>
        <v>6000</v>
      </c>
    </row>
    <row r="26" customFormat="false" ht="19.5" hidden="false" customHeight="true" outlineLevel="0" collapsed="false">
      <c r="A26" s="13" t="s">
        <v>182</v>
      </c>
      <c r="B26" s="14"/>
      <c r="C26" s="14"/>
      <c r="D26" s="14"/>
      <c r="E26" s="14"/>
      <c r="F26" s="14"/>
      <c r="G26" s="14"/>
    </row>
    <row r="27" customFormat="false" ht="15" hidden="false" customHeight="false" outlineLevel="0" collapsed="false">
      <c r="A27" s="9" t="s">
        <v>183</v>
      </c>
      <c r="B27" s="34" t="n">
        <f aca="false">ROUND(B5*Inputs!$B$5,0)</f>
        <v>350</v>
      </c>
      <c r="C27" s="34" t="n">
        <f aca="false">ROUND(C5*Inputs!$B$5,0)</f>
        <v>280</v>
      </c>
      <c r="D27" s="34" t="n">
        <f aca="false">ROUND(D5*Inputs!$B$5,0)</f>
        <v>350</v>
      </c>
      <c r="E27" s="34" t="n">
        <f aca="false">ROUND(E5*Inputs!$B$5,0)</f>
        <v>700</v>
      </c>
      <c r="F27" s="34" t="n">
        <f aca="false">ROUND(F5*Inputs!$B$5,0)</f>
        <v>700</v>
      </c>
      <c r="G27" s="34" t="n">
        <f aca="false">ROUND(G5*Inputs!$B$5,0)</f>
        <v>700</v>
      </c>
    </row>
    <row r="28" customFormat="false" ht="15" hidden="false" customHeight="false" outlineLevel="0" collapsed="false">
      <c r="A28" s="9" t="s">
        <v>184</v>
      </c>
      <c r="B28" s="34" t="n">
        <f aca="false">ROUND(B27*(1-Inputs!$B$8),0)</f>
        <v>280</v>
      </c>
      <c r="C28" s="34" t="n">
        <f aca="false">ROUND(C27*(1-Inputs!$B$8),0)</f>
        <v>224</v>
      </c>
      <c r="D28" s="34" t="n">
        <f aca="false">ROUND(D27*(1-Inputs!$B$8),0)</f>
        <v>280</v>
      </c>
      <c r="E28" s="34" t="n">
        <f aca="false">ROUND(E27*(1-Inputs!$B$8),0)</f>
        <v>560</v>
      </c>
      <c r="F28" s="34" t="n">
        <f aca="false">ROUND(F27*(1-Inputs!$B$8),0)</f>
        <v>560</v>
      </c>
      <c r="G28" s="34" t="n">
        <f aca="false">ROUND(G27*(1-Inputs!$B$8),0)</f>
        <v>560</v>
      </c>
    </row>
    <row r="29" customFormat="false" ht="15" hidden="false" customHeight="false" outlineLevel="0" collapsed="false">
      <c r="A29" s="9" t="s">
        <v>185</v>
      </c>
      <c r="B29" s="29" t="n">
        <f aca="false">B28*B15</f>
        <v>20449.884</v>
      </c>
      <c r="C29" s="29" t="n">
        <f aca="false">C28*C15</f>
        <v>16359.9072</v>
      </c>
      <c r="D29" s="29" t="n">
        <f aca="false">D28*D15</f>
        <v>20449.884</v>
      </c>
      <c r="E29" s="29" t="n">
        <f aca="false">E28*E15</f>
        <v>40899.768</v>
      </c>
      <c r="F29" s="29" t="n">
        <f aca="false">F28*F15</f>
        <v>40899.768</v>
      </c>
      <c r="G29" s="29" t="n">
        <f aca="false">G28*G15</f>
        <v>40899.768</v>
      </c>
    </row>
    <row r="30" customFormat="false" ht="15" hidden="false" customHeight="false" outlineLevel="0" collapsed="false">
      <c r="A30" s="9" t="s">
        <v>186</v>
      </c>
      <c r="B30" s="29" t="n">
        <f aca="false">B27*(Inputs!$B$20+Inputs!$B$21)</f>
        <v>0</v>
      </c>
      <c r="C30" s="29" t="n">
        <f aca="false">C27*(Inputs!$B$20+Inputs!$B$21)</f>
        <v>0</v>
      </c>
      <c r="D30" s="29" t="n">
        <f aca="false">D27*(Inputs!$B$20+Inputs!$B$21)</f>
        <v>0</v>
      </c>
      <c r="E30" s="29" t="n">
        <f aca="false">E27*(Inputs!$B$20+Inputs!$B$21)</f>
        <v>0</v>
      </c>
      <c r="F30" s="29" t="n">
        <f aca="false">F27*(Inputs!$B$20+Inputs!$B$21)</f>
        <v>0</v>
      </c>
      <c r="G30" s="29" t="n">
        <f aca="false">G27*(Inputs!$B$20+Inputs!$B$21)</f>
        <v>0</v>
      </c>
    </row>
    <row r="31" customFormat="false" ht="15" hidden="false" customHeight="false" outlineLevel="0" collapsed="false">
      <c r="A31" s="9" t="s">
        <v>187</v>
      </c>
      <c r="B31" s="29" t="n">
        <f aca="false">IF(B$5&gt;0,Inputs!B50*1+Inputs!$B$22,0)</f>
        <v>18000</v>
      </c>
      <c r="C31" s="29" t="n">
        <f aca="false">IF(C$5&gt;0,Inputs!C50*1+Inputs!$B$22,0)</f>
        <v>12000</v>
      </c>
      <c r="D31" s="29" t="n">
        <f aca="false">IF(D$5&gt;0,Inputs!D50*1+Inputs!$B$22,0)</f>
        <v>6000</v>
      </c>
      <c r="E31" s="29" t="n">
        <f aca="false">IF(E$5&gt;0,Inputs!E50*1+Inputs!$B$22,0)</f>
        <v>10000</v>
      </c>
      <c r="F31" s="29" t="n">
        <f aca="false">IF(F$5&gt;0,Inputs!F50*1+Inputs!$B$22,0)</f>
        <v>6000</v>
      </c>
      <c r="G31" s="29" t="n">
        <f aca="false">IF(G$5&gt;0,Inputs!G50*1+Inputs!$B$22,0)</f>
        <v>6000</v>
      </c>
    </row>
    <row r="32" customFormat="false" ht="15" hidden="false" customHeight="false" outlineLevel="0" collapsed="false">
      <c r="A32" s="6" t="s">
        <v>188</v>
      </c>
      <c r="B32" s="35" t="n">
        <f aca="false">SUM(B29:B31)</f>
        <v>38449.884</v>
      </c>
      <c r="C32" s="35" t="n">
        <f aca="false">SUM(C29:C31)</f>
        <v>28359.9072</v>
      </c>
      <c r="D32" s="35" t="n">
        <f aca="false">SUM(D29:D31)</f>
        <v>26449.884</v>
      </c>
      <c r="E32" s="35" t="n">
        <f aca="false">SUM(E29:E31)</f>
        <v>50899.768</v>
      </c>
      <c r="F32" s="35" t="n">
        <f aca="false">SUM(F29:F31)</f>
        <v>46899.768</v>
      </c>
      <c r="G32" s="35" t="n">
        <f aca="false">SUM(G29:G31)</f>
        <v>46899.768</v>
      </c>
    </row>
    <row r="33" customFormat="false" ht="15" hidden="false" customHeight="false" outlineLevel="0" collapsed="false">
      <c r="A33" s="9" t="s">
        <v>189</v>
      </c>
      <c r="B33" s="29" t="n">
        <f aca="false">B12</f>
        <v>30450</v>
      </c>
      <c r="C33" s="29" t="n">
        <f aca="false">C12</f>
        <v>30954</v>
      </c>
      <c r="D33" s="29" t="n">
        <f aca="false">D12</f>
        <v>31164</v>
      </c>
      <c r="E33" s="29" t="n">
        <f aca="false">E12</f>
        <v>48300</v>
      </c>
      <c r="F33" s="29" t="n">
        <f aca="false">F12</f>
        <v>52290</v>
      </c>
      <c r="G33" s="29" t="n">
        <f aca="false">G12</f>
        <v>52290</v>
      </c>
    </row>
    <row r="34" customFormat="false" ht="15" hidden="false" customHeight="false" outlineLevel="0" collapsed="false">
      <c r="A34" s="6" t="s">
        <v>190</v>
      </c>
      <c r="B34" s="30" t="n">
        <f aca="false">B32-B33</f>
        <v>7999.88400000001</v>
      </c>
      <c r="C34" s="30" t="n">
        <f aca="false">C32-C33</f>
        <v>-2594.0928</v>
      </c>
      <c r="D34" s="30" t="n">
        <f aca="false">D32-D33</f>
        <v>-4714.11599999999</v>
      </c>
      <c r="E34" s="30" t="n">
        <f aca="false">E32-E33</f>
        <v>2599.76800000001</v>
      </c>
      <c r="F34" s="30" t="n">
        <f aca="false">F32-F33</f>
        <v>-5390.23199999999</v>
      </c>
      <c r="G34" s="30" t="n">
        <f aca="false">G32-G33</f>
        <v>-5390.23199999999</v>
      </c>
    </row>
    <row r="36" customFormat="false" ht="19.5" hidden="false" customHeight="true" outlineLevel="0" collapsed="false">
      <c r="A36" s="13" t="s">
        <v>191</v>
      </c>
      <c r="B36" s="14"/>
      <c r="C36" s="14"/>
      <c r="D36" s="14"/>
      <c r="E36" s="14"/>
      <c r="F36" s="14"/>
      <c r="G36" s="14"/>
    </row>
    <row r="37" customFormat="false" ht="15" hidden="false" customHeight="false" outlineLevel="0" collapsed="false">
      <c r="A37" s="9" t="s">
        <v>183</v>
      </c>
      <c r="B37" s="34" t="n">
        <f aca="false">ROUND(B5*Inputs!$B$6,0)</f>
        <v>500</v>
      </c>
      <c r="C37" s="34" t="n">
        <f aca="false">ROUND(C5*Inputs!$B$6,0)</f>
        <v>400</v>
      </c>
      <c r="D37" s="34" t="n">
        <f aca="false">ROUND(D5*Inputs!$B$6,0)</f>
        <v>500</v>
      </c>
      <c r="E37" s="34" t="n">
        <f aca="false">ROUND(E5*Inputs!$B$6,0)</f>
        <v>1000</v>
      </c>
      <c r="F37" s="34" t="n">
        <f aca="false">ROUND(F5*Inputs!$B$6,0)</f>
        <v>1000</v>
      </c>
      <c r="G37" s="34" t="n">
        <f aca="false">ROUND(G5*Inputs!$B$6,0)</f>
        <v>1000</v>
      </c>
    </row>
    <row r="38" customFormat="false" ht="15" hidden="false" customHeight="false" outlineLevel="0" collapsed="false">
      <c r="A38" s="9" t="s">
        <v>184</v>
      </c>
      <c r="B38" s="34" t="n">
        <f aca="false">ROUND(B37*(1-Inputs!$B$8),0)</f>
        <v>400</v>
      </c>
      <c r="C38" s="34" t="n">
        <f aca="false">ROUND(C37*(1-Inputs!$B$8),0)</f>
        <v>320</v>
      </c>
      <c r="D38" s="34" t="n">
        <f aca="false">ROUND(D37*(1-Inputs!$B$8),0)</f>
        <v>400</v>
      </c>
      <c r="E38" s="34" t="n">
        <f aca="false">ROUND(E37*(1-Inputs!$B$8),0)</f>
        <v>800</v>
      </c>
      <c r="F38" s="34" t="n">
        <f aca="false">ROUND(F37*(1-Inputs!$B$8),0)</f>
        <v>800</v>
      </c>
      <c r="G38" s="34" t="n">
        <f aca="false">ROUND(G37*(1-Inputs!$B$8),0)</f>
        <v>800</v>
      </c>
    </row>
    <row r="39" customFormat="false" ht="15" hidden="false" customHeight="false" outlineLevel="0" collapsed="false">
      <c r="A39" s="9" t="s">
        <v>185</v>
      </c>
      <c r="B39" s="29" t="n">
        <f aca="false">B38*B15</f>
        <v>29214.12</v>
      </c>
      <c r="C39" s="29" t="n">
        <f aca="false">C38*C15</f>
        <v>23371.296</v>
      </c>
      <c r="D39" s="29" t="n">
        <f aca="false">D38*D15</f>
        <v>29214.12</v>
      </c>
      <c r="E39" s="29" t="n">
        <f aca="false">E38*E15</f>
        <v>58428.24</v>
      </c>
      <c r="F39" s="29" t="n">
        <f aca="false">F38*F15</f>
        <v>58428.24</v>
      </c>
      <c r="G39" s="29" t="n">
        <f aca="false">G38*G15</f>
        <v>58428.24</v>
      </c>
    </row>
    <row r="40" customFormat="false" ht="15" hidden="false" customHeight="false" outlineLevel="0" collapsed="false">
      <c r="A40" s="9" t="s">
        <v>186</v>
      </c>
      <c r="B40" s="29" t="n">
        <f aca="false">B37*(Inputs!$B$20+Inputs!$B$21)</f>
        <v>0</v>
      </c>
      <c r="C40" s="29" t="n">
        <f aca="false">C37*(Inputs!$B$20+Inputs!$B$21)</f>
        <v>0</v>
      </c>
      <c r="D40" s="29" t="n">
        <f aca="false">D37*(Inputs!$B$20+Inputs!$B$21)</f>
        <v>0</v>
      </c>
      <c r="E40" s="29" t="n">
        <f aca="false">E37*(Inputs!$B$20+Inputs!$B$21)</f>
        <v>0</v>
      </c>
      <c r="F40" s="29" t="n">
        <f aca="false">F37*(Inputs!$B$20+Inputs!$B$21)</f>
        <v>0</v>
      </c>
      <c r="G40" s="29" t="n">
        <f aca="false">G37*(Inputs!$B$20+Inputs!$B$21)</f>
        <v>0</v>
      </c>
    </row>
    <row r="41" customFormat="false" ht="15" hidden="false" customHeight="false" outlineLevel="0" collapsed="false">
      <c r="A41" s="9" t="s">
        <v>187</v>
      </c>
      <c r="B41" s="29" t="n">
        <f aca="false">IF(B$5&gt;0,Inputs!B50*1+Inputs!$B$22,0)</f>
        <v>18000</v>
      </c>
      <c r="C41" s="29" t="n">
        <f aca="false">IF(C$5&gt;0,Inputs!C50*1+Inputs!$B$22,0)</f>
        <v>12000</v>
      </c>
      <c r="D41" s="29" t="n">
        <f aca="false">IF(D$5&gt;0,Inputs!D50*1+Inputs!$B$22,0)</f>
        <v>6000</v>
      </c>
      <c r="E41" s="29" t="n">
        <f aca="false">IF(E$5&gt;0,Inputs!E50*1+Inputs!$B$22,0)</f>
        <v>10000</v>
      </c>
      <c r="F41" s="29" t="n">
        <f aca="false">IF(F$5&gt;0,Inputs!F50*1+Inputs!$B$22,0)</f>
        <v>6000</v>
      </c>
      <c r="G41" s="29" t="n">
        <f aca="false">IF(G$5&gt;0,Inputs!G50*1+Inputs!$B$22,0)</f>
        <v>6000</v>
      </c>
    </row>
    <row r="42" customFormat="false" ht="15" hidden="false" customHeight="false" outlineLevel="0" collapsed="false">
      <c r="A42" s="6" t="s">
        <v>188</v>
      </c>
      <c r="B42" s="35" t="n">
        <f aca="false">SUM(B39:B41)</f>
        <v>47214.12</v>
      </c>
      <c r="C42" s="35" t="n">
        <f aca="false">SUM(C39:C41)</f>
        <v>35371.296</v>
      </c>
      <c r="D42" s="35" t="n">
        <f aca="false">SUM(D39:D41)</f>
        <v>35214.12</v>
      </c>
      <c r="E42" s="35" t="n">
        <f aca="false">SUM(E39:E41)</f>
        <v>68428.24</v>
      </c>
      <c r="F42" s="35" t="n">
        <f aca="false">SUM(F39:F41)</f>
        <v>64428.24</v>
      </c>
      <c r="G42" s="35" t="n">
        <f aca="false">SUM(G39:G41)</f>
        <v>64428.24</v>
      </c>
    </row>
    <row r="43" customFormat="false" ht="15" hidden="false" customHeight="false" outlineLevel="0" collapsed="false">
      <c r="A43" s="9" t="s">
        <v>189</v>
      </c>
      <c r="B43" s="29" t="n">
        <f aca="false">B12</f>
        <v>30450</v>
      </c>
      <c r="C43" s="29" t="n">
        <f aca="false">C12</f>
        <v>30954</v>
      </c>
      <c r="D43" s="29" t="n">
        <f aca="false">D12</f>
        <v>31164</v>
      </c>
      <c r="E43" s="29" t="n">
        <f aca="false">E12</f>
        <v>48300</v>
      </c>
      <c r="F43" s="29" t="n">
        <f aca="false">F12</f>
        <v>52290</v>
      </c>
      <c r="G43" s="29" t="n">
        <f aca="false">G12</f>
        <v>52290</v>
      </c>
    </row>
    <row r="44" customFormat="false" ht="15" hidden="false" customHeight="false" outlineLevel="0" collapsed="false">
      <c r="A44" s="6" t="s">
        <v>190</v>
      </c>
      <c r="B44" s="30" t="n">
        <f aca="false">B42-B43</f>
        <v>16764.12</v>
      </c>
      <c r="C44" s="30" t="n">
        <f aca="false">C42-C43</f>
        <v>4417.296</v>
      </c>
      <c r="D44" s="30" t="n">
        <f aca="false">D42-D43</f>
        <v>4050.12000000001</v>
      </c>
      <c r="E44" s="30" t="n">
        <f aca="false">E42-E43</f>
        <v>20128.24</v>
      </c>
      <c r="F44" s="30" t="n">
        <f aca="false">F42-F43</f>
        <v>12138.24</v>
      </c>
      <c r="G44" s="30" t="n">
        <f aca="false">G42-G43</f>
        <v>12138.24</v>
      </c>
    </row>
    <row r="46" customFormat="false" ht="19.5" hidden="false" customHeight="true" outlineLevel="0" collapsed="false">
      <c r="A46" s="13" t="s">
        <v>192</v>
      </c>
      <c r="B46" s="14"/>
      <c r="C46" s="14"/>
      <c r="D46" s="14"/>
      <c r="E46" s="14"/>
      <c r="F46" s="14"/>
      <c r="G46" s="14"/>
    </row>
    <row r="47" customFormat="false" ht="15" hidden="false" customHeight="false" outlineLevel="0" collapsed="false">
      <c r="A47" s="9" t="s">
        <v>183</v>
      </c>
      <c r="B47" s="34" t="n">
        <f aca="false">ROUND(B5*Inputs!$B$7,0)</f>
        <v>800</v>
      </c>
      <c r="C47" s="34" t="n">
        <f aca="false">ROUND(C5*Inputs!$B$7,0)</f>
        <v>640</v>
      </c>
      <c r="D47" s="34" t="n">
        <f aca="false">ROUND(D5*Inputs!$B$7,0)</f>
        <v>800</v>
      </c>
      <c r="E47" s="34" t="n">
        <f aca="false">ROUND(E5*Inputs!$B$7,0)</f>
        <v>1600</v>
      </c>
      <c r="F47" s="34" t="n">
        <f aca="false">ROUND(F5*Inputs!$B$7,0)</f>
        <v>1600</v>
      </c>
      <c r="G47" s="34" t="n">
        <f aca="false">ROUND(G5*Inputs!$B$7,0)</f>
        <v>1600</v>
      </c>
    </row>
    <row r="48" customFormat="false" ht="15" hidden="false" customHeight="false" outlineLevel="0" collapsed="false">
      <c r="A48" s="9" t="s">
        <v>184</v>
      </c>
      <c r="B48" s="34" t="n">
        <f aca="false">ROUND(B47*(1-Inputs!$B$8),0)</f>
        <v>640</v>
      </c>
      <c r="C48" s="34" t="n">
        <f aca="false">ROUND(C47*(1-Inputs!$B$8),0)</f>
        <v>512</v>
      </c>
      <c r="D48" s="34" t="n">
        <f aca="false">ROUND(D47*(1-Inputs!$B$8),0)</f>
        <v>640</v>
      </c>
      <c r="E48" s="34" t="n">
        <f aca="false">ROUND(E47*(1-Inputs!$B$8),0)</f>
        <v>1280</v>
      </c>
      <c r="F48" s="34" t="n">
        <f aca="false">ROUND(F47*(1-Inputs!$B$8),0)</f>
        <v>1280</v>
      </c>
      <c r="G48" s="34" t="n">
        <f aca="false">ROUND(G47*(1-Inputs!$B$8),0)</f>
        <v>1280</v>
      </c>
    </row>
    <row r="49" customFormat="false" ht="15" hidden="false" customHeight="false" outlineLevel="0" collapsed="false">
      <c r="A49" s="9" t="s">
        <v>185</v>
      </c>
      <c r="B49" s="29" t="n">
        <f aca="false">B48*B15</f>
        <v>46742.592</v>
      </c>
      <c r="C49" s="29" t="n">
        <f aca="false">C48*C15</f>
        <v>37394.0736</v>
      </c>
      <c r="D49" s="29" t="n">
        <f aca="false">D48*D15</f>
        <v>46742.592</v>
      </c>
      <c r="E49" s="29" t="n">
        <f aca="false">E48*E15</f>
        <v>93485.184</v>
      </c>
      <c r="F49" s="29" t="n">
        <f aca="false">F48*F15</f>
        <v>93485.184</v>
      </c>
      <c r="G49" s="29" t="n">
        <f aca="false">G48*G15</f>
        <v>93485.184</v>
      </c>
    </row>
    <row r="50" customFormat="false" ht="15" hidden="false" customHeight="false" outlineLevel="0" collapsed="false">
      <c r="A50" s="9" t="s">
        <v>186</v>
      </c>
      <c r="B50" s="29" t="n">
        <f aca="false">B47*(Inputs!$B$20+Inputs!$B$21)</f>
        <v>0</v>
      </c>
      <c r="C50" s="29" t="n">
        <f aca="false">C47*(Inputs!$B$20+Inputs!$B$21)</f>
        <v>0</v>
      </c>
      <c r="D50" s="29" t="n">
        <f aca="false">D47*(Inputs!$B$20+Inputs!$B$21)</f>
        <v>0</v>
      </c>
      <c r="E50" s="29" t="n">
        <f aca="false">E47*(Inputs!$B$20+Inputs!$B$21)</f>
        <v>0</v>
      </c>
      <c r="F50" s="29" t="n">
        <f aca="false">F47*(Inputs!$B$20+Inputs!$B$21)</f>
        <v>0</v>
      </c>
      <c r="G50" s="29" t="n">
        <f aca="false">G47*(Inputs!$B$20+Inputs!$B$21)</f>
        <v>0</v>
      </c>
    </row>
    <row r="51" customFormat="false" ht="15" hidden="false" customHeight="false" outlineLevel="0" collapsed="false">
      <c r="A51" s="9" t="s">
        <v>187</v>
      </c>
      <c r="B51" s="29" t="n">
        <f aca="false">IF(B$5&gt;0,Inputs!B50*1+Inputs!$B$22,0)</f>
        <v>18000</v>
      </c>
      <c r="C51" s="29" t="n">
        <f aca="false">IF(C$5&gt;0,Inputs!C50*1+Inputs!$B$22,0)</f>
        <v>12000</v>
      </c>
      <c r="D51" s="29" t="n">
        <f aca="false">IF(D$5&gt;0,Inputs!D50*1+Inputs!$B$22,0)</f>
        <v>6000</v>
      </c>
      <c r="E51" s="29" t="n">
        <f aca="false">IF(E$5&gt;0,Inputs!E50*1+Inputs!$B$22,0)</f>
        <v>10000</v>
      </c>
      <c r="F51" s="29" t="n">
        <f aca="false">IF(F$5&gt;0,Inputs!F50*1+Inputs!$B$22,0)</f>
        <v>6000</v>
      </c>
      <c r="G51" s="29" t="n">
        <f aca="false">IF(G$5&gt;0,Inputs!G50*1+Inputs!$B$22,0)</f>
        <v>6000</v>
      </c>
    </row>
    <row r="52" customFormat="false" ht="15" hidden="false" customHeight="false" outlineLevel="0" collapsed="false">
      <c r="A52" s="6" t="s">
        <v>188</v>
      </c>
      <c r="B52" s="35" t="n">
        <f aca="false">SUM(B49:B51)</f>
        <v>64742.592</v>
      </c>
      <c r="C52" s="35" t="n">
        <f aca="false">SUM(C49:C51)</f>
        <v>49394.0736</v>
      </c>
      <c r="D52" s="35" t="n">
        <f aca="false">SUM(D49:D51)</f>
        <v>52742.592</v>
      </c>
      <c r="E52" s="35" t="n">
        <f aca="false">SUM(E49:E51)</f>
        <v>103485.184</v>
      </c>
      <c r="F52" s="35" t="n">
        <f aca="false">SUM(F49:F51)</f>
        <v>99485.184</v>
      </c>
      <c r="G52" s="35" t="n">
        <f aca="false">SUM(G49:G51)</f>
        <v>99485.184</v>
      </c>
    </row>
    <row r="53" customFormat="false" ht="15" hidden="false" customHeight="false" outlineLevel="0" collapsed="false">
      <c r="A53" s="9" t="s">
        <v>189</v>
      </c>
      <c r="B53" s="29" t="n">
        <f aca="false">B12</f>
        <v>30450</v>
      </c>
      <c r="C53" s="29" t="n">
        <f aca="false">C12</f>
        <v>30954</v>
      </c>
      <c r="D53" s="29" t="n">
        <f aca="false">D12</f>
        <v>31164</v>
      </c>
      <c r="E53" s="29" t="n">
        <f aca="false">E12</f>
        <v>48300</v>
      </c>
      <c r="F53" s="29" t="n">
        <f aca="false">F12</f>
        <v>52290</v>
      </c>
      <c r="G53" s="29" t="n">
        <f aca="false">G12</f>
        <v>52290</v>
      </c>
    </row>
    <row r="54" customFormat="false" ht="15" hidden="false" customHeight="false" outlineLevel="0" collapsed="false">
      <c r="A54" s="6" t="s">
        <v>190</v>
      </c>
      <c r="B54" s="30" t="n">
        <f aca="false">B52-B53</f>
        <v>34292.592</v>
      </c>
      <c r="C54" s="30" t="n">
        <f aca="false">C52-C53</f>
        <v>18440.0736</v>
      </c>
      <c r="D54" s="30" t="n">
        <f aca="false">D52-D53</f>
        <v>21578.592</v>
      </c>
      <c r="E54" s="30" t="n">
        <f aca="false">E52-E53</f>
        <v>55185.184</v>
      </c>
      <c r="F54" s="30" t="n">
        <f aca="false">F52-F53</f>
        <v>47195.184</v>
      </c>
      <c r="G54" s="30" t="n">
        <f aca="false">G52-G53</f>
        <v>47195.184</v>
      </c>
    </row>
    <row r="56" customFormat="false" ht="19.5" hidden="false" customHeight="true" outlineLevel="0" collapsed="false">
      <c r="A56" s="13" t="s">
        <v>193</v>
      </c>
      <c r="B56" s="14"/>
      <c r="C56" s="14"/>
      <c r="D56" s="14"/>
      <c r="E56" s="14"/>
      <c r="F56" s="14"/>
      <c r="G56" s="14"/>
    </row>
    <row r="57" customFormat="false" ht="15" hidden="false" customHeight="false" outlineLevel="0" collapsed="false">
      <c r="A57" s="9" t="s">
        <v>183</v>
      </c>
      <c r="B57" s="34" t="n">
        <f aca="false">ROUND(B5*Inputs!$B$6*(1-Inputs!$B$24),0)</f>
        <v>350</v>
      </c>
      <c r="C57" s="34" t="n">
        <f aca="false">ROUND(C5*Inputs!$B$6*(1-Inputs!$B$24),0)</f>
        <v>280</v>
      </c>
      <c r="D57" s="34" t="n">
        <f aca="false">ROUND(D5*Inputs!$B$6*(1-Inputs!$B$24),0)</f>
        <v>350</v>
      </c>
      <c r="E57" s="34" t="n">
        <f aca="false">ROUND(E5*Inputs!$B$6*(1-Inputs!$B$24),0)</f>
        <v>700</v>
      </c>
      <c r="F57" s="34" t="n">
        <f aca="false">ROUND(F5*Inputs!$B$6*(1-Inputs!$B$24),0)</f>
        <v>700</v>
      </c>
      <c r="G57" s="34" t="n">
        <f aca="false">ROUND(G5*Inputs!$B$6*(1-Inputs!$B$24),0)</f>
        <v>700</v>
      </c>
    </row>
    <row r="58" customFormat="false" ht="15" hidden="false" customHeight="false" outlineLevel="0" collapsed="false">
      <c r="A58" s="9" t="s">
        <v>184</v>
      </c>
      <c r="B58" s="34" t="n">
        <f aca="false">ROUND(B57*(1-Inputs!$B$8),0)</f>
        <v>280</v>
      </c>
      <c r="C58" s="34" t="n">
        <f aca="false">ROUND(C57*(1-Inputs!$B$8),0)</f>
        <v>224</v>
      </c>
      <c r="D58" s="34" t="n">
        <f aca="false">ROUND(D57*(1-Inputs!$B$8),0)</f>
        <v>280</v>
      </c>
      <c r="E58" s="34" t="n">
        <f aca="false">ROUND(E57*(1-Inputs!$B$8),0)</f>
        <v>560</v>
      </c>
      <c r="F58" s="34" t="n">
        <f aca="false">ROUND(F57*(1-Inputs!$B$8),0)</f>
        <v>560</v>
      </c>
      <c r="G58" s="34" t="n">
        <f aca="false">ROUND(G57*(1-Inputs!$B$8),0)</f>
        <v>560</v>
      </c>
    </row>
    <row r="59" customFormat="false" ht="15" hidden="false" customHeight="false" outlineLevel="0" collapsed="false">
      <c r="A59" s="9" t="s">
        <v>185</v>
      </c>
      <c r="B59" s="29" t="n">
        <f aca="false">B58*B15</f>
        <v>20449.884</v>
      </c>
      <c r="C59" s="29" t="n">
        <f aca="false">C58*C15</f>
        <v>16359.9072</v>
      </c>
      <c r="D59" s="29" t="n">
        <f aca="false">D58*D15</f>
        <v>20449.884</v>
      </c>
      <c r="E59" s="29" t="n">
        <f aca="false">E58*E15</f>
        <v>40899.768</v>
      </c>
      <c r="F59" s="29" t="n">
        <f aca="false">F58*F15</f>
        <v>40899.768</v>
      </c>
      <c r="G59" s="29" t="n">
        <f aca="false">G58*G15</f>
        <v>40899.768</v>
      </c>
    </row>
    <row r="60" customFormat="false" ht="15" hidden="false" customHeight="false" outlineLevel="0" collapsed="false">
      <c r="A60" s="9" t="s">
        <v>186</v>
      </c>
      <c r="B60" s="29" t="n">
        <f aca="false">B57*(Inputs!$B$20+Inputs!$B$21)</f>
        <v>0</v>
      </c>
      <c r="C60" s="29" t="n">
        <f aca="false">C57*(Inputs!$B$20+Inputs!$B$21)</f>
        <v>0</v>
      </c>
      <c r="D60" s="29" t="n">
        <f aca="false">D57*(Inputs!$B$20+Inputs!$B$21)</f>
        <v>0</v>
      </c>
      <c r="E60" s="29" t="n">
        <f aca="false">E57*(Inputs!$B$20+Inputs!$B$21)</f>
        <v>0</v>
      </c>
      <c r="F60" s="29" t="n">
        <f aca="false">F57*(Inputs!$B$20+Inputs!$B$21)</f>
        <v>0</v>
      </c>
      <c r="G60" s="29" t="n">
        <f aca="false">G57*(Inputs!$B$20+Inputs!$B$21)</f>
        <v>0</v>
      </c>
    </row>
    <row r="61" customFormat="false" ht="15" hidden="false" customHeight="false" outlineLevel="0" collapsed="false">
      <c r="A61" s="9" t="s">
        <v>187</v>
      </c>
      <c r="B61" s="29" t="n">
        <f aca="false">IF(B$5&gt;0,Inputs!B50*(1-Inputs!$B$25)+Inputs!$B$22,0)</f>
        <v>9000</v>
      </c>
      <c r="C61" s="29" t="n">
        <f aca="false">IF(C$5&gt;0,Inputs!C50*(1-Inputs!$B$25)+Inputs!$B$22,0)</f>
        <v>6000</v>
      </c>
      <c r="D61" s="29" t="n">
        <f aca="false">IF(D$5&gt;0,Inputs!D50*(1-Inputs!$B$25)+Inputs!$B$22,0)</f>
        <v>3000</v>
      </c>
      <c r="E61" s="29" t="n">
        <f aca="false">IF(E$5&gt;0,Inputs!E50*(1-Inputs!$B$25)+Inputs!$B$22,0)</f>
        <v>5000</v>
      </c>
      <c r="F61" s="29" t="n">
        <f aca="false">IF(F$5&gt;0,Inputs!F50*(1-Inputs!$B$25)+Inputs!$B$22,0)</f>
        <v>3000</v>
      </c>
      <c r="G61" s="29" t="n">
        <f aca="false">IF(G$5&gt;0,Inputs!G50*(1-Inputs!$B$25)+Inputs!$B$22,0)</f>
        <v>3000</v>
      </c>
    </row>
    <row r="62" customFormat="false" ht="15" hidden="false" customHeight="false" outlineLevel="0" collapsed="false">
      <c r="A62" s="6" t="s">
        <v>188</v>
      </c>
      <c r="B62" s="35" t="n">
        <f aca="false">SUM(B59:B61)</f>
        <v>29449.884</v>
      </c>
      <c r="C62" s="35" t="n">
        <f aca="false">SUM(C59:C61)</f>
        <v>22359.9072</v>
      </c>
      <c r="D62" s="35" t="n">
        <f aca="false">SUM(D59:D61)</f>
        <v>23449.884</v>
      </c>
      <c r="E62" s="35" t="n">
        <f aca="false">SUM(E59:E61)</f>
        <v>45899.768</v>
      </c>
      <c r="F62" s="35" t="n">
        <f aca="false">SUM(F59:F61)</f>
        <v>43899.768</v>
      </c>
      <c r="G62" s="35" t="n">
        <f aca="false">SUM(G59:G61)</f>
        <v>43899.768</v>
      </c>
    </row>
    <row r="63" customFormat="false" ht="15" hidden="false" customHeight="false" outlineLevel="0" collapsed="false">
      <c r="A63" s="9" t="s">
        <v>189</v>
      </c>
      <c r="B63" s="29" t="n">
        <f aca="false">B12</f>
        <v>30450</v>
      </c>
      <c r="C63" s="29" t="n">
        <f aca="false">C12</f>
        <v>30954</v>
      </c>
      <c r="D63" s="29" t="n">
        <f aca="false">D12</f>
        <v>31164</v>
      </c>
      <c r="E63" s="29" t="n">
        <f aca="false">E12</f>
        <v>48300</v>
      </c>
      <c r="F63" s="29" t="n">
        <f aca="false">F12</f>
        <v>52290</v>
      </c>
      <c r="G63" s="29" t="n">
        <f aca="false">G12</f>
        <v>52290</v>
      </c>
    </row>
    <row r="64" customFormat="false" ht="15" hidden="false" customHeight="false" outlineLevel="0" collapsed="false">
      <c r="A64" s="6" t="s">
        <v>190</v>
      </c>
      <c r="B64" s="30" t="n">
        <f aca="false">B62-B63</f>
        <v>-1000.11599999999</v>
      </c>
      <c r="C64" s="30" t="n">
        <f aca="false">C62-C63</f>
        <v>-8594.0928</v>
      </c>
      <c r="D64" s="30" t="n">
        <f aca="false">D62-D63</f>
        <v>-7714.11599999999</v>
      </c>
      <c r="E64" s="30" t="n">
        <f aca="false">E62-E63</f>
        <v>-2400.23199999999</v>
      </c>
      <c r="F64" s="30" t="n">
        <f aca="false">F62-F63</f>
        <v>-8390.23199999999</v>
      </c>
      <c r="G64" s="30" t="n">
        <f aca="false">G62-G63</f>
        <v>-8390.23199999999</v>
      </c>
    </row>
    <row r="66" customFormat="false" ht="19.5" hidden="false" customHeight="true" outlineLevel="0" collapsed="false">
      <c r="A66" s="13" t="s">
        <v>194</v>
      </c>
      <c r="B66" s="14"/>
      <c r="C66" s="14"/>
      <c r="D66" s="14"/>
      <c r="E66" s="14"/>
      <c r="F66" s="14"/>
      <c r="G66" s="14"/>
    </row>
    <row r="67" customFormat="false" ht="57.75" hidden="false" customHeight="true" outlineLevel="0" collapsed="false">
      <c r="A67" s="6" t="s">
        <v>195</v>
      </c>
      <c r="B67" s="37" t="str">
        <f aca="false">IF(NOT(B$5&gt;0),"",IF(B34&gt;=0,"SAFE: profits even on a low night",IF(B44&gt;=0,"OK: profits if the expected crowd shows","RISKY: loses money at the expected crowd")))&amp;IF(AND(B$5&gt;0,B37&lt;Inputs!$B$9),"  ·  BELOW MINIMUM: expected crowd is under Cody's minimum","")</f>
        <v>SAFE: profits even on a low night  ·  BELOW MINIMUM: expected crowd is under Cody's minimum</v>
      </c>
      <c r="C67" s="37" t="str">
        <f aca="false">IF(NOT(C$5&gt;0),"",IF(C34&gt;=0,"SAFE: profits even on a low night",IF(C44&gt;=0,"OK: profits if the expected crowd shows","RISKY: loses money at the expected crowd")))&amp;IF(AND(C$5&gt;0,C37&lt;Inputs!$B$9),"  ·  BELOW MINIMUM: expected crowd is under Cody's minimum","")</f>
        <v>OK: profits if the expected crowd shows  ·  BELOW MINIMUM: expected crowd is under Cody's minimum</v>
      </c>
      <c r="D67" s="37" t="str">
        <f aca="false">IF(NOT(D$5&gt;0),"",IF(D34&gt;=0,"SAFE: profits even on a low night",IF(D44&gt;=0,"OK: profits if the expected crowd shows","RISKY: loses money at the expected crowd")))&amp;IF(AND(D$5&gt;0,D37&lt;Inputs!$B$9),"  ·  BELOW MINIMUM: expected crowd is under Cody's minimum","")</f>
        <v>OK: profits if the expected crowd shows  ·  BELOW MINIMUM: expected crowd is under Cody's minimum</v>
      </c>
      <c r="E67" s="37" t="str">
        <f aca="false">IF(NOT(E$5&gt;0),"",IF(E34&gt;=0,"SAFE: profits even on a low night",IF(E44&gt;=0,"OK: profits if the expected crowd shows","RISKY: loses money at the expected crowd")))&amp;IF(AND(E$5&gt;0,E37&lt;Inputs!$B$9),"  ·  BELOW MINIMUM: expected crowd is under Cody's minimum","")</f>
        <v>SAFE: profits even on a low night</v>
      </c>
      <c r="F67" s="37" t="str">
        <f aca="false">IF(NOT(F$5&gt;0),"",IF(F34&gt;=0,"SAFE: profits even on a low night",IF(F44&gt;=0,"OK: profits if the expected crowd shows","RISKY: loses money at the expected crowd")))&amp;IF(AND(F$5&gt;0,F37&lt;Inputs!$B$9),"  ·  BELOW MINIMUM: expected crowd is under Cody's minimum","")</f>
        <v>OK: profits if the expected crowd shows</v>
      </c>
      <c r="G67" s="37" t="str">
        <f aca="false">IF(NOT(G$5&gt;0),"",IF(G34&gt;=0,"SAFE: profits even on a low night",IF(G44&gt;=0,"OK: profits if the expected crowd shows","RISKY: loses money at the expected crowd")))&amp;IF(AND(G$5&gt;0,G37&lt;Inputs!$B$9),"  ·  BELOW MINIMUM: expected crowd is under Cody's minimum","")</f>
        <v>OK: profits if the expected crowd shows</v>
      </c>
    </row>
    <row r="68" customFormat="false" ht="15" hidden="false" customHeight="false" outlineLevel="0" collapsed="false">
      <c r="A68" s="6" t="s">
        <v>196</v>
      </c>
      <c r="B68" s="38" t="str">
        <f aca="false">IF(MAX(B44:G44)=0,"",INDEX(B4:G4,MATCH(MAX(B44:G44),B44:G44,0)))</f>
        <v>Peterborough Memorial Centre · Peterborough</v>
      </c>
      <c r="C68" s="38"/>
      <c r="D68" s="38"/>
      <c r="E68" s="38"/>
      <c r="F68" s="38"/>
      <c r="G68" s="38"/>
    </row>
    <row r="70" customFormat="false" ht="30" hidden="false" customHeight="true" outlineLevel="0" collapsed="false">
      <c r="A70" s="39" t="s">
        <v>197</v>
      </c>
      <c r="B70" s="39"/>
      <c r="C70" s="39"/>
      <c r="D70" s="39"/>
      <c r="E70" s="39"/>
      <c r="F70" s="39"/>
      <c r="G70" s="39"/>
    </row>
  </sheetData>
  <mergeCells count="4">
    <mergeCell ref="A1:G1"/>
    <mergeCell ref="A2:G2"/>
    <mergeCell ref="B68:G68"/>
    <mergeCell ref="A70:G70"/>
  </mergeCells>
  <conditionalFormatting sqref="B34:G34">
    <cfRule type="cellIs" priority="2" operator="lessThan" aboveAverage="0" equalAverage="0" bottom="0" percent="0" rank="0" text="" dxfId="1">
      <formula>0</formula>
    </cfRule>
    <cfRule type="cellIs" priority="3" operator="greaterThan" aboveAverage="0" equalAverage="0" bottom="0" percent="0" rank="0" text="" dxfId="2">
      <formula>0</formula>
    </cfRule>
  </conditionalFormatting>
  <conditionalFormatting sqref="B44:G44">
    <cfRule type="cellIs" priority="4" operator="lessThan" aboveAverage="0" equalAverage="0" bottom="0" percent="0" rank="0" text="" dxfId="1">
      <formula>0</formula>
    </cfRule>
    <cfRule type="cellIs" priority="5" operator="greaterThan" aboveAverage="0" equalAverage="0" bottom="0" percent="0" rank="0" text="" dxfId="2">
      <formula>0</formula>
    </cfRule>
  </conditionalFormatting>
  <conditionalFormatting sqref="B54:G54">
    <cfRule type="cellIs" priority="6" operator="lessThan" aboveAverage="0" equalAverage="0" bottom="0" percent="0" rank="0" text="" dxfId="1">
      <formula>0</formula>
    </cfRule>
    <cfRule type="cellIs" priority="7" operator="greaterThan" aboveAverage="0" equalAverage="0" bottom="0" percent="0" rank="0" text="" dxfId="2">
      <formula>0</formula>
    </cfRule>
  </conditionalFormatting>
  <conditionalFormatting sqref="B64:G64">
    <cfRule type="cellIs" priority="8" operator="lessThan" aboveAverage="0" equalAverage="0" bottom="0" percent="0" rank="0" text="" dxfId="1">
      <formula>0</formula>
    </cfRule>
    <cfRule type="cellIs" priority="9" operator="greaterThan" aboveAverage="0" equalAverage="0" bottom="0" percent="0" rank="0" text="" dxfId="2">
      <formula>0</formula>
    </cfRule>
  </conditionalFormatting>
  <conditionalFormatting sqref="B67:G67">
    <cfRule type="expression" priority="10" aboveAverage="0" equalAverage="0" bottom="0" percent="0" rank="0" text="" dxfId="2">
      <formula>LEFT(B67,4)="SAFE"</formula>
    </cfRule>
    <cfRule type="expression" priority="11" aboveAverage="0" equalAverage="0" bottom="0" percent="0" rank="0" text="" dxfId="3">
      <formula>LEFT(B67,2)="OK"</formula>
    </cfRule>
    <cfRule type="expression" priority="12" aboveAverage="0" equalAverage="0" bottom="0" percent="0" rank="0" text="" dxfId="0">
      <formula>LEFT(B67,5)="RISKY"</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4" min="2" style="0" width="17"/>
    <col collapsed="false" customWidth="true" hidden="false" outlineLevel="0" max="5" min="5" style="0" width="62"/>
  </cols>
  <sheetData>
    <row r="1" customFormat="false" ht="30" hidden="false" customHeight="true" outlineLevel="0" collapsed="false">
      <c r="A1" s="1" t="s">
        <v>198</v>
      </c>
      <c r="B1" s="1"/>
      <c r="C1" s="1"/>
      <c r="D1" s="1"/>
      <c r="E1" s="1"/>
    </row>
    <row r="2" customFormat="false" ht="30" hidden="false" customHeight="true" outlineLevel="0" collapsed="false">
      <c r="A2" s="2" t="s">
        <v>199</v>
      </c>
      <c r="B2" s="2"/>
      <c r="C2" s="2"/>
      <c r="D2" s="2"/>
      <c r="E2" s="2"/>
    </row>
    <row r="4" customFormat="false" ht="19.5" hidden="false" customHeight="true" outlineLevel="0" collapsed="false">
      <c r="A4" s="13" t="s">
        <v>200</v>
      </c>
      <c r="B4" s="14"/>
      <c r="C4" s="14"/>
      <c r="D4" s="14"/>
      <c r="E4" s="14"/>
    </row>
    <row r="5" customFormat="false" ht="15" hidden="false" customHeight="true" outlineLevel="0" collapsed="false">
      <c r="A5" s="7" t="s">
        <v>201</v>
      </c>
      <c r="B5" s="20" t="n">
        <v>60</v>
      </c>
      <c r="C5" s="39" t="s">
        <v>202</v>
      </c>
      <c r="D5" s="39"/>
      <c r="E5" s="39"/>
    </row>
    <row r="6" customFormat="false" ht="15" hidden="false" customHeight="true" outlineLevel="0" collapsed="false">
      <c r="A6" s="7" t="s">
        <v>203</v>
      </c>
      <c r="B6" s="20" t="n">
        <v>100</v>
      </c>
      <c r="C6" s="39" t="s">
        <v>202</v>
      </c>
      <c r="D6" s="39"/>
      <c r="E6" s="39"/>
    </row>
    <row r="7" customFormat="false" ht="15" hidden="false" customHeight="true" outlineLevel="0" collapsed="false">
      <c r="A7" s="7" t="s">
        <v>204</v>
      </c>
      <c r="B7" s="20" t="n">
        <v>1500</v>
      </c>
      <c r="C7" s="39" t="s">
        <v>205</v>
      </c>
      <c r="D7" s="39"/>
      <c r="E7" s="39"/>
    </row>
    <row r="8" customFormat="false" ht="15" hidden="false" customHeight="false" outlineLevel="0" collapsed="false">
      <c r="A8" s="7" t="s">
        <v>206</v>
      </c>
      <c r="B8" s="18" t="n">
        <v>8</v>
      </c>
    </row>
    <row r="9" customFormat="false" ht="15" hidden="false" customHeight="false" outlineLevel="0" collapsed="false">
      <c r="A9" s="7" t="s">
        <v>207</v>
      </c>
      <c r="B9" s="18" t="n">
        <v>6</v>
      </c>
    </row>
    <row r="10" customFormat="false" ht="15" hidden="false" customHeight="true" outlineLevel="0" collapsed="false">
      <c r="A10" s="7" t="s">
        <v>208</v>
      </c>
      <c r="B10" s="18" t="n">
        <v>400</v>
      </c>
      <c r="C10" s="39" t="s">
        <v>209</v>
      </c>
      <c r="D10" s="39"/>
      <c r="E10" s="39"/>
    </row>
    <row r="11" customFormat="false" ht="15" hidden="false" customHeight="true" outlineLevel="0" collapsed="false">
      <c r="A11" s="7" t="s">
        <v>210</v>
      </c>
      <c r="B11" s="18" t="n">
        <v>40</v>
      </c>
      <c r="C11" s="39" t="s">
        <v>211</v>
      </c>
      <c r="D11" s="39"/>
      <c r="E11" s="39"/>
    </row>
    <row r="12" customFormat="false" ht="15" hidden="false" customHeight="false" outlineLevel="0" collapsed="false">
      <c r="A12" s="7" t="s">
        <v>212</v>
      </c>
      <c r="B12" s="34" t="n">
        <f aca="false">B9*B8</f>
        <v>48</v>
      </c>
    </row>
    <row r="13" customFormat="false" ht="15" hidden="false" customHeight="false" outlineLevel="0" collapsed="false">
      <c r="A13" s="7" t="s">
        <v>213</v>
      </c>
      <c r="B13" s="34" t="n">
        <f aca="false">MAX(0,B10-B12-B11)</f>
        <v>312</v>
      </c>
    </row>
    <row r="14" customFormat="false" ht="15" hidden="false" customHeight="false" outlineLevel="0" collapsed="false">
      <c r="A14" s="40" t="s">
        <v>214</v>
      </c>
      <c r="B14" s="35" t="n">
        <f aca="false">B13*B5+B11*B6+B9*B7</f>
        <v>31720</v>
      </c>
    </row>
    <row r="15" customFormat="false" ht="15" hidden="false" customHeight="false" outlineLevel="0" collapsed="false">
      <c r="A15" s="7" t="s">
        <v>215</v>
      </c>
      <c r="B15" s="41" t="n">
        <f aca="false">Inputs!$B$18</f>
        <v>0.079</v>
      </c>
    </row>
    <row r="16" customFormat="false" ht="15" hidden="false" customHeight="false" outlineLevel="0" collapsed="false">
      <c r="A16" s="7" t="s">
        <v>185</v>
      </c>
      <c r="B16" s="29" t="n">
        <f aca="false">B14*(1-B15)</f>
        <v>29214.12</v>
      </c>
    </row>
    <row r="17" customFormat="false" ht="15" hidden="false" customHeight="true" outlineLevel="0" collapsed="false">
      <c r="A17" s="7" t="s">
        <v>216</v>
      </c>
      <c r="B17" s="20" t="n">
        <v>18000</v>
      </c>
      <c r="C17" s="39" t="s">
        <v>217</v>
      </c>
      <c r="D17" s="39"/>
      <c r="E17" s="39"/>
    </row>
    <row r="18" customFormat="false" ht="15" hidden="false" customHeight="true" outlineLevel="0" collapsed="false">
      <c r="A18" s="7" t="s">
        <v>218</v>
      </c>
      <c r="B18" s="20" t="n">
        <v>0</v>
      </c>
      <c r="C18" s="39" t="s">
        <v>219</v>
      </c>
      <c r="D18" s="39"/>
      <c r="E18" s="39"/>
    </row>
    <row r="19" customFormat="false" ht="15" hidden="false" customHeight="false" outlineLevel="0" collapsed="false">
      <c r="A19" s="40" t="s">
        <v>220</v>
      </c>
      <c r="B19" s="30" t="n">
        <f aca="false">B16+B17+B18</f>
        <v>47214.12</v>
      </c>
    </row>
    <row r="21" customFormat="false" ht="15" hidden="false" customHeight="false" outlineLevel="0" collapsed="false">
      <c r="A21" s="7" t="s">
        <v>221</v>
      </c>
      <c r="B21" s="20" t="n">
        <v>1500</v>
      </c>
    </row>
    <row r="22" customFormat="false" ht="15" hidden="false" customHeight="false" outlineLevel="0" collapsed="false">
      <c r="A22" s="7" t="s">
        <v>222</v>
      </c>
      <c r="B22" s="20" t="n">
        <v>3000</v>
      </c>
    </row>
    <row r="23" customFormat="false" ht="15" hidden="false" customHeight="false" outlineLevel="0" collapsed="false">
      <c r="A23" s="7" t="s">
        <v>223</v>
      </c>
      <c r="B23" s="20" t="n">
        <v>2000</v>
      </c>
    </row>
    <row r="24" customFormat="false" ht="15" hidden="false" customHeight="false" outlineLevel="0" collapsed="false">
      <c r="A24" s="7" t="s">
        <v>224</v>
      </c>
      <c r="B24" s="20" t="n">
        <v>3000</v>
      </c>
    </row>
    <row r="25" customFormat="false" ht="15" hidden="false" customHeight="false" outlineLevel="0" collapsed="false">
      <c r="A25" s="7" t="s">
        <v>225</v>
      </c>
      <c r="B25" s="20" t="n">
        <v>2000</v>
      </c>
    </row>
    <row r="26" customFormat="false" ht="15" hidden="false" customHeight="false" outlineLevel="0" collapsed="false">
      <c r="A26" s="7" t="s">
        <v>226</v>
      </c>
      <c r="B26" s="20" t="n">
        <v>1500</v>
      </c>
    </row>
    <row r="27" customFormat="false" ht="15" hidden="false" customHeight="false" outlineLevel="0" collapsed="false">
      <c r="A27" s="7" t="s">
        <v>227</v>
      </c>
      <c r="B27" s="20" t="n">
        <v>1000</v>
      </c>
    </row>
    <row r="28" customFormat="false" ht="30" hidden="false" customHeight="true" outlineLevel="0" collapsed="false">
      <c r="A28" s="7" t="s">
        <v>62</v>
      </c>
      <c r="B28" s="20" t="n">
        <v>15000</v>
      </c>
      <c r="C28" s="39" t="s">
        <v>228</v>
      </c>
      <c r="D28" s="39"/>
      <c r="E28" s="39"/>
    </row>
    <row r="29" customFormat="false" ht="15" hidden="false" customHeight="false" outlineLevel="0" collapsed="false">
      <c r="A29" s="40" t="s">
        <v>229</v>
      </c>
      <c r="B29" s="30" t="n">
        <f aca="false">SUM(B21:B28)</f>
        <v>29000</v>
      </c>
    </row>
    <row r="31" customFormat="false" ht="15" hidden="false" customHeight="false" outlineLevel="0" collapsed="false">
      <c r="A31" s="40" t="s">
        <v>230</v>
      </c>
      <c r="B31" s="42" t="n">
        <f aca="false">B19-B29</f>
        <v>18214.12</v>
      </c>
    </row>
    <row r="32" customFormat="false" ht="30" hidden="false" customHeight="true" outlineLevel="0" collapsed="false">
      <c r="A32" s="7" t="s">
        <v>231</v>
      </c>
      <c r="B32" s="20" t="n">
        <v>0</v>
      </c>
      <c r="C32" s="39" t="s">
        <v>232</v>
      </c>
      <c r="D32" s="39"/>
      <c r="E32" s="39"/>
    </row>
    <row r="33" customFormat="false" ht="15" hidden="false" customHeight="false" outlineLevel="0" collapsed="false">
      <c r="A33" s="40" t="s">
        <v>233</v>
      </c>
      <c r="B33" s="42" t="n">
        <f aca="false">B31-B32</f>
        <v>18214.12</v>
      </c>
    </row>
    <row r="35" customFormat="false" ht="19.5" hidden="false" customHeight="true" outlineLevel="0" collapsed="false">
      <c r="A35" s="13" t="s">
        <v>234</v>
      </c>
      <c r="B35" s="14"/>
      <c r="C35" s="14"/>
      <c r="D35" s="14"/>
      <c r="E35" s="14"/>
    </row>
    <row r="36" customFormat="false" ht="45" hidden="false" customHeight="true" outlineLevel="0" collapsed="false">
      <c r="A36" s="7" t="s">
        <v>235</v>
      </c>
      <c r="B36" s="20" t="n">
        <v>0</v>
      </c>
      <c r="C36" s="39" t="s">
        <v>236</v>
      </c>
      <c r="D36" s="39"/>
      <c r="E36" s="39"/>
    </row>
    <row r="37" customFormat="false" ht="15" hidden="false" customHeight="false" outlineLevel="0" collapsed="false">
      <c r="A37" s="11" t="s">
        <v>237</v>
      </c>
    </row>
    <row r="38" customFormat="false" ht="23.85" hidden="false" customHeight="true" outlineLevel="0" collapsed="false">
      <c r="A38" s="7" t="s">
        <v>238</v>
      </c>
      <c r="B38" s="20" t="n">
        <v>0</v>
      </c>
      <c r="C38" s="39" t="s">
        <v>239</v>
      </c>
      <c r="D38" s="39"/>
      <c r="E38" s="39"/>
    </row>
    <row r="39" customFormat="false" ht="15" hidden="false" customHeight="true" outlineLevel="0" collapsed="false">
      <c r="A39" s="7" t="s">
        <v>240</v>
      </c>
      <c r="B39" s="18" t="n">
        <v>0</v>
      </c>
      <c r="C39" s="39" t="s">
        <v>241</v>
      </c>
      <c r="D39" s="39"/>
      <c r="E39" s="39"/>
    </row>
    <row r="40" customFormat="false" ht="15" hidden="false" customHeight="false" outlineLevel="0" collapsed="false">
      <c r="A40" s="7" t="s">
        <v>242</v>
      </c>
      <c r="B40" s="29" t="n">
        <f aca="false">B39*B5</f>
        <v>0</v>
      </c>
    </row>
    <row r="41" customFormat="false" ht="23.85" hidden="false" customHeight="false" outlineLevel="0" collapsed="false">
      <c r="A41" s="7" t="s">
        <v>243</v>
      </c>
      <c r="B41" s="20" t="n">
        <v>0</v>
      </c>
    </row>
    <row r="42" customFormat="false" ht="30" hidden="false" customHeight="true" outlineLevel="0" collapsed="false">
      <c r="A42" s="7" t="s">
        <v>244</v>
      </c>
      <c r="B42" s="20" t="n">
        <v>0</v>
      </c>
      <c r="C42" s="39" t="s">
        <v>245</v>
      </c>
      <c r="D42" s="39"/>
      <c r="E42" s="39"/>
    </row>
    <row r="43" customFormat="false" ht="15" hidden="false" customHeight="false" outlineLevel="0" collapsed="false">
      <c r="A43" s="7" t="s">
        <v>246</v>
      </c>
      <c r="B43" s="20" t="n">
        <v>0</v>
      </c>
    </row>
    <row r="44" customFormat="false" ht="30" hidden="false" customHeight="true" outlineLevel="0" collapsed="false">
      <c r="A44" s="7" t="s">
        <v>247</v>
      </c>
      <c r="B44" s="20" t="n">
        <v>0</v>
      </c>
      <c r="C44" s="39" t="s">
        <v>248</v>
      </c>
      <c r="D44" s="39"/>
      <c r="E44" s="39"/>
    </row>
    <row r="45" customFormat="false" ht="15" hidden="false" customHeight="false" outlineLevel="0" collapsed="false">
      <c r="A45" s="40" t="s">
        <v>249</v>
      </c>
      <c r="B45" s="30" t="n">
        <f aca="false">B36+B38+B40+B41+B42+B43+B44</f>
        <v>0</v>
      </c>
    </row>
    <row r="46" customFormat="false" ht="15" hidden="false" customHeight="true" outlineLevel="0" collapsed="false">
      <c r="A46" s="40" t="s">
        <v>250</v>
      </c>
      <c r="B46" s="42" t="n">
        <f aca="false">B33-B45</f>
        <v>18214.12</v>
      </c>
      <c r="C46" s="39" t="s">
        <v>251</v>
      </c>
      <c r="D46" s="39"/>
      <c r="E46" s="39"/>
    </row>
    <row r="48" customFormat="false" ht="19.5" hidden="false" customHeight="true" outlineLevel="0" collapsed="false">
      <c r="A48" s="13" t="s">
        <v>252</v>
      </c>
      <c r="B48" s="14"/>
      <c r="C48" s="14"/>
      <c r="D48" s="14"/>
      <c r="E48" s="14"/>
    </row>
    <row r="49" customFormat="false" ht="15" hidden="false" customHeight="false" outlineLevel="0" collapsed="false">
      <c r="A49" s="43"/>
      <c r="B49" s="43" t="s">
        <v>253</v>
      </c>
      <c r="C49" s="43" t="s">
        <v>254</v>
      </c>
      <c r="D49" s="43" t="s">
        <v>255</v>
      </c>
      <c r="E49" s="43" t="s">
        <v>256</v>
      </c>
    </row>
    <row r="50" customFormat="false" ht="15" hidden="false" customHeight="false" outlineLevel="0" collapsed="false">
      <c r="A50" s="9" t="s">
        <v>257</v>
      </c>
      <c r="B50" s="18" t="n">
        <v>500</v>
      </c>
      <c r="C50" s="28" t="n">
        <f aca="false">Compare!B37</f>
        <v>500</v>
      </c>
      <c r="D50" s="34" t="n">
        <f aca="false">IF(B50="","",C50-B50)</f>
        <v>0</v>
      </c>
      <c r="E50" s="17" t="s">
        <v>258</v>
      </c>
    </row>
    <row r="51" customFormat="false" ht="15" hidden="false" customHeight="false" outlineLevel="0" collapsed="false">
      <c r="A51" s="9" t="s">
        <v>184</v>
      </c>
      <c r="B51" s="34" t="n">
        <f aca="false">B10-B39</f>
        <v>400</v>
      </c>
      <c r="C51" s="28" t="n">
        <f aca="false">Compare!B38</f>
        <v>400</v>
      </c>
      <c r="D51" s="34" t="n">
        <f aca="false">IF(B51="","",C51-B51)</f>
        <v>0</v>
      </c>
      <c r="E51" s="17" t="s">
        <v>259</v>
      </c>
    </row>
    <row r="52" customFormat="false" ht="15" hidden="false" customHeight="false" outlineLevel="0" collapsed="false">
      <c r="A52" s="9" t="s">
        <v>260</v>
      </c>
      <c r="B52" s="29" t="n">
        <f aca="false">B16-B40-B43</f>
        <v>29214.12</v>
      </c>
      <c r="C52" s="36" t="n">
        <f aca="false">Compare!B39</f>
        <v>29214.12</v>
      </c>
      <c r="D52" s="29" t="n">
        <f aca="false">IF(B52="","",C52-B52)</f>
        <v>0</v>
      </c>
      <c r="E52" s="17" t="s">
        <v>261</v>
      </c>
    </row>
    <row r="53" customFormat="false" ht="15" hidden="false" customHeight="false" outlineLevel="0" collapsed="false">
      <c r="A53" s="9" t="s">
        <v>262</v>
      </c>
      <c r="B53" s="29" t="n">
        <f aca="false">B18</f>
        <v>0</v>
      </c>
      <c r="C53" s="36" t="n">
        <f aca="false">Compare!B40</f>
        <v>0</v>
      </c>
      <c r="D53" s="29" t="n">
        <f aca="false">IF(B53="","",C53-B53)</f>
        <v>0</v>
      </c>
      <c r="E53" s="17" t="s">
        <v>263</v>
      </c>
    </row>
    <row r="54" customFormat="false" ht="15" hidden="false" customHeight="false" outlineLevel="0" collapsed="false">
      <c r="A54" s="9" t="s">
        <v>264</v>
      </c>
      <c r="B54" s="29" t="n">
        <f aca="false">B17-B38-B41</f>
        <v>18000</v>
      </c>
      <c r="C54" s="36" t="n">
        <f aca="false">Inputs!B50</f>
        <v>18000</v>
      </c>
      <c r="D54" s="29" t="n">
        <f aca="false">IF(B54="","",C54-B54)</f>
        <v>0</v>
      </c>
      <c r="E54" s="17" t="s">
        <v>265</v>
      </c>
    </row>
    <row r="55" customFormat="false" ht="15" hidden="false" customHeight="false" outlineLevel="0" collapsed="false">
      <c r="A55" s="9" t="s">
        <v>266</v>
      </c>
      <c r="B55" s="29" t="n">
        <f aca="false">B29+B44</f>
        <v>29000</v>
      </c>
      <c r="C55" s="36" t="n">
        <f aca="false">Compare!B12</f>
        <v>30450</v>
      </c>
      <c r="D55" s="29" t="n">
        <f aca="false">IF(B55="","",C55-B55)</f>
        <v>1450</v>
      </c>
      <c r="E55" s="17" t="s">
        <v>267</v>
      </c>
    </row>
    <row r="56" customFormat="false" ht="15" hidden="false" customHeight="false" outlineLevel="0" collapsed="false">
      <c r="A56" s="9" t="s">
        <v>268</v>
      </c>
      <c r="B56" s="29" t="n">
        <f aca="false">B31-(B45-B36)</f>
        <v>18214.12</v>
      </c>
      <c r="C56" s="36" t="n">
        <f aca="false">Compare!B44</f>
        <v>16764.12</v>
      </c>
      <c r="D56" s="29" t="n">
        <f aca="false">IF(B56="","",C56-B56)</f>
        <v>-1449.99999999999</v>
      </c>
      <c r="E56" s="17" t="s">
        <v>269</v>
      </c>
    </row>
  </sheetData>
  <mergeCells count="17">
    <mergeCell ref="A1:E1"/>
    <mergeCell ref="A2:E2"/>
    <mergeCell ref="C5:E5"/>
    <mergeCell ref="C6:E6"/>
    <mergeCell ref="C7:E7"/>
    <mergeCell ref="C10:E10"/>
    <mergeCell ref="C11:E11"/>
    <mergeCell ref="C17:E17"/>
    <mergeCell ref="C18:E18"/>
    <mergeCell ref="C28:E28"/>
    <mergeCell ref="C32:E32"/>
    <mergeCell ref="C36:E36"/>
    <mergeCell ref="C38:E38"/>
    <mergeCell ref="C39:E39"/>
    <mergeCell ref="C42:E42"/>
    <mergeCell ref="C44:E44"/>
    <mergeCell ref="C46:E46"/>
  </mergeCells>
  <conditionalFormatting sqref="B46">
    <cfRule type="expression" priority="2" aboveAverage="0" equalAverage="0" bottom="0" percent="0" rank="0" text="" dxfId="2">
      <formula>ABS(B46)&lt;=1000</formula>
    </cfRule>
    <cfRule type="expression" priority="3" aboveAverage="0" equalAverage="0" bottom="0" percent="0" rank="0" text="" dxfId="0">
      <formula>ABS(B46)&gt;1000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S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5"/>
    <col collapsed="false" customWidth="true" hidden="false" outlineLevel="0" max="3" min="3" style="0" width="9"/>
    <col collapsed="false" customWidth="true" hidden="false" outlineLevel="0" max="5" min="4" style="0" width="8"/>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2"/>
    <col collapsed="false" customWidth="true" hidden="false" outlineLevel="0" max="10" min="10" style="0" width="18"/>
    <col collapsed="false" customWidth="true" hidden="false" outlineLevel="0" max="11" min="11" style="0" width="20"/>
    <col collapsed="false" customWidth="true" hidden="false" outlineLevel="0" max="12" min="12" style="0" width="26"/>
    <col collapsed="false" customWidth="true" hidden="false" outlineLevel="0" max="13" min="13" style="0" width="18"/>
    <col collapsed="false" customWidth="true" hidden="false" outlineLevel="0" max="14" min="14" style="0" width="40"/>
    <col collapsed="false" customWidth="true" hidden="false" outlineLevel="0" max="15" min="15" style="0" width="26"/>
    <col collapsed="false" customWidth="true" hidden="false" outlineLevel="0" max="17" min="16" style="0" width="30"/>
    <col collapsed="false" customWidth="true" hidden="false" outlineLevel="0" max="18" min="18" style="0" width="46"/>
    <col collapsed="false" customWidth="true" hidden="false" outlineLevel="0" max="19" min="19" style="0" width="34"/>
  </cols>
  <sheetData>
    <row r="1" customFormat="false" ht="30" hidden="false" customHeight="true" outlineLevel="0" collapsed="false">
      <c r="A1" s="1" t="s">
        <v>270</v>
      </c>
      <c r="B1" s="1"/>
      <c r="C1" s="1"/>
      <c r="D1" s="1"/>
      <c r="E1" s="1"/>
      <c r="F1" s="1"/>
      <c r="G1" s="1"/>
      <c r="H1" s="1"/>
      <c r="I1" s="1"/>
      <c r="J1" s="1"/>
      <c r="K1" s="1"/>
      <c r="L1" s="1"/>
      <c r="M1" s="1"/>
      <c r="N1" s="1"/>
      <c r="O1" s="1"/>
      <c r="P1" s="1"/>
      <c r="Q1" s="1"/>
      <c r="R1" s="1"/>
      <c r="S1" s="1"/>
    </row>
    <row r="2" customFormat="false" ht="30" hidden="false" customHeight="true" outlineLevel="0" collapsed="false">
      <c r="A2" s="2" t="s">
        <v>271</v>
      </c>
      <c r="B2" s="2"/>
      <c r="C2" s="2"/>
      <c r="D2" s="2"/>
      <c r="E2" s="2"/>
      <c r="F2" s="2"/>
      <c r="G2" s="2"/>
      <c r="H2" s="2"/>
      <c r="I2" s="2"/>
      <c r="J2" s="2"/>
      <c r="K2" s="2"/>
      <c r="L2" s="2"/>
      <c r="M2" s="2"/>
      <c r="N2" s="2"/>
      <c r="O2" s="2"/>
      <c r="P2" s="2"/>
      <c r="Q2" s="2"/>
      <c r="R2" s="2"/>
      <c r="S2" s="2"/>
    </row>
    <row r="4" customFormat="false" ht="31.5" hidden="false" customHeight="true" outlineLevel="0" collapsed="false">
      <c r="A4" s="44" t="s">
        <v>272</v>
      </c>
      <c r="B4" s="44" t="s">
        <v>110</v>
      </c>
      <c r="C4" s="44" t="s">
        <v>273</v>
      </c>
      <c r="D4" s="44" t="s">
        <v>274</v>
      </c>
      <c r="E4" s="44" t="s">
        <v>165</v>
      </c>
      <c r="F4" s="44" t="s">
        <v>275</v>
      </c>
      <c r="G4" s="44" t="s">
        <v>276</v>
      </c>
      <c r="H4" s="44" t="s">
        <v>277</v>
      </c>
      <c r="I4" s="44" t="s">
        <v>278</v>
      </c>
      <c r="J4" s="45" t="s">
        <v>279</v>
      </c>
      <c r="K4" s="45" t="s">
        <v>280</v>
      </c>
      <c r="L4" s="45" t="s">
        <v>281</v>
      </c>
      <c r="M4" s="45" t="s">
        <v>282</v>
      </c>
      <c r="N4" s="45" t="s">
        <v>283</v>
      </c>
      <c r="O4" s="45" t="s">
        <v>284</v>
      </c>
      <c r="P4" s="45" t="s">
        <v>285</v>
      </c>
      <c r="Q4" s="45" t="s">
        <v>286</v>
      </c>
      <c r="R4" s="45" t="s">
        <v>195</v>
      </c>
      <c r="S4" s="45" t="s">
        <v>287</v>
      </c>
    </row>
    <row r="5" customFormat="false" ht="63.75" hidden="false" customHeight="true" outlineLevel="0" collapsed="false">
      <c r="A5" s="46" t="n">
        <v>1</v>
      </c>
      <c r="B5" s="47" t="s">
        <v>112</v>
      </c>
      <c r="C5" s="48" t="n">
        <v>4.2</v>
      </c>
      <c r="D5" s="46" t="n">
        <v>3</v>
      </c>
      <c r="E5" s="46" t="n">
        <v>4</v>
      </c>
      <c r="F5" s="46" t="n">
        <v>4</v>
      </c>
      <c r="G5" s="46" t="n">
        <v>5</v>
      </c>
      <c r="H5" s="46" t="n">
        <v>5</v>
      </c>
      <c r="I5" s="46" t="s">
        <v>288</v>
      </c>
      <c r="J5" s="49" t="s">
        <v>289</v>
      </c>
      <c r="K5" s="49" t="s">
        <v>290</v>
      </c>
      <c r="L5" s="49" t="s">
        <v>291</v>
      </c>
      <c r="M5" s="49" t="s">
        <v>292</v>
      </c>
      <c r="N5" s="49" t="s">
        <v>293</v>
      </c>
      <c r="O5" s="49" t="s">
        <v>294</v>
      </c>
      <c r="P5" s="49" t="s">
        <v>295</v>
      </c>
      <c r="Q5" s="49" t="s">
        <v>296</v>
      </c>
      <c r="R5" s="49" t="s">
        <v>297</v>
      </c>
      <c r="S5" s="49" t="s">
        <v>298</v>
      </c>
    </row>
    <row r="6" customFormat="false" ht="63.75" hidden="false" customHeight="true" outlineLevel="0" collapsed="false">
      <c r="A6" s="46" t="n">
        <v>2</v>
      </c>
      <c r="B6" s="47" t="s">
        <v>111</v>
      </c>
      <c r="C6" s="48" t="n">
        <v>4</v>
      </c>
      <c r="D6" s="46" t="n">
        <v>4</v>
      </c>
      <c r="E6" s="46" t="n">
        <v>4</v>
      </c>
      <c r="F6" s="46" t="n">
        <v>3</v>
      </c>
      <c r="G6" s="46" t="n">
        <v>5</v>
      </c>
      <c r="H6" s="46" t="n">
        <v>4</v>
      </c>
      <c r="I6" s="46" t="s">
        <v>288</v>
      </c>
      <c r="J6" s="49" t="s">
        <v>299</v>
      </c>
      <c r="K6" s="49" t="s">
        <v>300</v>
      </c>
      <c r="L6" s="49" t="s">
        <v>301</v>
      </c>
      <c r="M6" s="49" t="s">
        <v>292</v>
      </c>
      <c r="N6" s="49" t="s">
        <v>302</v>
      </c>
      <c r="O6" s="49" t="s">
        <v>303</v>
      </c>
      <c r="P6" s="49" t="s">
        <v>304</v>
      </c>
      <c r="Q6" s="49" t="s">
        <v>305</v>
      </c>
      <c r="R6" s="49" t="s">
        <v>306</v>
      </c>
      <c r="S6" s="49" t="s">
        <v>307</v>
      </c>
    </row>
    <row r="7" customFormat="false" ht="63.75" hidden="false" customHeight="true" outlineLevel="0" collapsed="false">
      <c r="A7" s="46" t="n">
        <v>3</v>
      </c>
      <c r="B7" s="47" t="s">
        <v>113</v>
      </c>
      <c r="C7" s="48" t="n">
        <v>3.8</v>
      </c>
      <c r="D7" s="46" t="n">
        <v>5</v>
      </c>
      <c r="E7" s="46" t="n">
        <v>3</v>
      </c>
      <c r="F7" s="46" t="n">
        <v>5</v>
      </c>
      <c r="G7" s="46" t="n">
        <v>3</v>
      </c>
      <c r="H7" s="46" t="n">
        <v>3</v>
      </c>
      <c r="I7" s="46" t="s">
        <v>288</v>
      </c>
      <c r="J7" s="49" t="s">
        <v>308</v>
      </c>
      <c r="K7" s="49" t="s">
        <v>309</v>
      </c>
      <c r="L7" s="49" t="s">
        <v>107</v>
      </c>
      <c r="M7" s="49" t="s">
        <v>310</v>
      </c>
      <c r="N7" s="49" t="s">
        <v>292</v>
      </c>
      <c r="O7" s="49" t="s">
        <v>292</v>
      </c>
      <c r="P7" s="49" t="s">
        <v>311</v>
      </c>
      <c r="Q7" s="49" t="s">
        <v>312</v>
      </c>
      <c r="R7" s="49" t="s">
        <v>313</v>
      </c>
      <c r="S7" s="49" t="s">
        <v>314</v>
      </c>
    </row>
    <row r="8" customFormat="false" ht="63.75" hidden="false" customHeight="true" outlineLevel="0" collapsed="false">
      <c r="A8" s="46" t="n">
        <v>4</v>
      </c>
      <c r="B8" s="47" t="s">
        <v>315</v>
      </c>
      <c r="C8" s="48" t="n">
        <v>3.6</v>
      </c>
      <c r="D8" s="46" t="n">
        <v>3</v>
      </c>
      <c r="E8" s="46" t="n">
        <v>4</v>
      </c>
      <c r="F8" s="46" t="n">
        <v>2</v>
      </c>
      <c r="G8" s="46" t="n">
        <v>5</v>
      </c>
      <c r="H8" s="46" t="n">
        <v>4</v>
      </c>
      <c r="I8" s="46"/>
      <c r="J8" s="49" t="s">
        <v>316</v>
      </c>
      <c r="K8" s="49" t="s">
        <v>317</v>
      </c>
      <c r="L8" s="49" t="s">
        <v>318</v>
      </c>
      <c r="M8" s="49" t="s">
        <v>319</v>
      </c>
      <c r="N8" s="49" t="s">
        <v>320</v>
      </c>
      <c r="O8" s="49" t="s">
        <v>321</v>
      </c>
      <c r="P8" s="49" t="s">
        <v>322</v>
      </c>
      <c r="Q8" s="49" t="s">
        <v>322</v>
      </c>
      <c r="R8" s="49" t="s">
        <v>323</v>
      </c>
      <c r="S8" s="49" t="s">
        <v>324</v>
      </c>
    </row>
    <row r="9" customFormat="false" ht="63.75" hidden="false" customHeight="true" outlineLevel="0" collapsed="false">
      <c r="A9" s="46" t="n">
        <v>5</v>
      </c>
      <c r="B9" s="47" t="s">
        <v>56</v>
      </c>
      <c r="C9" s="48" t="n">
        <v>3.6</v>
      </c>
      <c r="D9" s="46" t="n">
        <v>3</v>
      </c>
      <c r="E9" s="46" t="n">
        <v>5</v>
      </c>
      <c r="F9" s="46" t="n">
        <v>2</v>
      </c>
      <c r="G9" s="46" t="n">
        <v>5</v>
      </c>
      <c r="H9" s="46" t="n">
        <v>3</v>
      </c>
      <c r="I9" s="46" t="s">
        <v>288</v>
      </c>
      <c r="J9" s="49" t="s">
        <v>325</v>
      </c>
      <c r="K9" s="49" t="s">
        <v>326</v>
      </c>
      <c r="L9" s="49" t="s">
        <v>327</v>
      </c>
      <c r="M9" s="49" t="s">
        <v>328</v>
      </c>
      <c r="N9" s="49" t="s">
        <v>329</v>
      </c>
      <c r="O9" s="49" t="s">
        <v>330</v>
      </c>
      <c r="P9" s="49" t="s">
        <v>322</v>
      </c>
      <c r="Q9" s="49" t="s">
        <v>322</v>
      </c>
      <c r="R9" s="49" t="s">
        <v>331</v>
      </c>
      <c r="S9" s="49" t="s">
        <v>332</v>
      </c>
    </row>
    <row r="10" customFormat="false" ht="63.75" hidden="false" customHeight="true" outlineLevel="0" collapsed="false">
      <c r="A10" s="46" t="n">
        <v>6</v>
      </c>
      <c r="B10" s="47" t="s">
        <v>333</v>
      </c>
      <c r="C10" s="48" t="n">
        <v>3.6</v>
      </c>
      <c r="D10" s="46" t="n">
        <v>4</v>
      </c>
      <c r="E10" s="46" t="n">
        <v>3</v>
      </c>
      <c r="F10" s="46" t="n">
        <v>4</v>
      </c>
      <c r="G10" s="46" t="n">
        <v>4</v>
      </c>
      <c r="H10" s="46" t="n">
        <v>3</v>
      </c>
      <c r="I10" s="46"/>
      <c r="J10" s="49" t="s">
        <v>334</v>
      </c>
      <c r="K10" s="49" t="s">
        <v>335</v>
      </c>
      <c r="L10" s="49" t="s">
        <v>336</v>
      </c>
      <c r="M10" s="49" t="s">
        <v>292</v>
      </c>
      <c r="N10" s="49" t="s">
        <v>337</v>
      </c>
      <c r="O10" s="49" t="s">
        <v>338</v>
      </c>
      <c r="P10" s="49" t="s">
        <v>339</v>
      </c>
      <c r="Q10" s="49" t="s">
        <v>340</v>
      </c>
      <c r="R10" s="49" t="s">
        <v>341</v>
      </c>
      <c r="S10" s="49" t="s">
        <v>342</v>
      </c>
    </row>
    <row r="11" customFormat="false" ht="63.75" hidden="false" customHeight="true" outlineLevel="0" collapsed="false">
      <c r="A11" s="46" t="n">
        <v>7</v>
      </c>
      <c r="B11" s="47" t="s">
        <v>343</v>
      </c>
      <c r="C11" s="48" t="n">
        <v>3.6</v>
      </c>
      <c r="D11" s="46" t="n">
        <v>5</v>
      </c>
      <c r="E11" s="46" t="n">
        <v>4</v>
      </c>
      <c r="F11" s="46" t="n">
        <v>5</v>
      </c>
      <c r="G11" s="46" t="n">
        <v>2</v>
      </c>
      <c r="H11" s="46" t="n">
        <v>2</v>
      </c>
      <c r="I11" s="46"/>
      <c r="J11" s="49" t="s">
        <v>344</v>
      </c>
      <c r="K11" s="49" t="s">
        <v>345</v>
      </c>
      <c r="L11" s="49" t="s">
        <v>346</v>
      </c>
      <c r="M11" s="49" t="s">
        <v>347</v>
      </c>
      <c r="N11" s="49" t="s">
        <v>348</v>
      </c>
      <c r="O11" s="49" t="s">
        <v>349</v>
      </c>
      <c r="P11" s="49" t="s">
        <v>350</v>
      </c>
      <c r="Q11" s="49" t="s">
        <v>351</v>
      </c>
      <c r="R11" s="49" t="s">
        <v>352</v>
      </c>
      <c r="S11" s="49" t="s">
        <v>353</v>
      </c>
    </row>
    <row r="12" customFormat="false" ht="63.75" hidden="false" customHeight="true" outlineLevel="0" collapsed="false">
      <c r="A12" s="46" t="n">
        <v>8</v>
      </c>
      <c r="B12" s="47" t="s">
        <v>354</v>
      </c>
      <c r="C12" s="48" t="n">
        <v>3.6</v>
      </c>
      <c r="D12" s="46" t="n">
        <v>4</v>
      </c>
      <c r="E12" s="46" t="n">
        <v>3</v>
      </c>
      <c r="F12" s="46" t="n">
        <v>5</v>
      </c>
      <c r="G12" s="46" t="n">
        <v>4</v>
      </c>
      <c r="H12" s="46" t="n">
        <v>2</v>
      </c>
      <c r="I12" s="46"/>
      <c r="J12" s="49" t="s">
        <v>355</v>
      </c>
      <c r="K12" s="49" t="s">
        <v>356</v>
      </c>
      <c r="L12" s="49" t="s">
        <v>357</v>
      </c>
      <c r="M12" s="49" t="s">
        <v>292</v>
      </c>
      <c r="N12" s="49" t="s">
        <v>358</v>
      </c>
      <c r="O12" s="49" t="s">
        <v>359</v>
      </c>
      <c r="P12" s="49" t="s">
        <v>360</v>
      </c>
      <c r="Q12" s="49" t="s">
        <v>322</v>
      </c>
      <c r="R12" s="49" t="s">
        <v>361</v>
      </c>
      <c r="S12" s="49" t="s">
        <v>362</v>
      </c>
    </row>
    <row r="13" customFormat="false" ht="63.75" hidden="false" customHeight="true" outlineLevel="0" collapsed="false">
      <c r="A13" s="46" t="n">
        <v>9</v>
      </c>
      <c r="B13" s="47" t="s">
        <v>363</v>
      </c>
      <c r="C13" s="48" t="n">
        <v>3.4</v>
      </c>
      <c r="D13" s="46" t="n">
        <v>2</v>
      </c>
      <c r="E13" s="46" t="n">
        <v>2</v>
      </c>
      <c r="F13" s="46" t="n">
        <v>3</v>
      </c>
      <c r="G13" s="46" t="n">
        <v>5</v>
      </c>
      <c r="H13" s="46" t="n">
        <v>5</v>
      </c>
      <c r="I13" s="46"/>
      <c r="J13" s="49" t="s">
        <v>364</v>
      </c>
      <c r="K13" s="49" t="s">
        <v>365</v>
      </c>
      <c r="L13" s="49" t="s">
        <v>366</v>
      </c>
      <c r="M13" s="49" t="s">
        <v>292</v>
      </c>
      <c r="N13" s="49" t="s">
        <v>367</v>
      </c>
      <c r="O13" s="49" t="s">
        <v>368</v>
      </c>
      <c r="P13" s="49" t="s">
        <v>295</v>
      </c>
      <c r="Q13" s="49" t="s">
        <v>322</v>
      </c>
      <c r="R13" s="49" t="s">
        <v>369</v>
      </c>
      <c r="S13" s="49" t="s">
        <v>370</v>
      </c>
    </row>
    <row r="14" customFormat="false" ht="63.75" hidden="false" customHeight="true" outlineLevel="0" collapsed="false">
      <c r="A14" s="46" t="n">
        <v>10</v>
      </c>
      <c r="B14" s="47" t="s">
        <v>371</v>
      </c>
      <c r="C14" s="48" t="n">
        <v>3.4</v>
      </c>
      <c r="D14" s="46" t="n">
        <v>4</v>
      </c>
      <c r="E14" s="46" t="n">
        <v>3</v>
      </c>
      <c r="F14" s="46" t="n">
        <v>3</v>
      </c>
      <c r="G14" s="46" t="n">
        <v>4</v>
      </c>
      <c r="H14" s="46" t="n">
        <v>3</v>
      </c>
      <c r="I14" s="46"/>
      <c r="J14" s="49" t="s">
        <v>372</v>
      </c>
      <c r="K14" s="49" t="s">
        <v>373</v>
      </c>
      <c r="L14" s="49" t="s">
        <v>374</v>
      </c>
      <c r="M14" s="49" t="s">
        <v>375</v>
      </c>
      <c r="N14" s="49" t="s">
        <v>376</v>
      </c>
      <c r="O14" s="49" t="s">
        <v>377</v>
      </c>
      <c r="P14" s="49" t="s">
        <v>304</v>
      </c>
      <c r="Q14" s="49" t="s">
        <v>322</v>
      </c>
      <c r="R14" s="49" t="s">
        <v>378</v>
      </c>
      <c r="S14" s="49" t="s">
        <v>379</v>
      </c>
    </row>
    <row r="15" customFormat="false" ht="63.75" hidden="false" customHeight="true" outlineLevel="0" collapsed="false">
      <c r="A15" s="46" t="n">
        <v>11</v>
      </c>
      <c r="B15" s="47" t="s">
        <v>380</v>
      </c>
      <c r="C15" s="48" t="n">
        <v>3.4</v>
      </c>
      <c r="D15" s="46" t="n">
        <v>4</v>
      </c>
      <c r="E15" s="46" t="n">
        <v>4</v>
      </c>
      <c r="F15" s="46" t="n">
        <v>3</v>
      </c>
      <c r="G15" s="46" t="n">
        <v>4</v>
      </c>
      <c r="H15" s="46" t="n">
        <v>2</v>
      </c>
      <c r="I15" s="46"/>
      <c r="J15" s="49" t="s">
        <v>381</v>
      </c>
      <c r="K15" s="49" t="s">
        <v>382</v>
      </c>
      <c r="L15" s="49" t="s">
        <v>383</v>
      </c>
      <c r="M15" s="49" t="s">
        <v>384</v>
      </c>
      <c r="N15" s="49" t="s">
        <v>292</v>
      </c>
      <c r="O15" s="49" t="s">
        <v>385</v>
      </c>
      <c r="P15" s="49" t="s">
        <v>386</v>
      </c>
      <c r="Q15" s="49" t="s">
        <v>387</v>
      </c>
      <c r="R15" s="49" t="s">
        <v>388</v>
      </c>
      <c r="S15" s="49" t="s">
        <v>389</v>
      </c>
    </row>
    <row r="16" customFormat="false" ht="63.75" hidden="false" customHeight="true" outlineLevel="0" collapsed="false">
      <c r="A16" s="46" t="n">
        <v>12</v>
      </c>
      <c r="B16" s="47" t="s">
        <v>390</v>
      </c>
      <c r="C16" s="48" t="n">
        <v>3.4</v>
      </c>
      <c r="D16" s="46" t="n">
        <v>4</v>
      </c>
      <c r="E16" s="46" t="n">
        <v>3</v>
      </c>
      <c r="F16" s="46" t="n">
        <v>4</v>
      </c>
      <c r="G16" s="46" t="n">
        <v>4</v>
      </c>
      <c r="H16" s="46" t="n">
        <v>2</v>
      </c>
      <c r="I16" s="46"/>
      <c r="J16" s="49" t="s">
        <v>391</v>
      </c>
      <c r="K16" s="49" t="s">
        <v>392</v>
      </c>
      <c r="L16" s="49" t="s">
        <v>393</v>
      </c>
      <c r="M16" s="49" t="s">
        <v>292</v>
      </c>
      <c r="N16" s="49" t="s">
        <v>292</v>
      </c>
      <c r="O16" s="49" t="s">
        <v>292</v>
      </c>
      <c r="P16" s="49" t="s">
        <v>386</v>
      </c>
      <c r="Q16" s="49" t="s">
        <v>387</v>
      </c>
      <c r="R16" s="49" t="s">
        <v>394</v>
      </c>
      <c r="S16" s="49" t="s">
        <v>395</v>
      </c>
    </row>
    <row r="17" customFormat="false" ht="63.75" hidden="false" customHeight="true" outlineLevel="0" collapsed="false">
      <c r="A17" s="46" t="n">
        <v>13</v>
      </c>
      <c r="B17" s="47" t="s">
        <v>396</v>
      </c>
      <c r="C17" s="48" t="n">
        <v>3.2</v>
      </c>
      <c r="D17" s="46" t="n">
        <v>2</v>
      </c>
      <c r="E17" s="46" t="n">
        <v>1</v>
      </c>
      <c r="F17" s="46" t="n">
        <v>3</v>
      </c>
      <c r="G17" s="46" t="n">
        <v>5</v>
      </c>
      <c r="H17" s="46" t="n">
        <v>5</v>
      </c>
      <c r="I17" s="46"/>
      <c r="J17" s="49" t="s">
        <v>397</v>
      </c>
      <c r="K17" s="49" t="s">
        <v>398</v>
      </c>
      <c r="L17" s="49" t="s">
        <v>399</v>
      </c>
      <c r="M17" s="49" t="s">
        <v>400</v>
      </c>
      <c r="N17" s="49" t="s">
        <v>401</v>
      </c>
      <c r="O17" s="49" t="s">
        <v>402</v>
      </c>
      <c r="P17" s="49" t="s">
        <v>295</v>
      </c>
      <c r="Q17" s="49" t="s">
        <v>322</v>
      </c>
      <c r="R17" s="49" t="s">
        <v>403</v>
      </c>
      <c r="S17" s="49" t="s">
        <v>404</v>
      </c>
    </row>
    <row r="18" customFormat="false" ht="63.75" hidden="false" customHeight="true" outlineLevel="0" collapsed="false">
      <c r="A18" s="46" t="n">
        <v>14</v>
      </c>
      <c r="B18" s="47" t="s">
        <v>405</v>
      </c>
      <c r="C18" s="48" t="n">
        <v>3.2</v>
      </c>
      <c r="D18" s="46" t="n">
        <v>3</v>
      </c>
      <c r="E18" s="46" t="n">
        <v>3</v>
      </c>
      <c r="F18" s="46" t="n">
        <v>2</v>
      </c>
      <c r="G18" s="46" t="n">
        <v>5</v>
      </c>
      <c r="H18" s="46" t="n">
        <v>3</v>
      </c>
      <c r="I18" s="46"/>
      <c r="J18" s="49" t="s">
        <v>406</v>
      </c>
      <c r="K18" s="49" t="s">
        <v>407</v>
      </c>
      <c r="L18" s="49" t="s">
        <v>408</v>
      </c>
      <c r="M18" s="49" t="s">
        <v>292</v>
      </c>
      <c r="N18" s="49" t="s">
        <v>292</v>
      </c>
      <c r="O18" s="49" t="s">
        <v>409</v>
      </c>
      <c r="P18" s="49" t="s">
        <v>322</v>
      </c>
      <c r="Q18" s="49" t="s">
        <v>322</v>
      </c>
      <c r="R18" s="49" t="s">
        <v>410</v>
      </c>
      <c r="S18" s="49" t="s">
        <v>411</v>
      </c>
    </row>
    <row r="19" customFormat="false" ht="63.75" hidden="false" customHeight="true" outlineLevel="0" collapsed="false">
      <c r="A19" s="46" t="n">
        <v>15</v>
      </c>
      <c r="B19" s="47" t="s">
        <v>412</v>
      </c>
      <c r="C19" s="48" t="n">
        <v>3.2</v>
      </c>
      <c r="D19" s="46" t="n">
        <v>3</v>
      </c>
      <c r="E19" s="46" t="n">
        <v>3</v>
      </c>
      <c r="F19" s="46" t="n">
        <v>4</v>
      </c>
      <c r="G19" s="46" t="n">
        <v>4</v>
      </c>
      <c r="H19" s="46" t="n">
        <v>2</v>
      </c>
      <c r="I19" s="46"/>
      <c r="J19" s="49" t="s">
        <v>413</v>
      </c>
      <c r="K19" s="49" t="s">
        <v>414</v>
      </c>
      <c r="L19" s="49" t="s">
        <v>415</v>
      </c>
      <c r="M19" s="49" t="s">
        <v>416</v>
      </c>
      <c r="N19" s="49" t="s">
        <v>292</v>
      </c>
      <c r="O19" s="49" t="s">
        <v>417</v>
      </c>
      <c r="P19" s="49" t="s">
        <v>360</v>
      </c>
      <c r="Q19" s="49" t="s">
        <v>322</v>
      </c>
      <c r="R19" s="49" t="s">
        <v>418</v>
      </c>
      <c r="S19" s="49" t="s">
        <v>419</v>
      </c>
    </row>
    <row r="20" customFormat="false" ht="63.75" hidden="false" customHeight="true" outlineLevel="0" collapsed="false">
      <c r="A20" s="46" t="n">
        <v>16</v>
      </c>
      <c r="B20" s="47" t="s">
        <v>420</v>
      </c>
      <c r="C20" s="48" t="n">
        <v>3</v>
      </c>
      <c r="D20" s="46" t="n">
        <v>3</v>
      </c>
      <c r="E20" s="46" t="n">
        <v>3</v>
      </c>
      <c r="F20" s="46" t="n">
        <v>1</v>
      </c>
      <c r="G20" s="46" t="n">
        <v>5</v>
      </c>
      <c r="H20" s="46" t="n">
        <v>3</v>
      </c>
      <c r="I20" s="46"/>
      <c r="J20" s="49" t="s">
        <v>421</v>
      </c>
      <c r="K20" s="49" t="s">
        <v>422</v>
      </c>
      <c r="L20" s="49" t="s">
        <v>423</v>
      </c>
      <c r="M20" s="49" t="s">
        <v>424</v>
      </c>
      <c r="N20" s="49" t="s">
        <v>425</v>
      </c>
      <c r="O20" s="49" t="s">
        <v>426</v>
      </c>
      <c r="P20" s="49" t="s">
        <v>322</v>
      </c>
      <c r="Q20" s="49" t="s">
        <v>322</v>
      </c>
      <c r="R20" s="49" t="s">
        <v>427</v>
      </c>
      <c r="S20" s="49" t="s">
        <v>428</v>
      </c>
    </row>
    <row r="21" customFormat="false" ht="63.75" hidden="false" customHeight="true" outlineLevel="0" collapsed="false">
      <c r="A21" s="46" t="n">
        <v>17</v>
      </c>
      <c r="B21" s="47" t="s">
        <v>429</v>
      </c>
      <c r="C21" s="48" t="n">
        <v>3</v>
      </c>
      <c r="D21" s="46" t="n">
        <v>3</v>
      </c>
      <c r="E21" s="46" t="n">
        <v>3</v>
      </c>
      <c r="F21" s="46" t="n">
        <v>2</v>
      </c>
      <c r="G21" s="46" t="n">
        <v>4</v>
      </c>
      <c r="H21" s="46" t="n">
        <v>3</v>
      </c>
      <c r="I21" s="46"/>
      <c r="J21" s="49" t="s">
        <v>430</v>
      </c>
      <c r="K21" s="49" t="s">
        <v>431</v>
      </c>
      <c r="L21" s="49" t="s">
        <v>432</v>
      </c>
      <c r="M21" s="49" t="s">
        <v>292</v>
      </c>
      <c r="N21" s="49" t="s">
        <v>433</v>
      </c>
      <c r="O21" s="49" t="s">
        <v>434</v>
      </c>
      <c r="P21" s="49" t="s">
        <v>322</v>
      </c>
      <c r="Q21" s="49" t="s">
        <v>322</v>
      </c>
      <c r="R21" s="49" t="s">
        <v>435</v>
      </c>
      <c r="S21" s="49" t="s">
        <v>436</v>
      </c>
    </row>
    <row r="22" customFormat="false" ht="63.75" hidden="false" customHeight="true" outlineLevel="0" collapsed="false">
      <c r="A22" s="46" t="n">
        <v>18</v>
      </c>
      <c r="B22" s="47" t="s">
        <v>437</v>
      </c>
      <c r="C22" s="48" t="n">
        <v>3</v>
      </c>
      <c r="D22" s="46" t="n">
        <v>4</v>
      </c>
      <c r="E22" s="46" t="n">
        <v>4</v>
      </c>
      <c r="F22" s="46" t="n">
        <v>2</v>
      </c>
      <c r="G22" s="46" t="n">
        <v>4</v>
      </c>
      <c r="H22" s="46" t="n">
        <v>1</v>
      </c>
      <c r="I22" s="46"/>
      <c r="J22" s="49" t="s">
        <v>438</v>
      </c>
      <c r="K22" s="49" t="s">
        <v>439</v>
      </c>
      <c r="L22" s="49" t="s">
        <v>440</v>
      </c>
      <c r="M22" s="49" t="s">
        <v>441</v>
      </c>
      <c r="N22" s="49" t="s">
        <v>292</v>
      </c>
      <c r="O22" s="49" t="s">
        <v>442</v>
      </c>
      <c r="P22" s="49" t="s">
        <v>443</v>
      </c>
      <c r="Q22" s="49" t="s">
        <v>444</v>
      </c>
      <c r="R22" s="49" t="s">
        <v>445</v>
      </c>
      <c r="S22" s="49" t="s">
        <v>446</v>
      </c>
    </row>
    <row r="23" customFormat="false" ht="63.75" hidden="false" customHeight="true" outlineLevel="0" collapsed="false">
      <c r="A23" s="46" t="n">
        <v>19</v>
      </c>
      <c r="B23" s="47" t="s">
        <v>447</v>
      </c>
      <c r="C23" s="48" t="n">
        <v>3</v>
      </c>
      <c r="D23" s="46" t="n">
        <v>3</v>
      </c>
      <c r="E23" s="46" t="n">
        <v>3</v>
      </c>
      <c r="F23" s="46" t="n">
        <v>4</v>
      </c>
      <c r="G23" s="46" t="n">
        <v>4</v>
      </c>
      <c r="H23" s="46" t="n">
        <v>1</v>
      </c>
      <c r="I23" s="46"/>
      <c r="J23" s="49" t="s">
        <v>448</v>
      </c>
      <c r="K23" s="49" t="s">
        <v>449</v>
      </c>
      <c r="L23" s="49" t="s">
        <v>450</v>
      </c>
      <c r="M23" s="49" t="s">
        <v>292</v>
      </c>
      <c r="N23" s="49" t="s">
        <v>451</v>
      </c>
      <c r="O23" s="49" t="s">
        <v>452</v>
      </c>
      <c r="P23" s="49" t="s">
        <v>386</v>
      </c>
      <c r="Q23" s="49" t="s">
        <v>453</v>
      </c>
      <c r="R23" s="49" t="s">
        <v>454</v>
      </c>
      <c r="S23" s="49" t="s">
        <v>455</v>
      </c>
    </row>
    <row r="24" customFormat="false" ht="63.75" hidden="false" customHeight="true" outlineLevel="0" collapsed="false">
      <c r="A24" s="46" t="n">
        <v>20</v>
      </c>
      <c r="B24" s="47" t="s">
        <v>456</v>
      </c>
      <c r="C24" s="48" t="n">
        <v>2.8</v>
      </c>
      <c r="D24" s="46" t="n">
        <v>3</v>
      </c>
      <c r="E24" s="46" t="n">
        <v>3</v>
      </c>
      <c r="F24" s="46" t="n">
        <v>1</v>
      </c>
      <c r="G24" s="46" t="n">
        <v>5</v>
      </c>
      <c r="H24" s="46" t="n">
        <v>2</v>
      </c>
      <c r="I24" s="46"/>
      <c r="J24" s="49" t="s">
        <v>457</v>
      </c>
      <c r="K24" s="49" t="s">
        <v>458</v>
      </c>
      <c r="L24" s="49" t="s">
        <v>459</v>
      </c>
      <c r="M24" s="49" t="s">
        <v>292</v>
      </c>
      <c r="N24" s="49" t="s">
        <v>292</v>
      </c>
      <c r="O24" s="49" t="s">
        <v>292</v>
      </c>
      <c r="P24" s="49" t="s">
        <v>322</v>
      </c>
      <c r="Q24" s="49" t="s">
        <v>322</v>
      </c>
      <c r="R24" s="49" t="s">
        <v>460</v>
      </c>
      <c r="S24" s="49" t="s">
        <v>461</v>
      </c>
    </row>
    <row r="25" customFormat="false" ht="63.75" hidden="false" customHeight="true" outlineLevel="0" collapsed="false">
      <c r="A25" s="46" t="n">
        <v>21</v>
      </c>
      <c r="B25" s="47" t="s">
        <v>462</v>
      </c>
      <c r="C25" s="48" t="n">
        <v>2.8</v>
      </c>
      <c r="D25" s="46" t="n">
        <v>3</v>
      </c>
      <c r="E25" s="46" t="n">
        <v>2</v>
      </c>
      <c r="F25" s="46" t="n">
        <v>2</v>
      </c>
      <c r="G25" s="46" t="n">
        <v>5</v>
      </c>
      <c r="H25" s="46" t="n">
        <v>2</v>
      </c>
      <c r="I25" s="46"/>
      <c r="J25" s="49" t="s">
        <v>463</v>
      </c>
      <c r="K25" s="49" t="s">
        <v>464</v>
      </c>
      <c r="L25" s="49" t="s">
        <v>465</v>
      </c>
      <c r="M25" s="49" t="s">
        <v>292</v>
      </c>
      <c r="N25" s="49" t="s">
        <v>466</v>
      </c>
      <c r="O25" s="49" t="s">
        <v>466</v>
      </c>
      <c r="P25" s="49" t="s">
        <v>467</v>
      </c>
      <c r="Q25" s="49" t="s">
        <v>322</v>
      </c>
      <c r="R25" s="49" t="s">
        <v>468</v>
      </c>
      <c r="S25" s="49" t="s">
        <v>469</v>
      </c>
    </row>
    <row r="26" customFormat="false" ht="63.75" hidden="false" customHeight="true" outlineLevel="0" collapsed="false">
      <c r="A26" s="46" t="n">
        <v>22</v>
      </c>
      <c r="B26" s="47" t="s">
        <v>470</v>
      </c>
      <c r="C26" s="48" t="n">
        <v>2.8</v>
      </c>
      <c r="D26" s="46" t="n">
        <v>3</v>
      </c>
      <c r="E26" s="46" t="n">
        <v>2</v>
      </c>
      <c r="F26" s="46" t="n">
        <v>3</v>
      </c>
      <c r="G26" s="46" t="n">
        <v>4</v>
      </c>
      <c r="H26" s="46" t="n">
        <v>2</v>
      </c>
      <c r="I26" s="46"/>
      <c r="J26" s="49" t="s">
        <v>471</v>
      </c>
      <c r="K26" s="49" t="s">
        <v>472</v>
      </c>
      <c r="L26" s="49" t="s">
        <v>473</v>
      </c>
      <c r="M26" s="49" t="s">
        <v>292</v>
      </c>
      <c r="N26" s="49" t="s">
        <v>292</v>
      </c>
      <c r="O26" s="49" t="s">
        <v>292</v>
      </c>
      <c r="P26" s="49" t="s">
        <v>474</v>
      </c>
      <c r="Q26" s="49" t="s">
        <v>322</v>
      </c>
      <c r="R26" s="49" t="s">
        <v>475</v>
      </c>
      <c r="S26" s="49" t="s">
        <v>476</v>
      </c>
    </row>
    <row r="27" customFormat="false" ht="63.75" hidden="false" customHeight="true" outlineLevel="0" collapsed="false">
      <c r="A27" s="46" t="n">
        <v>23</v>
      </c>
      <c r="B27" s="47" t="s">
        <v>477</v>
      </c>
      <c r="C27" s="48" t="n">
        <v>2.8</v>
      </c>
      <c r="D27" s="46" t="n">
        <v>3</v>
      </c>
      <c r="E27" s="46" t="n">
        <v>2</v>
      </c>
      <c r="F27" s="46" t="n">
        <v>3</v>
      </c>
      <c r="G27" s="46" t="n">
        <v>4</v>
      </c>
      <c r="H27" s="46" t="n">
        <v>2</v>
      </c>
      <c r="I27" s="46"/>
      <c r="J27" s="49" t="s">
        <v>478</v>
      </c>
      <c r="K27" s="49" t="s">
        <v>479</v>
      </c>
      <c r="L27" s="49" t="s">
        <v>480</v>
      </c>
      <c r="M27" s="49" t="s">
        <v>481</v>
      </c>
      <c r="N27" s="49" t="s">
        <v>292</v>
      </c>
      <c r="O27" s="49" t="s">
        <v>417</v>
      </c>
      <c r="P27" s="49" t="s">
        <v>360</v>
      </c>
      <c r="Q27" s="49" t="s">
        <v>322</v>
      </c>
      <c r="R27" s="49" t="s">
        <v>482</v>
      </c>
      <c r="S27" s="49" t="s">
        <v>483</v>
      </c>
    </row>
    <row r="28" customFormat="false" ht="63.75" hidden="false" customHeight="true" outlineLevel="0" collapsed="false">
      <c r="A28" s="46" t="n">
        <v>24</v>
      </c>
      <c r="B28" s="47" t="s">
        <v>484</v>
      </c>
      <c r="C28" s="48" t="n">
        <v>2.6</v>
      </c>
      <c r="D28" s="46" t="n">
        <v>1</v>
      </c>
      <c r="E28" s="46" t="n">
        <v>1</v>
      </c>
      <c r="F28" s="46" t="n">
        <v>2</v>
      </c>
      <c r="G28" s="46" t="n">
        <v>5</v>
      </c>
      <c r="H28" s="46" t="n">
        <v>4</v>
      </c>
      <c r="I28" s="46"/>
      <c r="J28" s="49" t="s">
        <v>485</v>
      </c>
      <c r="K28" s="49" t="s">
        <v>486</v>
      </c>
      <c r="L28" s="49" t="s">
        <v>487</v>
      </c>
      <c r="M28" s="49" t="s">
        <v>292</v>
      </c>
      <c r="N28" s="49" t="s">
        <v>466</v>
      </c>
      <c r="O28" s="49" t="s">
        <v>488</v>
      </c>
      <c r="P28" s="49" t="s">
        <v>295</v>
      </c>
      <c r="Q28" s="49" t="s">
        <v>322</v>
      </c>
      <c r="R28" s="49" t="s">
        <v>489</v>
      </c>
      <c r="S28" s="49" t="s">
        <v>490</v>
      </c>
    </row>
    <row r="29" customFormat="false" ht="63.75" hidden="false" customHeight="true" outlineLevel="0" collapsed="false">
      <c r="A29" s="46" t="n">
        <v>25</v>
      </c>
      <c r="B29" s="47" t="s">
        <v>491</v>
      </c>
      <c r="C29" s="48" t="n">
        <v>2.4</v>
      </c>
      <c r="D29" s="46" t="n">
        <v>2</v>
      </c>
      <c r="E29" s="46" t="n">
        <v>1</v>
      </c>
      <c r="F29" s="46" t="n">
        <v>2</v>
      </c>
      <c r="G29" s="46" t="n">
        <v>5</v>
      </c>
      <c r="H29" s="46" t="n">
        <v>2</v>
      </c>
      <c r="I29" s="46"/>
      <c r="J29" s="49" t="s">
        <v>492</v>
      </c>
      <c r="K29" s="49" t="s">
        <v>479</v>
      </c>
      <c r="L29" s="49" t="s">
        <v>493</v>
      </c>
      <c r="M29" s="49" t="s">
        <v>494</v>
      </c>
      <c r="N29" s="49" t="s">
        <v>292</v>
      </c>
      <c r="O29" s="49" t="s">
        <v>495</v>
      </c>
      <c r="P29" s="49" t="s">
        <v>322</v>
      </c>
      <c r="Q29" s="49" t="s">
        <v>322</v>
      </c>
      <c r="R29" s="49" t="s">
        <v>496</v>
      </c>
      <c r="S29" s="49" t="s">
        <v>483</v>
      </c>
    </row>
  </sheetData>
  <autoFilter ref="A4:S29"/>
  <mergeCells count="2">
    <mergeCell ref="A1:S1"/>
    <mergeCell ref="A2:S2"/>
  </mergeCells>
  <conditionalFormatting sqref="C5:H29">
    <cfRule type="colorScale" priority="2">
      <colorScale>
        <cfvo type="num" val="1"/>
        <cfvo type="num" val="3"/>
        <cfvo type="num" val="5"/>
        <color rgb="FFF8CBAD"/>
        <color rgb="FFFFF2CC"/>
        <color rgb="FFA9D08E"/>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N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6"/>
    <col collapsed="false" customWidth="true" hidden="false" outlineLevel="0" max="4" min="4" style="0" width="28"/>
    <col collapsed="false" customWidth="true" hidden="false" outlineLevel="0" max="5" min="5" style="0" width="11"/>
    <col collapsed="false" customWidth="true" hidden="false" outlineLevel="0" max="6" min="6" style="0" width="7"/>
    <col collapsed="false" customWidth="true" hidden="false" outlineLevel="0" max="7" min="7" style="0" width="11"/>
    <col collapsed="false" customWidth="true" hidden="false" outlineLevel="0" max="8" min="8" style="0" width="40"/>
    <col collapsed="false" customWidth="true" hidden="false" outlineLevel="0" max="11" min="9" style="0" width="34"/>
    <col collapsed="false" customWidth="true" hidden="false" outlineLevel="0" max="12" min="12" style="0" width="46"/>
    <col collapsed="false" customWidth="true" hidden="false" outlineLevel="0" max="13" min="13" style="0" width="40"/>
    <col collapsed="false" customWidth="true" hidden="false" outlineLevel="0" max="14" min="14" style="0" width="34"/>
  </cols>
  <sheetData>
    <row r="1" customFormat="false" ht="30" hidden="false" customHeight="true" outlineLevel="0" collapsed="false">
      <c r="A1" s="1" t="s">
        <v>497</v>
      </c>
      <c r="B1" s="1"/>
      <c r="C1" s="1"/>
      <c r="D1" s="1"/>
      <c r="E1" s="1"/>
      <c r="F1" s="1"/>
      <c r="G1" s="1"/>
      <c r="H1" s="1"/>
      <c r="I1" s="1"/>
      <c r="J1" s="1"/>
      <c r="K1" s="1"/>
      <c r="L1" s="1"/>
      <c r="M1" s="1"/>
      <c r="N1" s="1"/>
    </row>
    <row r="2" customFormat="false" ht="30" hidden="false" customHeight="true" outlineLevel="0" collapsed="false">
      <c r="A2" s="2" t="s">
        <v>498</v>
      </c>
      <c r="B2" s="2"/>
      <c r="C2" s="2"/>
      <c r="D2" s="2"/>
      <c r="E2" s="2"/>
      <c r="F2" s="2"/>
      <c r="G2" s="2"/>
      <c r="H2" s="2"/>
      <c r="I2" s="2"/>
      <c r="J2" s="2"/>
      <c r="K2" s="2"/>
      <c r="L2" s="2"/>
      <c r="M2" s="2"/>
      <c r="N2" s="2"/>
    </row>
    <row r="4" customFormat="false" ht="31.5" hidden="false" customHeight="true" outlineLevel="0" collapsed="false">
      <c r="A4" s="50" t="s">
        <v>272</v>
      </c>
      <c r="B4" s="50" t="s">
        <v>110</v>
      </c>
      <c r="C4" s="50" t="s">
        <v>279</v>
      </c>
      <c r="D4" s="50" t="s">
        <v>165</v>
      </c>
      <c r="E4" s="50" t="s">
        <v>499</v>
      </c>
      <c r="F4" s="50" t="s">
        <v>500</v>
      </c>
      <c r="G4" s="50" t="s">
        <v>501</v>
      </c>
      <c r="H4" s="50" t="s">
        <v>502</v>
      </c>
      <c r="I4" s="50" t="s">
        <v>283</v>
      </c>
      <c r="J4" s="50" t="s">
        <v>503</v>
      </c>
      <c r="K4" s="50" t="s">
        <v>504</v>
      </c>
      <c r="L4" s="50" t="s">
        <v>505</v>
      </c>
      <c r="M4" s="50" t="s">
        <v>506</v>
      </c>
      <c r="N4" s="50" t="s">
        <v>507</v>
      </c>
    </row>
    <row r="5" customFormat="false" ht="91.5" hidden="false" customHeight="true" outlineLevel="0" collapsed="false">
      <c r="A5" s="46" t="n">
        <v>1</v>
      </c>
      <c r="B5" s="47" t="s">
        <v>113</v>
      </c>
      <c r="C5" s="49" t="s">
        <v>508</v>
      </c>
      <c r="D5" s="47" t="s">
        <v>509</v>
      </c>
      <c r="E5" s="46" t="s">
        <v>510</v>
      </c>
      <c r="F5" s="51" t="n">
        <v>4.4</v>
      </c>
      <c r="G5" s="46" t="s">
        <v>288</v>
      </c>
      <c r="H5" s="49" t="s">
        <v>511</v>
      </c>
      <c r="I5" s="49" t="s">
        <v>512</v>
      </c>
      <c r="J5" s="49" t="s">
        <v>513</v>
      </c>
      <c r="K5" s="49" t="s">
        <v>514</v>
      </c>
      <c r="L5" s="49" t="s">
        <v>515</v>
      </c>
      <c r="M5" s="49" t="s">
        <v>516</v>
      </c>
      <c r="N5" s="49" t="s">
        <v>517</v>
      </c>
    </row>
    <row r="6" customFormat="false" ht="91.5" hidden="false" customHeight="true" outlineLevel="0" collapsed="false">
      <c r="A6" s="46" t="n">
        <v>2</v>
      </c>
      <c r="B6" s="47" t="s">
        <v>113</v>
      </c>
      <c r="C6" s="49" t="s">
        <v>508</v>
      </c>
      <c r="D6" s="47" t="s">
        <v>518</v>
      </c>
      <c r="E6" s="46" t="s">
        <v>510</v>
      </c>
      <c r="F6" s="51" t="n">
        <v>4</v>
      </c>
      <c r="G6" s="46" t="s">
        <v>519</v>
      </c>
      <c r="H6" s="49" t="s">
        <v>292</v>
      </c>
      <c r="I6" s="49" t="s">
        <v>520</v>
      </c>
      <c r="J6" s="49" t="s">
        <v>521</v>
      </c>
      <c r="K6" s="49" t="s">
        <v>522</v>
      </c>
      <c r="L6" s="49" t="s">
        <v>515</v>
      </c>
      <c r="M6" s="49" t="s">
        <v>516</v>
      </c>
      <c r="N6" s="49" t="s">
        <v>523</v>
      </c>
    </row>
    <row r="7" customFormat="false" ht="91.5" hidden="false" customHeight="true" outlineLevel="0" collapsed="false">
      <c r="A7" s="46" t="n">
        <v>3</v>
      </c>
      <c r="B7" s="47" t="s">
        <v>112</v>
      </c>
      <c r="C7" s="49" t="s">
        <v>524</v>
      </c>
      <c r="D7" s="47" t="s">
        <v>291</v>
      </c>
      <c r="E7" s="46" t="s">
        <v>510</v>
      </c>
      <c r="F7" s="51" t="n">
        <v>3.8</v>
      </c>
      <c r="G7" s="46" t="s">
        <v>519</v>
      </c>
      <c r="H7" s="49" t="s">
        <v>292</v>
      </c>
      <c r="I7" s="49" t="s">
        <v>525</v>
      </c>
      <c r="J7" s="49" t="s">
        <v>526</v>
      </c>
      <c r="K7" s="49" t="s">
        <v>527</v>
      </c>
      <c r="L7" s="49" t="s">
        <v>528</v>
      </c>
      <c r="M7" s="49" t="s">
        <v>529</v>
      </c>
      <c r="N7" s="49" t="s">
        <v>298</v>
      </c>
    </row>
    <row r="8" customFormat="false" ht="91.5" hidden="false" customHeight="true" outlineLevel="0" collapsed="false">
      <c r="A8" s="46" t="n">
        <v>4</v>
      </c>
      <c r="B8" s="47" t="s">
        <v>115</v>
      </c>
      <c r="C8" s="49" t="s">
        <v>530</v>
      </c>
      <c r="D8" s="47" t="s">
        <v>531</v>
      </c>
      <c r="E8" s="46" t="s">
        <v>510</v>
      </c>
      <c r="F8" s="51" t="n">
        <v>3.8</v>
      </c>
      <c r="G8" s="46" t="s">
        <v>288</v>
      </c>
      <c r="H8" s="49" t="s">
        <v>532</v>
      </c>
      <c r="I8" s="49" t="s">
        <v>533</v>
      </c>
      <c r="J8" s="49" t="s">
        <v>534</v>
      </c>
      <c r="K8" s="49" t="s">
        <v>535</v>
      </c>
      <c r="L8" s="49" t="s">
        <v>536</v>
      </c>
      <c r="M8" s="49" t="s">
        <v>537</v>
      </c>
      <c r="N8" s="49" t="s">
        <v>538</v>
      </c>
    </row>
    <row r="9" customFormat="false" ht="91.5" hidden="false" customHeight="true" outlineLevel="0" collapsed="false">
      <c r="A9" s="46" t="n">
        <v>5</v>
      </c>
      <c r="B9" s="47" t="s">
        <v>111</v>
      </c>
      <c r="C9" s="49" t="s">
        <v>539</v>
      </c>
      <c r="D9" s="47" t="s">
        <v>301</v>
      </c>
      <c r="E9" s="46" t="s">
        <v>510</v>
      </c>
      <c r="F9" s="51" t="n">
        <v>3.6</v>
      </c>
      <c r="G9" s="46" t="s">
        <v>519</v>
      </c>
      <c r="H9" s="49" t="s">
        <v>540</v>
      </c>
      <c r="I9" s="49" t="s">
        <v>541</v>
      </c>
      <c r="J9" s="49" t="s">
        <v>542</v>
      </c>
      <c r="K9" s="49" t="s">
        <v>543</v>
      </c>
      <c r="L9" s="49" t="s">
        <v>544</v>
      </c>
      <c r="M9" s="49" t="s">
        <v>545</v>
      </c>
      <c r="N9" s="49" t="s">
        <v>307</v>
      </c>
    </row>
    <row r="10" customFormat="false" ht="91.5" hidden="false" customHeight="true" outlineLevel="0" collapsed="false">
      <c r="A10" s="46" t="n">
        <v>6</v>
      </c>
      <c r="B10" s="47" t="s">
        <v>315</v>
      </c>
      <c r="C10" s="49" t="s">
        <v>546</v>
      </c>
      <c r="D10" s="47" t="s">
        <v>318</v>
      </c>
      <c r="E10" s="46" t="s">
        <v>510</v>
      </c>
      <c r="F10" s="51" t="n">
        <v>3.4</v>
      </c>
      <c r="G10" s="46" t="s">
        <v>519</v>
      </c>
      <c r="H10" s="49" t="s">
        <v>547</v>
      </c>
      <c r="I10" s="49" t="s">
        <v>548</v>
      </c>
      <c r="J10" s="49" t="s">
        <v>322</v>
      </c>
      <c r="K10" s="49" t="s">
        <v>549</v>
      </c>
      <c r="L10" s="49" t="s">
        <v>550</v>
      </c>
      <c r="M10" s="49" t="s">
        <v>551</v>
      </c>
      <c r="N10" s="49" t="s">
        <v>324</v>
      </c>
    </row>
    <row r="11" customFormat="false" ht="91.5" hidden="false" customHeight="true" outlineLevel="0" collapsed="false">
      <c r="A11" s="46" t="n">
        <v>7</v>
      </c>
      <c r="B11" s="47" t="s">
        <v>354</v>
      </c>
      <c r="C11" s="49" t="s">
        <v>552</v>
      </c>
      <c r="D11" s="47" t="s">
        <v>357</v>
      </c>
      <c r="E11" s="46" t="s">
        <v>510</v>
      </c>
      <c r="F11" s="51" t="n">
        <v>3.4</v>
      </c>
      <c r="G11" s="46" t="s">
        <v>519</v>
      </c>
      <c r="H11" s="49" t="s">
        <v>292</v>
      </c>
      <c r="I11" s="49" t="s">
        <v>553</v>
      </c>
      <c r="J11" s="49" t="s">
        <v>322</v>
      </c>
      <c r="K11" s="49" t="s">
        <v>554</v>
      </c>
      <c r="L11" s="49" t="s">
        <v>555</v>
      </c>
      <c r="M11" s="49" t="s">
        <v>556</v>
      </c>
      <c r="N11" s="49" t="s">
        <v>362</v>
      </c>
    </row>
    <row r="12" customFormat="false" ht="91.5" hidden="false" customHeight="true" outlineLevel="0" collapsed="false">
      <c r="A12" s="46" t="n">
        <v>8</v>
      </c>
      <c r="B12" s="47" t="s">
        <v>354</v>
      </c>
      <c r="C12" s="49" t="s">
        <v>552</v>
      </c>
      <c r="D12" s="47" t="s">
        <v>557</v>
      </c>
      <c r="E12" s="46" t="s">
        <v>558</v>
      </c>
      <c r="F12" s="51" t="n">
        <v>3.4</v>
      </c>
      <c r="G12" s="46" t="s">
        <v>519</v>
      </c>
      <c r="H12" s="49" t="s">
        <v>292</v>
      </c>
      <c r="I12" s="49" t="s">
        <v>466</v>
      </c>
      <c r="J12" s="49" t="s">
        <v>322</v>
      </c>
      <c r="K12" s="49" t="s">
        <v>559</v>
      </c>
      <c r="L12" s="49" t="s">
        <v>555</v>
      </c>
      <c r="M12" s="49" t="s">
        <v>556</v>
      </c>
      <c r="N12" s="49" t="s">
        <v>560</v>
      </c>
    </row>
    <row r="13" customFormat="false" ht="91.5" hidden="false" customHeight="true" outlineLevel="0" collapsed="false">
      <c r="A13" s="46" t="n">
        <v>9</v>
      </c>
      <c r="B13" s="47" t="s">
        <v>115</v>
      </c>
      <c r="C13" s="49" t="s">
        <v>530</v>
      </c>
      <c r="D13" s="47" t="s">
        <v>561</v>
      </c>
      <c r="E13" s="46" t="s">
        <v>510</v>
      </c>
      <c r="F13" s="51" t="n">
        <v>3.4</v>
      </c>
      <c r="G13" s="46" t="s">
        <v>288</v>
      </c>
      <c r="H13" s="49" t="s">
        <v>292</v>
      </c>
      <c r="I13" s="49" t="s">
        <v>562</v>
      </c>
      <c r="J13" s="49" t="s">
        <v>563</v>
      </c>
      <c r="K13" s="49" t="s">
        <v>564</v>
      </c>
      <c r="L13" s="49" t="s">
        <v>536</v>
      </c>
      <c r="M13" s="49" t="s">
        <v>537</v>
      </c>
      <c r="N13" s="49" t="s">
        <v>565</v>
      </c>
    </row>
    <row r="14" customFormat="false" ht="91.5" hidden="false" customHeight="true" outlineLevel="0" collapsed="false">
      <c r="A14" s="46" t="n">
        <v>10</v>
      </c>
      <c r="B14" s="47" t="s">
        <v>566</v>
      </c>
      <c r="C14" s="49" t="s">
        <v>567</v>
      </c>
      <c r="D14" s="47" t="s">
        <v>568</v>
      </c>
      <c r="E14" s="46" t="s">
        <v>569</v>
      </c>
      <c r="F14" s="51" t="n">
        <v>3.4</v>
      </c>
      <c r="G14" s="46" t="s">
        <v>288</v>
      </c>
      <c r="H14" s="49" t="s">
        <v>570</v>
      </c>
      <c r="I14" s="49" t="s">
        <v>292</v>
      </c>
      <c r="J14" s="49" t="s">
        <v>571</v>
      </c>
      <c r="K14" s="49" t="s">
        <v>572</v>
      </c>
      <c r="L14" s="49" t="s">
        <v>573</v>
      </c>
      <c r="M14" s="49"/>
      <c r="N14" s="49" t="s">
        <v>574</v>
      </c>
    </row>
    <row r="15" customFormat="false" ht="91.5" hidden="false" customHeight="true" outlineLevel="0" collapsed="false">
      <c r="A15" s="46" t="n">
        <v>11</v>
      </c>
      <c r="B15" s="47" t="s">
        <v>575</v>
      </c>
      <c r="C15" s="49" t="s">
        <v>576</v>
      </c>
      <c r="D15" s="47" t="s">
        <v>577</v>
      </c>
      <c r="E15" s="46" t="s">
        <v>569</v>
      </c>
      <c r="F15" s="51" t="n">
        <v>3.4</v>
      </c>
      <c r="G15" s="46" t="s">
        <v>288</v>
      </c>
      <c r="H15" s="49" t="s">
        <v>578</v>
      </c>
      <c r="I15" s="49" t="s">
        <v>292</v>
      </c>
      <c r="J15" s="49" t="s">
        <v>579</v>
      </c>
      <c r="K15" s="49" t="s">
        <v>580</v>
      </c>
      <c r="L15" s="49" t="s">
        <v>581</v>
      </c>
      <c r="M15" s="49" t="s">
        <v>582</v>
      </c>
      <c r="N15" s="49" t="s">
        <v>583</v>
      </c>
    </row>
    <row r="16" customFormat="false" ht="91.5" hidden="false" customHeight="true" outlineLevel="0" collapsed="false">
      <c r="A16" s="46" t="n">
        <v>12</v>
      </c>
      <c r="B16" s="47" t="s">
        <v>114</v>
      </c>
      <c r="C16" s="49" t="s">
        <v>584</v>
      </c>
      <c r="D16" s="47" t="s">
        <v>585</v>
      </c>
      <c r="E16" s="46" t="s">
        <v>510</v>
      </c>
      <c r="F16" s="51" t="n">
        <v>3.2</v>
      </c>
      <c r="G16" s="46" t="s">
        <v>288</v>
      </c>
      <c r="H16" s="49" t="s">
        <v>586</v>
      </c>
      <c r="I16" s="49" t="s">
        <v>292</v>
      </c>
      <c r="J16" s="49" t="s">
        <v>587</v>
      </c>
      <c r="K16" s="49" t="s">
        <v>588</v>
      </c>
      <c r="L16" s="49" t="s">
        <v>589</v>
      </c>
      <c r="M16" s="49" t="s">
        <v>590</v>
      </c>
      <c r="N16" s="49" t="s">
        <v>591</v>
      </c>
    </row>
    <row r="17" customFormat="false" ht="91.5" hidden="false" customHeight="true" outlineLevel="0" collapsed="false">
      <c r="A17" s="46" t="n">
        <v>13</v>
      </c>
      <c r="B17" s="47" t="s">
        <v>115</v>
      </c>
      <c r="C17" s="49" t="s">
        <v>530</v>
      </c>
      <c r="D17" s="47" t="s">
        <v>592</v>
      </c>
      <c r="E17" s="46" t="s">
        <v>593</v>
      </c>
      <c r="F17" s="51" t="n">
        <v>3.2</v>
      </c>
      <c r="G17" s="46" t="s">
        <v>288</v>
      </c>
      <c r="H17" s="49" t="s">
        <v>292</v>
      </c>
      <c r="I17" s="49" t="s">
        <v>292</v>
      </c>
      <c r="J17" s="49" t="s">
        <v>594</v>
      </c>
      <c r="K17" s="49" t="s">
        <v>595</v>
      </c>
      <c r="L17" s="49" t="s">
        <v>536</v>
      </c>
      <c r="M17" s="49" t="s">
        <v>537</v>
      </c>
      <c r="N17" s="49" t="s">
        <v>596</v>
      </c>
    </row>
    <row r="18" customFormat="false" ht="91.5" hidden="false" customHeight="true" outlineLevel="0" collapsed="false">
      <c r="A18" s="46" t="n">
        <v>14</v>
      </c>
      <c r="B18" s="47" t="s">
        <v>405</v>
      </c>
      <c r="C18" s="49" t="s">
        <v>597</v>
      </c>
      <c r="D18" s="47" t="s">
        <v>408</v>
      </c>
      <c r="E18" s="46" t="s">
        <v>510</v>
      </c>
      <c r="F18" s="51" t="n">
        <v>3</v>
      </c>
      <c r="G18" s="46" t="s">
        <v>519</v>
      </c>
      <c r="H18" s="49" t="s">
        <v>292</v>
      </c>
      <c r="I18" s="49" t="s">
        <v>292</v>
      </c>
      <c r="J18" s="49" t="s">
        <v>322</v>
      </c>
      <c r="K18" s="49" t="s">
        <v>598</v>
      </c>
      <c r="L18" s="49" t="s">
        <v>599</v>
      </c>
      <c r="M18" s="49" t="s">
        <v>600</v>
      </c>
      <c r="N18" s="49" t="s">
        <v>411</v>
      </c>
    </row>
    <row r="19" customFormat="false" ht="91.5" hidden="false" customHeight="true" outlineLevel="0" collapsed="false">
      <c r="A19" s="46" t="n">
        <v>15</v>
      </c>
      <c r="B19" s="47" t="s">
        <v>601</v>
      </c>
      <c r="C19" s="49" t="s">
        <v>602</v>
      </c>
      <c r="D19" s="47" t="s">
        <v>603</v>
      </c>
      <c r="E19" s="46" t="s">
        <v>569</v>
      </c>
      <c r="F19" s="51" t="n">
        <v>2.8</v>
      </c>
      <c r="G19" s="46" t="s">
        <v>288</v>
      </c>
      <c r="H19" s="49" t="s">
        <v>604</v>
      </c>
      <c r="I19" s="49" t="s">
        <v>292</v>
      </c>
      <c r="J19" s="49" t="s">
        <v>322</v>
      </c>
      <c r="K19" s="49" t="s">
        <v>605</v>
      </c>
      <c r="L19" s="49" t="s">
        <v>606</v>
      </c>
      <c r="M19" s="49"/>
      <c r="N19" s="49" t="s">
        <v>607</v>
      </c>
    </row>
    <row r="20" customFormat="false" ht="91.5" hidden="false" customHeight="true" outlineLevel="0" collapsed="false">
      <c r="A20" s="46" t="n">
        <v>16</v>
      </c>
      <c r="B20" s="47" t="s">
        <v>114</v>
      </c>
      <c r="C20" s="49" t="s">
        <v>584</v>
      </c>
      <c r="D20" s="47" t="s">
        <v>608</v>
      </c>
      <c r="E20" s="46" t="s">
        <v>510</v>
      </c>
      <c r="F20" s="51" t="n">
        <v>2.6</v>
      </c>
      <c r="G20" s="46" t="s">
        <v>609</v>
      </c>
      <c r="H20" s="49" t="s">
        <v>610</v>
      </c>
      <c r="I20" s="49" t="s">
        <v>292</v>
      </c>
      <c r="J20" s="49" t="s">
        <v>611</v>
      </c>
      <c r="K20" s="49" t="s">
        <v>612</v>
      </c>
      <c r="L20" s="49" t="s">
        <v>589</v>
      </c>
      <c r="M20" s="49" t="s">
        <v>590</v>
      </c>
      <c r="N20" s="49" t="s">
        <v>591</v>
      </c>
    </row>
    <row r="21" customFormat="false" ht="91.5" hidden="false" customHeight="true" outlineLevel="0" collapsed="false">
      <c r="A21" s="46" t="n">
        <v>17</v>
      </c>
      <c r="B21" s="47" t="s">
        <v>114</v>
      </c>
      <c r="C21" s="49" t="s">
        <v>584</v>
      </c>
      <c r="D21" s="47" t="s">
        <v>613</v>
      </c>
      <c r="E21" s="46" t="s">
        <v>593</v>
      </c>
      <c r="F21" s="51" t="n">
        <v>2.6</v>
      </c>
      <c r="G21" s="46" t="s">
        <v>609</v>
      </c>
      <c r="H21" s="49" t="s">
        <v>614</v>
      </c>
      <c r="I21" s="49" t="s">
        <v>292</v>
      </c>
      <c r="J21" s="49" t="s">
        <v>322</v>
      </c>
      <c r="K21" s="49" t="s">
        <v>615</v>
      </c>
      <c r="L21" s="49" t="s">
        <v>589</v>
      </c>
      <c r="M21" s="49" t="s">
        <v>590</v>
      </c>
      <c r="N21" s="49" t="s">
        <v>591</v>
      </c>
    </row>
    <row r="22" customFormat="false" ht="91.5" hidden="false" customHeight="true" outlineLevel="0" collapsed="false">
      <c r="A22" s="46" t="n">
        <v>18</v>
      </c>
      <c r="B22" s="47" t="s">
        <v>114</v>
      </c>
      <c r="C22" s="49" t="s">
        <v>584</v>
      </c>
      <c r="D22" s="47" t="s">
        <v>616</v>
      </c>
      <c r="E22" s="46" t="s">
        <v>510</v>
      </c>
      <c r="F22" s="51" t="n">
        <v>2.6</v>
      </c>
      <c r="G22" s="46" t="s">
        <v>519</v>
      </c>
      <c r="H22" s="49" t="s">
        <v>617</v>
      </c>
      <c r="I22" s="49" t="s">
        <v>292</v>
      </c>
      <c r="J22" s="49" t="s">
        <v>322</v>
      </c>
      <c r="K22" s="49" t="s">
        <v>618</v>
      </c>
      <c r="L22" s="49" t="s">
        <v>589</v>
      </c>
      <c r="M22" s="49" t="s">
        <v>590</v>
      </c>
      <c r="N22" s="49" t="s">
        <v>591</v>
      </c>
    </row>
    <row r="23" customFormat="false" ht="91.5" hidden="false" customHeight="true" outlineLevel="0" collapsed="false">
      <c r="A23" s="46" t="n">
        <v>19</v>
      </c>
      <c r="B23" s="47" t="s">
        <v>115</v>
      </c>
      <c r="C23" s="49" t="s">
        <v>530</v>
      </c>
      <c r="D23" s="47" t="s">
        <v>619</v>
      </c>
      <c r="E23" s="46" t="s">
        <v>620</v>
      </c>
      <c r="F23" s="51" t="n">
        <v>2.6</v>
      </c>
      <c r="G23" s="46" t="s">
        <v>288</v>
      </c>
      <c r="H23" s="49" t="s">
        <v>621</v>
      </c>
      <c r="I23" s="49" t="s">
        <v>292</v>
      </c>
      <c r="J23" s="49" t="s">
        <v>622</v>
      </c>
      <c r="K23" s="49" t="s">
        <v>623</v>
      </c>
      <c r="L23" s="49" t="s">
        <v>536</v>
      </c>
      <c r="M23" s="49" t="s">
        <v>537</v>
      </c>
      <c r="N23" s="49" t="s">
        <v>624</v>
      </c>
    </row>
    <row r="24" customFormat="false" ht="91.5" hidden="false" customHeight="true" outlineLevel="0" collapsed="false">
      <c r="A24" s="52" t="n">
        <v>20</v>
      </c>
      <c r="B24" s="53" t="s">
        <v>625</v>
      </c>
      <c r="C24" s="54" t="s">
        <v>626</v>
      </c>
      <c r="D24" s="53" t="s">
        <v>627</v>
      </c>
      <c r="E24" s="52" t="s">
        <v>593</v>
      </c>
      <c r="F24" s="55" t="n">
        <v>2.8</v>
      </c>
      <c r="G24" s="52" t="s">
        <v>288</v>
      </c>
      <c r="H24" s="54" t="s">
        <v>628</v>
      </c>
      <c r="I24" s="54" t="s">
        <v>292</v>
      </c>
      <c r="J24" s="54" t="s">
        <v>629</v>
      </c>
      <c r="K24" s="54" t="s">
        <v>630</v>
      </c>
      <c r="L24" s="54" t="s">
        <v>631</v>
      </c>
      <c r="M24" s="54" t="s">
        <v>632</v>
      </c>
      <c r="N24" s="54" t="s">
        <v>633</v>
      </c>
    </row>
    <row r="25" customFormat="false" ht="91.5" hidden="false" customHeight="true" outlineLevel="0" collapsed="false">
      <c r="A25" s="52" t="n">
        <v>21</v>
      </c>
      <c r="B25" s="53" t="s">
        <v>625</v>
      </c>
      <c r="C25" s="54" t="s">
        <v>626</v>
      </c>
      <c r="D25" s="53" t="s">
        <v>634</v>
      </c>
      <c r="E25" s="52" t="s">
        <v>569</v>
      </c>
      <c r="F25" s="55" t="n">
        <v>2.6</v>
      </c>
      <c r="G25" s="52" t="s">
        <v>288</v>
      </c>
      <c r="H25" s="54" t="s">
        <v>635</v>
      </c>
      <c r="I25" s="54" t="s">
        <v>292</v>
      </c>
      <c r="J25" s="54" t="s">
        <v>636</v>
      </c>
      <c r="K25" s="54" t="s">
        <v>637</v>
      </c>
      <c r="L25" s="54" t="s">
        <v>631</v>
      </c>
      <c r="M25" s="54" t="s">
        <v>632</v>
      </c>
      <c r="N25" s="54" t="s">
        <v>638</v>
      </c>
    </row>
    <row r="26" customFormat="false" ht="91.5" hidden="false" customHeight="true" outlineLevel="0" collapsed="false">
      <c r="A26" s="52" t="n">
        <v>22</v>
      </c>
      <c r="B26" s="53" t="s">
        <v>639</v>
      </c>
      <c r="C26" s="54" t="s">
        <v>640</v>
      </c>
      <c r="D26" s="53" t="s">
        <v>641</v>
      </c>
      <c r="E26" s="52" t="s">
        <v>593</v>
      </c>
      <c r="F26" s="55" t="n">
        <v>2.6</v>
      </c>
      <c r="G26" s="52" t="s">
        <v>288</v>
      </c>
      <c r="H26" s="54" t="s">
        <v>642</v>
      </c>
      <c r="I26" s="54" t="s">
        <v>292</v>
      </c>
      <c r="J26" s="54" t="s">
        <v>322</v>
      </c>
      <c r="K26" s="54" t="s">
        <v>643</v>
      </c>
      <c r="L26" s="54" t="s">
        <v>644</v>
      </c>
      <c r="M26" s="54" t="s">
        <v>645</v>
      </c>
      <c r="N26" s="54" t="s">
        <v>646</v>
      </c>
    </row>
    <row r="27" customFormat="false" ht="91.5" hidden="false" customHeight="true" outlineLevel="0" collapsed="false">
      <c r="A27" s="52" t="n">
        <v>23</v>
      </c>
      <c r="B27" s="53" t="s">
        <v>639</v>
      </c>
      <c r="C27" s="54" t="s">
        <v>640</v>
      </c>
      <c r="D27" s="53" t="s">
        <v>647</v>
      </c>
      <c r="E27" s="52" t="s">
        <v>510</v>
      </c>
      <c r="F27" s="55" t="n">
        <v>2.4</v>
      </c>
      <c r="G27" s="52" t="s">
        <v>519</v>
      </c>
      <c r="H27" s="54" t="s">
        <v>648</v>
      </c>
      <c r="I27" s="54" t="s">
        <v>292</v>
      </c>
      <c r="J27" s="54" t="s">
        <v>322</v>
      </c>
      <c r="K27" s="54" t="s">
        <v>649</v>
      </c>
      <c r="L27" s="54" t="s">
        <v>644</v>
      </c>
      <c r="M27" s="54" t="s">
        <v>645</v>
      </c>
      <c r="N27" s="54" t="s">
        <v>650</v>
      </c>
    </row>
    <row r="28" customFormat="false" ht="91.5" hidden="false" customHeight="true" outlineLevel="0" collapsed="false">
      <c r="A28" s="52" t="n">
        <v>24</v>
      </c>
      <c r="B28" s="53" t="s">
        <v>625</v>
      </c>
      <c r="C28" s="54" t="s">
        <v>626</v>
      </c>
      <c r="D28" s="53" t="s">
        <v>651</v>
      </c>
      <c r="E28" s="52" t="s">
        <v>593</v>
      </c>
      <c r="F28" s="55" t="n">
        <v>2.2</v>
      </c>
      <c r="G28" s="52" t="s">
        <v>288</v>
      </c>
      <c r="H28" s="54" t="s">
        <v>652</v>
      </c>
      <c r="I28" s="54" t="s">
        <v>292</v>
      </c>
      <c r="J28" s="54" t="s">
        <v>653</v>
      </c>
      <c r="K28" s="54" t="s">
        <v>654</v>
      </c>
      <c r="L28" s="54" t="s">
        <v>631</v>
      </c>
      <c r="M28" s="54" t="s">
        <v>632</v>
      </c>
      <c r="N28" s="54" t="s">
        <v>655</v>
      </c>
    </row>
    <row r="30" customFormat="false" ht="15" hidden="false" customHeight="false" outlineLevel="0" collapsed="false">
      <c r="B30" s="4" t="s">
        <v>656</v>
      </c>
    </row>
    <row r="31" customFormat="false" ht="15" hidden="false" customHeight="false" outlineLevel="0" collapsed="false">
      <c r="B31" s="13" t="s">
        <v>657</v>
      </c>
      <c r="D31" s="13" t="s">
        <v>658</v>
      </c>
      <c r="F31" s="13" t="s">
        <v>659</v>
      </c>
    </row>
    <row r="32" customFormat="false" ht="43.5" hidden="false" customHeight="true" outlineLevel="0" collapsed="false">
      <c r="B32" s="56" t="s">
        <v>660</v>
      </c>
      <c r="C32" s="56"/>
      <c r="D32" s="57" t="s">
        <v>661</v>
      </c>
      <c r="E32" s="57"/>
      <c r="F32" s="57" t="s">
        <v>662</v>
      </c>
      <c r="G32" s="57"/>
      <c r="H32" s="57"/>
      <c r="I32" s="57"/>
    </row>
    <row r="33" customFormat="false" ht="43.5" hidden="false" customHeight="true" outlineLevel="0" collapsed="false">
      <c r="B33" s="56" t="s">
        <v>663</v>
      </c>
      <c r="C33" s="56"/>
      <c r="D33" s="57" t="s">
        <v>664</v>
      </c>
      <c r="E33" s="57"/>
      <c r="F33" s="57" t="s">
        <v>665</v>
      </c>
      <c r="G33" s="57"/>
      <c r="H33" s="57"/>
      <c r="I33" s="57"/>
    </row>
    <row r="34" customFormat="false" ht="43.5" hidden="false" customHeight="true" outlineLevel="0" collapsed="false">
      <c r="B34" s="56" t="s">
        <v>666</v>
      </c>
      <c r="C34" s="56"/>
      <c r="D34" s="57" t="s">
        <v>667</v>
      </c>
      <c r="E34" s="57"/>
      <c r="F34" s="57" t="s">
        <v>668</v>
      </c>
      <c r="G34" s="57"/>
      <c r="H34" s="57"/>
      <c r="I34" s="57"/>
    </row>
    <row r="35" customFormat="false" ht="43.5" hidden="false" customHeight="true" outlineLevel="0" collapsed="false">
      <c r="B35" s="56" t="s">
        <v>669</v>
      </c>
      <c r="C35" s="56"/>
      <c r="D35" s="57" t="s">
        <v>670</v>
      </c>
      <c r="E35" s="57"/>
      <c r="F35" s="57" t="s">
        <v>671</v>
      </c>
      <c r="G35" s="57"/>
      <c r="H35" s="57"/>
      <c r="I35" s="57"/>
    </row>
    <row r="36" customFormat="false" ht="43.5" hidden="false" customHeight="true" outlineLevel="0" collapsed="false">
      <c r="B36" s="56" t="s">
        <v>672</v>
      </c>
      <c r="C36" s="56"/>
      <c r="D36" s="57" t="s">
        <v>115</v>
      </c>
      <c r="E36" s="57"/>
      <c r="F36" s="57" t="s">
        <v>673</v>
      </c>
      <c r="G36" s="57"/>
      <c r="H36" s="57"/>
      <c r="I36" s="57"/>
    </row>
    <row r="38" customFormat="false" ht="30" hidden="false" customHeight="true" outlineLevel="0" collapsed="false">
      <c r="B38" s="39" t="s">
        <v>674</v>
      </c>
      <c r="C38" s="39"/>
      <c r="D38" s="39"/>
      <c r="E38" s="39"/>
      <c r="F38" s="39"/>
      <c r="G38" s="39"/>
      <c r="H38" s="39"/>
      <c r="I38" s="39"/>
      <c r="J38" s="39"/>
      <c r="K38" s="39"/>
      <c r="L38" s="39"/>
    </row>
  </sheetData>
  <autoFilter ref="A4:N28"/>
  <mergeCells count="18">
    <mergeCell ref="A1:N1"/>
    <mergeCell ref="A2:N2"/>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8:L38"/>
  </mergeCells>
  <conditionalFormatting sqref="F5:F28">
    <cfRule type="colorScale" priority="2">
      <colorScale>
        <cfvo type="num" val="2"/>
        <cfvo type="num" val="3.2"/>
        <cfvo type="num" val="4.5"/>
        <color rgb="FFF8CBAD"/>
        <color rgb="FFFFF2CC"/>
        <color rgb="FFA9D08E"/>
      </colorScale>
    </cfRule>
  </conditionalFormatting>
  <conditionalFormatting sqref="G5:G28">
    <cfRule type="cellIs" priority="3" operator="equal" aboveAverage="0" equalAverage="0" bottom="0" percent="0" rank="0" text="" dxfId="2">
      <formula>"Yes"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5"/>
    <col collapsed="false" customWidth="true" hidden="false" outlineLevel="0" max="4" min="4" style="0" width="13"/>
    <col collapsed="false" customWidth="true" hidden="false" outlineLevel="0" max="5" min="5" style="0" width="15"/>
    <col collapsed="false" customWidth="true" hidden="false" outlineLevel="0" max="6" min="6" style="0" width="20"/>
    <col collapsed="false" customWidth="true" hidden="false" outlineLevel="0" max="7" min="7" style="0" width="18"/>
    <col collapsed="false" customWidth="true" hidden="false" outlineLevel="0" max="8" min="8" style="0" width="17"/>
    <col collapsed="false" customWidth="true" hidden="false" outlineLevel="0" max="9" min="9" style="0" width="4"/>
  </cols>
  <sheetData>
    <row r="1" customFormat="false" ht="30" hidden="false" customHeight="true" outlineLevel="0" collapsed="false">
      <c r="A1" s="1" t="s">
        <v>675</v>
      </c>
      <c r="B1" s="1"/>
      <c r="C1" s="1"/>
      <c r="D1" s="1"/>
      <c r="E1" s="1"/>
      <c r="F1" s="1"/>
      <c r="G1" s="1"/>
      <c r="H1" s="1"/>
      <c r="I1" s="1"/>
    </row>
    <row r="2" customFormat="false" ht="30" hidden="false" customHeight="true" outlineLevel="0" collapsed="false">
      <c r="A2" s="2" t="s">
        <v>676</v>
      </c>
      <c r="B2" s="2"/>
      <c r="C2" s="2"/>
      <c r="D2" s="2"/>
      <c r="E2" s="2"/>
      <c r="F2" s="2"/>
      <c r="G2" s="2"/>
      <c r="H2" s="2"/>
      <c r="I2" s="2"/>
    </row>
    <row r="4" customFormat="false" ht="19.5" hidden="false" customHeight="true" outlineLevel="0" collapsed="false">
      <c r="A4" s="13" t="s">
        <v>677</v>
      </c>
      <c r="B4" s="14"/>
      <c r="C4" s="14"/>
      <c r="D4" s="14"/>
      <c r="E4" s="14"/>
      <c r="F4" s="14"/>
      <c r="G4" s="14"/>
      <c r="H4" s="14"/>
    </row>
    <row r="5" customFormat="false" ht="27.75" hidden="false" customHeight="true" outlineLevel="0" collapsed="false">
      <c r="A5" s="7" t="s">
        <v>678</v>
      </c>
      <c r="B5" s="16" t="n">
        <v>0.75</v>
      </c>
      <c r="C5" s="39" t="s">
        <v>679</v>
      </c>
      <c r="D5" s="39"/>
      <c r="E5" s="39"/>
      <c r="F5" s="39"/>
      <c r="G5" s="39"/>
      <c r="H5" s="39"/>
    </row>
    <row r="6" customFormat="false" ht="27.75" hidden="false" customHeight="true" outlineLevel="0" collapsed="false">
      <c r="A6" s="7" t="s">
        <v>680</v>
      </c>
      <c r="B6" s="24" t="n">
        <v>12</v>
      </c>
      <c r="C6" s="39" t="s">
        <v>681</v>
      </c>
      <c r="D6" s="39"/>
      <c r="E6" s="39"/>
      <c r="F6" s="39"/>
      <c r="G6" s="39"/>
      <c r="H6" s="39"/>
    </row>
    <row r="7" customFormat="false" ht="27.75" hidden="false" customHeight="true" outlineLevel="0" collapsed="false">
      <c r="A7" s="7" t="s">
        <v>682</v>
      </c>
      <c r="B7" s="24" t="n">
        <v>25</v>
      </c>
      <c r="C7" s="39" t="s">
        <v>683</v>
      </c>
      <c r="D7" s="39"/>
      <c r="E7" s="39"/>
      <c r="F7" s="39"/>
      <c r="G7" s="39"/>
      <c r="H7" s="39"/>
    </row>
    <row r="8" customFormat="false" ht="39.75" hidden="false" customHeight="true" outlineLevel="0" collapsed="false">
      <c r="A8" s="7" t="s">
        <v>684</v>
      </c>
      <c r="B8" s="16" t="n">
        <v>0.5</v>
      </c>
      <c r="C8" s="39" t="s">
        <v>685</v>
      </c>
      <c r="D8" s="39"/>
      <c r="E8" s="39"/>
      <c r="F8" s="39"/>
      <c r="G8" s="39"/>
      <c r="H8" s="39"/>
    </row>
    <row r="9" customFormat="false" ht="27.75" hidden="false" customHeight="true" outlineLevel="0" collapsed="false">
      <c r="A9" s="7" t="s">
        <v>686</v>
      </c>
      <c r="B9" s="58" t="n">
        <v>-0.2</v>
      </c>
      <c r="C9" s="39" t="s">
        <v>687</v>
      </c>
      <c r="D9" s="39"/>
      <c r="E9" s="39"/>
      <c r="F9" s="39"/>
      <c r="G9" s="39"/>
      <c r="H9" s="39"/>
    </row>
    <row r="10" customFormat="false" ht="39.75" hidden="false" customHeight="true" outlineLevel="0" collapsed="false">
      <c r="A10" s="7" t="s">
        <v>688</v>
      </c>
      <c r="B10" s="20" t="n">
        <v>0</v>
      </c>
      <c r="C10" s="39" t="s">
        <v>689</v>
      </c>
      <c r="D10" s="39"/>
      <c r="E10" s="39"/>
      <c r="F10" s="39"/>
      <c r="G10" s="39"/>
      <c r="H10" s="39"/>
    </row>
    <row r="11" customFormat="false" ht="27.75" hidden="false" customHeight="true" outlineLevel="0" collapsed="false">
      <c r="A11" s="7" t="s">
        <v>690</v>
      </c>
      <c r="B11" s="20" t="n">
        <v>750</v>
      </c>
      <c r="C11" s="39" t="s">
        <v>691</v>
      </c>
      <c r="D11" s="39"/>
      <c r="E11" s="39"/>
      <c r="F11" s="39"/>
      <c r="G11" s="39"/>
      <c r="H11" s="39"/>
    </row>
    <row r="12" customFormat="false" ht="27.75" hidden="false" customHeight="true" outlineLevel="0" collapsed="false">
      <c r="A12" s="7" t="s">
        <v>692</v>
      </c>
      <c r="B12" s="20" t="n">
        <v>1000</v>
      </c>
      <c r="C12" s="39" t="s">
        <v>693</v>
      </c>
      <c r="D12" s="39"/>
      <c r="E12" s="39"/>
      <c r="F12" s="39"/>
      <c r="G12" s="39"/>
      <c r="H12" s="39"/>
    </row>
    <row r="14" customFormat="false" ht="19.5" hidden="false" customHeight="true" outlineLevel="0" collapsed="false">
      <c r="A14" s="13" t="s">
        <v>694</v>
      </c>
      <c r="B14" s="14"/>
      <c r="C14" s="14"/>
      <c r="D14" s="14"/>
      <c r="E14" s="14"/>
      <c r="F14" s="14"/>
      <c r="G14" s="14"/>
      <c r="H14" s="14"/>
    </row>
    <row r="15" customFormat="false" ht="60" hidden="false" customHeight="true" outlineLevel="0" collapsed="false">
      <c r="A15" s="50" t="s">
        <v>165</v>
      </c>
      <c r="B15" s="50" t="s">
        <v>695</v>
      </c>
      <c r="C15" s="50" t="s">
        <v>696</v>
      </c>
      <c r="D15" s="50" t="s">
        <v>697</v>
      </c>
      <c r="E15" s="50" t="s">
        <v>698</v>
      </c>
      <c r="F15" s="50" t="s">
        <v>699</v>
      </c>
      <c r="G15" s="50" t="s">
        <v>700</v>
      </c>
      <c r="H15" s="50" t="s">
        <v>701</v>
      </c>
    </row>
    <row r="16" customFormat="false" ht="30" hidden="false" customHeight="true" outlineLevel="0" collapsed="false">
      <c r="A16" s="59" t="str">
        <f aca="false">IF(Compare!B5&gt;0,Compare!B4,"")</f>
        <v>A.J. LaRue Arena · Haliburton</v>
      </c>
      <c r="B16" s="60" t="n">
        <f aca="false">IF(Compare!B5&gt;0,Compare!B44,"")</f>
        <v>16764.12</v>
      </c>
      <c r="C16" s="60" t="n">
        <f aca="false">IF(Compare!B5&gt;0,Compare!B44+Compare!B37*$B$5*$B$6*$B$8-$B$11,"")</f>
        <v>18264.12</v>
      </c>
      <c r="D16" s="61" t="n">
        <f aca="false">IF(Compare!B5&gt;0,ROUND(Compare!B37*(1+$B$9),0),"")</f>
        <v>400</v>
      </c>
      <c r="E16" s="60" t="n">
        <f aca="false">IF(Compare!B5&gt;0,Compare!B44+(Compare!B39+Compare!B40)*$B$9+D16*$B$7*$B$8+$B$10-$B$12,"")</f>
        <v>14921.296</v>
      </c>
      <c r="F16" s="62" t="str">
        <f aca="false">IF(NOT(Compare!B5&gt;0),"",IF(MAX(B16:C16,E16)=E16,"Adults-only",IF(MAX(B16:C16)=C16,"Family + 19+ area","Family show")))</f>
        <v>Family + 19+ area</v>
      </c>
      <c r="G16" s="63" t="n">
        <f aca="false">IF(OR(NOT(Compare!B5&gt;0),D16=0),"",MAX(0,(MAX(B16:C16)-B16+$B$12-$B$10-(Compare!B39+Compare!B40)*$B$9)/D16))</f>
        <v>20.85706</v>
      </c>
      <c r="H16" s="64" t="n">
        <f aca="false">IF(NOT(Compare!B5&gt;0),"",IF((MAX(B16:C16)-B16+$B$12-$B$10-Compare!B37*$B$7*$B$8)&gt;=0,"Can't match",-(MAX(B16:C16)-B16+$B$12-$B$10-Compare!B37*$B$7*$B$8)/(Compare!B39+Compare!B40+Compare!B37*$B$7*$B$8)))</f>
        <v>0.105740675364284</v>
      </c>
    </row>
    <row r="17" customFormat="false" ht="30" hidden="false" customHeight="true" outlineLevel="0" collapsed="false">
      <c r="A17" s="59" t="str">
        <f aca="false">IF(Compare!C5&gt;0,Compare!C4,"")</f>
        <v>North Hastings Community Centre · Bancroft</v>
      </c>
      <c r="B17" s="60" t="n">
        <f aca="false">IF(Compare!C5&gt;0,Compare!C44,"")</f>
        <v>4417.296</v>
      </c>
      <c r="C17" s="60" t="n">
        <f aca="false">IF(Compare!C5&gt;0,Compare!C44+Compare!C37*$B$5*$B$6*$B$8-$B$11,"")</f>
        <v>5467.296</v>
      </c>
      <c r="D17" s="61" t="n">
        <f aca="false">IF(Compare!C5&gt;0,ROUND(Compare!C37*(1+$B$9),0),"")</f>
        <v>320</v>
      </c>
      <c r="E17" s="60" t="n">
        <f aca="false">IF(Compare!C5&gt;0,Compare!C44+(Compare!C39+Compare!C40)*$B$9+D17*$B$7*$B$8+$B$10-$B$12,"")</f>
        <v>2743.0368</v>
      </c>
      <c r="F17" s="62" t="str">
        <f aca="false">IF(NOT(Compare!C5&gt;0),"",IF(MAX(B17:C17,E17)=E17,"Adults-only",IF(MAX(B17:C17)=C17,"Family + 19+ area","Family show")))</f>
        <v>Family + 19+ area</v>
      </c>
      <c r="G17" s="63" t="n">
        <f aca="false">IF(OR(NOT(Compare!C5&gt;0),D17=0),"",MAX(0,(MAX(B17:C17)-B17+$B$12-$B$10-(Compare!C39+Compare!C40)*$B$9)/D17))</f>
        <v>21.01331</v>
      </c>
      <c r="H17" s="64" t="n">
        <f aca="false">IF(NOT(Compare!C5&gt;0),"",IF((MAX(B17:C17)-B17+$B$12-$B$10-Compare!C37*$B$7*$B$8)&gt;=0,"Can't match",-(MAX(B17:C17)-B17+$B$12-$B$10-Compare!C37*$B$7*$B$8)/(Compare!C39+Compare!C40+Compare!C37*$B$7*$B$8)))</f>
        <v>0.103978330774879</v>
      </c>
    </row>
    <row r="18" customFormat="false" ht="30" hidden="false" customHeight="true" outlineLevel="0" collapsed="false">
      <c r="A18" s="59" t="str">
        <f aca="false">IF(Compare!D5&gt;0,Compare!D4,"")</f>
        <v>Dr. Hamilton Crawford Memorial Arena · Marmora</v>
      </c>
      <c r="B18" s="60" t="n">
        <f aca="false">IF(Compare!D5&gt;0,Compare!D44,"")</f>
        <v>4050.12000000001</v>
      </c>
      <c r="C18" s="60" t="n">
        <f aca="false">IF(Compare!D5&gt;0,Compare!D44+Compare!D37*$B$5*$B$6*$B$8-$B$11,"")</f>
        <v>5550.12000000001</v>
      </c>
      <c r="D18" s="61" t="n">
        <f aca="false">IF(Compare!D5&gt;0,ROUND(Compare!D37*(1+$B$9),0),"")</f>
        <v>400</v>
      </c>
      <c r="E18" s="60" t="n">
        <f aca="false">IF(Compare!D5&gt;0,Compare!D44+(Compare!D39+Compare!D40)*$B$9+D18*$B$7*$B$8+$B$10-$B$12,"")</f>
        <v>2207.29600000001</v>
      </c>
      <c r="F18" s="62" t="str">
        <f aca="false">IF(NOT(Compare!D5&gt;0),"",IF(MAX(B18:C18,E18)=E18,"Adults-only",IF(MAX(B18:C18)=C18,"Family + 19+ area","Family show")))</f>
        <v>Family + 19+ area</v>
      </c>
      <c r="G18" s="63" t="n">
        <f aca="false">IF(OR(NOT(Compare!D5&gt;0),D18=0),"",MAX(0,(MAX(B18:C18)-B18+$B$12-$B$10-(Compare!D39+Compare!D40)*$B$9)/D18))</f>
        <v>20.85706</v>
      </c>
      <c r="H18" s="64" t="n">
        <f aca="false">IF(NOT(Compare!D5&gt;0),"",IF((MAX(B18:C18)-B18+$B$12-$B$10-Compare!D37*$B$7*$B$8)&gt;=0,"Can't match",-(MAX(B18:C18)-B18+$B$12-$B$10-Compare!D37*$B$7*$B$8)/(Compare!D39+Compare!D40+Compare!D37*$B$7*$B$8)))</f>
        <v>0.105740675364284</v>
      </c>
    </row>
    <row r="19" customFormat="false" ht="30" hidden="false" customHeight="true" outlineLevel="0" collapsed="false">
      <c r="A19" s="59" t="str">
        <f aca="false">IF(Compare!E5&gt;0,Compare!E4,"")</f>
        <v>Peterborough Memorial Centre · Peterborough</v>
      </c>
      <c r="B19" s="60" t="n">
        <f aca="false">IF(Compare!E5&gt;0,Compare!E44,"")</f>
        <v>20128.24</v>
      </c>
      <c r="C19" s="60" t="n">
        <f aca="false">IF(Compare!E5&gt;0,Compare!E44+Compare!E37*$B$5*$B$6*$B$8-$B$11,"")</f>
        <v>23878.24</v>
      </c>
      <c r="D19" s="61" t="n">
        <f aca="false">IF(Compare!E5&gt;0,ROUND(Compare!E37*(1+$B$9),0),"")</f>
        <v>800</v>
      </c>
      <c r="E19" s="60" t="n">
        <f aca="false">IF(Compare!E5&gt;0,Compare!E44+(Compare!E39+Compare!E40)*$B$9+D19*$B$7*$B$8+$B$10-$B$12,"")</f>
        <v>17442.592</v>
      </c>
      <c r="F19" s="62" t="str">
        <f aca="false">IF(NOT(Compare!E5&gt;0),"",IF(MAX(B19:C19,E19)=E19,"Adults-only",IF(MAX(B19:C19)=C19,"Family + 19+ area","Family show")))</f>
        <v>Family + 19+ area</v>
      </c>
      <c r="G19" s="63" t="n">
        <f aca="false">IF(OR(NOT(Compare!E5&gt;0),D19=0),"",MAX(0,(MAX(B19:C19)-B19+$B$12-$B$10-(Compare!E39+Compare!E40)*$B$9)/D19))</f>
        <v>20.54456</v>
      </c>
      <c r="H19" s="64" t="n">
        <f aca="false">IF(NOT(Compare!E5&gt;0),"",IF((MAX(B19:C19)-B19+$B$12-$B$10-Compare!E37*$B$7*$B$8)&gt;=0,"Can't match",-(MAX(B19:C19)-B19+$B$12-$B$10-Compare!E37*$B$7*$B$8)/(Compare!E39+Compare!E40+Compare!E37*$B$7*$B$8)))</f>
        <v>0.109265364543093</v>
      </c>
    </row>
    <row r="20" customFormat="false" ht="30" hidden="false" customHeight="true" outlineLevel="0" collapsed="false">
      <c r="A20" s="59" t="str">
        <f aca="false">IF(Compare!F5&gt;0,Compare!F4,"")</f>
        <v>Slush Puppie Place · Kingston</v>
      </c>
      <c r="B20" s="60" t="n">
        <f aca="false">IF(Compare!F5&gt;0,Compare!F44,"")</f>
        <v>12138.24</v>
      </c>
      <c r="C20" s="60" t="n">
        <f aca="false">IF(Compare!F5&gt;0,Compare!F44+Compare!F37*$B$5*$B$6*$B$8-$B$11,"")</f>
        <v>15888.24</v>
      </c>
      <c r="D20" s="61" t="n">
        <f aca="false">IF(Compare!F5&gt;0,ROUND(Compare!F37*(1+$B$9),0),"")</f>
        <v>800</v>
      </c>
      <c r="E20" s="60" t="n">
        <f aca="false">IF(Compare!F5&gt;0,Compare!F44+(Compare!F39+Compare!F40)*$B$9+D20*$B$7*$B$8+$B$10-$B$12,"")</f>
        <v>9452.59200000002</v>
      </c>
      <c r="F20" s="62" t="str">
        <f aca="false">IF(NOT(Compare!F5&gt;0),"",IF(MAX(B20:C20,E20)=E20,"Adults-only",IF(MAX(B20:C20)=C20,"Family + 19+ area","Family show")))</f>
        <v>Family + 19+ area</v>
      </c>
      <c r="G20" s="63" t="n">
        <f aca="false">IF(OR(NOT(Compare!F5&gt;0),D20=0),"",MAX(0,(MAX(B20:C20)-B20+$B$12-$B$10-(Compare!F39+Compare!F40)*$B$9)/D20))</f>
        <v>20.54456</v>
      </c>
      <c r="H20" s="64" t="n">
        <f aca="false">IF(NOT(Compare!F5&gt;0),"",IF((MAX(B20:C20)-B20+$B$12-$B$10-Compare!F37*$B$7*$B$8)&gt;=0,"Can't match",-(MAX(B20:C20)-B20+$B$12-$B$10-Compare!F37*$B$7*$B$8)/(Compare!F39+Compare!F40+Compare!F37*$B$7*$B$8)))</f>
        <v>0.109265364543093</v>
      </c>
    </row>
    <row r="21" customFormat="false" ht="30" hidden="false" customHeight="true" outlineLevel="0" collapsed="false">
      <c r="A21" s="59" t="str">
        <f aca="false">IF(Compare!G5&gt;0,Compare!G4,"")</f>
        <v>Tribute Communities Centre · Oshawa</v>
      </c>
      <c r="B21" s="60" t="n">
        <f aca="false">IF(Compare!G5&gt;0,Compare!G44,"")</f>
        <v>12138.24</v>
      </c>
      <c r="C21" s="60" t="n">
        <f aca="false">IF(Compare!G5&gt;0,Compare!G44+Compare!G37*$B$5*$B$6*$B$8-$B$11,"")</f>
        <v>15888.24</v>
      </c>
      <c r="D21" s="61" t="n">
        <f aca="false">IF(Compare!G5&gt;0,ROUND(Compare!G37*(1+$B$9),0),"")</f>
        <v>800</v>
      </c>
      <c r="E21" s="60" t="n">
        <f aca="false">IF(Compare!G5&gt;0,Compare!G44+(Compare!G39+Compare!G40)*$B$9+D21*$B$7*$B$8+$B$10-$B$12,"")</f>
        <v>9452.59200000002</v>
      </c>
      <c r="F21" s="62" t="str">
        <f aca="false">IF(NOT(Compare!G5&gt;0),"",IF(MAX(B21:C21,E21)=E21,"Adults-only",IF(MAX(B21:C21)=C21,"Family + 19+ area","Family show")))</f>
        <v>Family + 19+ area</v>
      </c>
      <c r="G21" s="63" t="n">
        <f aca="false">IF(OR(NOT(Compare!G5&gt;0),D21=0),"",MAX(0,(MAX(B21:C21)-B21+$B$12-$B$10-(Compare!G39+Compare!G40)*$B$9)/D21))</f>
        <v>20.54456</v>
      </c>
      <c r="H21" s="64" t="n">
        <f aca="false">IF(NOT(Compare!G5&gt;0),"",IF((MAX(B21:C21)-B21+$B$12-$B$10-Compare!G37*$B$7*$B$8)&gt;=0,"Can't match",-(MAX(B21:C21)-B21+$B$12-$B$10-Compare!G37*$B$7*$B$8)/(Compare!G39+Compare!G40+Compare!G37*$B$7*$B$8)))</f>
        <v>0.109265364543093</v>
      </c>
    </row>
    <row r="23" customFormat="false" ht="43.5" hidden="false" customHeight="true" outlineLevel="0" collapsed="false">
      <c r="A23" s="39" t="s">
        <v>702</v>
      </c>
      <c r="B23" s="39"/>
      <c r="C23" s="39"/>
      <c r="D23" s="39"/>
      <c r="E23" s="39"/>
      <c r="F23" s="39"/>
      <c r="G23" s="39"/>
      <c r="H23" s="39"/>
    </row>
    <row r="24" customFormat="false" ht="43.5" hidden="false" customHeight="true" outlineLevel="0" collapsed="false">
      <c r="A24" s="39" t="s">
        <v>703</v>
      </c>
      <c r="B24" s="39"/>
      <c r="C24" s="39"/>
      <c r="D24" s="39"/>
      <c r="E24" s="39"/>
      <c r="F24" s="39"/>
      <c r="G24" s="39"/>
      <c r="H24" s="39"/>
    </row>
  </sheetData>
  <mergeCells count="12">
    <mergeCell ref="A1:I1"/>
    <mergeCell ref="A2:I2"/>
    <mergeCell ref="C5:H5"/>
    <mergeCell ref="C6:H6"/>
    <mergeCell ref="C7:H7"/>
    <mergeCell ref="C8:H8"/>
    <mergeCell ref="C9:H9"/>
    <mergeCell ref="C10:H10"/>
    <mergeCell ref="C11:H11"/>
    <mergeCell ref="C12:H12"/>
    <mergeCell ref="A23:H23"/>
    <mergeCell ref="A24:H24"/>
  </mergeCells>
  <conditionalFormatting sqref="B16:B21">
    <cfRule type="cellIs" priority="2" operator="lessThan" aboveAverage="0" equalAverage="0" bottom="0" percent="0" rank="0" text="" dxfId="1">
      <formula>0</formula>
    </cfRule>
  </conditionalFormatting>
  <conditionalFormatting sqref="C16:C21">
    <cfRule type="cellIs" priority="3" operator="lessThan" aboveAverage="0" equalAverage="0" bottom="0" percent="0" rank="0" text="" dxfId="1">
      <formula>0</formula>
    </cfRule>
  </conditionalFormatting>
  <conditionalFormatting sqref="E16:E21">
    <cfRule type="cellIs" priority="4" operator="lessThan" aboveAverage="0" equalAverage="0" bottom="0" percent="0" rank="0" text="" dxfId="1">
      <formula>0</formula>
    </cfRule>
  </conditionalFormatting>
  <conditionalFormatting sqref="F16:F21">
    <cfRule type="expression" priority="5" aboveAverage="0" equalAverage="0" bottom="0" percent="0" rank="0" text="" dxfId="2">
      <formula>F16="Adults-only"</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30"/>
    <col collapsed="false" customWidth="true" hidden="false" outlineLevel="0" max="4" min="4" style="0" width="12"/>
    <col collapsed="false" customWidth="true" hidden="false" outlineLevel="0" max="5" min="5" style="0" width="11"/>
    <col collapsed="false" customWidth="true" hidden="false" outlineLevel="0" max="6" min="6" style="0" width="10"/>
    <col collapsed="false" customWidth="true" hidden="false" outlineLevel="0" max="7" min="7" style="0" width="13"/>
    <col collapsed="false" customWidth="true" hidden="false" outlineLevel="0" max="8" min="8" style="0" width="11"/>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2" min="12" style="0" width="36"/>
  </cols>
  <sheetData>
    <row r="1" customFormat="false" ht="30" hidden="false" customHeight="true" outlineLevel="0" collapsed="false">
      <c r="A1" s="1" t="s">
        <v>704</v>
      </c>
      <c r="B1" s="1"/>
      <c r="C1" s="1"/>
      <c r="D1" s="1"/>
      <c r="E1" s="1"/>
      <c r="F1" s="1"/>
      <c r="G1" s="1"/>
      <c r="H1" s="1"/>
      <c r="I1" s="1"/>
      <c r="J1" s="1"/>
      <c r="K1" s="1"/>
      <c r="L1" s="1"/>
    </row>
    <row r="2" customFormat="false" ht="30" hidden="false" customHeight="true" outlineLevel="0" collapsed="false">
      <c r="A2" s="2" t="s">
        <v>705</v>
      </c>
      <c r="B2" s="2"/>
      <c r="C2" s="2"/>
      <c r="D2" s="2"/>
      <c r="E2" s="2"/>
      <c r="F2" s="2"/>
      <c r="G2" s="2"/>
      <c r="H2" s="2"/>
      <c r="I2" s="2"/>
      <c r="J2" s="2"/>
      <c r="K2" s="2"/>
      <c r="L2" s="2"/>
    </row>
    <row r="4" customFormat="false" ht="43.25" hidden="false" customHeight="false" outlineLevel="0" collapsed="false">
      <c r="A4" s="65" t="s">
        <v>706</v>
      </c>
      <c r="B4" s="65"/>
      <c r="C4" s="66" t="s">
        <v>707</v>
      </c>
      <c r="D4" s="17" t="s">
        <v>708</v>
      </c>
    </row>
    <row r="5" customFormat="false" ht="22.35" hidden="false" customHeight="false" outlineLevel="0" collapsed="false">
      <c r="A5" s="65" t="s">
        <v>709</v>
      </c>
      <c r="B5" s="65"/>
      <c r="C5" s="67"/>
      <c r="D5" s="17" t="s">
        <v>710</v>
      </c>
    </row>
    <row r="6" customFormat="false" ht="15" hidden="false" customHeight="false" outlineLevel="0" collapsed="false">
      <c r="A6" s="65" t="s">
        <v>711</v>
      </c>
      <c r="B6" s="65"/>
      <c r="C6" s="34" t="n">
        <f aca="false">IFERROR(INDEX(Compare!$B$20:$G$20,MATCH($C$4,Compare!$B$4:$G$4,0)),"")</f>
        <v>171</v>
      </c>
    </row>
    <row r="7" customFormat="false" ht="15" hidden="false" customHeight="false" outlineLevel="0" collapsed="false">
      <c r="A7" s="65" t="s">
        <v>712</v>
      </c>
      <c r="B7" s="65"/>
      <c r="C7" s="34" t="n">
        <f aca="false">IFERROR(INDEX(Compare!$B$38:$G$38,MATCH($C$4,Compare!$B$4:$G$4,0)),"")</f>
        <v>400</v>
      </c>
    </row>
    <row r="8" customFormat="false" ht="15" hidden="false" customHeight="false" outlineLevel="0" collapsed="false">
      <c r="A8" s="65" t="s">
        <v>713</v>
      </c>
      <c r="B8" s="65"/>
      <c r="C8" s="34" t="n">
        <f aca="false">IFERROR(INDEX(Compare!$B$5:$G$5,MATCH($C$4,Compare!$B$4:$G$4,0)),"")</f>
        <v>1000</v>
      </c>
    </row>
    <row r="9" customFormat="false" ht="15" hidden="false" customHeight="true" outlineLevel="0" collapsed="false">
      <c r="A9" s="39" t="s">
        <v>714</v>
      </c>
      <c r="B9" s="39"/>
      <c r="C9" s="39"/>
      <c r="D9" s="39"/>
      <c r="E9" s="39"/>
      <c r="F9" s="39"/>
      <c r="G9" s="39"/>
      <c r="H9" s="39"/>
    </row>
    <row r="10" customFormat="false" ht="42" hidden="false" customHeight="true" outlineLevel="0" collapsed="false">
      <c r="A10" s="50" t="s">
        <v>715</v>
      </c>
      <c r="B10" s="50" t="s">
        <v>716</v>
      </c>
      <c r="C10" s="50" t="s">
        <v>717</v>
      </c>
      <c r="D10" s="50" t="s">
        <v>718</v>
      </c>
      <c r="E10" s="50" t="s">
        <v>719</v>
      </c>
      <c r="F10" s="50" t="s">
        <v>184</v>
      </c>
      <c r="G10" s="50" t="s">
        <v>720</v>
      </c>
      <c r="H10" s="50" t="s">
        <v>721</v>
      </c>
      <c r="I10" s="50" t="s">
        <v>722</v>
      </c>
      <c r="J10" s="50" t="s">
        <v>723</v>
      </c>
      <c r="K10" s="50" t="s">
        <v>724</v>
      </c>
      <c r="L10" s="50" t="s">
        <v>725</v>
      </c>
    </row>
    <row r="11" customFormat="false" ht="15" hidden="false" customHeight="false" outlineLevel="0" collapsed="false">
      <c r="A11" s="68"/>
      <c r="B11" s="66"/>
      <c r="C11" s="66"/>
      <c r="D11" s="66"/>
      <c r="E11" s="66"/>
      <c r="F11" s="34" t="str">
        <f aca="false">IF(A11="","",SUM(B11:D11))</f>
        <v/>
      </c>
      <c r="G11" s="29" t="str">
        <f aca="false">IF(A11="","",B11*Inputs!$B$12+C11*Inputs!$B$13+D11*Inputs!$B$14)</f>
        <v/>
      </c>
      <c r="H11" s="21" t="str">
        <f aca="false">IF(OR(A11="",$C$6="",$C$6=0),"",F11/$C$6)</f>
        <v/>
      </c>
      <c r="I11" s="69" t="str">
        <f aca="false">IF(OR(A11="",$C$5=""),"",MAX(0,ROUND(($C$5-A11)/7,1)))</f>
        <v/>
      </c>
      <c r="J11" s="34" t="str">
        <f aca="false">IF(OR(A11="",$C$6=""),"",MAX(0,$C$6-F11))</f>
        <v/>
      </c>
      <c r="K11" s="34" t="str">
        <f aca="false">IF(OR(A11="",J11="",I11=""),"",IF(J11=0,0,IF(I11&lt;=0,J11,ROUNDUP(J11/I11,0))))</f>
        <v/>
      </c>
      <c r="L11" s="66"/>
    </row>
    <row r="12" customFormat="false" ht="15" hidden="false" customHeight="false" outlineLevel="0" collapsed="false">
      <c r="A12" s="68"/>
      <c r="B12" s="66"/>
      <c r="C12" s="66"/>
      <c r="D12" s="66"/>
      <c r="E12" s="66"/>
      <c r="F12" s="34" t="str">
        <f aca="false">IF(A12="","",SUM(B12:D12))</f>
        <v/>
      </c>
      <c r="G12" s="29" t="str">
        <f aca="false">IF(A12="","",B12*Inputs!$B$12+C12*Inputs!$B$13+D12*Inputs!$B$14)</f>
        <v/>
      </c>
      <c r="H12" s="21" t="str">
        <f aca="false">IF(OR(A12="",$C$6="",$C$6=0),"",F12/$C$6)</f>
        <v/>
      </c>
      <c r="I12" s="69" t="str">
        <f aca="false">IF(OR(A12="",$C$5=""),"",MAX(0,ROUND(($C$5-A12)/7,1)))</f>
        <v/>
      </c>
      <c r="J12" s="34" t="str">
        <f aca="false">IF(OR(A12="",$C$6=""),"",MAX(0,$C$6-F12))</f>
        <v/>
      </c>
      <c r="K12" s="34" t="str">
        <f aca="false">IF(OR(A12="",J12="",I12=""),"",IF(J12=0,0,IF(I12&lt;=0,J12,ROUNDUP(J12/I12,0))))</f>
        <v/>
      </c>
      <c r="L12" s="66"/>
    </row>
    <row r="13" customFormat="false" ht="15" hidden="false" customHeight="false" outlineLevel="0" collapsed="false">
      <c r="A13" s="68"/>
      <c r="B13" s="66"/>
      <c r="C13" s="66"/>
      <c r="D13" s="66"/>
      <c r="E13" s="66"/>
      <c r="F13" s="34" t="str">
        <f aca="false">IF(A13="","",SUM(B13:D13))</f>
        <v/>
      </c>
      <c r="G13" s="29" t="str">
        <f aca="false">IF(A13="","",B13*Inputs!$B$12+C13*Inputs!$B$13+D13*Inputs!$B$14)</f>
        <v/>
      </c>
      <c r="H13" s="21" t="str">
        <f aca="false">IF(OR(A13="",$C$6="",$C$6=0),"",F13/$C$6)</f>
        <v/>
      </c>
      <c r="I13" s="69" t="str">
        <f aca="false">IF(OR(A13="",$C$5=""),"",MAX(0,ROUND(($C$5-A13)/7,1)))</f>
        <v/>
      </c>
      <c r="J13" s="34" t="str">
        <f aca="false">IF(OR(A13="",$C$6=""),"",MAX(0,$C$6-F13))</f>
        <v/>
      </c>
      <c r="K13" s="34" t="str">
        <f aca="false">IF(OR(A13="",J13="",I13=""),"",IF(J13=0,0,IF(I13&lt;=0,J13,ROUNDUP(J13/I13,0))))</f>
        <v/>
      </c>
      <c r="L13" s="66"/>
    </row>
    <row r="14" customFormat="false" ht="15" hidden="false" customHeight="false" outlineLevel="0" collapsed="false">
      <c r="A14" s="68"/>
      <c r="B14" s="66"/>
      <c r="C14" s="66"/>
      <c r="D14" s="66"/>
      <c r="E14" s="66"/>
      <c r="F14" s="34" t="str">
        <f aca="false">IF(A14="","",SUM(B14:D14))</f>
        <v/>
      </c>
      <c r="G14" s="29" t="str">
        <f aca="false">IF(A14="","",B14*Inputs!$B$12+C14*Inputs!$B$13+D14*Inputs!$B$14)</f>
        <v/>
      </c>
      <c r="H14" s="21" t="str">
        <f aca="false">IF(OR(A14="",$C$6="",$C$6=0),"",F14/$C$6)</f>
        <v/>
      </c>
      <c r="I14" s="69" t="str">
        <f aca="false">IF(OR(A14="",$C$5=""),"",MAX(0,ROUND(($C$5-A14)/7,1)))</f>
        <v/>
      </c>
      <c r="J14" s="34" t="str">
        <f aca="false">IF(OR(A14="",$C$6=""),"",MAX(0,$C$6-F14))</f>
        <v/>
      </c>
      <c r="K14" s="34" t="str">
        <f aca="false">IF(OR(A14="",J14="",I14=""),"",IF(J14=0,0,IF(I14&lt;=0,J14,ROUNDUP(J14/I14,0))))</f>
        <v/>
      </c>
      <c r="L14" s="66"/>
    </row>
    <row r="15" customFormat="false" ht="15" hidden="false" customHeight="false" outlineLevel="0" collapsed="false">
      <c r="A15" s="68"/>
      <c r="B15" s="66"/>
      <c r="C15" s="66"/>
      <c r="D15" s="66"/>
      <c r="E15" s="66"/>
      <c r="F15" s="34" t="str">
        <f aca="false">IF(A15="","",SUM(B15:D15))</f>
        <v/>
      </c>
      <c r="G15" s="29" t="str">
        <f aca="false">IF(A15="","",B15*Inputs!$B$12+C15*Inputs!$B$13+D15*Inputs!$B$14)</f>
        <v/>
      </c>
      <c r="H15" s="21" t="str">
        <f aca="false">IF(OR(A15="",$C$6="",$C$6=0),"",F15/$C$6)</f>
        <v/>
      </c>
      <c r="I15" s="69" t="str">
        <f aca="false">IF(OR(A15="",$C$5=""),"",MAX(0,ROUND(($C$5-A15)/7,1)))</f>
        <v/>
      </c>
      <c r="J15" s="34" t="str">
        <f aca="false">IF(OR(A15="",$C$6=""),"",MAX(0,$C$6-F15))</f>
        <v/>
      </c>
      <c r="K15" s="34" t="str">
        <f aca="false">IF(OR(A15="",J15="",I15=""),"",IF(J15=0,0,IF(I15&lt;=0,J15,ROUNDUP(J15/I15,0))))</f>
        <v/>
      </c>
      <c r="L15" s="66"/>
    </row>
    <row r="16" customFormat="false" ht="15" hidden="false" customHeight="false" outlineLevel="0" collapsed="false">
      <c r="A16" s="68"/>
      <c r="B16" s="66"/>
      <c r="C16" s="66"/>
      <c r="D16" s="66"/>
      <c r="E16" s="66"/>
      <c r="F16" s="34" t="str">
        <f aca="false">IF(A16="","",SUM(B16:D16))</f>
        <v/>
      </c>
      <c r="G16" s="29" t="str">
        <f aca="false">IF(A16="","",B16*Inputs!$B$12+C16*Inputs!$B$13+D16*Inputs!$B$14)</f>
        <v/>
      </c>
      <c r="H16" s="21" t="str">
        <f aca="false">IF(OR(A16="",$C$6="",$C$6=0),"",F16/$C$6)</f>
        <v/>
      </c>
      <c r="I16" s="69" t="str">
        <f aca="false">IF(OR(A16="",$C$5=""),"",MAX(0,ROUND(($C$5-A16)/7,1)))</f>
        <v/>
      </c>
      <c r="J16" s="34" t="str">
        <f aca="false">IF(OR(A16="",$C$6=""),"",MAX(0,$C$6-F16))</f>
        <v/>
      </c>
      <c r="K16" s="34" t="str">
        <f aca="false">IF(OR(A16="",J16="",I16=""),"",IF(J16=0,0,IF(I16&lt;=0,J16,ROUNDUP(J16/I16,0))))</f>
        <v/>
      </c>
      <c r="L16" s="66"/>
    </row>
    <row r="17" customFormat="false" ht="15" hidden="false" customHeight="false" outlineLevel="0" collapsed="false">
      <c r="A17" s="68"/>
      <c r="B17" s="66"/>
      <c r="C17" s="66"/>
      <c r="D17" s="66"/>
      <c r="E17" s="66"/>
      <c r="F17" s="34" t="str">
        <f aca="false">IF(A17="","",SUM(B17:D17))</f>
        <v/>
      </c>
      <c r="G17" s="29" t="str">
        <f aca="false">IF(A17="","",B17*Inputs!$B$12+C17*Inputs!$B$13+D17*Inputs!$B$14)</f>
        <v/>
      </c>
      <c r="H17" s="21" t="str">
        <f aca="false">IF(OR(A17="",$C$6="",$C$6=0),"",F17/$C$6)</f>
        <v/>
      </c>
      <c r="I17" s="69" t="str">
        <f aca="false">IF(OR(A17="",$C$5=""),"",MAX(0,ROUND(($C$5-A17)/7,1)))</f>
        <v/>
      </c>
      <c r="J17" s="34" t="str">
        <f aca="false">IF(OR(A17="",$C$6=""),"",MAX(0,$C$6-F17))</f>
        <v/>
      </c>
      <c r="K17" s="34" t="str">
        <f aca="false">IF(OR(A17="",J17="",I17=""),"",IF(J17=0,0,IF(I17&lt;=0,J17,ROUNDUP(J17/I17,0))))</f>
        <v/>
      </c>
      <c r="L17" s="66"/>
    </row>
    <row r="18" customFormat="false" ht="15" hidden="false" customHeight="false" outlineLevel="0" collapsed="false">
      <c r="A18" s="68"/>
      <c r="B18" s="66"/>
      <c r="C18" s="66"/>
      <c r="D18" s="66"/>
      <c r="E18" s="66"/>
      <c r="F18" s="34" t="str">
        <f aca="false">IF(A18="","",SUM(B18:D18))</f>
        <v/>
      </c>
      <c r="G18" s="29" t="str">
        <f aca="false">IF(A18="","",B18*Inputs!$B$12+C18*Inputs!$B$13+D18*Inputs!$B$14)</f>
        <v/>
      </c>
      <c r="H18" s="21" t="str">
        <f aca="false">IF(OR(A18="",$C$6="",$C$6=0),"",F18/$C$6)</f>
        <v/>
      </c>
      <c r="I18" s="69" t="str">
        <f aca="false">IF(OR(A18="",$C$5=""),"",MAX(0,ROUND(($C$5-A18)/7,1)))</f>
        <v/>
      </c>
      <c r="J18" s="34" t="str">
        <f aca="false">IF(OR(A18="",$C$6=""),"",MAX(0,$C$6-F18))</f>
        <v/>
      </c>
      <c r="K18" s="34" t="str">
        <f aca="false">IF(OR(A18="",J18="",I18=""),"",IF(J18=0,0,IF(I18&lt;=0,J18,ROUNDUP(J18/I18,0))))</f>
        <v/>
      </c>
      <c r="L18" s="66"/>
    </row>
    <row r="19" customFormat="false" ht="15" hidden="false" customHeight="false" outlineLevel="0" collapsed="false">
      <c r="A19" s="68"/>
      <c r="B19" s="66"/>
      <c r="C19" s="66"/>
      <c r="D19" s="66"/>
      <c r="E19" s="66"/>
      <c r="F19" s="34" t="str">
        <f aca="false">IF(A19="","",SUM(B19:D19))</f>
        <v/>
      </c>
      <c r="G19" s="29" t="str">
        <f aca="false">IF(A19="","",B19*Inputs!$B$12+C19*Inputs!$B$13+D19*Inputs!$B$14)</f>
        <v/>
      </c>
      <c r="H19" s="21" t="str">
        <f aca="false">IF(OR(A19="",$C$6="",$C$6=0),"",F19/$C$6)</f>
        <v/>
      </c>
      <c r="I19" s="69" t="str">
        <f aca="false">IF(OR(A19="",$C$5=""),"",MAX(0,ROUND(($C$5-A19)/7,1)))</f>
        <v/>
      </c>
      <c r="J19" s="34" t="str">
        <f aca="false">IF(OR(A19="",$C$6=""),"",MAX(0,$C$6-F19))</f>
        <v/>
      </c>
      <c r="K19" s="34" t="str">
        <f aca="false">IF(OR(A19="",J19="",I19=""),"",IF(J19=0,0,IF(I19&lt;=0,J19,ROUNDUP(J19/I19,0))))</f>
        <v/>
      </c>
      <c r="L19" s="66"/>
    </row>
    <row r="20" customFormat="false" ht="15" hidden="false" customHeight="false" outlineLevel="0" collapsed="false">
      <c r="A20" s="68"/>
      <c r="B20" s="66"/>
      <c r="C20" s="66"/>
      <c r="D20" s="66"/>
      <c r="E20" s="66"/>
      <c r="F20" s="34" t="str">
        <f aca="false">IF(A20="","",SUM(B20:D20))</f>
        <v/>
      </c>
      <c r="G20" s="29" t="str">
        <f aca="false">IF(A20="","",B20*Inputs!$B$12+C20*Inputs!$B$13+D20*Inputs!$B$14)</f>
        <v/>
      </c>
      <c r="H20" s="21" t="str">
        <f aca="false">IF(OR(A20="",$C$6="",$C$6=0),"",F20/$C$6)</f>
        <v/>
      </c>
      <c r="I20" s="69" t="str">
        <f aca="false">IF(OR(A20="",$C$5=""),"",MAX(0,ROUND(($C$5-A20)/7,1)))</f>
        <v/>
      </c>
      <c r="J20" s="34" t="str">
        <f aca="false">IF(OR(A20="",$C$6=""),"",MAX(0,$C$6-F20))</f>
        <v/>
      </c>
      <c r="K20" s="34" t="str">
        <f aca="false">IF(OR(A20="",J20="",I20=""),"",IF(J20=0,0,IF(I20&lt;=0,J20,ROUNDUP(J20/I20,0))))</f>
        <v/>
      </c>
      <c r="L20" s="66"/>
    </row>
    <row r="21" customFormat="false" ht="15" hidden="false" customHeight="false" outlineLevel="0" collapsed="false">
      <c r="A21" s="68"/>
      <c r="B21" s="66"/>
      <c r="C21" s="66"/>
      <c r="D21" s="66"/>
      <c r="E21" s="66"/>
      <c r="F21" s="34" t="str">
        <f aca="false">IF(A21="","",SUM(B21:D21))</f>
        <v/>
      </c>
      <c r="G21" s="29" t="str">
        <f aca="false">IF(A21="","",B21*Inputs!$B$12+C21*Inputs!$B$13+D21*Inputs!$B$14)</f>
        <v/>
      </c>
      <c r="H21" s="21" t="str">
        <f aca="false">IF(OR(A21="",$C$6="",$C$6=0),"",F21/$C$6)</f>
        <v/>
      </c>
      <c r="I21" s="69" t="str">
        <f aca="false">IF(OR(A21="",$C$5=""),"",MAX(0,ROUND(($C$5-A21)/7,1)))</f>
        <v/>
      </c>
      <c r="J21" s="34" t="str">
        <f aca="false">IF(OR(A21="",$C$6=""),"",MAX(0,$C$6-F21))</f>
        <v/>
      </c>
      <c r="K21" s="34" t="str">
        <f aca="false">IF(OR(A21="",J21="",I21=""),"",IF(J21=0,0,IF(I21&lt;=0,J21,ROUNDUP(J21/I21,0))))</f>
        <v/>
      </c>
      <c r="L21" s="66"/>
    </row>
    <row r="22" customFormat="false" ht="15" hidden="false" customHeight="false" outlineLevel="0" collapsed="false">
      <c r="A22" s="68"/>
      <c r="B22" s="66"/>
      <c r="C22" s="66"/>
      <c r="D22" s="66"/>
      <c r="E22" s="66"/>
      <c r="F22" s="34" t="str">
        <f aca="false">IF(A22="","",SUM(B22:D22))</f>
        <v/>
      </c>
      <c r="G22" s="29" t="str">
        <f aca="false">IF(A22="","",B22*Inputs!$B$12+C22*Inputs!$B$13+D22*Inputs!$B$14)</f>
        <v/>
      </c>
      <c r="H22" s="21" t="str">
        <f aca="false">IF(OR(A22="",$C$6="",$C$6=0),"",F22/$C$6)</f>
        <v/>
      </c>
      <c r="I22" s="69" t="str">
        <f aca="false">IF(OR(A22="",$C$5=""),"",MAX(0,ROUND(($C$5-A22)/7,1)))</f>
        <v/>
      </c>
      <c r="J22" s="34" t="str">
        <f aca="false">IF(OR(A22="",$C$6=""),"",MAX(0,$C$6-F22))</f>
        <v/>
      </c>
      <c r="K22" s="34" t="str">
        <f aca="false">IF(OR(A22="",J22="",I22=""),"",IF(J22=0,0,IF(I22&lt;=0,J22,ROUNDUP(J22/I22,0))))</f>
        <v/>
      </c>
      <c r="L22" s="66"/>
    </row>
    <row r="23" customFormat="false" ht="15" hidden="false" customHeight="false" outlineLevel="0" collapsed="false">
      <c r="A23" s="68"/>
      <c r="B23" s="66"/>
      <c r="C23" s="66"/>
      <c r="D23" s="66"/>
      <c r="E23" s="66"/>
      <c r="F23" s="34" t="str">
        <f aca="false">IF(A23="","",SUM(B23:D23))</f>
        <v/>
      </c>
      <c r="G23" s="29" t="str">
        <f aca="false">IF(A23="","",B23*Inputs!$B$12+C23*Inputs!$B$13+D23*Inputs!$B$14)</f>
        <v/>
      </c>
      <c r="H23" s="21" t="str">
        <f aca="false">IF(OR(A23="",$C$6="",$C$6=0),"",F23/$C$6)</f>
        <v/>
      </c>
      <c r="I23" s="69" t="str">
        <f aca="false">IF(OR(A23="",$C$5=""),"",MAX(0,ROUND(($C$5-A23)/7,1)))</f>
        <v/>
      </c>
      <c r="J23" s="34" t="str">
        <f aca="false">IF(OR(A23="",$C$6=""),"",MAX(0,$C$6-F23))</f>
        <v/>
      </c>
      <c r="K23" s="34" t="str">
        <f aca="false">IF(OR(A23="",J23="",I23=""),"",IF(J23=0,0,IF(I23&lt;=0,J23,ROUNDUP(J23/I23,0))))</f>
        <v/>
      </c>
      <c r="L23" s="66"/>
    </row>
    <row r="24" customFormat="false" ht="15" hidden="false" customHeight="false" outlineLevel="0" collapsed="false">
      <c r="A24" s="68"/>
      <c r="B24" s="66"/>
      <c r="C24" s="66"/>
      <c r="D24" s="66"/>
      <c r="E24" s="66"/>
      <c r="F24" s="34" t="str">
        <f aca="false">IF(A24="","",SUM(B24:D24))</f>
        <v/>
      </c>
      <c r="G24" s="29" t="str">
        <f aca="false">IF(A24="","",B24*Inputs!$B$12+C24*Inputs!$B$13+D24*Inputs!$B$14)</f>
        <v/>
      </c>
      <c r="H24" s="21" t="str">
        <f aca="false">IF(OR(A24="",$C$6="",$C$6=0),"",F24/$C$6)</f>
        <v/>
      </c>
      <c r="I24" s="69" t="str">
        <f aca="false">IF(OR(A24="",$C$5=""),"",MAX(0,ROUND(($C$5-A24)/7,1)))</f>
        <v/>
      </c>
      <c r="J24" s="34" t="str">
        <f aca="false">IF(OR(A24="",$C$6=""),"",MAX(0,$C$6-F24))</f>
        <v/>
      </c>
      <c r="K24" s="34" t="str">
        <f aca="false">IF(OR(A24="",J24="",I24=""),"",IF(J24=0,0,IF(I24&lt;=0,J24,ROUNDUP(J24/I24,0))))</f>
        <v/>
      </c>
      <c r="L24" s="66"/>
    </row>
    <row r="25" customFormat="false" ht="15" hidden="false" customHeight="false" outlineLevel="0" collapsed="false">
      <c r="A25" s="68"/>
      <c r="B25" s="66"/>
      <c r="C25" s="66"/>
      <c r="D25" s="66"/>
      <c r="E25" s="66"/>
      <c r="F25" s="34" t="str">
        <f aca="false">IF(A25="","",SUM(B25:D25))</f>
        <v/>
      </c>
      <c r="G25" s="29" t="str">
        <f aca="false">IF(A25="","",B25*Inputs!$B$12+C25*Inputs!$B$13+D25*Inputs!$B$14)</f>
        <v/>
      </c>
      <c r="H25" s="21" t="str">
        <f aca="false">IF(OR(A25="",$C$6="",$C$6=0),"",F25/$C$6)</f>
        <v/>
      </c>
      <c r="I25" s="69" t="str">
        <f aca="false">IF(OR(A25="",$C$5=""),"",MAX(0,ROUND(($C$5-A25)/7,1)))</f>
        <v/>
      </c>
      <c r="J25" s="34" t="str">
        <f aca="false">IF(OR(A25="",$C$6=""),"",MAX(0,$C$6-F25))</f>
        <v/>
      </c>
      <c r="K25" s="34" t="str">
        <f aca="false">IF(OR(A25="",J25="",I25=""),"",IF(J25=0,0,IF(I25&lt;=0,J25,ROUNDUP(J25/I25,0))))</f>
        <v/>
      </c>
      <c r="L25" s="66"/>
    </row>
    <row r="26" customFormat="false" ht="15" hidden="false" customHeight="false" outlineLevel="0" collapsed="false">
      <c r="A26" s="68"/>
      <c r="B26" s="66"/>
      <c r="C26" s="66"/>
      <c r="D26" s="66"/>
      <c r="E26" s="66"/>
      <c r="F26" s="34" t="str">
        <f aca="false">IF(A26="","",SUM(B26:D26))</f>
        <v/>
      </c>
      <c r="G26" s="29" t="str">
        <f aca="false">IF(A26="","",B26*Inputs!$B$12+C26*Inputs!$B$13+D26*Inputs!$B$14)</f>
        <v/>
      </c>
      <c r="H26" s="21" t="str">
        <f aca="false">IF(OR(A26="",$C$6="",$C$6=0),"",F26/$C$6)</f>
        <v/>
      </c>
      <c r="I26" s="69" t="str">
        <f aca="false">IF(OR(A26="",$C$5=""),"",MAX(0,ROUND(($C$5-A26)/7,1)))</f>
        <v/>
      </c>
      <c r="J26" s="34" t="str">
        <f aca="false">IF(OR(A26="",$C$6=""),"",MAX(0,$C$6-F26))</f>
        <v/>
      </c>
      <c r="K26" s="34" t="str">
        <f aca="false">IF(OR(A26="",J26="",I26=""),"",IF(J26=0,0,IF(I26&lt;=0,J26,ROUNDUP(J26/I26,0))))</f>
        <v/>
      </c>
      <c r="L26" s="66"/>
    </row>
    <row r="27" customFormat="false" ht="15" hidden="false" customHeight="false" outlineLevel="0" collapsed="false">
      <c r="A27" s="68"/>
      <c r="B27" s="66"/>
      <c r="C27" s="66"/>
      <c r="D27" s="66"/>
      <c r="E27" s="66"/>
      <c r="F27" s="34" t="str">
        <f aca="false">IF(A27="","",SUM(B27:D27))</f>
        <v/>
      </c>
      <c r="G27" s="29" t="str">
        <f aca="false">IF(A27="","",B27*Inputs!$B$12+C27*Inputs!$B$13+D27*Inputs!$B$14)</f>
        <v/>
      </c>
      <c r="H27" s="21" t="str">
        <f aca="false">IF(OR(A27="",$C$6="",$C$6=0),"",F27/$C$6)</f>
        <v/>
      </c>
      <c r="I27" s="69" t="str">
        <f aca="false">IF(OR(A27="",$C$5=""),"",MAX(0,ROUND(($C$5-A27)/7,1)))</f>
        <v/>
      </c>
      <c r="J27" s="34" t="str">
        <f aca="false">IF(OR(A27="",$C$6=""),"",MAX(0,$C$6-F27))</f>
        <v/>
      </c>
      <c r="K27" s="34" t="str">
        <f aca="false">IF(OR(A27="",J27="",I27=""),"",IF(J27=0,0,IF(I27&lt;=0,J27,ROUNDUP(J27/I27,0))))</f>
        <v/>
      </c>
      <c r="L27" s="66"/>
    </row>
    <row r="28" customFormat="false" ht="15" hidden="false" customHeight="false" outlineLevel="0" collapsed="false">
      <c r="A28" s="68"/>
      <c r="B28" s="66"/>
      <c r="C28" s="66"/>
      <c r="D28" s="66"/>
      <c r="E28" s="66"/>
      <c r="F28" s="34" t="str">
        <f aca="false">IF(A28="","",SUM(B28:D28))</f>
        <v/>
      </c>
      <c r="G28" s="29" t="str">
        <f aca="false">IF(A28="","",B28*Inputs!$B$12+C28*Inputs!$B$13+D28*Inputs!$B$14)</f>
        <v/>
      </c>
      <c r="H28" s="21" t="str">
        <f aca="false">IF(OR(A28="",$C$6="",$C$6=0),"",F28/$C$6)</f>
        <v/>
      </c>
      <c r="I28" s="69" t="str">
        <f aca="false">IF(OR(A28="",$C$5=""),"",MAX(0,ROUND(($C$5-A28)/7,1)))</f>
        <v/>
      </c>
      <c r="J28" s="34" t="str">
        <f aca="false">IF(OR(A28="",$C$6=""),"",MAX(0,$C$6-F28))</f>
        <v/>
      </c>
      <c r="K28" s="34" t="str">
        <f aca="false">IF(OR(A28="",J28="",I28=""),"",IF(J28=0,0,IF(I28&lt;=0,J28,ROUNDUP(J28/I28,0))))</f>
        <v/>
      </c>
      <c r="L28" s="66"/>
    </row>
    <row r="29" customFormat="false" ht="15" hidden="false" customHeight="false" outlineLevel="0" collapsed="false">
      <c r="A29" s="68"/>
      <c r="B29" s="66"/>
      <c r="C29" s="66"/>
      <c r="D29" s="66"/>
      <c r="E29" s="66"/>
      <c r="F29" s="34" t="str">
        <f aca="false">IF(A29="","",SUM(B29:D29))</f>
        <v/>
      </c>
      <c r="G29" s="29" t="str">
        <f aca="false">IF(A29="","",B29*Inputs!$B$12+C29*Inputs!$B$13+D29*Inputs!$B$14)</f>
        <v/>
      </c>
      <c r="H29" s="21" t="str">
        <f aca="false">IF(OR(A29="",$C$6="",$C$6=0),"",F29/$C$6)</f>
        <v/>
      </c>
      <c r="I29" s="69" t="str">
        <f aca="false">IF(OR(A29="",$C$5=""),"",MAX(0,ROUND(($C$5-A29)/7,1)))</f>
        <v/>
      </c>
      <c r="J29" s="34" t="str">
        <f aca="false">IF(OR(A29="",$C$6=""),"",MAX(0,$C$6-F29))</f>
        <v/>
      </c>
      <c r="K29" s="34" t="str">
        <f aca="false">IF(OR(A29="",J29="",I29=""),"",IF(J29=0,0,IF(I29&lt;=0,J29,ROUNDUP(J29/I29,0))))</f>
        <v/>
      </c>
      <c r="L29" s="66"/>
    </row>
    <row r="30" customFormat="false" ht="15" hidden="false" customHeight="false" outlineLevel="0" collapsed="false">
      <c r="A30" s="68"/>
      <c r="B30" s="66"/>
      <c r="C30" s="66"/>
      <c r="D30" s="66"/>
      <c r="E30" s="66"/>
      <c r="F30" s="34" t="str">
        <f aca="false">IF(A30="","",SUM(B30:D30))</f>
        <v/>
      </c>
      <c r="G30" s="29" t="str">
        <f aca="false">IF(A30="","",B30*Inputs!$B$12+C30*Inputs!$B$13+D30*Inputs!$B$14)</f>
        <v/>
      </c>
      <c r="H30" s="21" t="str">
        <f aca="false">IF(OR(A30="",$C$6="",$C$6=0),"",F30/$C$6)</f>
        <v/>
      </c>
      <c r="I30" s="69" t="str">
        <f aca="false">IF(OR(A30="",$C$5=""),"",MAX(0,ROUND(($C$5-A30)/7,1)))</f>
        <v/>
      </c>
      <c r="J30" s="34" t="str">
        <f aca="false">IF(OR(A30="",$C$6=""),"",MAX(0,$C$6-F30))</f>
        <v/>
      </c>
      <c r="K30" s="34" t="str">
        <f aca="false">IF(OR(A30="",J30="",I30=""),"",IF(J30=0,0,IF(I30&lt;=0,J30,ROUNDUP(J30/I30,0))))</f>
        <v/>
      </c>
      <c r="L30" s="66"/>
    </row>
    <row r="31" customFormat="false" ht="15" hidden="false" customHeight="false" outlineLevel="0" collapsed="false">
      <c r="A31" s="68"/>
      <c r="B31" s="66"/>
      <c r="C31" s="66"/>
      <c r="D31" s="66"/>
      <c r="E31" s="66"/>
      <c r="F31" s="34" t="str">
        <f aca="false">IF(A31="","",SUM(B31:D31))</f>
        <v/>
      </c>
      <c r="G31" s="29" t="str">
        <f aca="false">IF(A31="","",B31*Inputs!$B$12+C31*Inputs!$B$13+D31*Inputs!$B$14)</f>
        <v/>
      </c>
      <c r="H31" s="21" t="str">
        <f aca="false">IF(OR(A31="",$C$6="",$C$6=0),"",F31/$C$6)</f>
        <v/>
      </c>
      <c r="I31" s="69" t="str">
        <f aca="false">IF(OR(A31="",$C$5=""),"",MAX(0,ROUND(($C$5-A31)/7,1)))</f>
        <v/>
      </c>
      <c r="J31" s="34" t="str">
        <f aca="false">IF(OR(A31="",$C$6=""),"",MAX(0,$C$6-F31))</f>
        <v/>
      </c>
      <c r="K31" s="34" t="str">
        <f aca="false">IF(OR(A31="",J31="",I31=""),"",IF(J31=0,0,IF(I31&lt;=0,J31,ROUNDUP(J31/I31,0))))</f>
        <v/>
      </c>
      <c r="L31" s="66"/>
    </row>
    <row r="32" customFormat="false" ht="15" hidden="false" customHeight="false" outlineLevel="0" collapsed="false">
      <c r="A32" s="68"/>
      <c r="B32" s="66"/>
      <c r="C32" s="66"/>
      <c r="D32" s="66"/>
      <c r="E32" s="66"/>
      <c r="F32" s="34" t="str">
        <f aca="false">IF(A32="","",SUM(B32:D32))</f>
        <v/>
      </c>
      <c r="G32" s="29" t="str">
        <f aca="false">IF(A32="","",B32*Inputs!$B$12+C32*Inputs!$B$13+D32*Inputs!$B$14)</f>
        <v/>
      </c>
      <c r="H32" s="21" t="str">
        <f aca="false">IF(OR(A32="",$C$6="",$C$6=0),"",F32/$C$6)</f>
        <v/>
      </c>
      <c r="I32" s="69" t="str">
        <f aca="false">IF(OR(A32="",$C$5=""),"",MAX(0,ROUND(($C$5-A32)/7,1)))</f>
        <v/>
      </c>
      <c r="J32" s="34" t="str">
        <f aca="false">IF(OR(A32="",$C$6=""),"",MAX(0,$C$6-F32))</f>
        <v/>
      </c>
      <c r="K32" s="34" t="str">
        <f aca="false">IF(OR(A32="",J32="",I32=""),"",IF(J32=0,0,IF(I32&lt;=0,J32,ROUNDUP(J32/I32,0))))</f>
        <v/>
      </c>
      <c r="L32" s="66"/>
    </row>
    <row r="33" customFormat="false" ht="15" hidden="false" customHeight="false" outlineLevel="0" collapsed="false">
      <c r="A33" s="68"/>
      <c r="B33" s="66"/>
      <c r="C33" s="66"/>
      <c r="D33" s="66"/>
      <c r="E33" s="66"/>
      <c r="F33" s="34" t="str">
        <f aca="false">IF(A33="","",SUM(B33:D33))</f>
        <v/>
      </c>
      <c r="G33" s="29" t="str">
        <f aca="false">IF(A33="","",B33*Inputs!$B$12+C33*Inputs!$B$13+D33*Inputs!$B$14)</f>
        <v/>
      </c>
      <c r="H33" s="21" t="str">
        <f aca="false">IF(OR(A33="",$C$6="",$C$6=0),"",F33/$C$6)</f>
        <v/>
      </c>
      <c r="I33" s="69" t="str">
        <f aca="false">IF(OR(A33="",$C$5=""),"",MAX(0,ROUND(($C$5-A33)/7,1)))</f>
        <v/>
      </c>
      <c r="J33" s="34" t="str">
        <f aca="false">IF(OR(A33="",$C$6=""),"",MAX(0,$C$6-F33))</f>
        <v/>
      </c>
      <c r="K33" s="34" t="str">
        <f aca="false">IF(OR(A33="",J33="",I33=""),"",IF(J33=0,0,IF(I33&lt;=0,J33,ROUNDUP(J33/I33,0))))</f>
        <v/>
      </c>
      <c r="L33" s="66"/>
    </row>
    <row r="34" customFormat="false" ht="15" hidden="false" customHeight="false" outlineLevel="0" collapsed="false">
      <c r="A34" s="68"/>
      <c r="B34" s="66"/>
      <c r="C34" s="66"/>
      <c r="D34" s="66"/>
      <c r="E34" s="66"/>
      <c r="F34" s="34" t="str">
        <f aca="false">IF(A34="","",SUM(B34:D34))</f>
        <v/>
      </c>
      <c r="G34" s="29" t="str">
        <f aca="false">IF(A34="","",B34*Inputs!$B$12+C34*Inputs!$B$13+D34*Inputs!$B$14)</f>
        <v/>
      </c>
      <c r="H34" s="21" t="str">
        <f aca="false">IF(OR(A34="",$C$6="",$C$6=0),"",F34/$C$6)</f>
        <v/>
      </c>
      <c r="I34" s="69" t="str">
        <f aca="false">IF(OR(A34="",$C$5=""),"",MAX(0,ROUND(($C$5-A34)/7,1)))</f>
        <v/>
      </c>
      <c r="J34" s="34" t="str">
        <f aca="false">IF(OR(A34="",$C$6=""),"",MAX(0,$C$6-F34))</f>
        <v/>
      </c>
      <c r="K34" s="34" t="str">
        <f aca="false">IF(OR(A34="",J34="",I34=""),"",IF(J34=0,0,IF(I34&lt;=0,J34,ROUNDUP(J34/I34,0))))</f>
        <v/>
      </c>
      <c r="L34" s="66"/>
    </row>
    <row r="35" customFormat="false" ht="15" hidden="false" customHeight="false" outlineLevel="0" collapsed="false">
      <c r="A35" s="68"/>
      <c r="B35" s="66"/>
      <c r="C35" s="66"/>
      <c r="D35" s="66"/>
      <c r="E35" s="66"/>
      <c r="F35" s="34" t="str">
        <f aca="false">IF(A35="","",SUM(B35:D35))</f>
        <v/>
      </c>
      <c r="G35" s="29" t="str">
        <f aca="false">IF(A35="","",B35*Inputs!$B$12+C35*Inputs!$B$13+D35*Inputs!$B$14)</f>
        <v/>
      </c>
      <c r="H35" s="21" t="str">
        <f aca="false">IF(OR(A35="",$C$6="",$C$6=0),"",F35/$C$6)</f>
        <v/>
      </c>
      <c r="I35" s="69" t="str">
        <f aca="false">IF(OR(A35="",$C$5=""),"",MAX(0,ROUND(($C$5-A35)/7,1)))</f>
        <v/>
      </c>
      <c r="J35" s="34" t="str">
        <f aca="false">IF(OR(A35="",$C$6=""),"",MAX(0,$C$6-F35))</f>
        <v/>
      </c>
      <c r="K35" s="34" t="str">
        <f aca="false">IF(OR(A35="",J35="",I35=""),"",IF(J35=0,0,IF(I35&lt;=0,J35,ROUNDUP(J35/I35,0))))</f>
        <v/>
      </c>
      <c r="L35" s="66"/>
    </row>
    <row r="36" customFormat="false" ht="15" hidden="false" customHeight="false" outlineLevel="0" collapsed="false">
      <c r="A36" s="68"/>
      <c r="B36" s="66"/>
      <c r="C36" s="66"/>
      <c r="D36" s="66"/>
      <c r="E36" s="66"/>
      <c r="F36" s="34" t="str">
        <f aca="false">IF(A36="","",SUM(B36:D36))</f>
        <v/>
      </c>
      <c r="G36" s="29" t="str">
        <f aca="false">IF(A36="","",B36*Inputs!$B$12+C36*Inputs!$B$13+D36*Inputs!$B$14)</f>
        <v/>
      </c>
      <c r="H36" s="21" t="str">
        <f aca="false">IF(OR(A36="",$C$6="",$C$6=0),"",F36/$C$6)</f>
        <v/>
      </c>
      <c r="I36" s="69" t="str">
        <f aca="false">IF(OR(A36="",$C$5=""),"",MAX(0,ROUND(($C$5-A36)/7,1)))</f>
        <v/>
      </c>
      <c r="J36" s="34" t="str">
        <f aca="false">IF(OR(A36="",$C$6=""),"",MAX(0,$C$6-F36))</f>
        <v/>
      </c>
      <c r="K36" s="34" t="str">
        <f aca="false">IF(OR(A36="",J36="",I36=""),"",IF(J36=0,0,IF(I36&lt;=0,J36,ROUNDUP(J36/I36,0))))</f>
        <v/>
      </c>
      <c r="L36" s="66"/>
    </row>
    <row r="37" customFormat="false" ht="15" hidden="false" customHeight="false" outlineLevel="0" collapsed="false">
      <c r="A37" s="68"/>
      <c r="B37" s="66"/>
      <c r="C37" s="66"/>
      <c r="D37" s="66"/>
      <c r="E37" s="66"/>
      <c r="F37" s="34" t="str">
        <f aca="false">IF(A37="","",SUM(B37:D37))</f>
        <v/>
      </c>
      <c r="G37" s="29" t="str">
        <f aca="false">IF(A37="","",B37*Inputs!$B$12+C37*Inputs!$B$13+D37*Inputs!$B$14)</f>
        <v/>
      </c>
      <c r="H37" s="21" t="str">
        <f aca="false">IF(OR(A37="",$C$6="",$C$6=0),"",F37/$C$6)</f>
        <v/>
      </c>
      <c r="I37" s="69" t="str">
        <f aca="false">IF(OR(A37="",$C$5=""),"",MAX(0,ROUND(($C$5-A37)/7,1)))</f>
        <v/>
      </c>
      <c r="J37" s="34" t="str">
        <f aca="false">IF(OR(A37="",$C$6=""),"",MAX(0,$C$6-F37))</f>
        <v/>
      </c>
      <c r="K37" s="34" t="str">
        <f aca="false">IF(OR(A37="",J37="",I37=""),"",IF(J37=0,0,IF(I37&lt;=0,J37,ROUNDUP(J37/I37,0))))</f>
        <v/>
      </c>
      <c r="L37" s="66"/>
    </row>
    <row r="38" customFormat="false" ht="15" hidden="false" customHeight="false" outlineLevel="0" collapsed="false">
      <c r="A38" s="68"/>
      <c r="B38" s="66"/>
      <c r="C38" s="66"/>
      <c r="D38" s="66"/>
      <c r="E38" s="66"/>
      <c r="F38" s="34" t="str">
        <f aca="false">IF(A38="","",SUM(B38:D38))</f>
        <v/>
      </c>
      <c r="G38" s="29" t="str">
        <f aca="false">IF(A38="","",B38*Inputs!$B$12+C38*Inputs!$B$13+D38*Inputs!$B$14)</f>
        <v/>
      </c>
      <c r="H38" s="21" t="str">
        <f aca="false">IF(OR(A38="",$C$6="",$C$6=0),"",F38/$C$6)</f>
        <v/>
      </c>
      <c r="I38" s="69" t="str">
        <f aca="false">IF(OR(A38="",$C$5=""),"",MAX(0,ROUND(($C$5-A38)/7,1)))</f>
        <v/>
      </c>
      <c r="J38" s="34" t="str">
        <f aca="false">IF(OR(A38="",$C$6=""),"",MAX(0,$C$6-F38))</f>
        <v/>
      </c>
      <c r="K38" s="34" t="str">
        <f aca="false">IF(OR(A38="",J38="",I38=""),"",IF(J38=0,0,IF(I38&lt;=0,J38,ROUNDUP(J38/I38,0))))</f>
        <v/>
      </c>
      <c r="L38" s="66"/>
    </row>
    <row r="39" customFormat="false" ht="15" hidden="false" customHeight="false" outlineLevel="0" collapsed="false">
      <c r="A39" s="68"/>
      <c r="B39" s="66"/>
      <c r="C39" s="66"/>
      <c r="D39" s="66"/>
      <c r="E39" s="66"/>
      <c r="F39" s="34" t="str">
        <f aca="false">IF(A39="","",SUM(B39:D39))</f>
        <v/>
      </c>
      <c r="G39" s="29" t="str">
        <f aca="false">IF(A39="","",B39*Inputs!$B$12+C39*Inputs!$B$13+D39*Inputs!$B$14)</f>
        <v/>
      </c>
      <c r="H39" s="21" t="str">
        <f aca="false">IF(OR(A39="",$C$6="",$C$6=0),"",F39/$C$6)</f>
        <v/>
      </c>
      <c r="I39" s="69" t="str">
        <f aca="false">IF(OR(A39="",$C$5=""),"",MAX(0,ROUND(($C$5-A39)/7,1)))</f>
        <v/>
      </c>
      <c r="J39" s="34" t="str">
        <f aca="false">IF(OR(A39="",$C$6=""),"",MAX(0,$C$6-F39))</f>
        <v/>
      </c>
      <c r="K39" s="34" t="str">
        <f aca="false">IF(OR(A39="",J39="",I39=""),"",IF(J39=0,0,IF(I39&lt;=0,J39,ROUNDUP(J39/I39,0))))</f>
        <v/>
      </c>
      <c r="L39" s="66"/>
    </row>
    <row r="40" customFormat="false" ht="15" hidden="false" customHeight="false" outlineLevel="0" collapsed="false">
      <c r="A40" s="68"/>
      <c r="B40" s="66"/>
      <c r="C40" s="66"/>
      <c r="D40" s="66"/>
      <c r="E40" s="66"/>
      <c r="F40" s="34" t="str">
        <f aca="false">IF(A40="","",SUM(B40:D40))</f>
        <v/>
      </c>
      <c r="G40" s="29" t="str">
        <f aca="false">IF(A40="","",B40*Inputs!$B$12+C40*Inputs!$B$13+D40*Inputs!$B$14)</f>
        <v/>
      </c>
      <c r="H40" s="21" t="str">
        <f aca="false">IF(OR(A40="",$C$6="",$C$6=0),"",F40/$C$6)</f>
        <v/>
      </c>
      <c r="I40" s="69" t="str">
        <f aca="false">IF(OR(A40="",$C$5=""),"",MAX(0,ROUND(($C$5-A40)/7,1)))</f>
        <v/>
      </c>
      <c r="J40" s="34" t="str">
        <f aca="false">IF(OR(A40="",$C$6=""),"",MAX(0,$C$6-F40))</f>
        <v/>
      </c>
      <c r="K40" s="34" t="str">
        <f aca="false">IF(OR(A40="",J40="",I40=""),"",IF(J40=0,0,IF(I40&lt;=0,J40,ROUNDUP(J40/I40,0))))</f>
        <v/>
      </c>
      <c r="L40" s="66"/>
    </row>
  </sheetData>
  <mergeCells count="8">
    <mergeCell ref="A1:L1"/>
    <mergeCell ref="A2:L2"/>
    <mergeCell ref="A4:B4"/>
    <mergeCell ref="A5:B5"/>
    <mergeCell ref="A6:B6"/>
    <mergeCell ref="A7:B7"/>
    <mergeCell ref="A8:B8"/>
    <mergeCell ref="A9:H9"/>
  </mergeCells>
  <conditionalFormatting sqref="H11:H40">
    <cfRule type="cellIs" priority="2" operator="greaterThanOrEqual" aboveAverage="0" equalAverage="0" bottom="0" percent="0" rank="0" text="" dxfId="2">
      <formula>1</formula>
    </cfRule>
  </conditionalFormatting>
  <dataValidations count="2">
    <dataValidation allowBlank="false" errorStyle="stop" operator="between" showDropDown="false" showErrorMessage="false" showInputMessage="false" sqref="C4" type="list">
      <formula1>Compare!$B$4:$G$4</formula1>
      <formula2>0</formula2>
    </dataValidation>
    <dataValidation allowBlank="true" errorStyle="stop" operator="between" showDropDown="false" showErrorMessage="false" showInputMessage="false" sqref="C5"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2026-10-21T03:23:42Z</dcterms:created>
  <dc:creator>openpyxl</dc:creator>
  <dc:description/>
  <dc:language>en-US</dc:language>
  <cp:lastModifiedBy/>
  <dcterms:modified xsi:type="dcterms:W3CDTF">2026-10-21T03:23:42Z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