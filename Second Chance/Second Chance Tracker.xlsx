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up" sheetId="2" state="visible" r:id="rId4"/>
    <sheet name="Board" sheetId="3" state="visible" r:id="rId5"/>
    <sheet name="Partners" sheetId="4" state="visible" r:id="rId6"/>
    <sheet name="Placements" sheetId="5" state="visible" r:id="rId7"/>
    <sheet name="Participants" sheetId="6" state="visible" r:id="rId8"/>
    <sheet name="Fund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<sst xmlns="http://schemas.openxmlformats.org/spreadsheetml/2006/main" count="294" uniqueCount="198">
  <si>
    <t xml:space="preserve">SECOND CHANCE TRACKER</t>
  </si>
  <si>
    <t xml:space="preserve">Setup, board, partners, placements, participants and funding for Second Chance. Its own workbook, in its own Drive folder: only Cody, the board, and Claude (through Cody's CCCL account) can open it.</t>
  </si>
  <si>
    <t xml:space="preserve">PRIVACY FIRST</t>
  </si>
  <si>
    <t xml:space="preserve">Never write down what anyone was charged with or convicted of, health details or addresses. Participants appear by first name and a code (SC-001) only. This workbook never goes in the BBG or CCCL folders and is never shared with gym staff.</t>
  </si>
  <si>
    <t xml:space="preserve">1</t>
  </si>
  <si>
    <t xml:space="preserve">Setup</t>
  </si>
  <si>
    <t xml:space="preserve">The first 90 days, in order. Mark each step Done as you go; the count at the top says how far along Second Chance is.</t>
  </si>
  <si>
    <t xml:space="preserve">2</t>
  </si>
  <si>
    <t xml:space="preserve">Board</t>
  </si>
  <si>
    <t xml:space="preserve">The directors. CRA needs more than half at arm's length (not related to each other or to Cody); the checks at the top say if the board is ready.</t>
  </si>
  <si>
    <t xml:space="preserve">3</t>
  </si>
  <si>
    <t xml:space="preserve">Partners</t>
  </si>
  <si>
    <t xml:space="preserve">Organizations near Bancroft that could refer people, partner on a grant or lead an application while Second Chance gets established.</t>
  </si>
  <si>
    <t xml:space="preserve">4</t>
  </si>
  <si>
    <t xml:space="preserve">Placements</t>
  </si>
  <si>
    <t xml:space="preserve">Where participants get work experience. Several hosts, never CCCL alone. Note whether young people are present.</t>
  </si>
  <si>
    <t xml:space="preserve">5</t>
  </si>
  <si>
    <t xml:space="preserve">Participants</t>
  </si>
  <si>
    <t xml:space="preserve">First name and code only. Stage, consent, check status, roles allowed, mentor and the next check-in. Overdue check-ins turn red.</t>
  </si>
  <si>
    <t xml:space="preserve">6</t>
  </si>
  <si>
    <t xml:space="preserve">Funding</t>
  </si>
  <si>
    <t xml:space="preserve">Grants that fit Second Chance and what each needs (incorporation, charity status or a partner).</t>
  </si>
  <si>
    <t xml:space="preserve">7</t>
  </si>
  <si>
    <t xml:space="preserve">Money</t>
  </si>
  <si>
    <t xml:space="preserve">Second Chance's money goes in its own bank account and its own copy of the Money Summary, never BBG's or CCCL's.</t>
  </si>
  <si>
    <t xml:space="preserve">About Second Chance</t>
  </si>
  <si>
    <t xml:space="preserve">Mission</t>
  </si>
  <si>
    <t xml:space="preserve">Second Chance helps former inmates and people with criminal records rebuild their lives through employment, job training, mentorship and community support.</t>
  </si>
  <si>
    <t xml:space="preserve">For</t>
  </si>
  <si>
    <t xml:space="preserve">Adults leaving the justice system, and anyone who needs a fresh start.</t>
  </si>
  <si>
    <t xml:space="preserve">What it does</t>
  </si>
  <si>
    <t xml:space="preserve">Job skills and work experience, and volunteer roles at fight nights.</t>
  </si>
  <si>
    <t xml:space="preserve">Where it stands</t>
  </si>
  <si>
    <t xml:space="preserve">Incorporation in progress. Plans to become a registered charity. Five possible board members. No bank account yet. Start now. (Cody's answers, October 20, 2026)</t>
  </si>
  <si>
    <t xml:space="preserve">Colours</t>
  </si>
  <si>
    <t xml:space="preserve">Yellow, blue text</t>
  </si>
  <si>
    <t xml:space="preserve">You type or pick here</t>
  </si>
  <si>
    <t xml:space="preserve">Black, bold</t>
  </si>
  <si>
    <t xml:space="preserve">Calculated: don't type over it</t>
  </si>
  <si>
    <t xml:space="preserve">Research, not legal or accounting advice. A lawyer reviews the purposes, by-law and policies; an accountant sets up the books. See the Second Chance Starter Plan.</t>
  </si>
  <si>
    <t xml:space="preserve">SETUP: THE FIRST 90 DAYS</t>
  </si>
  <si>
    <t xml:space="preserve">In order. Mark each step Done. The research behind each step is in the Second Chance Starter Plan.</t>
  </si>
  <si>
    <t xml:space="preserve">Done</t>
  </si>
  <si>
    <t xml:space="preserve">Area</t>
  </si>
  <si>
    <t xml:space="preserve">Step</t>
  </si>
  <si>
    <t xml:space="preserve">Who</t>
  </si>
  <si>
    <t xml:space="preserve">When</t>
  </si>
  <si>
    <t xml:space="preserve">Status</t>
  </si>
  <si>
    <t xml:space="preserve">Done on</t>
  </si>
  <si>
    <t xml:space="preserve">Notes</t>
  </si>
  <si>
    <t xml:space="preserve">Check where the incorporation filing stands: search the Ontario Business Registry and Corporations Canada by the full legal name.</t>
  </si>
  <si>
    <t xml:space="preserve">Cody</t>
  </si>
  <si>
    <t xml:space="preserve">This week</t>
  </si>
  <si>
    <t xml:space="preserve">Not started</t>
  </si>
  <si>
    <t xml:space="preserve">If nothing is filed yet, incorporate under Ontario's ONCA ($155 online, about 5 business days; NUANS name search $22-$40). Federal (CNCA) also works but costs more and needs an Ontario registration too.</t>
  </si>
  <si>
    <t xml:space="preserve">Next 2 weeks</t>
  </si>
  <si>
    <t xml:space="preserve">Make a free Gmail just for Second Chance and a Second Chance folder in its Google Drive. Share it only with the board, and with Cody's CCCL account so Claude can read the Tracker. Keeps its email, files and participants apart from BBG and CCCL.</t>
  </si>
  <si>
    <t xml:space="preserve">Confirm at least 3 directors (5 is better). More than half must be at arm's length: not related to each other or to Cody by blood, marriage, common-law partnership or adoption, and not acting together for Cody. No more than one-third can be employees. The board invitation letter asks the arm's-length questions.</t>
  </si>
  <si>
    <t xml:space="preserve">Each director agrees in writing to serve and gets a vulnerable sector check (the OPP lists volunteer checks as free; confirm with the Bancroft detachment).</t>
  </si>
  <si>
    <t xml:space="preserve">Next 30 days</t>
  </si>
  <si>
    <t xml:space="preserve">Rules</t>
  </si>
  <si>
    <t xml:space="preserve">Pass a by-law within 60 days of incorporation (CLEO's free Bylaw Builder helps) and a conflict-of-interest policy. Cody declares BBG and CCCL in writing and steps out of any decision that involves them.</t>
  </si>
  <si>
    <t xml:space="preserve">Within 60 days</t>
  </si>
  <si>
    <t xml:space="preserve">Have a lawyer write the purposes in CRA's words (CSP-R16 Social rehabilitation; CG-014 employment-related training).</t>
  </si>
  <si>
    <t xml:space="preserve">Before the CRA application</t>
  </si>
  <si>
    <t xml:space="preserve">Open Second Chance's own bank account and keep books from day one (Trillium needs a year of financial history). Use its own copy of the Money Summary.</t>
  </si>
  <si>
    <t xml:space="preserve">Board treasurer</t>
  </si>
  <si>
    <t xml:space="preserve">Right after incorporation</t>
  </si>
  <si>
    <t xml:space="preserve">Safety</t>
  </si>
  <si>
    <t xml:space="preserve">Adopt the four policies (screening, Rule of Two, privacy, conflict of interest). Drafts are ready in Second Chance Policy Drafts; a lawyer reviews them, then the board adopts them at its first meeting.</t>
  </si>
  <si>
    <t xml:space="preserve">Before the first participant</t>
  </si>
  <si>
    <t xml:space="preserve">Get insurance quotes: directors and officers, general liability, events and abuse coverage (Ontario Nonprofit Network's program is one place to ask).</t>
  </si>
  <si>
    <t xml:space="preserve">Program</t>
  </si>
  <si>
    <t xml:space="preserve">Meet two partners from the Partners tab (John Howard Society of the Kawarthas and Loyalist College Community Employment Services first) about referrals and a joint project. The first letters are drafted in Second Chance First Letters.</t>
  </si>
  <si>
    <t xml:space="preserve">Line up placement hosts beyond CCCL so training isn't tied to Cody's businesses.</t>
  </si>
  <si>
    <t xml:space="preserve">Next 60 days</t>
  </si>
  <si>
    <t xml:space="preserve">Ask a partner charity about leading a United Way Hastings &amp; Prince Edward application (due Dec 11, 2026) with Second Chance delivering the program.</t>
  </si>
  <si>
    <t xml:space="preserve">By Nov 20, 2026</t>
  </si>
  <si>
    <t xml:space="preserve">Once incorporated: CFDC Local Initiatives (small grant) and the Rural Ontario Development community stream (Jan 18 to Feb 25, 2027).</t>
  </si>
  <si>
    <t xml:space="preserve">Winter 2027</t>
  </si>
  <si>
    <t xml:space="preserve">Charity</t>
  </si>
  <si>
    <t xml:space="preserve">Apply to CRA for charitable registration in My Business Account (no fee; CRA aims to decide within 9 months).</t>
  </si>
  <si>
    <t xml:space="preserve">After the by-law and purposes are done</t>
  </si>
  <si>
    <t xml:space="preserve">THE BOARD</t>
  </si>
  <si>
    <t xml:space="preserve">At least 3 directors; more than half at arm's length (not related to each other or to Cody by blood, marriage, common-law partnership or adoption); no more than one-third employees.</t>
  </si>
  <si>
    <t xml:space="preserve">Directors who've agreed</t>
  </si>
  <si>
    <t xml:space="preserve">At arm's length</t>
  </si>
  <si>
    <t xml:space="preserve">Board ready?</t>
  </si>
  <si>
    <t xml:space="preserve">First name</t>
  </si>
  <si>
    <t xml:space="preserve">Role</t>
  </si>
  <si>
    <t xml:space="preserve">Agreed to serve (in writing)</t>
  </si>
  <si>
    <t xml:space="preserve">At arm's length?</t>
  </si>
  <si>
    <t xml:space="preserve">Vulnerable sector check</t>
  </si>
  <si>
    <t xml:space="preserve">Conflict policy signed</t>
  </si>
  <si>
    <t xml:space="preserve">Laura</t>
  </si>
  <si>
    <t xml:space="preserve">Director</t>
  </si>
  <si>
    <t xml:space="preserve">Pending</t>
  </si>
  <si>
    <t xml:space="preserve">Named by Cody (Oct 20, 2026)</t>
  </si>
  <si>
    <t xml:space="preserve">Tristan</t>
  </si>
  <si>
    <t xml:space="preserve">Bandit</t>
  </si>
  <si>
    <t xml:space="preserve">Tim</t>
  </si>
  <si>
    <t xml:space="preserve">Terry</t>
  </si>
  <si>
    <t xml:space="preserve">PARTNERS</t>
  </si>
  <si>
    <t xml:space="preserve">Referral partners, co-applicants, or a registered charity that could lead a grant while Second Chance gets established. Public websites only; log contact names here, not personal numbers.</t>
  </si>
  <si>
    <t xml:space="preserve">Organization</t>
  </si>
  <si>
    <t xml:space="preserve">What they do</t>
  </si>
  <si>
    <t xml:space="preserve">Where</t>
  </si>
  <si>
    <t xml:space="preserve">Website</t>
  </si>
  <si>
    <t xml:space="preserve">Last contact</t>
  </si>
  <si>
    <t xml:space="preserve">Next step</t>
  </si>
  <si>
    <t xml:space="preserve">John Howard Society of the Kawarthas</t>
  </si>
  <si>
    <t xml:space="preserve">Serves Bancroft and Haliburton County; Minden office runs Get SET training and record suspensions.</t>
  </si>
  <si>
    <t xml:space="preserve">Minden</t>
  </si>
  <si>
    <t xml:space="preserve">https://johnhoward.on.ca/kawartha/</t>
  </si>
  <si>
    <t xml:space="preserve">Not contacted</t>
  </si>
  <si>
    <t xml:space="preserve">John Howard Society of Belleville &amp; District</t>
  </si>
  <si>
    <t xml:space="preserve">Bail supervision, record suspensions, youth programs; job training for people leaving incarceration.</t>
  </si>
  <si>
    <t xml:space="preserve">Belleville</t>
  </si>
  <si>
    <t xml:space="preserve">https://johnhoward.on.ca/belleville/</t>
  </si>
  <si>
    <t xml:space="preserve">Loyalist College Community Employment Services</t>
  </si>
  <si>
    <t xml:space="preserve">The Employment Ontario office in Bancroft (195 Hastings St N): job search, matching, Better Jobs Ontario.</t>
  </si>
  <si>
    <t xml:space="preserve">Bancroft</t>
  </si>
  <si>
    <t xml:space="preserve">https://loyalistces.ca/</t>
  </si>
  <si>
    <t xml:space="preserve">North Hastings Community Trust</t>
  </si>
  <si>
    <t xml:space="preserve">Poverty relief in Bancroft (food share, wood share, outreach). Won an OTF grant in 2022-23. Possible lead or trustee for joint grants.</t>
  </si>
  <si>
    <t xml:space="preserve">https://www.northhastingscommunitytrust.org</t>
  </si>
  <si>
    <t xml:space="preserve">Community Advocacy and Legal Centre</t>
  </si>
  <si>
    <t xml:space="preserve">Free legal help, with a part-time Bancroft satellite. Possible referral partner for record suspensions and rights.</t>
  </si>
  <si>
    <t xml:space="preserve">Belleville (Bancroft satellite)</t>
  </si>
  <si>
    <t xml:space="preserve">https://communitylegalcentre.ca</t>
  </si>
  <si>
    <t xml:space="preserve">Elizabeth Fry Society of Peterborough</t>
  </si>
  <si>
    <t xml:space="preserve">Supports criminalized women and adults in Peterborough.</t>
  </si>
  <si>
    <t xml:space="preserve">Peterborough</t>
  </si>
  <si>
    <t xml:space="preserve">https://efryptbo.org/contact-us/</t>
  </si>
  <si>
    <t xml:space="preserve">PLACEMENTS</t>
  </si>
  <si>
    <t xml:space="preserve">Work experience with several hosts. CCCL fight nights are one placement among several, never the only one (CRA: training, not jobs, and not for one employer).</t>
  </si>
  <si>
    <t xml:space="preserve">Host</t>
  </si>
  <si>
    <t xml:space="preserve">Type</t>
  </si>
  <si>
    <t xml:space="preserve">Roles</t>
  </si>
  <si>
    <t xml:space="preserve">Young people present?</t>
  </si>
  <si>
    <t xml:space="preserve">Agreed?</t>
  </si>
  <si>
    <t xml:space="preserve">Contact (first name)</t>
  </si>
  <si>
    <t xml:space="preserve">CCCL fight nights</t>
  </si>
  <si>
    <t xml:space="preserve">Fight night</t>
  </si>
  <si>
    <t xml:space="preserve">Setup and teardown, chairs and barriers, merch table with staff, cleanup, runner for the production crew, ticket scanning alongside staff.</t>
  </si>
  <si>
    <t xml:space="preserve">Yes</t>
  </si>
  <si>
    <t xml:space="preserve">Youth grapplers are at the shows: no roles with authority over young athletes, never alone with one, Rule of Two. Cody declares his interest in CCCL.</t>
  </si>
  <si>
    <t xml:space="preserve">Hosts to ask (none confirmed): local businesses that know Cody, such as the 2026 CCCL sponsors, plus the partners. Ask first; add them here when they say yes.</t>
  </si>
  <si>
    <t xml:space="preserve">PARTICIPANTS</t>
  </si>
  <si>
    <t xml:space="preserve">First name and code only. NEVER write charges, convictions, health details or addresses. Police checks: record only the date and Cleared / Role-limited; the result belongs to the person.</t>
  </si>
  <si>
    <t xml:space="preserve">Active</t>
  </si>
  <si>
    <t xml:space="preserve">Check-ins due in 7 days or overdue</t>
  </si>
  <si>
    <t xml:space="preserve">Code</t>
  </si>
  <si>
    <t xml:space="preserve">Referred by</t>
  </si>
  <si>
    <t xml:space="preserve">Start date</t>
  </si>
  <si>
    <t xml:space="preserve">Stage</t>
  </si>
  <si>
    <t xml:space="preserve">Written consent on file?</t>
  </si>
  <si>
    <t xml:space="preserve">Police check</t>
  </si>
  <si>
    <t xml:space="preserve">Check date</t>
  </si>
  <si>
    <t xml:space="preserve">Roles allowed</t>
  </si>
  <si>
    <t xml:space="preserve">Placement</t>
  </si>
  <si>
    <t xml:space="preserve">Mentor (first name)</t>
  </si>
  <si>
    <t xml:space="preserve">Last check-in</t>
  </si>
  <si>
    <t xml:space="preserve">Next check-in</t>
  </si>
  <si>
    <t xml:space="preserve">Due?</t>
  </si>
  <si>
    <t xml:space="preserve">Notes (no offences, health or addresses)</t>
  </si>
  <si>
    <t xml:space="preserve">SC-000</t>
  </si>
  <si>
    <t xml:space="preserve">(Example) Alex</t>
  </si>
  <si>
    <t xml:space="preserve">John Howard Society</t>
  </si>
  <si>
    <t xml:space="preserve">Welcome</t>
  </si>
  <si>
    <t xml:space="preserve">Cleared</t>
  </si>
  <si>
    <t xml:space="preserve">Setup and teardown</t>
  </si>
  <si>
    <t xml:space="preserve">(Example) Sam</t>
  </si>
  <si>
    <t xml:space="preserve">Example row: delete it once the first real participant is in.</t>
  </si>
  <si>
    <t xml:space="preserve">FUNDING</t>
  </si>
  <si>
    <t xml:space="preserve">Programs that fit Second Chance. Most need incorporation first; some need charity status, or a registered charity partner to lead. Full list: The Constrictor Funding Tracker.</t>
  </si>
  <si>
    <t xml:space="preserve">What and when</t>
  </si>
  <si>
    <t xml:space="preserve">Needs</t>
  </si>
  <si>
    <t xml:space="preserve">Canada Summer Jobs (not-for-profit rate)</t>
  </si>
  <si>
    <t xml:space="preserve">Up to 100% of minimum wage for youth 15-30. Second Chance must already be a not-for-profit employer when it applies; the 2027 call opens Oct 27, 2026, so CSJ 2028 is more realistic.</t>
  </si>
  <si>
    <t xml:space="preserve">No charity status needed</t>
  </si>
  <si>
    <t xml:space="preserve">United Way Hastings &amp; Prince Edward</t>
  </si>
  <si>
    <t xml:space="preserve">$5,000 minimum, one year. Due Dec 11, 2026. Needs a qualified donee, so a partner charity would lead.</t>
  </si>
  <si>
    <t xml:space="preserve">Charity (or partner)</t>
  </si>
  <si>
    <t xml:space="preserve">CFDC Local Initiatives Program</t>
  </si>
  <si>
    <t xml:space="preserve">Small grants, normally up to $3,000 (the CFDC's own page; Hastings County lists up to $3,500), for incorporated non-profits in North &amp; Central Hastings.</t>
  </si>
  <si>
    <t xml:space="preserve">Incorporated non-profit</t>
  </si>
  <si>
    <t xml:space="preserve">Not yet eligible</t>
  </si>
  <si>
    <t xml:space="preserve">Rural Ontario Development: community streams</t>
  </si>
  <si>
    <t xml:space="preserve">Workforce development in rural Ontario. Window Jan 18 to Feb 25, 2027.</t>
  </si>
  <si>
    <t xml:space="preserve">Skills Development Fund (Ontario)</t>
  </si>
  <si>
    <t xml:space="preserve">Priority groups include people involved with the criminal justice system; 9 second-chance hiring projects funded in 2023. Next round not announced. Best as a partner to an employment agency.</t>
  </si>
  <si>
    <t xml:space="preserve">Ontario Trillium Foundation Seed</t>
  </si>
  <si>
    <t xml:space="preserve">$5,000-$75,000 for up to 12 months. Needs a year of financial history and a board at least half arm's length.</t>
  </si>
  <si>
    <t xml:space="preserve">About a year after incorporation</t>
  </si>
  <si>
    <t xml:space="preserve">Better Jobs Ontario</t>
  </si>
  <si>
    <t xml:space="preserve">Up to $28,000 of training for an individual. Participants apply themselves; Second Chance refers.</t>
  </si>
  <si>
    <t xml:space="preserve">n/a (individuals)</t>
  </si>
</sst>
</file>

<file path=xl/styles.xml><?xml version="1.0" encoding="utf-8"?>
<styleSheet xmlns="http://schemas.openxmlformats.org/spreadsheetml/2006/main">
  <numFmts count="3">
    <numFmt numFmtId="164" formatCode="General"/>
    <numFmt numFmtId="165" formatCode="mmm\ d&quot;, &quot;yyyy"/>
    <numFmt numFmtId="166"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F0C38E"/>
      <name val="Arial"/>
      <family val="0"/>
      <charset val="1"/>
    </font>
    <font>
      <sz val="10"/>
      <color rgb="FFFFFFFF"/>
      <name val="Arial"/>
      <family val="0"/>
      <charset val="1"/>
    </font>
    <font>
      <b val="true"/>
      <sz val="10"/>
      <color rgb="FF9C0006"/>
      <name val="Arial"/>
      <family val="0"/>
      <charset val="1"/>
    </font>
    <font>
      <b val="true"/>
      <sz val="10"/>
      <name val="Arial"/>
      <family val="0"/>
      <charset val="1"/>
    </font>
    <font>
      <b val="true"/>
      <sz val="12"/>
      <color rgb="FF12343B"/>
      <name val="Arial"/>
      <family val="0"/>
      <charset val="1"/>
    </font>
    <font>
      <sz val="10"/>
      <name val="Arial"/>
      <family val="0"/>
      <charset val="1"/>
    </font>
    <font>
      <b val="true"/>
      <sz val="11"/>
      <color rgb="FF12343B"/>
      <name val="Arial"/>
      <family val="0"/>
      <charset val="1"/>
    </font>
    <font>
      <sz val="10"/>
      <color rgb="FF0000FF"/>
      <name val="Arial"/>
      <family val="0"/>
      <charset val="1"/>
    </font>
    <font>
      <b val="true"/>
      <sz val="10"/>
      <color rgb="FF000000"/>
      <name val="Arial"/>
      <family val="0"/>
      <charset val="1"/>
    </font>
    <font>
      <i val="true"/>
      <sz val="9"/>
      <color rgb="FF555555"/>
      <name val="Arial"/>
      <family val="0"/>
      <charset val="1"/>
    </font>
    <font>
      <b val="true"/>
      <sz val="10"/>
      <color rgb="FFFFFFFF"/>
      <name val="Arial"/>
      <family val="0"/>
      <charset val="1"/>
    </font>
    <font>
      <sz val="9"/>
      <color rgb="FF1F5FA8"/>
      <name val="Arial"/>
      <family val="0"/>
      <charset val="1"/>
    </font>
  </fonts>
  <fills count="5">
    <fill>
      <patternFill patternType="none"/>
    </fill>
    <fill>
      <patternFill patternType="gray125"/>
    </fill>
    <fill>
      <patternFill patternType="solid">
        <fgColor rgb="FF12343B"/>
        <bgColor rgb="FF333333"/>
      </patternFill>
    </fill>
    <fill>
      <patternFill patternType="solid">
        <fgColor rgb="FFFFC7CE"/>
        <bgColor rgb="FFF0C38E"/>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14"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5" fontId="11" fillId="4"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left"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1F5FA8"/>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0C38E"/>
      <rgbColor rgb="FF3366FF"/>
      <rgbColor rgb="FF33CCCC"/>
      <rgbColor rgb="FF99CC00"/>
      <rgbColor rgb="FFFFCC00"/>
      <rgbColor rgb="FFFF9900"/>
      <rgbColor rgb="FFFF6600"/>
      <rgbColor rgb="FF555555"/>
      <rgbColor rgb="FF969696"/>
      <rgbColor rgb="FF12343B"/>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johnhoward.on.ca/kawartha/" TargetMode="External"/><Relationship Id="rId2" Type="http://schemas.openxmlformats.org/officeDocument/2006/relationships/hyperlink" Target="https://johnhoward.on.ca/belleville/" TargetMode="External"/><Relationship Id="rId3" Type="http://schemas.openxmlformats.org/officeDocument/2006/relationships/hyperlink" Target="https://loyalistces.ca/" TargetMode="External"/><Relationship Id="rId4" Type="http://schemas.openxmlformats.org/officeDocument/2006/relationships/hyperlink" Target="https://www.northhastingscommunitytrust.org/" TargetMode="External"/><Relationship Id="rId5" Type="http://schemas.openxmlformats.org/officeDocument/2006/relationships/hyperlink" Target="https://communitylegalcentre.ca/" TargetMode="External"/><Relationship Id="rId6" Type="http://schemas.openxmlformats.org/officeDocument/2006/relationships/hyperlink" Target="https://efryptbo.org/contact-u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96"/>
  </cols>
  <sheetData>
    <row r="1" customFormat="false" ht="30" hidden="false" customHeight="true" outlineLevel="0" collapsed="false">
      <c r="A1" s="1" t="s">
        <v>0</v>
      </c>
      <c r="B1" s="1"/>
      <c r="C1" s="1"/>
    </row>
    <row r="2" customFormat="false" ht="33.75" hidden="false" customHeight="true" outlineLevel="0" collapsed="false">
      <c r="A2" s="2" t="s">
        <v>1</v>
      </c>
      <c r="B2" s="2"/>
      <c r="C2" s="2"/>
    </row>
    <row r="4" customFormat="false" ht="45.75" hidden="false" customHeight="true" outlineLevel="0" collapsed="false">
      <c r="B4" s="3" t="s">
        <v>2</v>
      </c>
      <c r="C4" s="4" t="s">
        <v>3</v>
      </c>
    </row>
    <row r="6" customFormat="false" ht="30" hidden="false" customHeight="true" outlineLevel="0" collapsed="false">
      <c r="A6" s="5" t="s">
        <v>4</v>
      </c>
      <c r="B6" s="6" t="s">
        <v>5</v>
      </c>
      <c r="C6" s="7" t="s">
        <v>6</v>
      </c>
    </row>
    <row r="7" customFormat="false" ht="30" hidden="false" customHeight="true" outlineLevel="0" collapsed="false">
      <c r="A7" s="5" t="s">
        <v>7</v>
      </c>
      <c r="B7" s="6" t="s">
        <v>8</v>
      </c>
      <c r="C7" s="7" t="s">
        <v>9</v>
      </c>
    </row>
    <row r="8" customFormat="false" ht="30" hidden="false" customHeight="true" outlineLevel="0" collapsed="false">
      <c r="A8" s="5" t="s">
        <v>10</v>
      </c>
      <c r="B8" s="6" t="s">
        <v>11</v>
      </c>
      <c r="C8" s="7" t="s">
        <v>12</v>
      </c>
    </row>
    <row r="9" customFormat="false" ht="30" hidden="false" customHeight="true" outlineLevel="0" collapsed="false">
      <c r="A9" s="5" t="s">
        <v>13</v>
      </c>
      <c r="B9" s="6" t="s">
        <v>14</v>
      </c>
      <c r="C9" s="7" t="s">
        <v>15</v>
      </c>
    </row>
    <row r="10" customFormat="false" ht="30" hidden="false" customHeight="true" outlineLevel="0" collapsed="false">
      <c r="A10" s="5" t="s">
        <v>16</v>
      </c>
      <c r="B10" s="6" t="s">
        <v>17</v>
      </c>
      <c r="C10" s="7" t="s">
        <v>18</v>
      </c>
    </row>
    <row r="11" customFormat="false" ht="30" hidden="false" customHeight="true" outlineLevel="0" collapsed="false">
      <c r="A11" s="5" t="s">
        <v>19</v>
      </c>
      <c r="B11" s="6" t="s">
        <v>20</v>
      </c>
      <c r="C11" s="7" t="s">
        <v>21</v>
      </c>
    </row>
    <row r="12" customFormat="false" ht="30" hidden="false" customHeight="true" outlineLevel="0" collapsed="false">
      <c r="A12" s="5" t="s">
        <v>22</v>
      </c>
      <c r="B12" s="6" t="s">
        <v>23</v>
      </c>
      <c r="C12" s="7" t="s">
        <v>24</v>
      </c>
    </row>
    <row r="14" customFormat="false" ht="15" hidden="false" customHeight="false" outlineLevel="0" collapsed="false">
      <c r="B14" s="8" t="s">
        <v>25</v>
      </c>
    </row>
    <row r="15" customFormat="false" ht="30" hidden="false" customHeight="true" outlineLevel="0" collapsed="false">
      <c r="B15" s="6" t="s">
        <v>26</v>
      </c>
      <c r="C15" s="7" t="s">
        <v>27</v>
      </c>
    </row>
    <row r="16" customFormat="false" ht="30" hidden="false" customHeight="true" outlineLevel="0" collapsed="false">
      <c r="B16" s="6" t="s">
        <v>28</v>
      </c>
      <c r="C16" s="7" t="s">
        <v>29</v>
      </c>
    </row>
    <row r="17" customFormat="false" ht="30" hidden="false" customHeight="true" outlineLevel="0" collapsed="false">
      <c r="B17" s="6" t="s">
        <v>30</v>
      </c>
      <c r="C17" s="7" t="s">
        <v>31</v>
      </c>
    </row>
    <row r="18" customFormat="false" ht="30" hidden="false" customHeight="true" outlineLevel="0" collapsed="false">
      <c r="B18" s="6" t="s">
        <v>32</v>
      </c>
      <c r="C18" s="7" t="s">
        <v>33</v>
      </c>
    </row>
    <row r="20" customFormat="false" ht="15" hidden="false" customHeight="false" outlineLevel="0" collapsed="false">
      <c r="B20" s="8" t="s">
        <v>34</v>
      </c>
    </row>
    <row r="21" customFormat="false" ht="15" hidden="false" customHeight="false" outlineLevel="0" collapsed="false">
      <c r="B21" s="9" t="s">
        <v>35</v>
      </c>
      <c r="C21" s="10" t="s">
        <v>36</v>
      </c>
    </row>
    <row r="22" customFormat="false" ht="15" hidden="false" customHeight="false" outlineLevel="0" collapsed="false">
      <c r="B22" s="11" t="s">
        <v>37</v>
      </c>
      <c r="C22" s="10" t="s">
        <v>38</v>
      </c>
    </row>
    <row r="24" customFormat="false" ht="15" hidden="false" customHeight="false" outlineLevel="0" collapsed="false">
      <c r="B24" s="12" t="s">
        <v>39</v>
      </c>
      <c r="C24" s="12"/>
    </row>
  </sheetData>
  <mergeCells count="3">
    <mergeCell ref="A1:C1"/>
    <mergeCell ref="A2:C2"/>
    <mergeCell ref="B24:C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0"/>
    <col collapsed="false" customWidth="true" hidden="false" outlineLevel="0" max="3" min="3" style="0" width="13"/>
    <col collapsed="false" customWidth="true" hidden="false" outlineLevel="0" max="4" min="4" style="0" width="18"/>
    <col collapsed="false" customWidth="true" hidden="false" outlineLevel="0" max="5" min="5" style="0" width="13"/>
    <col collapsed="false" customWidth="true" hidden="false" outlineLevel="0" max="6" min="6" style="0" width="12"/>
    <col collapsed="false" customWidth="true" hidden="false" outlineLevel="0" max="7" min="7" style="0" width="36"/>
  </cols>
  <sheetData>
    <row r="1" customFormat="false" ht="30" hidden="false" customHeight="true" outlineLevel="0" collapsed="false">
      <c r="A1" s="1" t="s">
        <v>40</v>
      </c>
      <c r="B1" s="1"/>
      <c r="C1" s="1"/>
      <c r="D1" s="1"/>
      <c r="E1" s="1"/>
      <c r="F1" s="1"/>
      <c r="G1" s="1"/>
    </row>
    <row r="2" customFormat="false" ht="33.75" hidden="false" customHeight="true" outlineLevel="0" collapsed="false">
      <c r="A2" s="2" t="s">
        <v>41</v>
      </c>
      <c r="B2" s="2"/>
      <c r="C2" s="2"/>
      <c r="D2" s="2"/>
      <c r="E2" s="2"/>
      <c r="F2" s="2"/>
      <c r="G2" s="2"/>
    </row>
    <row r="4" customFormat="false" ht="15" hidden="false" customHeight="false" outlineLevel="0" collapsed="false">
      <c r="A4" s="6" t="s">
        <v>42</v>
      </c>
      <c r="B4" s="13" t="str">
        <f aca="false">COUNTIF(E6:E35,"Done")&amp;" of "&amp;COUNTA(B6:B35)&amp;" steps done"</f>
        <v>0 of 15 steps done</v>
      </c>
    </row>
    <row r="5" customFormat="false" ht="31.5" hidden="false" customHeight="true" outlineLevel="0" collapsed="false">
      <c r="A5" s="14" t="s">
        <v>43</v>
      </c>
      <c r="B5" s="14" t="s">
        <v>44</v>
      </c>
      <c r="C5" s="14" t="s">
        <v>45</v>
      </c>
      <c r="D5" s="14" t="s">
        <v>46</v>
      </c>
      <c r="E5" s="14" t="s">
        <v>47</v>
      </c>
      <c r="F5" s="14" t="s">
        <v>48</v>
      </c>
      <c r="G5" s="14" t="s">
        <v>49</v>
      </c>
    </row>
    <row r="6" customFormat="false" ht="43.5" hidden="false" customHeight="true" outlineLevel="0" collapsed="false">
      <c r="A6" s="15" t="s">
        <v>5</v>
      </c>
      <c r="B6" s="16" t="s">
        <v>50</v>
      </c>
      <c r="C6" s="16" t="s">
        <v>51</v>
      </c>
      <c r="D6" s="16" t="s">
        <v>52</v>
      </c>
      <c r="E6" s="17" t="s">
        <v>53</v>
      </c>
      <c r="F6" s="18"/>
      <c r="G6" s="17"/>
    </row>
    <row r="7" customFormat="false" ht="43.5" hidden="false" customHeight="true" outlineLevel="0" collapsed="false">
      <c r="A7" s="15" t="s">
        <v>5</v>
      </c>
      <c r="B7" s="16" t="s">
        <v>54</v>
      </c>
      <c r="C7" s="16" t="s">
        <v>51</v>
      </c>
      <c r="D7" s="16" t="s">
        <v>55</v>
      </c>
      <c r="E7" s="17" t="s">
        <v>53</v>
      </c>
      <c r="F7" s="18"/>
      <c r="G7" s="17"/>
    </row>
    <row r="8" customFormat="false" ht="43.5" hidden="false" customHeight="true" outlineLevel="0" collapsed="false">
      <c r="A8" s="15" t="s">
        <v>5</v>
      </c>
      <c r="B8" s="16" t="s">
        <v>56</v>
      </c>
      <c r="C8" s="16" t="s">
        <v>51</v>
      </c>
      <c r="D8" s="16" t="s">
        <v>52</v>
      </c>
      <c r="E8" s="17" t="s">
        <v>53</v>
      </c>
      <c r="F8" s="18"/>
      <c r="G8" s="17"/>
    </row>
    <row r="9" customFormat="false" ht="43.5" hidden="false" customHeight="true" outlineLevel="0" collapsed="false">
      <c r="A9" s="15" t="s">
        <v>8</v>
      </c>
      <c r="B9" s="16" t="s">
        <v>57</v>
      </c>
      <c r="C9" s="16" t="s">
        <v>51</v>
      </c>
      <c r="D9" s="16" t="s">
        <v>55</v>
      </c>
      <c r="E9" s="17" t="s">
        <v>53</v>
      </c>
      <c r="F9" s="18"/>
      <c r="G9" s="17"/>
    </row>
    <row r="10" customFormat="false" ht="43.5" hidden="false" customHeight="true" outlineLevel="0" collapsed="false">
      <c r="A10" s="15" t="s">
        <v>8</v>
      </c>
      <c r="B10" s="16" t="s">
        <v>58</v>
      </c>
      <c r="C10" s="16" t="s">
        <v>51</v>
      </c>
      <c r="D10" s="16" t="s">
        <v>59</v>
      </c>
      <c r="E10" s="17" t="s">
        <v>53</v>
      </c>
      <c r="F10" s="18"/>
      <c r="G10" s="17"/>
    </row>
    <row r="11" customFormat="false" ht="43.5" hidden="false" customHeight="true" outlineLevel="0" collapsed="false">
      <c r="A11" s="15" t="s">
        <v>60</v>
      </c>
      <c r="B11" s="16" t="s">
        <v>61</v>
      </c>
      <c r="C11" s="16" t="s">
        <v>8</v>
      </c>
      <c r="D11" s="16" t="s">
        <v>62</v>
      </c>
      <c r="E11" s="17" t="s">
        <v>53</v>
      </c>
      <c r="F11" s="18"/>
      <c r="G11" s="17"/>
    </row>
    <row r="12" customFormat="false" ht="43.5" hidden="false" customHeight="true" outlineLevel="0" collapsed="false">
      <c r="A12" s="15" t="s">
        <v>60</v>
      </c>
      <c r="B12" s="16" t="s">
        <v>63</v>
      </c>
      <c r="C12" s="16" t="s">
        <v>51</v>
      </c>
      <c r="D12" s="16" t="s">
        <v>64</v>
      </c>
      <c r="E12" s="17" t="s">
        <v>53</v>
      </c>
      <c r="F12" s="18"/>
      <c r="G12" s="17"/>
    </row>
    <row r="13" customFormat="false" ht="43.5" hidden="false" customHeight="true" outlineLevel="0" collapsed="false">
      <c r="A13" s="15" t="s">
        <v>23</v>
      </c>
      <c r="B13" s="16" t="s">
        <v>65</v>
      </c>
      <c r="C13" s="16" t="s">
        <v>66</v>
      </c>
      <c r="D13" s="16" t="s">
        <v>67</v>
      </c>
      <c r="E13" s="17" t="s">
        <v>53</v>
      </c>
      <c r="F13" s="18"/>
      <c r="G13" s="17"/>
    </row>
    <row r="14" customFormat="false" ht="43.5" hidden="false" customHeight="true" outlineLevel="0" collapsed="false">
      <c r="A14" s="15" t="s">
        <v>68</v>
      </c>
      <c r="B14" s="16" t="s">
        <v>69</v>
      </c>
      <c r="C14" s="16" t="s">
        <v>8</v>
      </c>
      <c r="D14" s="16" t="s">
        <v>70</v>
      </c>
      <c r="E14" s="17" t="s">
        <v>53</v>
      </c>
      <c r="F14" s="18"/>
      <c r="G14" s="17"/>
    </row>
    <row r="15" customFormat="false" ht="43.5" hidden="false" customHeight="true" outlineLevel="0" collapsed="false">
      <c r="A15" s="15" t="s">
        <v>68</v>
      </c>
      <c r="B15" s="16" t="s">
        <v>71</v>
      </c>
      <c r="C15" s="16" t="s">
        <v>8</v>
      </c>
      <c r="D15" s="16" t="s">
        <v>70</v>
      </c>
      <c r="E15" s="17" t="s">
        <v>53</v>
      </c>
      <c r="F15" s="18"/>
      <c r="G15" s="17"/>
    </row>
    <row r="16" customFormat="false" ht="43.5" hidden="false" customHeight="true" outlineLevel="0" collapsed="false">
      <c r="A16" s="15" t="s">
        <v>72</v>
      </c>
      <c r="B16" s="16" t="s">
        <v>73</v>
      </c>
      <c r="C16" s="16" t="s">
        <v>51</v>
      </c>
      <c r="D16" s="16" t="s">
        <v>59</v>
      </c>
      <c r="E16" s="17" t="s">
        <v>53</v>
      </c>
      <c r="F16" s="18"/>
      <c r="G16" s="17"/>
    </row>
    <row r="17" customFormat="false" ht="43.5" hidden="false" customHeight="true" outlineLevel="0" collapsed="false">
      <c r="A17" s="15" t="s">
        <v>72</v>
      </c>
      <c r="B17" s="16" t="s">
        <v>74</v>
      </c>
      <c r="C17" s="16" t="s">
        <v>51</v>
      </c>
      <c r="D17" s="16" t="s">
        <v>75</v>
      </c>
      <c r="E17" s="17" t="s">
        <v>53</v>
      </c>
      <c r="F17" s="18"/>
      <c r="G17" s="17"/>
    </row>
    <row r="18" customFormat="false" ht="43.5" hidden="false" customHeight="true" outlineLevel="0" collapsed="false">
      <c r="A18" s="15" t="s">
        <v>20</v>
      </c>
      <c r="B18" s="16" t="s">
        <v>76</v>
      </c>
      <c r="C18" s="16" t="s">
        <v>51</v>
      </c>
      <c r="D18" s="16" t="s">
        <v>77</v>
      </c>
      <c r="E18" s="17" t="s">
        <v>53</v>
      </c>
      <c r="F18" s="18"/>
      <c r="G18" s="17"/>
    </row>
    <row r="19" customFormat="false" ht="43.5" hidden="false" customHeight="true" outlineLevel="0" collapsed="false">
      <c r="A19" s="15" t="s">
        <v>20</v>
      </c>
      <c r="B19" s="16" t="s">
        <v>78</v>
      </c>
      <c r="C19" s="16" t="s">
        <v>51</v>
      </c>
      <c r="D19" s="16" t="s">
        <v>79</v>
      </c>
      <c r="E19" s="17" t="s">
        <v>53</v>
      </c>
      <c r="F19" s="18"/>
      <c r="G19" s="17"/>
    </row>
    <row r="20" customFormat="false" ht="43.5" hidden="false" customHeight="true" outlineLevel="0" collapsed="false">
      <c r="A20" s="15" t="s">
        <v>80</v>
      </c>
      <c r="B20" s="16" t="s">
        <v>81</v>
      </c>
      <c r="C20" s="16" t="s">
        <v>8</v>
      </c>
      <c r="D20" s="16" t="s">
        <v>82</v>
      </c>
      <c r="E20" s="17" t="s">
        <v>53</v>
      </c>
      <c r="F20" s="18"/>
      <c r="G20" s="17"/>
    </row>
    <row r="21" customFormat="false" ht="15" hidden="false" customHeight="false" outlineLevel="0" collapsed="false">
      <c r="A21" s="17"/>
      <c r="B21" s="17"/>
      <c r="C21" s="17"/>
      <c r="D21" s="17"/>
      <c r="E21" s="17"/>
      <c r="F21" s="18"/>
      <c r="G21" s="17"/>
    </row>
    <row r="22" customFormat="false" ht="15" hidden="false" customHeight="false" outlineLevel="0" collapsed="false">
      <c r="A22" s="17"/>
      <c r="B22" s="17"/>
      <c r="C22" s="17"/>
      <c r="D22" s="17"/>
      <c r="E22" s="17"/>
      <c r="F22" s="18"/>
      <c r="G22" s="17"/>
    </row>
    <row r="23" customFormat="false" ht="15" hidden="false" customHeight="false" outlineLevel="0" collapsed="false">
      <c r="A23" s="17"/>
      <c r="B23" s="17"/>
      <c r="C23" s="17"/>
      <c r="D23" s="17"/>
      <c r="E23" s="17"/>
      <c r="F23" s="18"/>
      <c r="G23" s="17"/>
    </row>
    <row r="24" customFormat="false" ht="15" hidden="false" customHeight="false" outlineLevel="0" collapsed="false">
      <c r="A24" s="17"/>
      <c r="B24" s="17"/>
      <c r="C24" s="17"/>
      <c r="D24" s="17"/>
      <c r="E24" s="17"/>
      <c r="F24" s="18"/>
      <c r="G24" s="17"/>
    </row>
    <row r="25" customFormat="false" ht="15" hidden="false" customHeight="false" outlineLevel="0" collapsed="false">
      <c r="A25" s="17"/>
      <c r="B25" s="17"/>
      <c r="C25" s="17"/>
      <c r="D25" s="17"/>
      <c r="E25" s="17"/>
      <c r="F25" s="18"/>
      <c r="G25" s="17"/>
    </row>
    <row r="26" customFormat="false" ht="15" hidden="false" customHeight="false" outlineLevel="0" collapsed="false">
      <c r="A26" s="17"/>
      <c r="B26" s="17"/>
      <c r="C26" s="17"/>
      <c r="D26" s="17"/>
      <c r="E26" s="17"/>
      <c r="F26" s="18"/>
      <c r="G26" s="17"/>
    </row>
    <row r="27" customFormat="false" ht="15" hidden="false" customHeight="false" outlineLevel="0" collapsed="false">
      <c r="A27" s="17"/>
      <c r="B27" s="17"/>
      <c r="C27" s="17"/>
      <c r="D27" s="17"/>
      <c r="E27" s="17"/>
      <c r="F27" s="18"/>
      <c r="G27" s="17"/>
    </row>
    <row r="28" customFormat="false" ht="15" hidden="false" customHeight="false" outlineLevel="0" collapsed="false">
      <c r="A28" s="17"/>
      <c r="B28" s="17"/>
      <c r="C28" s="17"/>
      <c r="D28" s="17"/>
      <c r="E28" s="17"/>
      <c r="F28" s="18"/>
      <c r="G28" s="17"/>
    </row>
    <row r="29" customFormat="false" ht="15" hidden="false" customHeight="false" outlineLevel="0" collapsed="false">
      <c r="A29" s="17"/>
      <c r="B29" s="17"/>
      <c r="C29" s="17"/>
      <c r="D29" s="17"/>
      <c r="E29" s="17"/>
      <c r="F29" s="18"/>
      <c r="G29" s="17"/>
    </row>
    <row r="30" customFormat="false" ht="15" hidden="false" customHeight="false" outlineLevel="0" collapsed="false">
      <c r="A30" s="17"/>
      <c r="B30" s="17"/>
      <c r="C30" s="17"/>
      <c r="D30" s="17"/>
      <c r="E30" s="17"/>
      <c r="F30" s="18"/>
      <c r="G30" s="17"/>
    </row>
    <row r="31" customFormat="false" ht="15" hidden="false" customHeight="false" outlineLevel="0" collapsed="false">
      <c r="A31" s="17"/>
      <c r="B31" s="17"/>
      <c r="C31" s="17"/>
      <c r="D31" s="17"/>
      <c r="E31" s="17"/>
      <c r="F31" s="18"/>
      <c r="G31" s="17"/>
    </row>
    <row r="32" customFormat="false" ht="15" hidden="false" customHeight="false" outlineLevel="0" collapsed="false">
      <c r="A32" s="17"/>
      <c r="B32" s="17"/>
      <c r="C32" s="17"/>
      <c r="D32" s="17"/>
      <c r="E32" s="17"/>
      <c r="F32" s="18"/>
      <c r="G32" s="17"/>
    </row>
    <row r="33" customFormat="false" ht="15" hidden="false" customHeight="false" outlineLevel="0" collapsed="false">
      <c r="A33" s="17"/>
      <c r="B33" s="17"/>
      <c r="C33" s="17"/>
      <c r="D33" s="17"/>
      <c r="E33" s="17"/>
      <c r="F33" s="18"/>
      <c r="G33" s="17"/>
    </row>
    <row r="34" customFormat="false" ht="15" hidden="false" customHeight="false" outlineLevel="0" collapsed="false">
      <c r="A34" s="17"/>
      <c r="B34" s="17"/>
      <c r="C34" s="17"/>
      <c r="D34" s="17"/>
      <c r="E34" s="17"/>
      <c r="F34" s="18"/>
      <c r="G34" s="17"/>
    </row>
    <row r="35" customFormat="false" ht="15" hidden="false" customHeight="false" outlineLevel="0" collapsed="false">
      <c r="A35" s="17"/>
      <c r="B35" s="17"/>
      <c r="C35" s="17"/>
      <c r="D35" s="17"/>
      <c r="E35" s="17"/>
      <c r="F35" s="18"/>
      <c r="G35" s="17"/>
    </row>
  </sheetData>
  <mergeCells count="2">
    <mergeCell ref="A1:G1"/>
    <mergeCell ref="A2:G2"/>
  </mergeCells>
  <conditionalFormatting sqref="E6:E35">
    <cfRule type="cellIs" priority="2" operator="equal" aboveAverage="0" equalAverage="0" bottom="0" percent="0" rank="0" text="" dxfId="0">
      <formula>"Done"</formula>
    </cfRule>
    <cfRule type="cellIs" priority="3" operator="equal" aboveAverage="0" equalAverage="0" bottom="0" percent="0" rank="0" text="" dxfId="1">
      <formula>"Stuck"</formula>
    </cfRule>
  </conditionalFormatting>
  <dataValidations count="2">
    <dataValidation allowBlank="true" errorStyle="stop" operator="between" showDropDown="false" showErrorMessage="false" showInputMessage="false" sqref="E6:E35" type="list">
      <formula1>"Not started,In progress,Done,Stuck"</formula1>
      <formula2>0</formula2>
    </dataValidation>
    <dataValidation allowBlank="true" errorStyle="stop" operator="between" showDropDown="false" showErrorMessage="false" showInputMessage="false" sqref="F6:F35"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4"/>
    <col collapsed="false" customWidth="true" hidden="false" outlineLevel="0" max="4" min="4" style="0" width="13"/>
    <col collapsed="false" customWidth="true" hidden="false" outlineLevel="0" max="5" min="5" style="0" width="14"/>
    <col collapsed="false" customWidth="true" hidden="false" outlineLevel="0" max="6" min="6" style="0" width="13"/>
    <col collapsed="false" customWidth="true" hidden="false" outlineLevel="0" max="7" min="7" style="0" width="50"/>
  </cols>
  <sheetData>
    <row r="1" customFormat="false" ht="30" hidden="false" customHeight="true" outlineLevel="0" collapsed="false">
      <c r="A1" s="1" t="s">
        <v>83</v>
      </c>
      <c r="B1" s="1"/>
      <c r="C1" s="1"/>
      <c r="D1" s="1"/>
      <c r="E1" s="1"/>
      <c r="F1" s="1"/>
      <c r="G1" s="1"/>
    </row>
    <row r="2" customFormat="false" ht="33.75" hidden="false" customHeight="true" outlineLevel="0" collapsed="false">
      <c r="A2" s="2" t="s">
        <v>84</v>
      </c>
      <c r="B2" s="2"/>
      <c r="C2" s="2"/>
      <c r="D2" s="2"/>
      <c r="E2" s="2"/>
      <c r="F2" s="2"/>
      <c r="G2" s="2"/>
    </row>
    <row r="4" customFormat="false" ht="15" hidden="false" customHeight="false" outlineLevel="0" collapsed="false">
      <c r="A4" s="6" t="s">
        <v>85</v>
      </c>
      <c r="B4" s="19" t="n">
        <f aca="false">COUNTIF(C8:C19,"Yes")</f>
        <v>0</v>
      </c>
      <c r="C4" s="19"/>
      <c r="D4" s="19"/>
    </row>
    <row r="5" customFormat="false" ht="15" hidden="false" customHeight="false" outlineLevel="0" collapsed="false">
      <c r="A5" s="6" t="s">
        <v>86</v>
      </c>
      <c r="B5" s="19" t="n">
        <f aca="false">COUNTIF(D8:D19,"Yes")</f>
        <v>0</v>
      </c>
      <c r="C5" s="19"/>
      <c r="D5" s="19"/>
    </row>
    <row r="6" customFormat="false" ht="15" hidden="false" customHeight="false" outlineLevel="0" collapsed="false">
      <c r="A6" s="6" t="s">
        <v>87</v>
      </c>
      <c r="B6" s="13" t="str">
        <f aca="false">IF(AND(COUNTIF(C8:C19,"Yes")&gt;=3,COUNTIFS(C8:C19,"Yes",D8:D19,"Yes")*2&gt;COUNTIF(C8:C19,"Yes")),"Yes: 3+ directors, more than half at arm's length","Not yet")</f>
        <v>Not yet</v>
      </c>
      <c r="C6" s="13"/>
      <c r="D6" s="13"/>
    </row>
    <row r="7" customFormat="false" ht="31.5" hidden="false" customHeight="true" outlineLevel="0" collapsed="false">
      <c r="A7" s="14" t="s">
        <v>88</v>
      </c>
      <c r="B7" s="14" t="s">
        <v>89</v>
      </c>
      <c r="C7" s="14" t="s">
        <v>90</v>
      </c>
      <c r="D7" s="14" t="s">
        <v>91</v>
      </c>
      <c r="E7" s="14" t="s">
        <v>92</v>
      </c>
      <c r="F7" s="14" t="s">
        <v>93</v>
      </c>
      <c r="G7" s="14" t="s">
        <v>49</v>
      </c>
    </row>
    <row r="8" customFormat="false" ht="15" hidden="false" customHeight="false" outlineLevel="0" collapsed="false">
      <c r="A8" s="17" t="s">
        <v>94</v>
      </c>
      <c r="B8" s="17" t="s">
        <v>95</v>
      </c>
      <c r="C8" s="17" t="s">
        <v>96</v>
      </c>
      <c r="D8" s="17" t="s">
        <v>96</v>
      </c>
      <c r="E8" s="17" t="s">
        <v>96</v>
      </c>
      <c r="F8" s="17" t="s">
        <v>96</v>
      </c>
      <c r="G8" s="17" t="s">
        <v>97</v>
      </c>
    </row>
    <row r="9" customFormat="false" ht="15" hidden="false" customHeight="false" outlineLevel="0" collapsed="false">
      <c r="A9" s="17" t="s">
        <v>98</v>
      </c>
      <c r="B9" s="17" t="s">
        <v>95</v>
      </c>
      <c r="C9" s="17" t="s">
        <v>96</v>
      </c>
      <c r="D9" s="17" t="s">
        <v>96</v>
      </c>
      <c r="E9" s="17" t="s">
        <v>96</v>
      </c>
      <c r="F9" s="17" t="s">
        <v>96</v>
      </c>
      <c r="G9" s="17" t="s">
        <v>97</v>
      </c>
    </row>
    <row r="10" customFormat="false" ht="15" hidden="false" customHeight="false" outlineLevel="0" collapsed="false">
      <c r="A10" s="17" t="s">
        <v>99</v>
      </c>
      <c r="B10" s="17" t="s">
        <v>95</v>
      </c>
      <c r="C10" s="17" t="s">
        <v>96</v>
      </c>
      <c r="D10" s="17" t="s">
        <v>96</v>
      </c>
      <c r="E10" s="17" t="s">
        <v>96</v>
      </c>
      <c r="F10" s="17" t="s">
        <v>96</v>
      </c>
      <c r="G10" s="17" t="s">
        <v>97</v>
      </c>
    </row>
    <row r="11" customFormat="false" ht="15" hidden="false" customHeight="false" outlineLevel="0" collapsed="false">
      <c r="A11" s="17" t="s">
        <v>100</v>
      </c>
      <c r="B11" s="17" t="s">
        <v>95</v>
      </c>
      <c r="C11" s="17" t="s">
        <v>96</v>
      </c>
      <c r="D11" s="17" t="s">
        <v>96</v>
      </c>
      <c r="E11" s="17" t="s">
        <v>96</v>
      </c>
      <c r="F11" s="17" t="s">
        <v>96</v>
      </c>
      <c r="G11" s="17" t="s">
        <v>97</v>
      </c>
    </row>
    <row r="12" customFormat="false" ht="15" hidden="false" customHeight="false" outlineLevel="0" collapsed="false">
      <c r="A12" s="17" t="s">
        <v>101</v>
      </c>
      <c r="B12" s="17" t="s">
        <v>95</v>
      </c>
      <c r="C12" s="17" t="s">
        <v>96</v>
      </c>
      <c r="D12" s="17" t="s">
        <v>96</v>
      </c>
      <c r="E12" s="17" t="s">
        <v>96</v>
      </c>
      <c r="F12" s="17" t="s">
        <v>96</v>
      </c>
      <c r="G12" s="17" t="s">
        <v>97</v>
      </c>
    </row>
    <row r="13" customFormat="false" ht="15" hidden="false" customHeight="false" outlineLevel="0" collapsed="false">
      <c r="A13" s="17"/>
      <c r="B13" s="17"/>
      <c r="C13" s="17"/>
      <c r="D13" s="17"/>
      <c r="E13" s="17"/>
      <c r="F13" s="17"/>
      <c r="G13" s="17"/>
    </row>
    <row r="14" customFormat="false" ht="15" hidden="false" customHeight="false" outlineLevel="0" collapsed="false">
      <c r="A14" s="17"/>
      <c r="B14" s="17"/>
      <c r="C14" s="17"/>
      <c r="D14" s="17"/>
      <c r="E14" s="17"/>
      <c r="F14" s="17"/>
      <c r="G14" s="17"/>
    </row>
    <row r="15" customFormat="false" ht="15" hidden="false" customHeight="false" outlineLevel="0" collapsed="false">
      <c r="A15" s="17"/>
      <c r="B15" s="17"/>
      <c r="C15" s="17"/>
      <c r="D15" s="17"/>
      <c r="E15" s="17"/>
      <c r="F15" s="17"/>
      <c r="G15" s="17"/>
    </row>
    <row r="16" customFormat="false" ht="15" hidden="false" customHeight="false" outlineLevel="0" collapsed="false">
      <c r="A16" s="17"/>
      <c r="B16" s="17"/>
      <c r="C16" s="17"/>
      <c r="D16" s="17"/>
      <c r="E16" s="17"/>
      <c r="F16" s="17"/>
      <c r="G16" s="17"/>
    </row>
    <row r="17" customFormat="false" ht="15" hidden="false" customHeight="false" outlineLevel="0" collapsed="false">
      <c r="A17" s="17"/>
      <c r="B17" s="17"/>
      <c r="C17" s="17"/>
      <c r="D17" s="17"/>
      <c r="E17" s="17"/>
      <c r="F17" s="17"/>
      <c r="G17" s="17"/>
    </row>
    <row r="18" customFormat="false" ht="15" hidden="false" customHeight="false" outlineLevel="0" collapsed="false">
      <c r="A18" s="17"/>
      <c r="B18" s="17"/>
      <c r="C18" s="17"/>
      <c r="D18" s="17"/>
      <c r="E18" s="17"/>
      <c r="F18" s="17"/>
      <c r="G18" s="17"/>
    </row>
    <row r="19" customFormat="false" ht="15" hidden="false" customHeight="false" outlineLevel="0" collapsed="false">
      <c r="A19" s="17"/>
      <c r="B19" s="17"/>
      <c r="C19" s="17"/>
      <c r="D19" s="17"/>
      <c r="E19" s="17"/>
      <c r="F19" s="17"/>
      <c r="G19" s="17"/>
    </row>
  </sheetData>
  <mergeCells count="5">
    <mergeCell ref="A1:G1"/>
    <mergeCell ref="A2:G2"/>
    <mergeCell ref="B4:D4"/>
    <mergeCell ref="B5:D5"/>
    <mergeCell ref="B6:D6"/>
  </mergeCells>
  <conditionalFormatting sqref="B6">
    <cfRule type="expression" priority="2" aboveAverage="0" equalAverage="0" bottom="0" percent="0" rank="0" text="" dxfId="0">
      <formula>LEFT(B6,3)="Yes"</formula>
    </cfRule>
    <cfRule type="expression" priority="3" aboveAverage="0" equalAverage="0" bottom="0" percent="0" rank="0" text="" dxfId="1">
      <formula>B6="Not yet"</formula>
    </cfRule>
  </conditionalFormatting>
  <dataValidations count="5">
    <dataValidation allowBlank="true" errorStyle="stop" operator="between" showDropDown="false" showErrorMessage="false" showInputMessage="false" sqref="B8:B19" type="list">
      <formula1>"Chair,Treasurer,Secretary,Director"</formula1>
      <formula2>0</formula2>
    </dataValidation>
    <dataValidation allowBlank="true" errorStyle="stop" operator="between" showDropDown="false" showErrorMessage="false" showInputMessage="false" sqref="C8:C19" type="list">
      <formula1>"Yes,No,Pending"</formula1>
      <formula2>0</formula2>
    </dataValidation>
    <dataValidation allowBlank="true" errorStyle="stop" operator="between" showDropDown="false" showErrorMessage="false" showInputMessage="false" sqref="E8:E19" type="list">
      <formula1>"Yes,No,Pending"</formula1>
      <formula2>0</formula2>
    </dataValidation>
    <dataValidation allowBlank="true" errorStyle="stop" operator="between" showDropDown="false" showErrorMessage="false" showInputMessage="false" sqref="F8:F19" type="list">
      <formula1>"Yes,No,Pending"</formula1>
      <formula2>0</formula2>
    </dataValidation>
    <dataValidation allowBlank="true" errorStyle="stop" operator="between" showDropDown="false" showErrorMessage="false" showInputMessage="false" sqref="D8:D19" type="list">
      <formula1>"Yes,No,Check"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50"/>
    <col collapsed="false" customWidth="true" hidden="false" outlineLevel="0" max="3" min="3" style="0" width="16"/>
    <col collapsed="false" customWidth="true" hidden="false" outlineLevel="0" max="4" min="4" style="0" width="30"/>
    <col collapsed="false" customWidth="true" hidden="false" outlineLevel="0" max="5" min="5" style="0" width="15"/>
    <col collapsed="false" customWidth="true" hidden="false" outlineLevel="0" max="6" min="6" style="0" width="12"/>
    <col collapsed="false" customWidth="true" hidden="false" outlineLevel="0" max="8" min="7" style="0" width="30"/>
  </cols>
  <sheetData>
    <row r="1" customFormat="false" ht="30" hidden="false" customHeight="true" outlineLevel="0" collapsed="false">
      <c r="A1" s="1" t="s">
        <v>102</v>
      </c>
      <c r="B1" s="1"/>
      <c r="C1" s="1"/>
      <c r="D1" s="1"/>
      <c r="E1" s="1"/>
      <c r="F1" s="1"/>
      <c r="G1" s="1"/>
      <c r="H1" s="1"/>
    </row>
    <row r="2" customFormat="false" ht="33.75" hidden="false" customHeight="true" outlineLevel="0" collapsed="false">
      <c r="A2" s="2" t="s">
        <v>103</v>
      </c>
      <c r="B2" s="2"/>
      <c r="C2" s="2"/>
      <c r="D2" s="2"/>
      <c r="E2" s="2"/>
      <c r="F2" s="2"/>
      <c r="G2" s="2"/>
      <c r="H2" s="2"/>
    </row>
    <row r="4" customFormat="false" ht="31.5" hidden="false" customHeight="true" outlineLevel="0" collapsed="false">
      <c r="A4" s="14" t="s">
        <v>104</v>
      </c>
      <c r="B4" s="14" t="s">
        <v>105</v>
      </c>
      <c r="C4" s="14" t="s">
        <v>106</v>
      </c>
      <c r="D4" s="14" t="s">
        <v>107</v>
      </c>
      <c r="E4" s="14" t="s">
        <v>47</v>
      </c>
      <c r="F4" s="14" t="s">
        <v>108</v>
      </c>
      <c r="G4" s="14" t="s">
        <v>109</v>
      </c>
      <c r="H4" s="14" t="s">
        <v>49</v>
      </c>
    </row>
    <row r="5" customFormat="false" ht="43.5" hidden="false" customHeight="true" outlineLevel="0" collapsed="false">
      <c r="A5" s="15" t="s">
        <v>110</v>
      </c>
      <c r="B5" s="16" t="s">
        <v>111</v>
      </c>
      <c r="C5" s="16" t="s">
        <v>112</v>
      </c>
      <c r="D5" s="20" t="s">
        <v>113</v>
      </c>
      <c r="E5" s="17" t="s">
        <v>114</v>
      </c>
      <c r="F5" s="18"/>
      <c r="G5" s="17"/>
      <c r="H5" s="17"/>
    </row>
    <row r="6" customFormat="false" ht="43.5" hidden="false" customHeight="true" outlineLevel="0" collapsed="false">
      <c r="A6" s="15" t="s">
        <v>115</v>
      </c>
      <c r="B6" s="16" t="s">
        <v>116</v>
      </c>
      <c r="C6" s="16" t="s">
        <v>117</v>
      </c>
      <c r="D6" s="20" t="s">
        <v>118</v>
      </c>
      <c r="E6" s="17" t="s">
        <v>114</v>
      </c>
      <c r="F6" s="18"/>
      <c r="G6" s="17"/>
      <c r="H6" s="17"/>
    </row>
    <row r="7" customFormat="false" ht="43.5" hidden="false" customHeight="true" outlineLevel="0" collapsed="false">
      <c r="A7" s="15" t="s">
        <v>119</v>
      </c>
      <c r="B7" s="16" t="s">
        <v>120</v>
      </c>
      <c r="C7" s="16" t="s">
        <v>121</v>
      </c>
      <c r="D7" s="20" t="s">
        <v>122</v>
      </c>
      <c r="E7" s="17" t="s">
        <v>114</v>
      </c>
      <c r="F7" s="18"/>
      <c r="G7" s="17"/>
      <c r="H7" s="17"/>
    </row>
    <row r="8" customFormat="false" ht="43.5" hidden="false" customHeight="true" outlineLevel="0" collapsed="false">
      <c r="A8" s="15" t="s">
        <v>123</v>
      </c>
      <c r="B8" s="16" t="s">
        <v>124</v>
      </c>
      <c r="C8" s="16" t="s">
        <v>121</v>
      </c>
      <c r="D8" s="20" t="s">
        <v>125</v>
      </c>
      <c r="E8" s="17" t="s">
        <v>114</v>
      </c>
      <c r="F8" s="18"/>
      <c r="G8" s="17"/>
      <c r="H8" s="17"/>
    </row>
    <row r="9" customFormat="false" ht="43.5" hidden="false" customHeight="true" outlineLevel="0" collapsed="false">
      <c r="A9" s="15" t="s">
        <v>126</v>
      </c>
      <c r="B9" s="16" t="s">
        <v>127</v>
      </c>
      <c r="C9" s="16" t="s">
        <v>128</v>
      </c>
      <c r="D9" s="20" t="s">
        <v>129</v>
      </c>
      <c r="E9" s="17" t="s">
        <v>114</v>
      </c>
      <c r="F9" s="18"/>
      <c r="G9" s="17"/>
      <c r="H9" s="17"/>
    </row>
    <row r="10" customFormat="false" ht="43.5" hidden="false" customHeight="true" outlineLevel="0" collapsed="false">
      <c r="A10" s="15" t="s">
        <v>130</v>
      </c>
      <c r="B10" s="16" t="s">
        <v>131</v>
      </c>
      <c r="C10" s="16" t="s">
        <v>132</v>
      </c>
      <c r="D10" s="20" t="s">
        <v>133</v>
      </c>
      <c r="E10" s="17" t="s">
        <v>114</v>
      </c>
      <c r="F10" s="18"/>
      <c r="G10" s="17"/>
      <c r="H10" s="17"/>
    </row>
    <row r="11" customFormat="false" ht="15" hidden="false" customHeight="false" outlineLevel="0" collapsed="false">
      <c r="A11" s="17"/>
      <c r="B11" s="17"/>
      <c r="C11" s="17"/>
      <c r="D11" s="17"/>
      <c r="E11" s="17"/>
      <c r="F11" s="18"/>
      <c r="G11" s="17"/>
      <c r="H11" s="17"/>
    </row>
    <row r="12" customFormat="false" ht="15" hidden="false" customHeight="false" outlineLevel="0" collapsed="false">
      <c r="A12" s="17"/>
      <c r="B12" s="17"/>
      <c r="C12" s="17"/>
      <c r="D12" s="17"/>
      <c r="E12" s="17"/>
      <c r="F12" s="18"/>
      <c r="G12" s="17"/>
      <c r="H12" s="17"/>
    </row>
    <row r="13" customFormat="false" ht="15" hidden="false" customHeight="false" outlineLevel="0" collapsed="false">
      <c r="A13" s="17"/>
      <c r="B13" s="17"/>
      <c r="C13" s="17"/>
      <c r="D13" s="17"/>
      <c r="E13" s="17"/>
      <c r="F13" s="18"/>
      <c r="G13" s="17"/>
      <c r="H13" s="17"/>
    </row>
    <row r="14" customFormat="false" ht="15" hidden="false" customHeight="false" outlineLevel="0" collapsed="false">
      <c r="A14" s="17"/>
      <c r="B14" s="17"/>
      <c r="C14" s="17"/>
      <c r="D14" s="17"/>
      <c r="E14" s="17"/>
      <c r="F14" s="18"/>
      <c r="G14" s="17"/>
      <c r="H14" s="17"/>
    </row>
    <row r="15" customFormat="false" ht="15" hidden="false" customHeight="false" outlineLevel="0" collapsed="false">
      <c r="A15" s="17"/>
      <c r="B15" s="17"/>
      <c r="C15" s="17"/>
      <c r="D15" s="17"/>
      <c r="E15" s="17"/>
      <c r="F15" s="18"/>
      <c r="G15" s="17"/>
      <c r="H15" s="17"/>
    </row>
    <row r="16" customFormat="false" ht="15" hidden="false" customHeight="false" outlineLevel="0" collapsed="false">
      <c r="A16" s="17"/>
      <c r="B16" s="17"/>
      <c r="C16" s="17"/>
      <c r="D16" s="17"/>
      <c r="E16" s="17"/>
      <c r="F16" s="18"/>
      <c r="G16" s="17"/>
      <c r="H16" s="17"/>
    </row>
    <row r="17" customFormat="false" ht="15" hidden="false" customHeight="false" outlineLevel="0" collapsed="false">
      <c r="A17" s="17"/>
      <c r="B17" s="17"/>
      <c r="C17" s="17"/>
      <c r="D17" s="17"/>
      <c r="E17" s="17"/>
      <c r="F17" s="18"/>
      <c r="G17" s="17"/>
      <c r="H17" s="17"/>
    </row>
    <row r="18" customFormat="false" ht="15" hidden="false" customHeight="false" outlineLevel="0" collapsed="false">
      <c r="A18" s="17"/>
      <c r="B18" s="17"/>
      <c r="C18" s="17"/>
      <c r="D18" s="17"/>
      <c r="E18" s="17"/>
      <c r="F18" s="18"/>
      <c r="G18" s="17"/>
      <c r="H18" s="17"/>
    </row>
    <row r="19" customFormat="false" ht="15" hidden="false" customHeight="false" outlineLevel="0" collapsed="false">
      <c r="A19" s="17"/>
      <c r="B19" s="17"/>
      <c r="C19" s="17"/>
      <c r="D19" s="17"/>
      <c r="E19" s="17"/>
      <c r="F19" s="18"/>
      <c r="G19" s="17"/>
      <c r="H19" s="17"/>
    </row>
    <row r="20" customFormat="false" ht="15" hidden="false" customHeight="false" outlineLevel="0" collapsed="false">
      <c r="A20" s="17"/>
      <c r="B20" s="17"/>
      <c r="C20" s="17"/>
      <c r="D20" s="17"/>
      <c r="E20" s="17"/>
      <c r="F20" s="18"/>
      <c r="G20" s="17"/>
      <c r="H20" s="17"/>
    </row>
    <row r="21" customFormat="false" ht="15" hidden="false" customHeight="false" outlineLevel="0" collapsed="false">
      <c r="A21" s="17"/>
      <c r="B21" s="17"/>
      <c r="C21" s="17"/>
      <c r="D21" s="17"/>
      <c r="E21" s="17"/>
      <c r="F21" s="18"/>
      <c r="G21" s="17"/>
      <c r="H21" s="17"/>
    </row>
    <row r="22" customFormat="false" ht="15" hidden="false" customHeight="false" outlineLevel="0" collapsed="false">
      <c r="A22" s="17"/>
      <c r="B22" s="17"/>
      <c r="C22" s="17"/>
      <c r="D22" s="17"/>
      <c r="E22" s="17"/>
      <c r="F22" s="18"/>
      <c r="G22" s="17"/>
      <c r="H22" s="17"/>
    </row>
    <row r="23" customFormat="false" ht="15" hidden="false" customHeight="false" outlineLevel="0" collapsed="false">
      <c r="A23" s="17"/>
      <c r="B23" s="17"/>
      <c r="C23" s="17"/>
      <c r="D23" s="17"/>
      <c r="E23" s="17"/>
      <c r="F23" s="18"/>
      <c r="G23" s="17"/>
      <c r="H23" s="17"/>
    </row>
    <row r="24" customFormat="false" ht="15" hidden="false" customHeight="false" outlineLevel="0" collapsed="false">
      <c r="A24" s="17"/>
      <c r="B24" s="17"/>
      <c r="C24" s="17"/>
      <c r="D24" s="17"/>
      <c r="E24" s="17"/>
      <c r="F24" s="18"/>
      <c r="G24" s="17"/>
      <c r="H24" s="17"/>
    </row>
    <row r="25" customFormat="false" ht="15" hidden="false" customHeight="false" outlineLevel="0" collapsed="false">
      <c r="A25" s="17"/>
      <c r="B25" s="17"/>
      <c r="C25" s="17"/>
      <c r="D25" s="17"/>
      <c r="E25" s="17"/>
      <c r="F25" s="18"/>
      <c r="G25" s="17"/>
      <c r="H25" s="17"/>
    </row>
  </sheetData>
  <mergeCells count="2">
    <mergeCell ref="A1:H1"/>
    <mergeCell ref="A2:H2"/>
  </mergeCells>
  <dataValidations count="2">
    <dataValidation allowBlank="true" errorStyle="stop" operator="between" showDropDown="false" showErrorMessage="false" showInputMessage="false" sqref="F5:F25" type="date">
      <formula1>0</formula1>
      <formula2>0</formula2>
    </dataValidation>
    <dataValidation allowBlank="true" errorStyle="stop" operator="between" showDropDown="false" showErrorMessage="false" showInputMessage="false" sqref="E5:E25" type="list">
      <formula1>"Not contacted,Contacted,Meeting booked,Partner,Not now"</formula1>
      <formula2>0</formula2>
    </dataValidation>
  </dataValidations>
  <hyperlinks>
    <hyperlink ref="D5" r:id="rId1" display="https://johnhoward.on.ca/kawartha/"/>
    <hyperlink ref="D6" r:id="rId2" display="https://johnhoward.on.ca/belleville/"/>
    <hyperlink ref="D7" r:id="rId3" display="https://loyalistces.ca/"/>
    <hyperlink ref="D8" r:id="rId4" display="https://www.northhastingscommunitytrust.org"/>
    <hyperlink ref="D9" r:id="rId5" display="https://communitylegalcentre.ca"/>
    <hyperlink ref="D10" r:id="rId6" display="https://efryptbo.org/contact-u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46"/>
    <col collapsed="false" customWidth="true" hidden="false" outlineLevel="0" max="4" min="4" style="0" width="12"/>
    <col collapsed="false" customWidth="true" hidden="false" outlineLevel="0" max="5" min="5" style="0" width="11"/>
    <col collapsed="false" customWidth="true" hidden="false" outlineLevel="0" max="6" min="6" style="0" width="14"/>
    <col collapsed="false" customWidth="true" hidden="false" outlineLevel="0" max="7" min="7" style="0" width="46"/>
  </cols>
  <sheetData>
    <row r="1" customFormat="false" ht="30" hidden="false" customHeight="true" outlineLevel="0" collapsed="false">
      <c r="A1" s="1" t="s">
        <v>134</v>
      </c>
      <c r="B1" s="1"/>
      <c r="C1" s="1"/>
      <c r="D1" s="1"/>
      <c r="E1" s="1"/>
      <c r="F1" s="1"/>
      <c r="G1" s="1"/>
    </row>
    <row r="2" customFormat="false" ht="33.75" hidden="false" customHeight="true" outlineLevel="0" collapsed="false">
      <c r="A2" s="2" t="s">
        <v>135</v>
      </c>
      <c r="B2" s="2"/>
      <c r="C2" s="2"/>
      <c r="D2" s="2"/>
      <c r="E2" s="2"/>
      <c r="F2" s="2"/>
      <c r="G2" s="2"/>
    </row>
    <row r="4" customFormat="false" ht="31.5" hidden="false" customHeight="true" outlineLevel="0" collapsed="false">
      <c r="A4" s="14" t="s">
        <v>136</v>
      </c>
      <c r="B4" s="14" t="s">
        <v>137</v>
      </c>
      <c r="C4" s="14" t="s">
        <v>138</v>
      </c>
      <c r="D4" s="14" t="s">
        <v>139</v>
      </c>
      <c r="E4" s="14" t="s">
        <v>140</v>
      </c>
      <c r="F4" s="14" t="s">
        <v>141</v>
      </c>
      <c r="G4" s="14" t="s">
        <v>49</v>
      </c>
    </row>
    <row r="5" customFormat="false" ht="57.75" hidden="false" customHeight="true" outlineLevel="0" collapsed="false">
      <c r="A5" s="17" t="s">
        <v>142</v>
      </c>
      <c r="B5" s="17" t="s">
        <v>143</v>
      </c>
      <c r="C5" s="17" t="s">
        <v>144</v>
      </c>
      <c r="D5" s="17" t="s">
        <v>145</v>
      </c>
      <c r="E5" s="17" t="s">
        <v>145</v>
      </c>
      <c r="F5" s="17" t="s">
        <v>51</v>
      </c>
      <c r="G5" s="17" t="s">
        <v>146</v>
      </c>
    </row>
    <row r="6" customFormat="false" ht="15" hidden="false" customHeight="false" outlineLevel="0" collapsed="false">
      <c r="A6" s="17"/>
      <c r="B6" s="17"/>
      <c r="C6" s="17"/>
      <c r="D6" s="17"/>
      <c r="E6" s="17"/>
      <c r="F6" s="17"/>
      <c r="G6" s="17"/>
    </row>
    <row r="7" customFormat="false" ht="15" hidden="false" customHeight="false" outlineLevel="0" collapsed="false">
      <c r="A7" s="17"/>
      <c r="B7" s="17"/>
      <c r="C7" s="17"/>
      <c r="D7" s="17"/>
      <c r="E7" s="17"/>
      <c r="F7" s="17"/>
      <c r="G7" s="17"/>
    </row>
    <row r="8" customFormat="false" ht="15" hidden="false" customHeight="false" outlineLevel="0" collapsed="false">
      <c r="A8" s="17"/>
      <c r="B8" s="17"/>
      <c r="C8" s="17"/>
      <c r="D8" s="17"/>
      <c r="E8" s="17"/>
      <c r="F8" s="17"/>
      <c r="G8" s="17"/>
    </row>
    <row r="9" customFormat="false" ht="15" hidden="false" customHeight="false" outlineLevel="0" collapsed="false">
      <c r="A9" s="17"/>
      <c r="B9" s="17"/>
      <c r="C9" s="17"/>
      <c r="D9" s="17"/>
      <c r="E9" s="17"/>
      <c r="F9" s="17"/>
      <c r="G9" s="17"/>
    </row>
    <row r="10" customFormat="false" ht="15" hidden="false" customHeight="false" outlineLevel="0" collapsed="false">
      <c r="A10" s="17"/>
      <c r="B10" s="17"/>
      <c r="C10" s="17"/>
      <c r="D10" s="17"/>
      <c r="E10" s="17"/>
      <c r="F10" s="17"/>
      <c r="G10" s="17"/>
    </row>
    <row r="11" customFormat="false" ht="15" hidden="false" customHeight="false" outlineLevel="0" collapsed="false">
      <c r="A11" s="17"/>
      <c r="B11" s="17"/>
      <c r="C11" s="17"/>
      <c r="D11" s="17"/>
      <c r="E11" s="17"/>
      <c r="F11" s="17"/>
      <c r="G11" s="17"/>
    </row>
    <row r="12" customFormat="false" ht="15" hidden="false" customHeight="false" outlineLevel="0" collapsed="false">
      <c r="A12" s="17"/>
      <c r="B12" s="17"/>
      <c r="C12" s="17"/>
      <c r="D12" s="17"/>
      <c r="E12" s="17"/>
      <c r="F12" s="17"/>
      <c r="G12" s="17"/>
    </row>
    <row r="13" customFormat="false" ht="15" hidden="false" customHeight="false" outlineLevel="0" collapsed="false">
      <c r="A13" s="17"/>
      <c r="B13" s="17"/>
      <c r="C13" s="17"/>
      <c r="D13" s="17"/>
      <c r="E13" s="17"/>
      <c r="F13" s="17"/>
      <c r="G13" s="17"/>
    </row>
    <row r="14" customFormat="false" ht="15" hidden="false" customHeight="false" outlineLevel="0" collapsed="false">
      <c r="A14" s="17"/>
      <c r="B14" s="17"/>
      <c r="C14" s="17"/>
      <c r="D14" s="17"/>
      <c r="E14" s="17"/>
      <c r="F14" s="17"/>
      <c r="G14" s="17"/>
    </row>
    <row r="15" customFormat="false" ht="15" hidden="false" customHeight="false" outlineLevel="0" collapsed="false">
      <c r="A15" s="17"/>
      <c r="B15" s="17"/>
      <c r="C15" s="17"/>
      <c r="D15" s="17"/>
      <c r="E15" s="17"/>
      <c r="F15" s="17"/>
      <c r="G15" s="17"/>
    </row>
    <row r="16" customFormat="false" ht="15" hidden="false" customHeight="false" outlineLevel="0" collapsed="false">
      <c r="A16" s="17"/>
      <c r="B16" s="17"/>
      <c r="C16" s="17"/>
      <c r="D16" s="17"/>
      <c r="E16" s="17"/>
      <c r="F16" s="17"/>
      <c r="G16" s="17"/>
    </row>
    <row r="17" customFormat="false" ht="15" hidden="false" customHeight="false" outlineLevel="0" collapsed="false">
      <c r="A17" s="17"/>
      <c r="B17" s="17"/>
      <c r="C17" s="17"/>
      <c r="D17" s="17"/>
      <c r="E17" s="17"/>
      <c r="F17" s="17"/>
      <c r="G17" s="17"/>
    </row>
    <row r="18" customFormat="false" ht="15" hidden="false" customHeight="false" outlineLevel="0" collapsed="false">
      <c r="A18" s="17"/>
      <c r="B18" s="17"/>
      <c r="C18" s="17"/>
      <c r="D18" s="17"/>
      <c r="E18" s="17"/>
      <c r="F18" s="17"/>
      <c r="G18" s="17"/>
    </row>
    <row r="19" customFormat="false" ht="15" hidden="false" customHeight="false" outlineLevel="0" collapsed="false">
      <c r="A19" s="17"/>
      <c r="B19" s="17"/>
      <c r="C19" s="17"/>
      <c r="D19" s="17"/>
      <c r="E19" s="17"/>
      <c r="F19" s="17"/>
      <c r="G19" s="17"/>
    </row>
    <row r="20" customFormat="false" ht="15" hidden="false" customHeight="false" outlineLevel="0" collapsed="false">
      <c r="A20" s="17"/>
      <c r="B20" s="17"/>
      <c r="C20" s="17"/>
      <c r="D20" s="17"/>
      <c r="E20" s="17"/>
      <c r="F20" s="17"/>
      <c r="G20" s="17"/>
    </row>
    <row r="21" customFormat="false" ht="15" hidden="false" customHeight="false" outlineLevel="0" collapsed="false">
      <c r="A21" s="17"/>
      <c r="B21" s="17"/>
      <c r="C21" s="17"/>
      <c r="D21" s="17"/>
      <c r="E21" s="17"/>
      <c r="F21" s="17"/>
      <c r="G21" s="17"/>
    </row>
    <row r="22" customFormat="false" ht="15" hidden="false" customHeight="false" outlineLevel="0" collapsed="false">
      <c r="A22" s="17"/>
      <c r="B22" s="17"/>
      <c r="C22" s="17"/>
      <c r="D22" s="17"/>
      <c r="E22" s="17"/>
      <c r="F22" s="17"/>
      <c r="G22" s="17"/>
    </row>
    <row r="23" customFormat="false" ht="15" hidden="false" customHeight="false" outlineLevel="0" collapsed="false">
      <c r="A23" s="17"/>
      <c r="B23" s="17"/>
      <c r="C23" s="17"/>
      <c r="D23" s="17"/>
      <c r="E23" s="17"/>
      <c r="F23" s="17"/>
      <c r="G23" s="17"/>
    </row>
    <row r="24" customFormat="false" ht="15" hidden="false" customHeight="false" outlineLevel="0" collapsed="false">
      <c r="A24" s="17"/>
      <c r="B24" s="17"/>
      <c r="C24" s="17"/>
      <c r="D24" s="17"/>
      <c r="E24" s="17"/>
      <c r="F24" s="17"/>
      <c r="G24" s="17"/>
    </row>
    <row r="25" customFormat="false" ht="15" hidden="false" customHeight="false" outlineLevel="0" collapsed="false">
      <c r="A25" s="17"/>
      <c r="B25" s="17"/>
      <c r="C25" s="17"/>
      <c r="D25" s="17"/>
      <c r="E25" s="17"/>
      <c r="F25" s="17"/>
      <c r="G25" s="17"/>
    </row>
    <row r="26" customFormat="false" ht="15" hidden="false" customHeight="false" outlineLevel="0" collapsed="false">
      <c r="A26" s="17"/>
      <c r="B26" s="17"/>
      <c r="C26" s="17"/>
      <c r="D26" s="17"/>
      <c r="E26" s="17"/>
      <c r="F26" s="17"/>
      <c r="G26" s="17"/>
    </row>
    <row r="27" customFormat="false" ht="15" hidden="false" customHeight="false" outlineLevel="0" collapsed="false">
      <c r="A27" s="17"/>
      <c r="B27" s="17"/>
      <c r="C27" s="17"/>
      <c r="D27" s="17"/>
      <c r="E27" s="17"/>
      <c r="F27" s="17"/>
      <c r="G27" s="17"/>
    </row>
    <row r="28" customFormat="false" ht="15" hidden="false" customHeight="false" outlineLevel="0" collapsed="false">
      <c r="A28" s="17"/>
      <c r="B28" s="17"/>
      <c r="C28" s="17"/>
      <c r="D28" s="17"/>
      <c r="E28" s="17"/>
      <c r="F28" s="17"/>
      <c r="G28" s="17"/>
    </row>
    <row r="29" customFormat="false" ht="15" hidden="false" customHeight="false" outlineLevel="0" collapsed="false">
      <c r="A29" s="17"/>
      <c r="B29" s="17"/>
      <c r="C29" s="17"/>
      <c r="D29" s="17"/>
      <c r="E29" s="17"/>
      <c r="F29" s="17"/>
      <c r="G29" s="17"/>
    </row>
    <row r="30" customFormat="false" ht="15" hidden="false" customHeight="false" outlineLevel="0" collapsed="false">
      <c r="A30" s="17"/>
      <c r="B30" s="17"/>
      <c r="C30" s="17"/>
      <c r="D30" s="17"/>
      <c r="E30" s="17"/>
      <c r="F30" s="17"/>
      <c r="G30" s="17"/>
    </row>
    <row r="31" customFormat="false" ht="15" hidden="false" customHeight="false" outlineLevel="0" collapsed="false">
      <c r="A31" s="17"/>
      <c r="B31" s="17"/>
      <c r="C31" s="17"/>
      <c r="D31" s="17"/>
      <c r="E31" s="17"/>
      <c r="F31" s="17"/>
      <c r="G31" s="17"/>
    </row>
    <row r="32" customFormat="false" ht="15" hidden="false" customHeight="false" outlineLevel="0" collapsed="false">
      <c r="A32" s="17"/>
      <c r="B32" s="17"/>
      <c r="C32" s="17"/>
      <c r="D32" s="17"/>
      <c r="E32" s="17"/>
      <c r="F32" s="17"/>
      <c r="G32" s="17"/>
    </row>
    <row r="33" customFormat="false" ht="15" hidden="false" customHeight="false" outlineLevel="0" collapsed="false">
      <c r="A33" s="17"/>
      <c r="B33" s="17"/>
      <c r="C33" s="17"/>
      <c r="D33" s="17"/>
      <c r="E33" s="17"/>
      <c r="F33" s="17"/>
      <c r="G33" s="17"/>
    </row>
    <row r="34" customFormat="false" ht="15" hidden="false" customHeight="false" outlineLevel="0" collapsed="false">
      <c r="A34" s="17"/>
      <c r="B34" s="17"/>
      <c r="C34" s="17"/>
      <c r="D34" s="17"/>
      <c r="E34" s="17"/>
      <c r="F34" s="17"/>
      <c r="G34" s="17"/>
    </row>
    <row r="36" customFormat="false" ht="15" hidden="false" customHeight="false" outlineLevel="0" collapsed="false">
      <c r="A36" s="21" t="s">
        <v>147</v>
      </c>
    </row>
  </sheetData>
  <mergeCells count="2">
    <mergeCell ref="A1:G1"/>
    <mergeCell ref="A2:G2"/>
  </mergeCells>
  <dataValidations count="3">
    <dataValidation allowBlank="true" errorStyle="stop" operator="between" showDropDown="false" showErrorMessage="false" showInputMessage="false" sqref="B5:B34" type="list">
      <formula1>"Business,Fight night,Partner,Training provider,Other"</formula1>
      <formula2>0</formula2>
    </dataValidation>
    <dataValidation allowBlank="true" errorStyle="stop" operator="between" showDropDown="false" showErrorMessage="false" showInputMessage="false" sqref="D5:D34" type="list">
      <formula1>"Yes,No"</formula1>
      <formula2>0</formula2>
    </dataValidation>
    <dataValidation allowBlank="true" errorStyle="stop" operator="between" showDropDown="false" showErrorMessage="false" showInputMessage="false" sqref="E5:E34" type="list">
      <formula1>"Yes,Asked,No"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5" min="5" style="0" width="15"/>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24"/>
    <col collapsed="false" customWidth="true" hidden="false" outlineLevel="0" max="10" min="10" style="0" width="22"/>
    <col collapsed="false" customWidth="true" hidden="false" outlineLevel="0" max="11" min="11" style="0" width="13"/>
    <col collapsed="false" customWidth="true" hidden="false" outlineLevel="0" max="13" min="12" style="0" width="12"/>
    <col collapsed="false" customWidth="true" hidden="false" outlineLevel="0" max="14" min="14" style="0" width="11"/>
    <col collapsed="false" customWidth="true" hidden="false" outlineLevel="0" max="15" min="15" style="0" width="40"/>
  </cols>
  <sheetData>
    <row r="1" customFormat="false" ht="30" hidden="false" customHeight="true" outlineLevel="0" collapsed="false">
      <c r="A1" s="1" t="s">
        <v>148</v>
      </c>
      <c r="B1" s="1"/>
      <c r="C1" s="1"/>
      <c r="D1" s="1"/>
      <c r="E1" s="1"/>
      <c r="F1" s="1"/>
      <c r="G1" s="1"/>
      <c r="H1" s="1"/>
      <c r="I1" s="1"/>
      <c r="J1" s="1"/>
      <c r="K1" s="1"/>
      <c r="L1" s="1"/>
      <c r="M1" s="1"/>
      <c r="N1" s="1"/>
      <c r="O1" s="1"/>
    </row>
    <row r="2" customFormat="false" ht="33.75" hidden="false" customHeight="true" outlineLevel="0" collapsed="false">
      <c r="A2" s="2" t="s">
        <v>149</v>
      </c>
      <c r="B2" s="2"/>
      <c r="C2" s="2"/>
      <c r="D2" s="2"/>
      <c r="E2" s="2"/>
      <c r="F2" s="2"/>
      <c r="G2" s="2"/>
      <c r="H2" s="2"/>
      <c r="I2" s="2"/>
      <c r="J2" s="2"/>
      <c r="K2" s="2"/>
      <c r="L2" s="2"/>
      <c r="M2" s="2"/>
      <c r="N2" s="2"/>
      <c r="O2" s="2"/>
    </row>
    <row r="4" customFormat="false" ht="15" hidden="false" customHeight="false" outlineLevel="0" collapsed="false">
      <c r="A4" s="6" t="s">
        <v>150</v>
      </c>
      <c r="B4" s="22" t="n">
        <f aca="false">SUMPRODUCT((B7:B126&lt;&gt;"")*(E7:E126&lt;&gt;"Left")*(E7:E126&lt;&gt;"Paused")*(LEFT(B7:B126,9)&lt;&gt;"(Example)"))</f>
        <v>0</v>
      </c>
      <c r="D4" s="23" t="s">
        <v>151</v>
      </c>
      <c r="E4" s="23"/>
      <c r="F4" s="23"/>
      <c r="G4" s="22" t="n">
        <f aca="false">COUNTIF(N7:N126,"Overdue")+COUNTIF(N7:N126,"This week")</f>
        <v>0</v>
      </c>
    </row>
    <row r="6" customFormat="false" ht="31.5" hidden="false" customHeight="true" outlineLevel="0" collapsed="false">
      <c r="A6" s="14" t="s">
        <v>152</v>
      </c>
      <c r="B6" s="14" t="s">
        <v>88</v>
      </c>
      <c r="C6" s="14" t="s">
        <v>153</v>
      </c>
      <c r="D6" s="14" t="s">
        <v>154</v>
      </c>
      <c r="E6" s="14" t="s">
        <v>155</v>
      </c>
      <c r="F6" s="14" t="s">
        <v>156</v>
      </c>
      <c r="G6" s="14" t="s">
        <v>157</v>
      </c>
      <c r="H6" s="14" t="s">
        <v>158</v>
      </c>
      <c r="I6" s="14" t="s">
        <v>159</v>
      </c>
      <c r="J6" s="14" t="s">
        <v>160</v>
      </c>
      <c r="K6" s="14" t="s">
        <v>161</v>
      </c>
      <c r="L6" s="14" t="s">
        <v>162</v>
      </c>
      <c r="M6" s="14" t="s">
        <v>163</v>
      </c>
      <c r="N6" s="14" t="s">
        <v>164</v>
      </c>
      <c r="O6" s="14" t="s">
        <v>165</v>
      </c>
    </row>
    <row r="7" customFormat="false" ht="23.85" hidden="false" customHeight="false" outlineLevel="0" collapsed="false">
      <c r="A7" s="17" t="s">
        <v>166</v>
      </c>
      <c r="B7" s="17" t="s">
        <v>167</v>
      </c>
      <c r="C7" s="17" t="s">
        <v>168</v>
      </c>
      <c r="D7" s="18" t="n">
        <v>46328</v>
      </c>
      <c r="E7" s="17" t="s">
        <v>169</v>
      </c>
      <c r="F7" s="17" t="s">
        <v>145</v>
      </c>
      <c r="G7" s="17" t="s">
        <v>170</v>
      </c>
      <c r="H7" s="18" t="n">
        <v>46323</v>
      </c>
      <c r="I7" s="17" t="s">
        <v>171</v>
      </c>
      <c r="J7" s="17" t="s">
        <v>142</v>
      </c>
      <c r="K7" s="17" t="s">
        <v>172</v>
      </c>
      <c r="L7" s="18" t="n">
        <v>46328</v>
      </c>
      <c r="M7" s="18" t="n">
        <v>46358</v>
      </c>
      <c r="N7" s="24" t="str">
        <f aca="true">IF(OR(B7="",M7="",E7="Left",E7="Paused"),"",IF(M7&lt;TODAY(),"Overdue",IF(M7-TODAY()&lt;=7,"This week","")))</f>
        <v/>
      </c>
      <c r="O7" s="17" t="s">
        <v>173</v>
      </c>
    </row>
    <row r="8" customFormat="false" ht="15" hidden="false" customHeight="false" outlineLevel="0" collapsed="false">
      <c r="A8" s="17"/>
      <c r="B8" s="17"/>
      <c r="C8" s="17"/>
      <c r="D8" s="18"/>
      <c r="E8" s="17"/>
      <c r="F8" s="17"/>
      <c r="G8" s="17"/>
      <c r="H8" s="18"/>
      <c r="I8" s="17"/>
      <c r="J8" s="17"/>
      <c r="K8" s="17"/>
      <c r="L8" s="18"/>
      <c r="M8" s="18"/>
      <c r="N8" s="24" t="str">
        <f aca="true">IF(OR(B8="",M8="",E8="Left",E8="Paused"),"",IF(M8&lt;TODAY(),"Overdue",IF(M8-TODAY()&lt;=7,"This week","")))</f>
        <v/>
      </c>
      <c r="O8" s="17"/>
    </row>
    <row r="9" customFormat="false" ht="15" hidden="false" customHeight="false" outlineLevel="0" collapsed="false">
      <c r="A9" s="17"/>
      <c r="B9" s="17"/>
      <c r="C9" s="17"/>
      <c r="D9" s="18"/>
      <c r="E9" s="17"/>
      <c r="F9" s="17"/>
      <c r="G9" s="17"/>
      <c r="H9" s="18"/>
      <c r="I9" s="17"/>
      <c r="J9" s="17"/>
      <c r="K9" s="17"/>
      <c r="L9" s="18"/>
      <c r="M9" s="18"/>
      <c r="N9" s="24" t="str">
        <f aca="true">IF(OR(B9="",M9="",E9="Left",E9="Paused"),"",IF(M9&lt;TODAY(),"Overdue",IF(M9-TODAY()&lt;=7,"This week","")))</f>
        <v/>
      </c>
      <c r="O9" s="17"/>
    </row>
    <row r="10" customFormat="false" ht="15" hidden="false" customHeight="false" outlineLevel="0" collapsed="false">
      <c r="A10" s="17"/>
      <c r="B10" s="17"/>
      <c r="C10" s="17"/>
      <c r="D10" s="18"/>
      <c r="E10" s="17"/>
      <c r="F10" s="17"/>
      <c r="G10" s="17"/>
      <c r="H10" s="18"/>
      <c r="I10" s="17"/>
      <c r="J10" s="17"/>
      <c r="K10" s="17"/>
      <c r="L10" s="18"/>
      <c r="M10" s="18"/>
      <c r="N10" s="24" t="str">
        <f aca="true">IF(OR(B10="",M10="",E10="Left",E10="Paused"),"",IF(M10&lt;TODAY(),"Overdue",IF(M10-TODAY()&lt;=7,"This week","")))</f>
        <v/>
      </c>
      <c r="O10" s="17"/>
    </row>
    <row r="11" customFormat="false" ht="15" hidden="false" customHeight="false" outlineLevel="0" collapsed="false">
      <c r="A11" s="17"/>
      <c r="B11" s="17"/>
      <c r="C11" s="17"/>
      <c r="D11" s="18"/>
      <c r="E11" s="17"/>
      <c r="F11" s="17"/>
      <c r="G11" s="17"/>
      <c r="H11" s="18"/>
      <c r="I11" s="17"/>
      <c r="J11" s="17"/>
      <c r="K11" s="17"/>
      <c r="L11" s="18"/>
      <c r="M11" s="18"/>
      <c r="N11" s="24" t="str">
        <f aca="true">IF(OR(B11="",M11="",E11="Left",E11="Paused"),"",IF(M11&lt;TODAY(),"Overdue",IF(M11-TODAY()&lt;=7,"This week","")))</f>
        <v/>
      </c>
      <c r="O11" s="17"/>
    </row>
    <row r="12" customFormat="false" ht="15" hidden="false" customHeight="false" outlineLevel="0" collapsed="false">
      <c r="A12" s="17"/>
      <c r="B12" s="17"/>
      <c r="C12" s="17"/>
      <c r="D12" s="18"/>
      <c r="E12" s="17"/>
      <c r="F12" s="17"/>
      <c r="G12" s="17"/>
      <c r="H12" s="18"/>
      <c r="I12" s="17"/>
      <c r="J12" s="17"/>
      <c r="K12" s="17"/>
      <c r="L12" s="18"/>
      <c r="M12" s="18"/>
      <c r="N12" s="24" t="str">
        <f aca="true">IF(OR(B12="",M12="",E12="Left",E12="Paused"),"",IF(M12&lt;TODAY(),"Overdue",IF(M12-TODAY()&lt;=7,"This week","")))</f>
        <v/>
      </c>
      <c r="O12" s="17"/>
    </row>
    <row r="13" customFormat="false" ht="15" hidden="false" customHeight="false" outlineLevel="0" collapsed="false">
      <c r="A13" s="17"/>
      <c r="B13" s="17"/>
      <c r="C13" s="17"/>
      <c r="D13" s="18"/>
      <c r="E13" s="17"/>
      <c r="F13" s="17"/>
      <c r="G13" s="17"/>
      <c r="H13" s="18"/>
      <c r="I13" s="17"/>
      <c r="J13" s="17"/>
      <c r="K13" s="17"/>
      <c r="L13" s="18"/>
      <c r="M13" s="18"/>
      <c r="N13" s="24" t="str">
        <f aca="true">IF(OR(B13="",M13="",E13="Left",E13="Paused"),"",IF(M13&lt;TODAY(),"Overdue",IF(M13-TODAY()&lt;=7,"This week","")))</f>
        <v/>
      </c>
      <c r="O13" s="17"/>
    </row>
    <row r="14" customFormat="false" ht="15" hidden="false" customHeight="false" outlineLevel="0" collapsed="false">
      <c r="A14" s="17"/>
      <c r="B14" s="17"/>
      <c r="C14" s="17"/>
      <c r="D14" s="18"/>
      <c r="E14" s="17"/>
      <c r="F14" s="17"/>
      <c r="G14" s="17"/>
      <c r="H14" s="18"/>
      <c r="I14" s="17"/>
      <c r="J14" s="17"/>
      <c r="K14" s="17"/>
      <c r="L14" s="18"/>
      <c r="M14" s="18"/>
      <c r="N14" s="24" t="str">
        <f aca="true">IF(OR(B14="",M14="",E14="Left",E14="Paused"),"",IF(M14&lt;TODAY(),"Overdue",IF(M14-TODAY()&lt;=7,"This week","")))</f>
        <v/>
      </c>
      <c r="O14" s="17"/>
    </row>
    <row r="15" customFormat="false" ht="15" hidden="false" customHeight="false" outlineLevel="0" collapsed="false">
      <c r="A15" s="17"/>
      <c r="B15" s="17"/>
      <c r="C15" s="17"/>
      <c r="D15" s="18"/>
      <c r="E15" s="17"/>
      <c r="F15" s="17"/>
      <c r="G15" s="17"/>
      <c r="H15" s="18"/>
      <c r="I15" s="17"/>
      <c r="J15" s="17"/>
      <c r="K15" s="17"/>
      <c r="L15" s="18"/>
      <c r="M15" s="18"/>
      <c r="N15" s="24" t="str">
        <f aca="true">IF(OR(B15="",M15="",E15="Left",E15="Paused"),"",IF(M15&lt;TODAY(),"Overdue",IF(M15-TODAY()&lt;=7,"This week","")))</f>
        <v/>
      </c>
      <c r="O15" s="17"/>
    </row>
    <row r="16" customFormat="false" ht="15" hidden="false" customHeight="false" outlineLevel="0" collapsed="false">
      <c r="A16" s="17"/>
      <c r="B16" s="17"/>
      <c r="C16" s="17"/>
      <c r="D16" s="18"/>
      <c r="E16" s="17"/>
      <c r="F16" s="17"/>
      <c r="G16" s="17"/>
      <c r="H16" s="18"/>
      <c r="I16" s="17"/>
      <c r="J16" s="17"/>
      <c r="K16" s="17"/>
      <c r="L16" s="18"/>
      <c r="M16" s="18"/>
      <c r="N16" s="24" t="str">
        <f aca="true">IF(OR(B16="",M16="",E16="Left",E16="Paused"),"",IF(M16&lt;TODAY(),"Overdue",IF(M16-TODAY()&lt;=7,"This week","")))</f>
        <v/>
      </c>
      <c r="O16" s="17"/>
    </row>
    <row r="17" customFormat="false" ht="15" hidden="false" customHeight="false" outlineLevel="0" collapsed="false">
      <c r="A17" s="17"/>
      <c r="B17" s="17"/>
      <c r="C17" s="17"/>
      <c r="D17" s="18"/>
      <c r="E17" s="17"/>
      <c r="F17" s="17"/>
      <c r="G17" s="17"/>
      <c r="H17" s="18"/>
      <c r="I17" s="17"/>
      <c r="J17" s="17"/>
      <c r="K17" s="17"/>
      <c r="L17" s="18"/>
      <c r="M17" s="18"/>
      <c r="N17" s="24" t="str">
        <f aca="true">IF(OR(B17="",M17="",E17="Left",E17="Paused"),"",IF(M17&lt;TODAY(),"Overdue",IF(M17-TODAY()&lt;=7,"This week","")))</f>
        <v/>
      </c>
      <c r="O17" s="17"/>
    </row>
    <row r="18" customFormat="false" ht="15" hidden="false" customHeight="false" outlineLevel="0" collapsed="false">
      <c r="A18" s="17"/>
      <c r="B18" s="17"/>
      <c r="C18" s="17"/>
      <c r="D18" s="18"/>
      <c r="E18" s="17"/>
      <c r="F18" s="17"/>
      <c r="G18" s="17"/>
      <c r="H18" s="18"/>
      <c r="I18" s="17"/>
      <c r="J18" s="17"/>
      <c r="K18" s="17"/>
      <c r="L18" s="18"/>
      <c r="M18" s="18"/>
      <c r="N18" s="24" t="str">
        <f aca="true">IF(OR(B18="",M18="",E18="Left",E18="Paused"),"",IF(M18&lt;TODAY(),"Overdue",IF(M18-TODAY()&lt;=7,"This week","")))</f>
        <v/>
      </c>
      <c r="O18" s="17"/>
    </row>
    <row r="19" customFormat="false" ht="15" hidden="false" customHeight="false" outlineLevel="0" collapsed="false">
      <c r="A19" s="17"/>
      <c r="B19" s="17"/>
      <c r="C19" s="17"/>
      <c r="D19" s="18"/>
      <c r="E19" s="17"/>
      <c r="F19" s="17"/>
      <c r="G19" s="17"/>
      <c r="H19" s="18"/>
      <c r="I19" s="17"/>
      <c r="J19" s="17"/>
      <c r="K19" s="17"/>
      <c r="L19" s="18"/>
      <c r="M19" s="18"/>
      <c r="N19" s="24" t="str">
        <f aca="true">IF(OR(B19="",M19="",E19="Left",E19="Paused"),"",IF(M19&lt;TODAY(),"Overdue",IF(M19-TODAY()&lt;=7,"This week","")))</f>
        <v/>
      </c>
      <c r="O19" s="17"/>
    </row>
    <row r="20" customFormat="false" ht="15" hidden="false" customHeight="false" outlineLevel="0" collapsed="false">
      <c r="A20" s="17"/>
      <c r="B20" s="17"/>
      <c r="C20" s="17"/>
      <c r="D20" s="18"/>
      <c r="E20" s="17"/>
      <c r="F20" s="17"/>
      <c r="G20" s="17"/>
      <c r="H20" s="18"/>
      <c r="I20" s="17"/>
      <c r="J20" s="17"/>
      <c r="K20" s="17"/>
      <c r="L20" s="18"/>
      <c r="M20" s="18"/>
      <c r="N20" s="24" t="str">
        <f aca="true">IF(OR(B20="",M20="",E20="Left",E20="Paused"),"",IF(M20&lt;TODAY(),"Overdue",IF(M20-TODAY()&lt;=7,"This week","")))</f>
        <v/>
      </c>
      <c r="O20" s="17"/>
    </row>
    <row r="21" customFormat="false" ht="15" hidden="false" customHeight="false" outlineLevel="0" collapsed="false">
      <c r="A21" s="17"/>
      <c r="B21" s="17"/>
      <c r="C21" s="17"/>
      <c r="D21" s="18"/>
      <c r="E21" s="17"/>
      <c r="F21" s="17"/>
      <c r="G21" s="17"/>
      <c r="H21" s="18"/>
      <c r="I21" s="17"/>
      <c r="J21" s="17"/>
      <c r="K21" s="17"/>
      <c r="L21" s="18"/>
      <c r="M21" s="18"/>
      <c r="N21" s="24" t="str">
        <f aca="true">IF(OR(B21="",M21="",E21="Left",E21="Paused"),"",IF(M21&lt;TODAY(),"Overdue",IF(M21-TODAY()&lt;=7,"This week","")))</f>
        <v/>
      </c>
      <c r="O21" s="17"/>
    </row>
    <row r="22" customFormat="false" ht="15" hidden="false" customHeight="false" outlineLevel="0" collapsed="false">
      <c r="A22" s="17"/>
      <c r="B22" s="17"/>
      <c r="C22" s="17"/>
      <c r="D22" s="18"/>
      <c r="E22" s="17"/>
      <c r="F22" s="17"/>
      <c r="G22" s="17"/>
      <c r="H22" s="18"/>
      <c r="I22" s="17"/>
      <c r="J22" s="17"/>
      <c r="K22" s="17"/>
      <c r="L22" s="18"/>
      <c r="M22" s="18"/>
      <c r="N22" s="24" t="str">
        <f aca="true">IF(OR(B22="",M22="",E22="Left",E22="Paused"),"",IF(M22&lt;TODAY(),"Overdue",IF(M22-TODAY()&lt;=7,"This week","")))</f>
        <v/>
      </c>
      <c r="O22" s="17"/>
    </row>
    <row r="23" customFormat="false" ht="15" hidden="false" customHeight="false" outlineLevel="0" collapsed="false">
      <c r="A23" s="17"/>
      <c r="B23" s="17"/>
      <c r="C23" s="17"/>
      <c r="D23" s="18"/>
      <c r="E23" s="17"/>
      <c r="F23" s="17"/>
      <c r="G23" s="17"/>
      <c r="H23" s="18"/>
      <c r="I23" s="17"/>
      <c r="J23" s="17"/>
      <c r="K23" s="17"/>
      <c r="L23" s="18"/>
      <c r="M23" s="18"/>
      <c r="N23" s="24" t="str">
        <f aca="true">IF(OR(B23="",M23="",E23="Left",E23="Paused"),"",IF(M23&lt;TODAY(),"Overdue",IF(M23-TODAY()&lt;=7,"This week","")))</f>
        <v/>
      </c>
      <c r="O23" s="17"/>
    </row>
    <row r="24" customFormat="false" ht="15" hidden="false" customHeight="false" outlineLevel="0" collapsed="false">
      <c r="A24" s="17"/>
      <c r="B24" s="17"/>
      <c r="C24" s="17"/>
      <c r="D24" s="18"/>
      <c r="E24" s="17"/>
      <c r="F24" s="17"/>
      <c r="G24" s="17"/>
      <c r="H24" s="18"/>
      <c r="I24" s="17"/>
      <c r="J24" s="17"/>
      <c r="K24" s="17"/>
      <c r="L24" s="18"/>
      <c r="M24" s="18"/>
      <c r="N24" s="24" t="str">
        <f aca="true">IF(OR(B24="",M24="",E24="Left",E24="Paused"),"",IF(M24&lt;TODAY(),"Overdue",IF(M24-TODAY()&lt;=7,"This week","")))</f>
        <v/>
      </c>
      <c r="O24" s="17"/>
    </row>
    <row r="25" customFormat="false" ht="15" hidden="false" customHeight="false" outlineLevel="0" collapsed="false">
      <c r="A25" s="17"/>
      <c r="B25" s="17"/>
      <c r="C25" s="17"/>
      <c r="D25" s="18"/>
      <c r="E25" s="17"/>
      <c r="F25" s="17"/>
      <c r="G25" s="17"/>
      <c r="H25" s="18"/>
      <c r="I25" s="17"/>
      <c r="J25" s="17"/>
      <c r="K25" s="17"/>
      <c r="L25" s="18"/>
      <c r="M25" s="18"/>
      <c r="N25" s="24" t="str">
        <f aca="true">IF(OR(B25="",M25="",E25="Left",E25="Paused"),"",IF(M25&lt;TODAY(),"Overdue",IF(M25-TODAY()&lt;=7,"This week","")))</f>
        <v/>
      </c>
      <c r="O25" s="17"/>
    </row>
    <row r="26" customFormat="false" ht="15" hidden="false" customHeight="false" outlineLevel="0" collapsed="false">
      <c r="A26" s="17"/>
      <c r="B26" s="17"/>
      <c r="C26" s="17"/>
      <c r="D26" s="18"/>
      <c r="E26" s="17"/>
      <c r="F26" s="17"/>
      <c r="G26" s="17"/>
      <c r="H26" s="18"/>
      <c r="I26" s="17"/>
      <c r="J26" s="17"/>
      <c r="K26" s="17"/>
      <c r="L26" s="18"/>
      <c r="M26" s="18"/>
      <c r="N26" s="24" t="str">
        <f aca="true">IF(OR(B26="",M26="",E26="Left",E26="Paused"),"",IF(M26&lt;TODAY(),"Overdue",IF(M26-TODAY()&lt;=7,"This week","")))</f>
        <v/>
      </c>
      <c r="O26" s="17"/>
    </row>
    <row r="27" customFormat="false" ht="15" hidden="false" customHeight="false" outlineLevel="0" collapsed="false">
      <c r="A27" s="17"/>
      <c r="B27" s="17"/>
      <c r="C27" s="17"/>
      <c r="D27" s="18"/>
      <c r="E27" s="17"/>
      <c r="F27" s="17"/>
      <c r="G27" s="17"/>
      <c r="H27" s="18"/>
      <c r="I27" s="17"/>
      <c r="J27" s="17"/>
      <c r="K27" s="17"/>
      <c r="L27" s="18"/>
      <c r="M27" s="18"/>
      <c r="N27" s="24" t="str">
        <f aca="true">IF(OR(B27="",M27="",E27="Left",E27="Paused"),"",IF(M27&lt;TODAY(),"Overdue",IF(M27-TODAY()&lt;=7,"This week","")))</f>
        <v/>
      </c>
      <c r="O27" s="17"/>
    </row>
    <row r="28" customFormat="false" ht="15" hidden="false" customHeight="false" outlineLevel="0" collapsed="false">
      <c r="A28" s="17"/>
      <c r="B28" s="17"/>
      <c r="C28" s="17"/>
      <c r="D28" s="18"/>
      <c r="E28" s="17"/>
      <c r="F28" s="17"/>
      <c r="G28" s="17"/>
      <c r="H28" s="18"/>
      <c r="I28" s="17"/>
      <c r="J28" s="17"/>
      <c r="K28" s="17"/>
      <c r="L28" s="18"/>
      <c r="M28" s="18"/>
      <c r="N28" s="24" t="str">
        <f aca="true">IF(OR(B28="",M28="",E28="Left",E28="Paused"),"",IF(M28&lt;TODAY(),"Overdue",IF(M28-TODAY()&lt;=7,"This week","")))</f>
        <v/>
      </c>
      <c r="O28" s="17"/>
    </row>
    <row r="29" customFormat="false" ht="15" hidden="false" customHeight="false" outlineLevel="0" collapsed="false">
      <c r="A29" s="17"/>
      <c r="B29" s="17"/>
      <c r="C29" s="17"/>
      <c r="D29" s="18"/>
      <c r="E29" s="17"/>
      <c r="F29" s="17"/>
      <c r="G29" s="17"/>
      <c r="H29" s="18"/>
      <c r="I29" s="17"/>
      <c r="J29" s="17"/>
      <c r="K29" s="17"/>
      <c r="L29" s="18"/>
      <c r="M29" s="18"/>
      <c r="N29" s="24" t="str">
        <f aca="true">IF(OR(B29="",M29="",E29="Left",E29="Paused"),"",IF(M29&lt;TODAY(),"Overdue",IF(M29-TODAY()&lt;=7,"This week","")))</f>
        <v/>
      </c>
      <c r="O29" s="17"/>
    </row>
    <row r="30" customFormat="false" ht="15" hidden="false" customHeight="false" outlineLevel="0" collapsed="false">
      <c r="A30" s="17"/>
      <c r="B30" s="17"/>
      <c r="C30" s="17"/>
      <c r="D30" s="18"/>
      <c r="E30" s="17"/>
      <c r="F30" s="17"/>
      <c r="G30" s="17"/>
      <c r="H30" s="18"/>
      <c r="I30" s="17"/>
      <c r="J30" s="17"/>
      <c r="K30" s="17"/>
      <c r="L30" s="18"/>
      <c r="M30" s="18"/>
      <c r="N30" s="24" t="str">
        <f aca="true">IF(OR(B30="",M30="",E30="Left",E30="Paused"),"",IF(M30&lt;TODAY(),"Overdue",IF(M30-TODAY()&lt;=7,"This week","")))</f>
        <v/>
      </c>
      <c r="O30" s="17"/>
    </row>
    <row r="31" customFormat="false" ht="15" hidden="false" customHeight="false" outlineLevel="0" collapsed="false">
      <c r="A31" s="17"/>
      <c r="B31" s="17"/>
      <c r="C31" s="17"/>
      <c r="D31" s="18"/>
      <c r="E31" s="17"/>
      <c r="F31" s="17"/>
      <c r="G31" s="17"/>
      <c r="H31" s="18"/>
      <c r="I31" s="17"/>
      <c r="J31" s="17"/>
      <c r="K31" s="17"/>
      <c r="L31" s="18"/>
      <c r="M31" s="18"/>
      <c r="N31" s="24" t="str">
        <f aca="true">IF(OR(B31="",M31="",E31="Left",E31="Paused"),"",IF(M31&lt;TODAY(),"Overdue",IF(M31-TODAY()&lt;=7,"This week","")))</f>
        <v/>
      </c>
      <c r="O31" s="17"/>
    </row>
    <row r="32" customFormat="false" ht="15" hidden="false" customHeight="false" outlineLevel="0" collapsed="false">
      <c r="A32" s="17"/>
      <c r="B32" s="17"/>
      <c r="C32" s="17"/>
      <c r="D32" s="18"/>
      <c r="E32" s="17"/>
      <c r="F32" s="17"/>
      <c r="G32" s="17"/>
      <c r="H32" s="18"/>
      <c r="I32" s="17"/>
      <c r="J32" s="17"/>
      <c r="K32" s="17"/>
      <c r="L32" s="18"/>
      <c r="M32" s="18"/>
      <c r="N32" s="24" t="str">
        <f aca="true">IF(OR(B32="",M32="",E32="Left",E32="Paused"),"",IF(M32&lt;TODAY(),"Overdue",IF(M32-TODAY()&lt;=7,"This week","")))</f>
        <v/>
      </c>
      <c r="O32" s="17"/>
    </row>
    <row r="33" customFormat="false" ht="15" hidden="false" customHeight="false" outlineLevel="0" collapsed="false">
      <c r="A33" s="17"/>
      <c r="B33" s="17"/>
      <c r="C33" s="17"/>
      <c r="D33" s="18"/>
      <c r="E33" s="17"/>
      <c r="F33" s="17"/>
      <c r="G33" s="17"/>
      <c r="H33" s="18"/>
      <c r="I33" s="17"/>
      <c r="J33" s="17"/>
      <c r="K33" s="17"/>
      <c r="L33" s="18"/>
      <c r="M33" s="18"/>
      <c r="N33" s="24" t="str">
        <f aca="true">IF(OR(B33="",M33="",E33="Left",E33="Paused"),"",IF(M33&lt;TODAY(),"Overdue",IF(M33-TODAY()&lt;=7,"This week","")))</f>
        <v/>
      </c>
      <c r="O33" s="17"/>
    </row>
    <row r="34" customFormat="false" ht="15" hidden="false" customHeight="false" outlineLevel="0" collapsed="false">
      <c r="A34" s="17"/>
      <c r="B34" s="17"/>
      <c r="C34" s="17"/>
      <c r="D34" s="18"/>
      <c r="E34" s="17"/>
      <c r="F34" s="17"/>
      <c r="G34" s="17"/>
      <c r="H34" s="18"/>
      <c r="I34" s="17"/>
      <c r="J34" s="17"/>
      <c r="K34" s="17"/>
      <c r="L34" s="18"/>
      <c r="M34" s="18"/>
      <c r="N34" s="24" t="str">
        <f aca="true">IF(OR(B34="",M34="",E34="Left",E34="Paused"),"",IF(M34&lt;TODAY(),"Overdue",IF(M34-TODAY()&lt;=7,"This week","")))</f>
        <v/>
      </c>
      <c r="O34" s="17"/>
    </row>
    <row r="35" customFormat="false" ht="15" hidden="false" customHeight="false" outlineLevel="0" collapsed="false">
      <c r="A35" s="17"/>
      <c r="B35" s="17"/>
      <c r="C35" s="17"/>
      <c r="D35" s="18"/>
      <c r="E35" s="17"/>
      <c r="F35" s="17"/>
      <c r="G35" s="17"/>
      <c r="H35" s="18"/>
      <c r="I35" s="17"/>
      <c r="J35" s="17"/>
      <c r="K35" s="17"/>
      <c r="L35" s="18"/>
      <c r="M35" s="18"/>
      <c r="N35" s="24" t="str">
        <f aca="true">IF(OR(B35="",M35="",E35="Left",E35="Paused"),"",IF(M35&lt;TODAY(),"Overdue",IF(M35-TODAY()&lt;=7,"This week","")))</f>
        <v/>
      </c>
      <c r="O35" s="17"/>
    </row>
    <row r="36" customFormat="false" ht="15" hidden="false" customHeight="false" outlineLevel="0" collapsed="false">
      <c r="A36" s="17"/>
      <c r="B36" s="17"/>
      <c r="C36" s="17"/>
      <c r="D36" s="18"/>
      <c r="E36" s="17"/>
      <c r="F36" s="17"/>
      <c r="G36" s="17"/>
      <c r="H36" s="18"/>
      <c r="I36" s="17"/>
      <c r="J36" s="17"/>
      <c r="K36" s="17"/>
      <c r="L36" s="18"/>
      <c r="M36" s="18"/>
      <c r="N36" s="24" t="str">
        <f aca="true">IF(OR(B36="",M36="",E36="Left",E36="Paused"),"",IF(M36&lt;TODAY(),"Overdue",IF(M36-TODAY()&lt;=7,"This week","")))</f>
        <v/>
      </c>
      <c r="O36" s="17"/>
    </row>
    <row r="37" customFormat="false" ht="15" hidden="false" customHeight="false" outlineLevel="0" collapsed="false">
      <c r="A37" s="17"/>
      <c r="B37" s="17"/>
      <c r="C37" s="17"/>
      <c r="D37" s="18"/>
      <c r="E37" s="17"/>
      <c r="F37" s="17"/>
      <c r="G37" s="17"/>
      <c r="H37" s="18"/>
      <c r="I37" s="17"/>
      <c r="J37" s="17"/>
      <c r="K37" s="17"/>
      <c r="L37" s="18"/>
      <c r="M37" s="18"/>
      <c r="N37" s="24" t="str">
        <f aca="true">IF(OR(B37="",M37="",E37="Left",E37="Paused"),"",IF(M37&lt;TODAY(),"Overdue",IF(M37-TODAY()&lt;=7,"This week","")))</f>
        <v/>
      </c>
      <c r="O37" s="17"/>
    </row>
    <row r="38" customFormat="false" ht="15" hidden="false" customHeight="false" outlineLevel="0" collapsed="false">
      <c r="A38" s="17"/>
      <c r="B38" s="17"/>
      <c r="C38" s="17"/>
      <c r="D38" s="18"/>
      <c r="E38" s="17"/>
      <c r="F38" s="17"/>
      <c r="G38" s="17"/>
      <c r="H38" s="18"/>
      <c r="I38" s="17"/>
      <c r="J38" s="17"/>
      <c r="K38" s="17"/>
      <c r="L38" s="18"/>
      <c r="M38" s="18"/>
      <c r="N38" s="24" t="str">
        <f aca="true">IF(OR(B38="",M38="",E38="Left",E38="Paused"),"",IF(M38&lt;TODAY(),"Overdue",IF(M38-TODAY()&lt;=7,"This week","")))</f>
        <v/>
      </c>
      <c r="O38" s="17"/>
    </row>
    <row r="39" customFormat="false" ht="15" hidden="false" customHeight="false" outlineLevel="0" collapsed="false">
      <c r="A39" s="17"/>
      <c r="B39" s="17"/>
      <c r="C39" s="17"/>
      <c r="D39" s="18"/>
      <c r="E39" s="17"/>
      <c r="F39" s="17"/>
      <c r="G39" s="17"/>
      <c r="H39" s="18"/>
      <c r="I39" s="17"/>
      <c r="J39" s="17"/>
      <c r="K39" s="17"/>
      <c r="L39" s="18"/>
      <c r="M39" s="18"/>
      <c r="N39" s="24" t="str">
        <f aca="true">IF(OR(B39="",M39="",E39="Left",E39="Paused"),"",IF(M39&lt;TODAY(),"Overdue",IF(M39-TODAY()&lt;=7,"This week","")))</f>
        <v/>
      </c>
      <c r="O39" s="17"/>
    </row>
    <row r="40" customFormat="false" ht="15" hidden="false" customHeight="false" outlineLevel="0" collapsed="false">
      <c r="A40" s="17"/>
      <c r="B40" s="17"/>
      <c r="C40" s="17"/>
      <c r="D40" s="18"/>
      <c r="E40" s="17"/>
      <c r="F40" s="17"/>
      <c r="G40" s="17"/>
      <c r="H40" s="18"/>
      <c r="I40" s="17"/>
      <c r="J40" s="17"/>
      <c r="K40" s="17"/>
      <c r="L40" s="18"/>
      <c r="M40" s="18"/>
      <c r="N40" s="24" t="str">
        <f aca="true">IF(OR(B40="",M40="",E40="Left",E40="Paused"),"",IF(M40&lt;TODAY(),"Overdue",IF(M40-TODAY()&lt;=7,"This week","")))</f>
        <v/>
      </c>
      <c r="O40" s="17"/>
    </row>
    <row r="41" customFormat="false" ht="15" hidden="false" customHeight="false" outlineLevel="0" collapsed="false">
      <c r="A41" s="17"/>
      <c r="B41" s="17"/>
      <c r="C41" s="17"/>
      <c r="D41" s="18"/>
      <c r="E41" s="17"/>
      <c r="F41" s="17"/>
      <c r="G41" s="17"/>
      <c r="H41" s="18"/>
      <c r="I41" s="17"/>
      <c r="J41" s="17"/>
      <c r="K41" s="17"/>
      <c r="L41" s="18"/>
      <c r="M41" s="18"/>
      <c r="N41" s="24" t="str">
        <f aca="true">IF(OR(B41="",M41="",E41="Left",E41="Paused"),"",IF(M41&lt;TODAY(),"Overdue",IF(M41-TODAY()&lt;=7,"This week","")))</f>
        <v/>
      </c>
      <c r="O41" s="17"/>
    </row>
    <row r="42" customFormat="false" ht="15" hidden="false" customHeight="false" outlineLevel="0" collapsed="false">
      <c r="A42" s="17"/>
      <c r="B42" s="17"/>
      <c r="C42" s="17"/>
      <c r="D42" s="18"/>
      <c r="E42" s="17"/>
      <c r="F42" s="17"/>
      <c r="G42" s="17"/>
      <c r="H42" s="18"/>
      <c r="I42" s="17"/>
      <c r="J42" s="17"/>
      <c r="K42" s="17"/>
      <c r="L42" s="18"/>
      <c r="M42" s="18"/>
      <c r="N42" s="24" t="str">
        <f aca="true">IF(OR(B42="",M42="",E42="Left",E42="Paused"),"",IF(M42&lt;TODAY(),"Overdue",IF(M42-TODAY()&lt;=7,"This week","")))</f>
        <v/>
      </c>
      <c r="O42" s="17"/>
    </row>
    <row r="43" customFormat="false" ht="15" hidden="false" customHeight="false" outlineLevel="0" collapsed="false">
      <c r="A43" s="17"/>
      <c r="B43" s="17"/>
      <c r="C43" s="17"/>
      <c r="D43" s="18"/>
      <c r="E43" s="17"/>
      <c r="F43" s="17"/>
      <c r="G43" s="17"/>
      <c r="H43" s="18"/>
      <c r="I43" s="17"/>
      <c r="J43" s="17"/>
      <c r="K43" s="17"/>
      <c r="L43" s="18"/>
      <c r="M43" s="18"/>
      <c r="N43" s="24" t="str">
        <f aca="true">IF(OR(B43="",M43="",E43="Left",E43="Paused"),"",IF(M43&lt;TODAY(),"Overdue",IF(M43-TODAY()&lt;=7,"This week","")))</f>
        <v/>
      </c>
      <c r="O43" s="17"/>
    </row>
    <row r="44" customFormat="false" ht="15" hidden="false" customHeight="false" outlineLevel="0" collapsed="false">
      <c r="A44" s="17"/>
      <c r="B44" s="17"/>
      <c r="C44" s="17"/>
      <c r="D44" s="18"/>
      <c r="E44" s="17"/>
      <c r="F44" s="17"/>
      <c r="G44" s="17"/>
      <c r="H44" s="18"/>
      <c r="I44" s="17"/>
      <c r="J44" s="17"/>
      <c r="K44" s="17"/>
      <c r="L44" s="18"/>
      <c r="M44" s="18"/>
      <c r="N44" s="24" t="str">
        <f aca="true">IF(OR(B44="",M44="",E44="Left",E44="Paused"),"",IF(M44&lt;TODAY(),"Overdue",IF(M44-TODAY()&lt;=7,"This week","")))</f>
        <v/>
      </c>
      <c r="O44" s="17"/>
    </row>
    <row r="45" customFormat="false" ht="15" hidden="false" customHeight="false" outlineLevel="0" collapsed="false">
      <c r="A45" s="17"/>
      <c r="B45" s="17"/>
      <c r="C45" s="17"/>
      <c r="D45" s="18"/>
      <c r="E45" s="17"/>
      <c r="F45" s="17"/>
      <c r="G45" s="17"/>
      <c r="H45" s="18"/>
      <c r="I45" s="17"/>
      <c r="J45" s="17"/>
      <c r="K45" s="17"/>
      <c r="L45" s="18"/>
      <c r="M45" s="18"/>
      <c r="N45" s="24" t="str">
        <f aca="true">IF(OR(B45="",M45="",E45="Left",E45="Paused"),"",IF(M45&lt;TODAY(),"Overdue",IF(M45-TODAY()&lt;=7,"This week","")))</f>
        <v/>
      </c>
      <c r="O45" s="17"/>
    </row>
    <row r="46" customFormat="false" ht="15" hidden="false" customHeight="false" outlineLevel="0" collapsed="false">
      <c r="A46" s="17"/>
      <c r="B46" s="17"/>
      <c r="C46" s="17"/>
      <c r="D46" s="18"/>
      <c r="E46" s="17"/>
      <c r="F46" s="17"/>
      <c r="G46" s="17"/>
      <c r="H46" s="18"/>
      <c r="I46" s="17"/>
      <c r="J46" s="17"/>
      <c r="K46" s="17"/>
      <c r="L46" s="18"/>
      <c r="M46" s="18"/>
      <c r="N46" s="24" t="str">
        <f aca="true">IF(OR(B46="",M46="",E46="Left",E46="Paused"),"",IF(M46&lt;TODAY(),"Overdue",IF(M46-TODAY()&lt;=7,"This week","")))</f>
        <v/>
      </c>
      <c r="O46" s="17"/>
    </row>
    <row r="47" customFormat="false" ht="15" hidden="false" customHeight="false" outlineLevel="0" collapsed="false">
      <c r="A47" s="17"/>
      <c r="B47" s="17"/>
      <c r="C47" s="17"/>
      <c r="D47" s="18"/>
      <c r="E47" s="17"/>
      <c r="F47" s="17"/>
      <c r="G47" s="17"/>
      <c r="H47" s="18"/>
      <c r="I47" s="17"/>
      <c r="J47" s="17"/>
      <c r="K47" s="17"/>
      <c r="L47" s="18"/>
      <c r="M47" s="18"/>
      <c r="N47" s="24" t="str">
        <f aca="true">IF(OR(B47="",M47="",E47="Left",E47="Paused"),"",IF(M47&lt;TODAY(),"Overdue",IF(M47-TODAY()&lt;=7,"This week","")))</f>
        <v/>
      </c>
      <c r="O47" s="17"/>
    </row>
    <row r="48" customFormat="false" ht="15" hidden="false" customHeight="false" outlineLevel="0" collapsed="false">
      <c r="A48" s="17"/>
      <c r="B48" s="17"/>
      <c r="C48" s="17"/>
      <c r="D48" s="18"/>
      <c r="E48" s="17"/>
      <c r="F48" s="17"/>
      <c r="G48" s="17"/>
      <c r="H48" s="18"/>
      <c r="I48" s="17"/>
      <c r="J48" s="17"/>
      <c r="K48" s="17"/>
      <c r="L48" s="18"/>
      <c r="M48" s="18"/>
      <c r="N48" s="24" t="str">
        <f aca="true">IF(OR(B48="",M48="",E48="Left",E48="Paused"),"",IF(M48&lt;TODAY(),"Overdue",IF(M48-TODAY()&lt;=7,"This week","")))</f>
        <v/>
      </c>
      <c r="O48" s="17"/>
    </row>
    <row r="49" customFormat="false" ht="15" hidden="false" customHeight="false" outlineLevel="0" collapsed="false">
      <c r="A49" s="17"/>
      <c r="B49" s="17"/>
      <c r="C49" s="17"/>
      <c r="D49" s="18"/>
      <c r="E49" s="17"/>
      <c r="F49" s="17"/>
      <c r="G49" s="17"/>
      <c r="H49" s="18"/>
      <c r="I49" s="17"/>
      <c r="J49" s="17"/>
      <c r="K49" s="17"/>
      <c r="L49" s="18"/>
      <c r="M49" s="18"/>
      <c r="N49" s="24" t="str">
        <f aca="true">IF(OR(B49="",M49="",E49="Left",E49="Paused"),"",IF(M49&lt;TODAY(),"Overdue",IF(M49-TODAY()&lt;=7,"This week","")))</f>
        <v/>
      </c>
      <c r="O49" s="17"/>
    </row>
    <row r="50" customFormat="false" ht="15" hidden="false" customHeight="false" outlineLevel="0" collapsed="false">
      <c r="A50" s="17"/>
      <c r="B50" s="17"/>
      <c r="C50" s="17"/>
      <c r="D50" s="18"/>
      <c r="E50" s="17"/>
      <c r="F50" s="17"/>
      <c r="G50" s="17"/>
      <c r="H50" s="18"/>
      <c r="I50" s="17"/>
      <c r="J50" s="17"/>
      <c r="K50" s="17"/>
      <c r="L50" s="18"/>
      <c r="M50" s="18"/>
      <c r="N50" s="24" t="str">
        <f aca="true">IF(OR(B50="",M50="",E50="Left",E50="Paused"),"",IF(M50&lt;TODAY(),"Overdue",IF(M50-TODAY()&lt;=7,"This week","")))</f>
        <v/>
      </c>
      <c r="O50" s="17"/>
    </row>
    <row r="51" customFormat="false" ht="15" hidden="false" customHeight="false" outlineLevel="0" collapsed="false">
      <c r="A51" s="17"/>
      <c r="B51" s="17"/>
      <c r="C51" s="17"/>
      <c r="D51" s="18"/>
      <c r="E51" s="17"/>
      <c r="F51" s="17"/>
      <c r="G51" s="17"/>
      <c r="H51" s="18"/>
      <c r="I51" s="17"/>
      <c r="J51" s="17"/>
      <c r="K51" s="17"/>
      <c r="L51" s="18"/>
      <c r="M51" s="18"/>
      <c r="N51" s="24" t="str">
        <f aca="true">IF(OR(B51="",M51="",E51="Left",E51="Paused"),"",IF(M51&lt;TODAY(),"Overdue",IF(M51-TODAY()&lt;=7,"This week","")))</f>
        <v/>
      </c>
      <c r="O51" s="17"/>
    </row>
    <row r="52" customFormat="false" ht="15" hidden="false" customHeight="false" outlineLevel="0" collapsed="false">
      <c r="A52" s="17"/>
      <c r="B52" s="17"/>
      <c r="C52" s="17"/>
      <c r="D52" s="18"/>
      <c r="E52" s="17"/>
      <c r="F52" s="17"/>
      <c r="G52" s="17"/>
      <c r="H52" s="18"/>
      <c r="I52" s="17"/>
      <c r="J52" s="17"/>
      <c r="K52" s="17"/>
      <c r="L52" s="18"/>
      <c r="M52" s="18"/>
      <c r="N52" s="24" t="str">
        <f aca="true">IF(OR(B52="",M52="",E52="Left",E52="Paused"),"",IF(M52&lt;TODAY(),"Overdue",IF(M52-TODAY()&lt;=7,"This week","")))</f>
        <v/>
      </c>
      <c r="O52" s="17"/>
    </row>
    <row r="53" customFormat="false" ht="15" hidden="false" customHeight="false" outlineLevel="0" collapsed="false">
      <c r="A53" s="17"/>
      <c r="B53" s="17"/>
      <c r="C53" s="17"/>
      <c r="D53" s="18"/>
      <c r="E53" s="17"/>
      <c r="F53" s="17"/>
      <c r="G53" s="17"/>
      <c r="H53" s="18"/>
      <c r="I53" s="17"/>
      <c r="J53" s="17"/>
      <c r="K53" s="17"/>
      <c r="L53" s="18"/>
      <c r="M53" s="18"/>
      <c r="N53" s="24" t="str">
        <f aca="true">IF(OR(B53="",M53="",E53="Left",E53="Paused"),"",IF(M53&lt;TODAY(),"Overdue",IF(M53-TODAY()&lt;=7,"This week","")))</f>
        <v/>
      </c>
      <c r="O53" s="17"/>
    </row>
    <row r="54" customFormat="false" ht="15" hidden="false" customHeight="false" outlineLevel="0" collapsed="false">
      <c r="A54" s="17"/>
      <c r="B54" s="17"/>
      <c r="C54" s="17"/>
      <c r="D54" s="18"/>
      <c r="E54" s="17"/>
      <c r="F54" s="17"/>
      <c r="G54" s="17"/>
      <c r="H54" s="18"/>
      <c r="I54" s="17"/>
      <c r="J54" s="17"/>
      <c r="K54" s="17"/>
      <c r="L54" s="18"/>
      <c r="M54" s="18"/>
      <c r="N54" s="24" t="str">
        <f aca="true">IF(OR(B54="",M54="",E54="Left",E54="Paused"),"",IF(M54&lt;TODAY(),"Overdue",IF(M54-TODAY()&lt;=7,"This week","")))</f>
        <v/>
      </c>
      <c r="O54" s="17"/>
    </row>
    <row r="55" customFormat="false" ht="15" hidden="false" customHeight="false" outlineLevel="0" collapsed="false">
      <c r="A55" s="17"/>
      <c r="B55" s="17"/>
      <c r="C55" s="17"/>
      <c r="D55" s="18"/>
      <c r="E55" s="17"/>
      <c r="F55" s="17"/>
      <c r="G55" s="17"/>
      <c r="H55" s="18"/>
      <c r="I55" s="17"/>
      <c r="J55" s="17"/>
      <c r="K55" s="17"/>
      <c r="L55" s="18"/>
      <c r="M55" s="18"/>
      <c r="N55" s="24" t="str">
        <f aca="true">IF(OR(B55="",M55="",E55="Left",E55="Paused"),"",IF(M55&lt;TODAY(),"Overdue",IF(M55-TODAY()&lt;=7,"This week","")))</f>
        <v/>
      </c>
      <c r="O55" s="17"/>
    </row>
    <row r="56" customFormat="false" ht="15" hidden="false" customHeight="false" outlineLevel="0" collapsed="false">
      <c r="A56" s="17"/>
      <c r="B56" s="17"/>
      <c r="C56" s="17"/>
      <c r="D56" s="18"/>
      <c r="E56" s="17"/>
      <c r="F56" s="17"/>
      <c r="G56" s="17"/>
      <c r="H56" s="18"/>
      <c r="I56" s="17"/>
      <c r="J56" s="17"/>
      <c r="K56" s="17"/>
      <c r="L56" s="18"/>
      <c r="M56" s="18"/>
      <c r="N56" s="24" t="str">
        <f aca="true">IF(OR(B56="",M56="",E56="Left",E56="Paused"),"",IF(M56&lt;TODAY(),"Overdue",IF(M56-TODAY()&lt;=7,"This week","")))</f>
        <v/>
      </c>
      <c r="O56" s="17"/>
    </row>
    <row r="57" customFormat="false" ht="15" hidden="false" customHeight="false" outlineLevel="0" collapsed="false">
      <c r="A57" s="17"/>
      <c r="B57" s="17"/>
      <c r="C57" s="17"/>
      <c r="D57" s="18"/>
      <c r="E57" s="17"/>
      <c r="F57" s="17"/>
      <c r="G57" s="17"/>
      <c r="H57" s="18"/>
      <c r="I57" s="17"/>
      <c r="J57" s="17"/>
      <c r="K57" s="17"/>
      <c r="L57" s="18"/>
      <c r="M57" s="18"/>
      <c r="N57" s="24" t="str">
        <f aca="true">IF(OR(B57="",M57="",E57="Left",E57="Paused"),"",IF(M57&lt;TODAY(),"Overdue",IF(M57-TODAY()&lt;=7,"This week","")))</f>
        <v/>
      </c>
      <c r="O57" s="17"/>
    </row>
    <row r="58" customFormat="false" ht="15" hidden="false" customHeight="false" outlineLevel="0" collapsed="false">
      <c r="A58" s="17"/>
      <c r="B58" s="17"/>
      <c r="C58" s="17"/>
      <c r="D58" s="18"/>
      <c r="E58" s="17"/>
      <c r="F58" s="17"/>
      <c r="G58" s="17"/>
      <c r="H58" s="18"/>
      <c r="I58" s="17"/>
      <c r="J58" s="17"/>
      <c r="K58" s="17"/>
      <c r="L58" s="18"/>
      <c r="M58" s="18"/>
      <c r="N58" s="24" t="str">
        <f aca="true">IF(OR(B58="",M58="",E58="Left",E58="Paused"),"",IF(M58&lt;TODAY(),"Overdue",IF(M58-TODAY()&lt;=7,"This week","")))</f>
        <v/>
      </c>
      <c r="O58" s="17"/>
    </row>
    <row r="59" customFormat="false" ht="15" hidden="false" customHeight="false" outlineLevel="0" collapsed="false">
      <c r="A59" s="17"/>
      <c r="B59" s="17"/>
      <c r="C59" s="17"/>
      <c r="D59" s="18"/>
      <c r="E59" s="17"/>
      <c r="F59" s="17"/>
      <c r="G59" s="17"/>
      <c r="H59" s="18"/>
      <c r="I59" s="17"/>
      <c r="J59" s="17"/>
      <c r="K59" s="17"/>
      <c r="L59" s="18"/>
      <c r="M59" s="18"/>
      <c r="N59" s="24" t="str">
        <f aca="true">IF(OR(B59="",M59="",E59="Left",E59="Paused"),"",IF(M59&lt;TODAY(),"Overdue",IF(M59-TODAY()&lt;=7,"This week","")))</f>
        <v/>
      </c>
      <c r="O59" s="17"/>
    </row>
    <row r="60" customFormat="false" ht="15" hidden="false" customHeight="false" outlineLevel="0" collapsed="false">
      <c r="A60" s="17"/>
      <c r="B60" s="17"/>
      <c r="C60" s="17"/>
      <c r="D60" s="18"/>
      <c r="E60" s="17"/>
      <c r="F60" s="17"/>
      <c r="G60" s="17"/>
      <c r="H60" s="18"/>
      <c r="I60" s="17"/>
      <c r="J60" s="17"/>
      <c r="K60" s="17"/>
      <c r="L60" s="18"/>
      <c r="M60" s="18"/>
      <c r="N60" s="24" t="str">
        <f aca="true">IF(OR(B60="",M60="",E60="Left",E60="Paused"),"",IF(M60&lt;TODAY(),"Overdue",IF(M60-TODAY()&lt;=7,"This week","")))</f>
        <v/>
      </c>
      <c r="O60" s="17"/>
    </row>
    <row r="61" customFormat="false" ht="15" hidden="false" customHeight="false" outlineLevel="0" collapsed="false">
      <c r="A61" s="17"/>
      <c r="B61" s="17"/>
      <c r="C61" s="17"/>
      <c r="D61" s="18"/>
      <c r="E61" s="17"/>
      <c r="F61" s="17"/>
      <c r="G61" s="17"/>
      <c r="H61" s="18"/>
      <c r="I61" s="17"/>
      <c r="J61" s="17"/>
      <c r="K61" s="17"/>
      <c r="L61" s="18"/>
      <c r="M61" s="18"/>
      <c r="N61" s="24" t="str">
        <f aca="true">IF(OR(B61="",M61="",E61="Left",E61="Paused"),"",IF(M61&lt;TODAY(),"Overdue",IF(M61-TODAY()&lt;=7,"This week","")))</f>
        <v/>
      </c>
      <c r="O61" s="17"/>
    </row>
    <row r="62" customFormat="false" ht="15" hidden="false" customHeight="false" outlineLevel="0" collapsed="false">
      <c r="A62" s="17"/>
      <c r="B62" s="17"/>
      <c r="C62" s="17"/>
      <c r="D62" s="18"/>
      <c r="E62" s="17"/>
      <c r="F62" s="17"/>
      <c r="G62" s="17"/>
      <c r="H62" s="18"/>
      <c r="I62" s="17"/>
      <c r="J62" s="17"/>
      <c r="K62" s="17"/>
      <c r="L62" s="18"/>
      <c r="M62" s="18"/>
      <c r="N62" s="24" t="str">
        <f aca="true">IF(OR(B62="",M62="",E62="Left",E62="Paused"),"",IF(M62&lt;TODAY(),"Overdue",IF(M62-TODAY()&lt;=7,"This week","")))</f>
        <v/>
      </c>
      <c r="O62" s="17"/>
    </row>
    <row r="63" customFormat="false" ht="15" hidden="false" customHeight="false" outlineLevel="0" collapsed="false">
      <c r="A63" s="17"/>
      <c r="B63" s="17"/>
      <c r="C63" s="17"/>
      <c r="D63" s="18"/>
      <c r="E63" s="17"/>
      <c r="F63" s="17"/>
      <c r="G63" s="17"/>
      <c r="H63" s="18"/>
      <c r="I63" s="17"/>
      <c r="J63" s="17"/>
      <c r="K63" s="17"/>
      <c r="L63" s="18"/>
      <c r="M63" s="18"/>
      <c r="N63" s="24" t="str">
        <f aca="true">IF(OR(B63="",M63="",E63="Left",E63="Paused"),"",IF(M63&lt;TODAY(),"Overdue",IF(M63-TODAY()&lt;=7,"This week","")))</f>
        <v/>
      </c>
      <c r="O63" s="17"/>
    </row>
    <row r="64" customFormat="false" ht="15" hidden="false" customHeight="false" outlineLevel="0" collapsed="false">
      <c r="A64" s="17"/>
      <c r="B64" s="17"/>
      <c r="C64" s="17"/>
      <c r="D64" s="18"/>
      <c r="E64" s="17"/>
      <c r="F64" s="17"/>
      <c r="G64" s="17"/>
      <c r="H64" s="18"/>
      <c r="I64" s="17"/>
      <c r="J64" s="17"/>
      <c r="K64" s="17"/>
      <c r="L64" s="18"/>
      <c r="M64" s="18"/>
      <c r="N64" s="24" t="str">
        <f aca="true">IF(OR(B64="",M64="",E64="Left",E64="Paused"),"",IF(M64&lt;TODAY(),"Overdue",IF(M64-TODAY()&lt;=7,"This week","")))</f>
        <v/>
      </c>
      <c r="O64" s="17"/>
    </row>
    <row r="65" customFormat="false" ht="15" hidden="false" customHeight="false" outlineLevel="0" collapsed="false">
      <c r="A65" s="17"/>
      <c r="B65" s="17"/>
      <c r="C65" s="17"/>
      <c r="D65" s="18"/>
      <c r="E65" s="17"/>
      <c r="F65" s="17"/>
      <c r="G65" s="17"/>
      <c r="H65" s="18"/>
      <c r="I65" s="17"/>
      <c r="J65" s="17"/>
      <c r="K65" s="17"/>
      <c r="L65" s="18"/>
      <c r="M65" s="18"/>
      <c r="N65" s="24" t="str">
        <f aca="true">IF(OR(B65="",M65="",E65="Left",E65="Paused"),"",IF(M65&lt;TODAY(),"Overdue",IF(M65-TODAY()&lt;=7,"This week","")))</f>
        <v/>
      </c>
      <c r="O65" s="17"/>
    </row>
    <row r="66" customFormat="false" ht="15" hidden="false" customHeight="false" outlineLevel="0" collapsed="false">
      <c r="A66" s="17"/>
      <c r="B66" s="17"/>
      <c r="C66" s="17"/>
      <c r="D66" s="18"/>
      <c r="E66" s="17"/>
      <c r="F66" s="17"/>
      <c r="G66" s="17"/>
      <c r="H66" s="18"/>
      <c r="I66" s="17"/>
      <c r="J66" s="17"/>
      <c r="K66" s="17"/>
      <c r="L66" s="18"/>
      <c r="M66" s="18"/>
      <c r="N66" s="24" t="str">
        <f aca="true">IF(OR(B66="",M66="",E66="Left",E66="Paused"),"",IF(M66&lt;TODAY(),"Overdue",IF(M66-TODAY()&lt;=7,"This week","")))</f>
        <v/>
      </c>
      <c r="O66" s="17"/>
    </row>
    <row r="67" customFormat="false" ht="15" hidden="false" customHeight="false" outlineLevel="0" collapsed="false">
      <c r="A67" s="17"/>
      <c r="B67" s="17"/>
      <c r="C67" s="17"/>
      <c r="D67" s="18"/>
      <c r="E67" s="17"/>
      <c r="F67" s="17"/>
      <c r="G67" s="17"/>
      <c r="H67" s="18"/>
      <c r="I67" s="17"/>
      <c r="J67" s="17"/>
      <c r="K67" s="17"/>
      <c r="L67" s="18"/>
      <c r="M67" s="18"/>
      <c r="N67" s="24" t="str">
        <f aca="true">IF(OR(B67="",M67="",E67="Left",E67="Paused"),"",IF(M67&lt;TODAY(),"Overdue",IF(M67-TODAY()&lt;=7,"This week","")))</f>
        <v/>
      </c>
      <c r="O67" s="17"/>
    </row>
    <row r="68" customFormat="false" ht="15" hidden="false" customHeight="false" outlineLevel="0" collapsed="false">
      <c r="A68" s="17"/>
      <c r="B68" s="17"/>
      <c r="C68" s="17"/>
      <c r="D68" s="18"/>
      <c r="E68" s="17"/>
      <c r="F68" s="17"/>
      <c r="G68" s="17"/>
      <c r="H68" s="18"/>
      <c r="I68" s="17"/>
      <c r="J68" s="17"/>
      <c r="K68" s="17"/>
      <c r="L68" s="18"/>
      <c r="M68" s="18"/>
      <c r="N68" s="24" t="str">
        <f aca="true">IF(OR(B68="",M68="",E68="Left",E68="Paused"),"",IF(M68&lt;TODAY(),"Overdue",IF(M68-TODAY()&lt;=7,"This week","")))</f>
        <v/>
      </c>
      <c r="O68" s="17"/>
    </row>
    <row r="69" customFormat="false" ht="15" hidden="false" customHeight="false" outlineLevel="0" collapsed="false">
      <c r="A69" s="17"/>
      <c r="B69" s="17"/>
      <c r="C69" s="17"/>
      <c r="D69" s="18"/>
      <c r="E69" s="17"/>
      <c r="F69" s="17"/>
      <c r="G69" s="17"/>
      <c r="H69" s="18"/>
      <c r="I69" s="17"/>
      <c r="J69" s="17"/>
      <c r="K69" s="17"/>
      <c r="L69" s="18"/>
      <c r="M69" s="18"/>
      <c r="N69" s="24" t="str">
        <f aca="true">IF(OR(B69="",M69="",E69="Left",E69="Paused"),"",IF(M69&lt;TODAY(),"Overdue",IF(M69-TODAY()&lt;=7,"This week","")))</f>
        <v/>
      </c>
      <c r="O69" s="17"/>
    </row>
    <row r="70" customFormat="false" ht="15" hidden="false" customHeight="false" outlineLevel="0" collapsed="false">
      <c r="A70" s="17"/>
      <c r="B70" s="17"/>
      <c r="C70" s="17"/>
      <c r="D70" s="18"/>
      <c r="E70" s="17"/>
      <c r="F70" s="17"/>
      <c r="G70" s="17"/>
      <c r="H70" s="18"/>
      <c r="I70" s="17"/>
      <c r="J70" s="17"/>
      <c r="K70" s="17"/>
      <c r="L70" s="18"/>
      <c r="M70" s="18"/>
      <c r="N70" s="24" t="str">
        <f aca="true">IF(OR(B70="",M70="",E70="Left",E70="Paused"),"",IF(M70&lt;TODAY(),"Overdue",IF(M70-TODAY()&lt;=7,"This week","")))</f>
        <v/>
      </c>
      <c r="O70" s="17"/>
    </row>
    <row r="71" customFormat="false" ht="15" hidden="false" customHeight="false" outlineLevel="0" collapsed="false">
      <c r="A71" s="17"/>
      <c r="B71" s="17"/>
      <c r="C71" s="17"/>
      <c r="D71" s="18"/>
      <c r="E71" s="17"/>
      <c r="F71" s="17"/>
      <c r="G71" s="17"/>
      <c r="H71" s="18"/>
      <c r="I71" s="17"/>
      <c r="J71" s="17"/>
      <c r="K71" s="17"/>
      <c r="L71" s="18"/>
      <c r="M71" s="18"/>
      <c r="N71" s="24" t="str">
        <f aca="true">IF(OR(B71="",M71="",E71="Left",E71="Paused"),"",IF(M71&lt;TODAY(),"Overdue",IF(M71-TODAY()&lt;=7,"This week","")))</f>
        <v/>
      </c>
      <c r="O71" s="17"/>
    </row>
    <row r="72" customFormat="false" ht="15" hidden="false" customHeight="false" outlineLevel="0" collapsed="false">
      <c r="A72" s="17"/>
      <c r="B72" s="17"/>
      <c r="C72" s="17"/>
      <c r="D72" s="18"/>
      <c r="E72" s="17"/>
      <c r="F72" s="17"/>
      <c r="G72" s="17"/>
      <c r="H72" s="18"/>
      <c r="I72" s="17"/>
      <c r="J72" s="17"/>
      <c r="K72" s="17"/>
      <c r="L72" s="18"/>
      <c r="M72" s="18"/>
      <c r="N72" s="24" t="str">
        <f aca="true">IF(OR(B72="",M72="",E72="Left",E72="Paused"),"",IF(M72&lt;TODAY(),"Overdue",IF(M72-TODAY()&lt;=7,"This week","")))</f>
        <v/>
      </c>
      <c r="O72" s="17"/>
    </row>
    <row r="73" customFormat="false" ht="15" hidden="false" customHeight="false" outlineLevel="0" collapsed="false">
      <c r="A73" s="17"/>
      <c r="B73" s="17"/>
      <c r="C73" s="17"/>
      <c r="D73" s="18"/>
      <c r="E73" s="17"/>
      <c r="F73" s="17"/>
      <c r="G73" s="17"/>
      <c r="H73" s="18"/>
      <c r="I73" s="17"/>
      <c r="J73" s="17"/>
      <c r="K73" s="17"/>
      <c r="L73" s="18"/>
      <c r="M73" s="18"/>
      <c r="N73" s="24" t="str">
        <f aca="true">IF(OR(B73="",M73="",E73="Left",E73="Paused"),"",IF(M73&lt;TODAY(),"Overdue",IF(M73-TODAY()&lt;=7,"This week","")))</f>
        <v/>
      </c>
      <c r="O73" s="17"/>
    </row>
    <row r="74" customFormat="false" ht="15" hidden="false" customHeight="false" outlineLevel="0" collapsed="false">
      <c r="A74" s="17"/>
      <c r="B74" s="17"/>
      <c r="C74" s="17"/>
      <c r="D74" s="18"/>
      <c r="E74" s="17"/>
      <c r="F74" s="17"/>
      <c r="G74" s="17"/>
      <c r="H74" s="18"/>
      <c r="I74" s="17"/>
      <c r="J74" s="17"/>
      <c r="K74" s="17"/>
      <c r="L74" s="18"/>
      <c r="M74" s="18"/>
      <c r="N74" s="24" t="str">
        <f aca="true">IF(OR(B74="",M74="",E74="Left",E74="Paused"),"",IF(M74&lt;TODAY(),"Overdue",IF(M74-TODAY()&lt;=7,"This week","")))</f>
        <v/>
      </c>
      <c r="O74" s="17"/>
    </row>
    <row r="75" customFormat="false" ht="15" hidden="false" customHeight="false" outlineLevel="0" collapsed="false">
      <c r="A75" s="17"/>
      <c r="B75" s="17"/>
      <c r="C75" s="17"/>
      <c r="D75" s="18"/>
      <c r="E75" s="17"/>
      <c r="F75" s="17"/>
      <c r="G75" s="17"/>
      <c r="H75" s="18"/>
      <c r="I75" s="17"/>
      <c r="J75" s="17"/>
      <c r="K75" s="17"/>
      <c r="L75" s="18"/>
      <c r="M75" s="18"/>
      <c r="N75" s="24" t="str">
        <f aca="true">IF(OR(B75="",M75="",E75="Left",E75="Paused"),"",IF(M75&lt;TODAY(),"Overdue",IF(M75-TODAY()&lt;=7,"This week","")))</f>
        <v/>
      </c>
      <c r="O75" s="17"/>
    </row>
    <row r="76" customFormat="false" ht="15" hidden="false" customHeight="false" outlineLevel="0" collapsed="false">
      <c r="A76" s="17"/>
      <c r="B76" s="17"/>
      <c r="C76" s="17"/>
      <c r="D76" s="18"/>
      <c r="E76" s="17"/>
      <c r="F76" s="17"/>
      <c r="G76" s="17"/>
      <c r="H76" s="18"/>
      <c r="I76" s="17"/>
      <c r="J76" s="17"/>
      <c r="K76" s="17"/>
      <c r="L76" s="18"/>
      <c r="M76" s="18"/>
      <c r="N76" s="24" t="str">
        <f aca="true">IF(OR(B76="",M76="",E76="Left",E76="Paused"),"",IF(M76&lt;TODAY(),"Overdue",IF(M76-TODAY()&lt;=7,"This week","")))</f>
        <v/>
      </c>
      <c r="O76" s="17"/>
    </row>
    <row r="77" customFormat="false" ht="15" hidden="false" customHeight="false" outlineLevel="0" collapsed="false">
      <c r="A77" s="17"/>
      <c r="B77" s="17"/>
      <c r="C77" s="17"/>
      <c r="D77" s="18"/>
      <c r="E77" s="17"/>
      <c r="F77" s="17"/>
      <c r="G77" s="17"/>
      <c r="H77" s="18"/>
      <c r="I77" s="17"/>
      <c r="J77" s="17"/>
      <c r="K77" s="17"/>
      <c r="L77" s="18"/>
      <c r="M77" s="18"/>
      <c r="N77" s="24" t="str">
        <f aca="true">IF(OR(B77="",M77="",E77="Left",E77="Paused"),"",IF(M77&lt;TODAY(),"Overdue",IF(M77-TODAY()&lt;=7,"This week","")))</f>
        <v/>
      </c>
      <c r="O77" s="17"/>
    </row>
    <row r="78" customFormat="false" ht="15" hidden="false" customHeight="false" outlineLevel="0" collapsed="false">
      <c r="A78" s="17"/>
      <c r="B78" s="17"/>
      <c r="C78" s="17"/>
      <c r="D78" s="18"/>
      <c r="E78" s="17"/>
      <c r="F78" s="17"/>
      <c r="G78" s="17"/>
      <c r="H78" s="18"/>
      <c r="I78" s="17"/>
      <c r="J78" s="17"/>
      <c r="K78" s="17"/>
      <c r="L78" s="18"/>
      <c r="M78" s="18"/>
      <c r="N78" s="24" t="str">
        <f aca="true">IF(OR(B78="",M78="",E78="Left",E78="Paused"),"",IF(M78&lt;TODAY(),"Overdue",IF(M78-TODAY()&lt;=7,"This week","")))</f>
        <v/>
      </c>
      <c r="O78" s="17"/>
    </row>
    <row r="79" customFormat="false" ht="15" hidden="false" customHeight="false" outlineLevel="0" collapsed="false">
      <c r="A79" s="17"/>
      <c r="B79" s="17"/>
      <c r="C79" s="17"/>
      <c r="D79" s="18"/>
      <c r="E79" s="17"/>
      <c r="F79" s="17"/>
      <c r="G79" s="17"/>
      <c r="H79" s="18"/>
      <c r="I79" s="17"/>
      <c r="J79" s="17"/>
      <c r="K79" s="17"/>
      <c r="L79" s="18"/>
      <c r="M79" s="18"/>
      <c r="N79" s="24" t="str">
        <f aca="true">IF(OR(B79="",M79="",E79="Left",E79="Paused"),"",IF(M79&lt;TODAY(),"Overdue",IF(M79-TODAY()&lt;=7,"This week","")))</f>
        <v/>
      </c>
      <c r="O79" s="17"/>
    </row>
    <row r="80" customFormat="false" ht="15" hidden="false" customHeight="false" outlineLevel="0" collapsed="false">
      <c r="A80" s="17"/>
      <c r="B80" s="17"/>
      <c r="C80" s="17"/>
      <c r="D80" s="18"/>
      <c r="E80" s="17"/>
      <c r="F80" s="17"/>
      <c r="G80" s="17"/>
      <c r="H80" s="18"/>
      <c r="I80" s="17"/>
      <c r="J80" s="17"/>
      <c r="K80" s="17"/>
      <c r="L80" s="18"/>
      <c r="M80" s="18"/>
      <c r="N80" s="24" t="str">
        <f aca="true">IF(OR(B80="",M80="",E80="Left",E80="Paused"),"",IF(M80&lt;TODAY(),"Overdue",IF(M80-TODAY()&lt;=7,"This week","")))</f>
        <v/>
      </c>
      <c r="O80" s="17"/>
    </row>
    <row r="81" customFormat="false" ht="15" hidden="false" customHeight="false" outlineLevel="0" collapsed="false">
      <c r="A81" s="17"/>
      <c r="B81" s="17"/>
      <c r="C81" s="17"/>
      <c r="D81" s="18"/>
      <c r="E81" s="17"/>
      <c r="F81" s="17"/>
      <c r="G81" s="17"/>
      <c r="H81" s="18"/>
      <c r="I81" s="17"/>
      <c r="J81" s="17"/>
      <c r="K81" s="17"/>
      <c r="L81" s="18"/>
      <c r="M81" s="18"/>
      <c r="N81" s="24" t="str">
        <f aca="true">IF(OR(B81="",M81="",E81="Left",E81="Paused"),"",IF(M81&lt;TODAY(),"Overdue",IF(M81-TODAY()&lt;=7,"This week","")))</f>
        <v/>
      </c>
      <c r="O81" s="17"/>
    </row>
    <row r="82" customFormat="false" ht="15" hidden="false" customHeight="false" outlineLevel="0" collapsed="false">
      <c r="A82" s="17"/>
      <c r="B82" s="17"/>
      <c r="C82" s="17"/>
      <c r="D82" s="18"/>
      <c r="E82" s="17"/>
      <c r="F82" s="17"/>
      <c r="G82" s="17"/>
      <c r="H82" s="18"/>
      <c r="I82" s="17"/>
      <c r="J82" s="17"/>
      <c r="K82" s="17"/>
      <c r="L82" s="18"/>
      <c r="M82" s="18"/>
      <c r="N82" s="24" t="str">
        <f aca="true">IF(OR(B82="",M82="",E82="Left",E82="Paused"),"",IF(M82&lt;TODAY(),"Overdue",IF(M82-TODAY()&lt;=7,"This week","")))</f>
        <v/>
      </c>
      <c r="O82" s="17"/>
    </row>
    <row r="83" customFormat="false" ht="15" hidden="false" customHeight="false" outlineLevel="0" collapsed="false">
      <c r="A83" s="17"/>
      <c r="B83" s="17"/>
      <c r="C83" s="17"/>
      <c r="D83" s="18"/>
      <c r="E83" s="17"/>
      <c r="F83" s="17"/>
      <c r="G83" s="17"/>
      <c r="H83" s="18"/>
      <c r="I83" s="17"/>
      <c r="J83" s="17"/>
      <c r="K83" s="17"/>
      <c r="L83" s="18"/>
      <c r="M83" s="18"/>
      <c r="N83" s="24" t="str">
        <f aca="true">IF(OR(B83="",M83="",E83="Left",E83="Paused"),"",IF(M83&lt;TODAY(),"Overdue",IF(M83-TODAY()&lt;=7,"This week","")))</f>
        <v/>
      </c>
      <c r="O83" s="17"/>
    </row>
    <row r="84" customFormat="false" ht="15" hidden="false" customHeight="false" outlineLevel="0" collapsed="false">
      <c r="A84" s="17"/>
      <c r="B84" s="17"/>
      <c r="C84" s="17"/>
      <c r="D84" s="18"/>
      <c r="E84" s="17"/>
      <c r="F84" s="17"/>
      <c r="G84" s="17"/>
      <c r="H84" s="18"/>
      <c r="I84" s="17"/>
      <c r="J84" s="17"/>
      <c r="K84" s="17"/>
      <c r="L84" s="18"/>
      <c r="M84" s="18"/>
      <c r="N84" s="24" t="str">
        <f aca="true">IF(OR(B84="",M84="",E84="Left",E84="Paused"),"",IF(M84&lt;TODAY(),"Overdue",IF(M84-TODAY()&lt;=7,"This week","")))</f>
        <v/>
      </c>
      <c r="O84" s="17"/>
    </row>
    <row r="85" customFormat="false" ht="15" hidden="false" customHeight="false" outlineLevel="0" collapsed="false">
      <c r="A85" s="17"/>
      <c r="B85" s="17"/>
      <c r="C85" s="17"/>
      <c r="D85" s="18"/>
      <c r="E85" s="17"/>
      <c r="F85" s="17"/>
      <c r="G85" s="17"/>
      <c r="H85" s="18"/>
      <c r="I85" s="17"/>
      <c r="J85" s="17"/>
      <c r="K85" s="17"/>
      <c r="L85" s="18"/>
      <c r="M85" s="18"/>
      <c r="N85" s="24" t="str">
        <f aca="true">IF(OR(B85="",M85="",E85="Left",E85="Paused"),"",IF(M85&lt;TODAY(),"Overdue",IF(M85-TODAY()&lt;=7,"This week","")))</f>
        <v/>
      </c>
      <c r="O85" s="17"/>
    </row>
    <row r="86" customFormat="false" ht="15" hidden="false" customHeight="false" outlineLevel="0" collapsed="false">
      <c r="A86" s="17"/>
      <c r="B86" s="17"/>
      <c r="C86" s="17"/>
      <c r="D86" s="18"/>
      <c r="E86" s="17"/>
      <c r="F86" s="17"/>
      <c r="G86" s="17"/>
      <c r="H86" s="18"/>
      <c r="I86" s="17"/>
      <c r="J86" s="17"/>
      <c r="K86" s="17"/>
      <c r="L86" s="18"/>
      <c r="M86" s="18"/>
      <c r="N86" s="24" t="str">
        <f aca="true">IF(OR(B86="",M86="",E86="Left",E86="Paused"),"",IF(M86&lt;TODAY(),"Overdue",IF(M86-TODAY()&lt;=7,"This week","")))</f>
        <v/>
      </c>
      <c r="O86" s="17"/>
    </row>
    <row r="87" customFormat="false" ht="15" hidden="false" customHeight="false" outlineLevel="0" collapsed="false">
      <c r="A87" s="17"/>
      <c r="B87" s="17"/>
      <c r="C87" s="17"/>
      <c r="D87" s="18"/>
      <c r="E87" s="17"/>
      <c r="F87" s="17"/>
      <c r="G87" s="17"/>
      <c r="H87" s="18"/>
      <c r="I87" s="17"/>
      <c r="J87" s="17"/>
      <c r="K87" s="17"/>
      <c r="L87" s="18"/>
      <c r="M87" s="18"/>
      <c r="N87" s="24" t="str">
        <f aca="true">IF(OR(B87="",M87="",E87="Left",E87="Paused"),"",IF(M87&lt;TODAY(),"Overdue",IF(M87-TODAY()&lt;=7,"This week","")))</f>
        <v/>
      </c>
      <c r="O87" s="17"/>
    </row>
    <row r="88" customFormat="false" ht="15" hidden="false" customHeight="false" outlineLevel="0" collapsed="false">
      <c r="A88" s="17"/>
      <c r="B88" s="17"/>
      <c r="C88" s="17"/>
      <c r="D88" s="18"/>
      <c r="E88" s="17"/>
      <c r="F88" s="17"/>
      <c r="G88" s="17"/>
      <c r="H88" s="18"/>
      <c r="I88" s="17"/>
      <c r="J88" s="17"/>
      <c r="K88" s="17"/>
      <c r="L88" s="18"/>
      <c r="M88" s="18"/>
      <c r="N88" s="24" t="str">
        <f aca="true">IF(OR(B88="",M88="",E88="Left",E88="Paused"),"",IF(M88&lt;TODAY(),"Overdue",IF(M88-TODAY()&lt;=7,"This week","")))</f>
        <v/>
      </c>
      <c r="O88" s="17"/>
    </row>
    <row r="89" customFormat="false" ht="15" hidden="false" customHeight="false" outlineLevel="0" collapsed="false">
      <c r="A89" s="17"/>
      <c r="B89" s="17"/>
      <c r="C89" s="17"/>
      <c r="D89" s="18"/>
      <c r="E89" s="17"/>
      <c r="F89" s="17"/>
      <c r="G89" s="17"/>
      <c r="H89" s="18"/>
      <c r="I89" s="17"/>
      <c r="J89" s="17"/>
      <c r="K89" s="17"/>
      <c r="L89" s="18"/>
      <c r="M89" s="18"/>
      <c r="N89" s="24" t="str">
        <f aca="true">IF(OR(B89="",M89="",E89="Left",E89="Paused"),"",IF(M89&lt;TODAY(),"Overdue",IF(M89-TODAY()&lt;=7,"This week","")))</f>
        <v/>
      </c>
      <c r="O89" s="17"/>
    </row>
    <row r="90" customFormat="false" ht="15" hidden="false" customHeight="false" outlineLevel="0" collapsed="false">
      <c r="A90" s="17"/>
      <c r="B90" s="17"/>
      <c r="C90" s="17"/>
      <c r="D90" s="18"/>
      <c r="E90" s="17"/>
      <c r="F90" s="17"/>
      <c r="G90" s="17"/>
      <c r="H90" s="18"/>
      <c r="I90" s="17"/>
      <c r="J90" s="17"/>
      <c r="K90" s="17"/>
      <c r="L90" s="18"/>
      <c r="M90" s="18"/>
      <c r="N90" s="24" t="str">
        <f aca="true">IF(OR(B90="",M90="",E90="Left",E90="Paused"),"",IF(M90&lt;TODAY(),"Overdue",IF(M90-TODAY()&lt;=7,"This week","")))</f>
        <v/>
      </c>
      <c r="O90" s="17"/>
    </row>
    <row r="91" customFormat="false" ht="15" hidden="false" customHeight="false" outlineLevel="0" collapsed="false">
      <c r="A91" s="17"/>
      <c r="B91" s="17"/>
      <c r="C91" s="17"/>
      <c r="D91" s="18"/>
      <c r="E91" s="17"/>
      <c r="F91" s="17"/>
      <c r="G91" s="17"/>
      <c r="H91" s="18"/>
      <c r="I91" s="17"/>
      <c r="J91" s="17"/>
      <c r="K91" s="17"/>
      <c r="L91" s="18"/>
      <c r="M91" s="18"/>
      <c r="N91" s="24" t="str">
        <f aca="true">IF(OR(B91="",M91="",E91="Left",E91="Paused"),"",IF(M91&lt;TODAY(),"Overdue",IF(M91-TODAY()&lt;=7,"This week","")))</f>
        <v/>
      </c>
      <c r="O91" s="17"/>
    </row>
    <row r="92" customFormat="false" ht="15" hidden="false" customHeight="false" outlineLevel="0" collapsed="false">
      <c r="A92" s="17"/>
      <c r="B92" s="17"/>
      <c r="C92" s="17"/>
      <c r="D92" s="18"/>
      <c r="E92" s="17"/>
      <c r="F92" s="17"/>
      <c r="G92" s="17"/>
      <c r="H92" s="18"/>
      <c r="I92" s="17"/>
      <c r="J92" s="17"/>
      <c r="K92" s="17"/>
      <c r="L92" s="18"/>
      <c r="M92" s="18"/>
      <c r="N92" s="24" t="str">
        <f aca="true">IF(OR(B92="",M92="",E92="Left",E92="Paused"),"",IF(M92&lt;TODAY(),"Overdue",IF(M92-TODAY()&lt;=7,"This week","")))</f>
        <v/>
      </c>
      <c r="O92" s="17"/>
    </row>
    <row r="93" customFormat="false" ht="15" hidden="false" customHeight="false" outlineLevel="0" collapsed="false">
      <c r="A93" s="17"/>
      <c r="B93" s="17"/>
      <c r="C93" s="17"/>
      <c r="D93" s="18"/>
      <c r="E93" s="17"/>
      <c r="F93" s="17"/>
      <c r="G93" s="17"/>
      <c r="H93" s="18"/>
      <c r="I93" s="17"/>
      <c r="J93" s="17"/>
      <c r="K93" s="17"/>
      <c r="L93" s="18"/>
      <c r="M93" s="18"/>
      <c r="N93" s="24" t="str">
        <f aca="true">IF(OR(B93="",M93="",E93="Left",E93="Paused"),"",IF(M93&lt;TODAY(),"Overdue",IF(M93-TODAY()&lt;=7,"This week","")))</f>
        <v/>
      </c>
      <c r="O93" s="17"/>
    </row>
    <row r="94" customFormat="false" ht="15" hidden="false" customHeight="false" outlineLevel="0" collapsed="false">
      <c r="A94" s="17"/>
      <c r="B94" s="17"/>
      <c r="C94" s="17"/>
      <c r="D94" s="18"/>
      <c r="E94" s="17"/>
      <c r="F94" s="17"/>
      <c r="G94" s="17"/>
      <c r="H94" s="18"/>
      <c r="I94" s="17"/>
      <c r="J94" s="17"/>
      <c r="K94" s="17"/>
      <c r="L94" s="18"/>
      <c r="M94" s="18"/>
      <c r="N94" s="24" t="str">
        <f aca="true">IF(OR(B94="",M94="",E94="Left",E94="Paused"),"",IF(M94&lt;TODAY(),"Overdue",IF(M94-TODAY()&lt;=7,"This week","")))</f>
        <v/>
      </c>
      <c r="O94" s="17"/>
    </row>
    <row r="95" customFormat="false" ht="15" hidden="false" customHeight="false" outlineLevel="0" collapsed="false">
      <c r="A95" s="17"/>
      <c r="B95" s="17"/>
      <c r="C95" s="17"/>
      <c r="D95" s="18"/>
      <c r="E95" s="17"/>
      <c r="F95" s="17"/>
      <c r="G95" s="17"/>
      <c r="H95" s="18"/>
      <c r="I95" s="17"/>
      <c r="J95" s="17"/>
      <c r="K95" s="17"/>
      <c r="L95" s="18"/>
      <c r="M95" s="18"/>
      <c r="N95" s="24" t="str">
        <f aca="true">IF(OR(B95="",M95="",E95="Left",E95="Paused"),"",IF(M95&lt;TODAY(),"Overdue",IF(M95-TODAY()&lt;=7,"This week","")))</f>
        <v/>
      </c>
      <c r="O95" s="17"/>
    </row>
    <row r="96" customFormat="false" ht="15" hidden="false" customHeight="false" outlineLevel="0" collapsed="false">
      <c r="A96" s="17"/>
      <c r="B96" s="17"/>
      <c r="C96" s="17"/>
      <c r="D96" s="18"/>
      <c r="E96" s="17"/>
      <c r="F96" s="17"/>
      <c r="G96" s="17"/>
      <c r="H96" s="18"/>
      <c r="I96" s="17"/>
      <c r="J96" s="17"/>
      <c r="K96" s="17"/>
      <c r="L96" s="18"/>
      <c r="M96" s="18"/>
      <c r="N96" s="24" t="str">
        <f aca="true">IF(OR(B96="",M96="",E96="Left",E96="Paused"),"",IF(M96&lt;TODAY(),"Overdue",IF(M96-TODAY()&lt;=7,"This week","")))</f>
        <v/>
      </c>
      <c r="O96" s="17"/>
    </row>
    <row r="97" customFormat="false" ht="15" hidden="false" customHeight="false" outlineLevel="0" collapsed="false">
      <c r="A97" s="17"/>
      <c r="B97" s="17"/>
      <c r="C97" s="17"/>
      <c r="D97" s="18"/>
      <c r="E97" s="17"/>
      <c r="F97" s="17"/>
      <c r="G97" s="17"/>
      <c r="H97" s="18"/>
      <c r="I97" s="17"/>
      <c r="J97" s="17"/>
      <c r="K97" s="17"/>
      <c r="L97" s="18"/>
      <c r="M97" s="18"/>
      <c r="N97" s="24" t="str">
        <f aca="true">IF(OR(B97="",M97="",E97="Left",E97="Paused"),"",IF(M97&lt;TODAY(),"Overdue",IF(M97-TODAY()&lt;=7,"This week","")))</f>
        <v/>
      </c>
      <c r="O97" s="17"/>
    </row>
    <row r="98" customFormat="false" ht="15" hidden="false" customHeight="false" outlineLevel="0" collapsed="false">
      <c r="A98" s="17"/>
      <c r="B98" s="17"/>
      <c r="C98" s="17"/>
      <c r="D98" s="18"/>
      <c r="E98" s="17"/>
      <c r="F98" s="17"/>
      <c r="G98" s="17"/>
      <c r="H98" s="18"/>
      <c r="I98" s="17"/>
      <c r="J98" s="17"/>
      <c r="K98" s="17"/>
      <c r="L98" s="18"/>
      <c r="M98" s="18"/>
      <c r="N98" s="24" t="str">
        <f aca="true">IF(OR(B98="",M98="",E98="Left",E98="Paused"),"",IF(M98&lt;TODAY(),"Overdue",IF(M98-TODAY()&lt;=7,"This week","")))</f>
        <v/>
      </c>
      <c r="O98" s="17"/>
    </row>
    <row r="99" customFormat="false" ht="15" hidden="false" customHeight="false" outlineLevel="0" collapsed="false">
      <c r="A99" s="17"/>
      <c r="B99" s="17"/>
      <c r="C99" s="17"/>
      <c r="D99" s="18"/>
      <c r="E99" s="17"/>
      <c r="F99" s="17"/>
      <c r="G99" s="17"/>
      <c r="H99" s="18"/>
      <c r="I99" s="17"/>
      <c r="J99" s="17"/>
      <c r="K99" s="17"/>
      <c r="L99" s="18"/>
      <c r="M99" s="18"/>
      <c r="N99" s="24" t="str">
        <f aca="true">IF(OR(B99="",M99="",E99="Left",E99="Paused"),"",IF(M99&lt;TODAY(),"Overdue",IF(M99-TODAY()&lt;=7,"This week","")))</f>
        <v/>
      </c>
      <c r="O99" s="17"/>
    </row>
    <row r="100" customFormat="false" ht="15" hidden="false" customHeight="false" outlineLevel="0" collapsed="false">
      <c r="A100" s="17"/>
      <c r="B100" s="17"/>
      <c r="C100" s="17"/>
      <c r="D100" s="18"/>
      <c r="E100" s="17"/>
      <c r="F100" s="17"/>
      <c r="G100" s="17"/>
      <c r="H100" s="18"/>
      <c r="I100" s="17"/>
      <c r="J100" s="17"/>
      <c r="K100" s="17"/>
      <c r="L100" s="18"/>
      <c r="M100" s="18"/>
      <c r="N100" s="24" t="str">
        <f aca="true">IF(OR(B100="",M100="",E100="Left",E100="Paused"),"",IF(M100&lt;TODAY(),"Overdue",IF(M100-TODAY()&lt;=7,"This week","")))</f>
        <v/>
      </c>
      <c r="O100" s="17"/>
    </row>
    <row r="101" customFormat="false" ht="15" hidden="false" customHeight="false" outlineLevel="0" collapsed="false">
      <c r="A101" s="17"/>
      <c r="B101" s="17"/>
      <c r="C101" s="17"/>
      <c r="D101" s="18"/>
      <c r="E101" s="17"/>
      <c r="F101" s="17"/>
      <c r="G101" s="17"/>
      <c r="H101" s="18"/>
      <c r="I101" s="17"/>
      <c r="J101" s="17"/>
      <c r="K101" s="17"/>
      <c r="L101" s="18"/>
      <c r="M101" s="18"/>
      <c r="N101" s="24" t="str">
        <f aca="true">IF(OR(B101="",M101="",E101="Left",E101="Paused"),"",IF(M101&lt;TODAY(),"Overdue",IF(M101-TODAY()&lt;=7,"This week","")))</f>
        <v/>
      </c>
      <c r="O101" s="17"/>
    </row>
    <row r="102" customFormat="false" ht="15" hidden="false" customHeight="false" outlineLevel="0" collapsed="false">
      <c r="A102" s="17"/>
      <c r="B102" s="17"/>
      <c r="C102" s="17"/>
      <c r="D102" s="18"/>
      <c r="E102" s="17"/>
      <c r="F102" s="17"/>
      <c r="G102" s="17"/>
      <c r="H102" s="18"/>
      <c r="I102" s="17"/>
      <c r="J102" s="17"/>
      <c r="K102" s="17"/>
      <c r="L102" s="18"/>
      <c r="M102" s="18"/>
      <c r="N102" s="24" t="str">
        <f aca="true">IF(OR(B102="",M102="",E102="Left",E102="Paused"),"",IF(M102&lt;TODAY(),"Overdue",IF(M102-TODAY()&lt;=7,"This week","")))</f>
        <v/>
      </c>
      <c r="O102" s="17"/>
    </row>
    <row r="103" customFormat="false" ht="15" hidden="false" customHeight="false" outlineLevel="0" collapsed="false">
      <c r="A103" s="17"/>
      <c r="B103" s="17"/>
      <c r="C103" s="17"/>
      <c r="D103" s="18"/>
      <c r="E103" s="17"/>
      <c r="F103" s="17"/>
      <c r="G103" s="17"/>
      <c r="H103" s="18"/>
      <c r="I103" s="17"/>
      <c r="J103" s="17"/>
      <c r="K103" s="17"/>
      <c r="L103" s="18"/>
      <c r="M103" s="18"/>
      <c r="N103" s="24" t="str">
        <f aca="true">IF(OR(B103="",M103="",E103="Left",E103="Paused"),"",IF(M103&lt;TODAY(),"Overdue",IF(M103-TODAY()&lt;=7,"This week","")))</f>
        <v/>
      </c>
      <c r="O103" s="17"/>
    </row>
    <row r="104" customFormat="false" ht="15" hidden="false" customHeight="false" outlineLevel="0" collapsed="false">
      <c r="A104" s="17"/>
      <c r="B104" s="17"/>
      <c r="C104" s="17"/>
      <c r="D104" s="18"/>
      <c r="E104" s="17"/>
      <c r="F104" s="17"/>
      <c r="G104" s="17"/>
      <c r="H104" s="18"/>
      <c r="I104" s="17"/>
      <c r="J104" s="17"/>
      <c r="K104" s="17"/>
      <c r="L104" s="18"/>
      <c r="M104" s="18"/>
      <c r="N104" s="24" t="str">
        <f aca="true">IF(OR(B104="",M104="",E104="Left",E104="Paused"),"",IF(M104&lt;TODAY(),"Overdue",IF(M104-TODAY()&lt;=7,"This week","")))</f>
        <v/>
      </c>
      <c r="O104" s="17"/>
    </row>
    <row r="105" customFormat="false" ht="15" hidden="false" customHeight="false" outlineLevel="0" collapsed="false">
      <c r="A105" s="17"/>
      <c r="B105" s="17"/>
      <c r="C105" s="17"/>
      <c r="D105" s="18"/>
      <c r="E105" s="17"/>
      <c r="F105" s="17"/>
      <c r="G105" s="17"/>
      <c r="H105" s="18"/>
      <c r="I105" s="17"/>
      <c r="J105" s="17"/>
      <c r="K105" s="17"/>
      <c r="L105" s="18"/>
      <c r="M105" s="18"/>
      <c r="N105" s="24" t="str">
        <f aca="true">IF(OR(B105="",M105="",E105="Left",E105="Paused"),"",IF(M105&lt;TODAY(),"Overdue",IF(M105-TODAY()&lt;=7,"This week","")))</f>
        <v/>
      </c>
      <c r="O105" s="17"/>
    </row>
    <row r="106" customFormat="false" ht="15" hidden="false" customHeight="false" outlineLevel="0" collapsed="false">
      <c r="A106" s="17"/>
      <c r="B106" s="17"/>
      <c r="C106" s="17"/>
      <c r="D106" s="18"/>
      <c r="E106" s="17"/>
      <c r="F106" s="17"/>
      <c r="G106" s="17"/>
      <c r="H106" s="18"/>
      <c r="I106" s="17"/>
      <c r="J106" s="17"/>
      <c r="K106" s="17"/>
      <c r="L106" s="18"/>
      <c r="M106" s="18"/>
      <c r="N106" s="24" t="str">
        <f aca="true">IF(OR(B106="",M106="",E106="Left",E106="Paused"),"",IF(M106&lt;TODAY(),"Overdue",IF(M106-TODAY()&lt;=7,"This week","")))</f>
        <v/>
      </c>
      <c r="O106" s="17"/>
    </row>
    <row r="107" customFormat="false" ht="15" hidden="false" customHeight="false" outlineLevel="0" collapsed="false">
      <c r="A107" s="17"/>
      <c r="B107" s="17"/>
      <c r="C107" s="17"/>
      <c r="D107" s="18"/>
      <c r="E107" s="17"/>
      <c r="F107" s="17"/>
      <c r="G107" s="17"/>
      <c r="H107" s="18"/>
      <c r="I107" s="17"/>
      <c r="J107" s="17"/>
      <c r="K107" s="17"/>
      <c r="L107" s="18"/>
      <c r="M107" s="18"/>
      <c r="N107" s="24" t="str">
        <f aca="true">IF(OR(B107="",M107="",E107="Left",E107="Paused"),"",IF(M107&lt;TODAY(),"Overdue",IF(M107-TODAY()&lt;=7,"This week","")))</f>
        <v/>
      </c>
      <c r="O107" s="17"/>
    </row>
    <row r="108" customFormat="false" ht="15" hidden="false" customHeight="false" outlineLevel="0" collapsed="false">
      <c r="A108" s="17"/>
      <c r="B108" s="17"/>
      <c r="C108" s="17"/>
      <c r="D108" s="18"/>
      <c r="E108" s="17"/>
      <c r="F108" s="17"/>
      <c r="G108" s="17"/>
      <c r="H108" s="18"/>
      <c r="I108" s="17"/>
      <c r="J108" s="17"/>
      <c r="K108" s="17"/>
      <c r="L108" s="18"/>
      <c r="M108" s="18"/>
      <c r="N108" s="24" t="str">
        <f aca="true">IF(OR(B108="",M108="",E108="Left",E108="Paused"),"",IF(M108&lt;TODAY(),"Overdue",IF(M108-TODAY()&lt;=7,"This week","")))</f>
        <v/>
      </c>
      <c r="O108" s="17"/>
    </row>
    <row r="109" customFormat="false" ht="15" hidden="false" customHeight="false" outlineLevel="0" collapsed="false">
      <c r="A109" s="17"/>
      <c r="B109" s="17"/>
      <c r="C109" s="17"/>
      <c r="D109" s="18"/>
      <c r="E109" s="17"/>
      <c r="F109" s="17"/>
      <c r="G109" s="17"/>
      <c r="H109" s="18"/>
      <c r="I109" s="17"/>
      <c r="J109" s="17"/>
      <c r="K109" s="17"/>
      <c r="L109" s="18"/>
      <c r="M109" s="18"/>
      <c r="N109" s="24" t="str">
        <f aca="true">IF(OR(B109="",M109="",E109="Left",E109="Paused"),"",IF(M109&lt;TODAY(),"Overdue",IF(M109-TODAY()&lt;=7,"This week","")))</f>
        <v/>
      </c>
      <c r="O109" s="17"/>
    </row>
    <row r="110" customFormat="false" ht="15" hidden="false" customHeight="false" outlineLevel="0" collapsed="false">
      <c r="A110" s="17"/>
      <c r="B110" s="17"/>
      <c r="C110" s="17"/>
      <c r="D110" s="18"/>
      <c r="E110" s="17"/>
      <c r="F110" s="17"/>
      <c r="G110" s="17"/>
      <c r="H110" s="18"/>
      <c r="I110" s="17"/>
      <c r="J110" s="17"/>
      <c r="K110" s="17"/>
      <c r="L110" s="18"/>
      <c r="M110" s="18"/>
      <c r="N110" s="24" t="str">
        <f aca="true">IF(OR(B110="",M110="",E110="Left",E110="Paused"),"",IF(M110&lt;TODAY(),"Overdue",IF(M110-TODAY()&lt;=7,"This week","")))</f>
        <v/>
      </c>
      <c r="O110" s="17"/>
    </row>
    <row r="111" customFormat="false" ht="15" hidden="false" customHeight="false" outlineLevel="0" collapsed="false">
      <c r="A111" s="17"/>
      <c r="B111" s="17"/>
      <c r="C111" s="17"/>
      <c r="D111" s="18"/>
      <c r="E111" s="17"/>
      <c r="F111" s="17"/>
      <c r="G111" s="17"/>
      <c r="H111" s="18"/>
      <c r="I111" s="17"/>
      <c r="J111" s="17"/>
      <c r="K111" s="17"/>
      <c r="L111" s="18"/>
      <c r="M111" s="18"/>
      <c r="N111" s="24" t="str">
        <f aca="true">IF(OR(B111="",M111="",E111="Left",E111="Paused"),"",IF(M111&lt;TODAY(),"Overdue",IF(M111-TODAY()&lt;=7,"This week","")))</f>
        <v/>
      </c>
      <c r="O111" s="17"/>
    </row>
    <row r="112" customFormat="false" ht="15" hidden="false" customHeight="false" outlineLevel="0" collapsed="false">
      <c r="A112" s="17"/>
      <c r="B112" s="17"/>
      <c r="C112" s="17"/>
      <c r="D112" s="18"/>
      <c r="E112" s="17"/>
      <c r="F112" s="17"/>
      <c r="G112" s="17"/>
      <c r="H112" s="18"/>
      <c r="I112" s="17"/>
      <c r="J112" s="17"/>
      <c r="K112" s="17"/>
      <c r="L112" s="18"/>
      <c r="M112" s="18"/>
      <c r="N112" s="24" t="str">
        <f aca="true">IF(OR(B112="",M112="",E112="Left",E112="Paused"),"",IF(M112&lt;TODAY(),"Overdue",IF(M112-TODAY()&lt;=7,"This week","")))</f>
        <v/>
      </c>
      <c r="O112" s="17"/>
    </row>
    <row r="113" customFormat="false" ht="15" hidden="false" customHeight="false" outlineLevel="0" collapsed="false">
      <c r="A113" s="17"/>
      <c r="B113" s="17"/>
      <c r="C113" s="17"/>
      <c r="D113" s="18"/>
      <c r="E113" s="17"/>
      <c r="F113" s="17"/>
      <c r="G113" s="17"/>
      <c r="H113" s="18"/>
      <c r="I113" s="17"/>
      <c r="J113" s="17"/>
      <c r="K113" s="17"/>
      <c r="L113" s="18"/>
      <c r="M113" s="18"/>
      <c r="N113" s="24" t="str">
        <f aca="true">IF(OR(B113="",M113="",E113="Left",E113="Paused"),"",IF(M113&lt;TODAY(),"Overdue",IF(M113-TODAY()&lt;=7,"This week","")))</f>
        <v/>
      </c>
      <c r="O113" s="17"/>
    </row>
    <row r="114" customFormat="false" ht="15" hidden="false" customHeight="false" outlineLevel="0" collapsed="false">
      <c r="A114" s="17"/>
      <c r="B114" s="17"/>
      <c r="C114" s="17"/>
      <c r="D114" s="18"/>
      <c r="E114" s="17"/>
      <c r="F114" s="17"/>
      <c r="G114" s="17"/>
      <c r="H114" s="18"/>
      <c r="I114" s="17"/>
      <c r="J114" s="17"/>
      <c r="K114" s="17"/>
      <c r="L114" s="18"/>
      <c r="M114" s="18"/>
      <c r="N114" s="24" t="str">
        <f aca="true">IF(OR(B114="",M114="",E114="Left",E114="Paused"),"",IF(M114&lt;TODAY(),"Overdue",IF(M114-TODAY()&lt;=7,"This week","")))</f>
        <v/>
      </c>
      <c r="O114" s="17"/>
    </row>
    <row r="115" customFormat="false" ht="15" hidden="false" customHeight="false" outlineLevel="0" collapsed="false">
      <c r="A115" s="17"/>
      <c r="B115" s="17"/>
      <c r="C115" s="17"/>
      <c r="D115" s="18"/>
      <c r="E115" s="17"/>
      <c r="F115" s="17"/>
      <c r="G115" s="17"/>
      <c r="H115" s="18"/>
      <c r="I115" s="17"/>
      <c r="J115" s="17"/>
      <c r="K115" s="17"/>
      <c r="L115" s="18"/>
      <c r="M115" s="18"/>
      <c r="N115" s="24" t="str">
        <f aca="true">IF(OR(B115="",M115="",E115="Left",E115="Paused"),"",IF(M115&lt;TODAY(),"Overdue",IF(M115-TODAY()&lt;=7,"This week","")))</f>
        <v/>
      </c>
      <c r="O115" s="17"/>
    </row>
    <row r="116" customFormat="false" ht="15" hidden="false" customHeight="false" outlineLevel="0" collapsed="false">
      <c r="A116" s="17"/>
      <c r="B116" s="17"/>
      <c r="C116" s="17"/>
      <c r="D116" s="18"/>
      <c r="E116" s="17"/>
      <c r="F116" s="17"/>
      <c r="G116" s="17"/>
      <c r="H116" s="18"/>
      <c r="I116" s="17"/>
      <c r="J116" s="17"/>
      <c r="K116" s="17"/>
      <c r="L116" s="18"/>
      <c r="M116" s="18"/>
      <c r="N116" s="24" t="str">
        <f aca="true">IF(OR(B116="",M116="",E116="Left",E116="Paused"),"",IF(M116&lt;TODAY(),"Overdue",IF(M116-TODAY()&lt;=7,"This week","")))</f>
        <v/>
      </c>
      <c r="O116" s="17"/>
    </row>
    <row r="117" customFormat="false" ht="15" hidden="false" customHeight="false" outlineLevel="0" collapsed="false">
      <c r="A117" s="17"/>
      <c r="B117" s="17"/>
      <c r="C117" s="17"/>
      <c r="D117" s="18"/>
      <c r="E117" s="17"/>
      <c r="F117" s="17"/>
      <c r="G117" s="17"/>
      <c r="H117" s="18"/>
      <c r="I117" s="17"/>
      <c r="J117" s="17"/>
      <c r="K117" s="17"/>
      <c r="L117" s="18"/>
      <c r="M117" s="18"/>
      <c r="N117" s="24" t="str">
        <f aca="true">IF(OR(B117="",M117="",E117="Left",E117="Paused"),"",IF(M117&lt;TODAY(),"Overdue",IF(M117-TODAY()&lt;=7,"This week","")))</f>
        <v/>
      </c>
      <c r="O117" s="17"/>
    </row>
    <row r="118" customFormat="false" ht="15" hidden="false" customHeight="false" outlineLevel="0" collapsed="false">
      <c r="A118" s="17"/>
      <c r="B118" s="17"/>
      <c r="C118" s="17"/>
      <c r="D118" s="18"/>
      <c r="E118" s="17"/>
      <c r="F118" s="17"/>
      <c r="G118" s="17"/>
      <c r="H118" s="18"/>
      <c r="I118" s="17"/>
      <c r="J118" s="17"/>
      <c r="K118" s="17"/>
      <c r="L118" s="18"/>
      <c r="M118" s="18"/>
      <c r="N118" s="24" t="str">
        <f aca="true">IF(OR(B118="",M118="",E118="Left",E118="Paused"),"",IF(M118&lt;TODAY(),"Overdue",IF(M118-TODAY()&lt;=7,"This week","")))</f>
        <v/>
      </c>
      <c r="O118" s="17"/>
    </row>
    <row r="119" customFormat="false" ht="15" hidden="false" customHeight="false" outlineLevel="0" collapsed="false">
      <c r="A119" s="17"/>
      <c r="B119" s="17"/>
      <c r="C119" s="17"/>
      <c r="D119" s="18"/>
      <c r="E119" s="17"/>
      <c r="F119" s="17"/>
      <c r="G119" s="17"/>
      <c r="H119" s="18"/>
      <c r="I119" s="17"/>
      <c r="J119" s="17"/>
      <c r="K119" s="17"/>
      <c r="L119" s="18"/>
      <c r="M119" s="18"/>
      <c r="N119" s="24" t="str">
        <f aca="true">IF(OR(B119="",M119="",E119="Left",E119="Paused"),"",IF(M119&lt;TODAY(),"Overdue",IF(M119-TODAY()&lt;=7,"This week","")))</f>
        <v/>
      </c>
      <c r="O119" s="17"/>
    </row>
    <row r="120" customFormat="false" ht="15" hidden="false" customHeight="false" outlineLevel="0" collapsed="false">
      <c r="A120" s="17"/>
      <c r="B120" s="17"/>
      <c r="C120" s="17"/>
      <c r="D120" s="18"/>
      <c r="E120" s="17"/>
      <c r="F120" s="17"/>
      <c r="G120" s="17"/>
      <c r="H120" s="18"/>
      <c r="I120" s="17"/>
      <c r="J120" s="17"/>
      <c r="K120" s="17"/>
      <c r="L120" s="18"/>
      <c r="M120" s="18"/>
      <c r="N120" s="24" t="str">
        <f aca="true">IF(OR(B120="",M120="",E120="Left",E120="Paused"),"",IF(M120&lt;TODAY(),"Overdue",IF(M120-TODAY()&lt;=7,"This week","")))</f>
        <v/>
      </c>
      <c r="O120" s="17"/>
    </row>
    <row r="121" customFormat="false" ht="15" hidden="false" customHeight="false" outlineLevel="0" collapsed="false">
      <c r="A121" s="17"/>
      <c r="B121" s="17"/>
      <c r="C121" s="17"/>
      <c r="D121" s="18"/>
      <c r="E121" s="17"/>
      <c r="F121" s="17"/>
      <c r="G121" s="17"/>
      <c r="H121" s="18"/>
      <c r="I121" s="17"/>
      <c r="J121" s="17"/>
      <c r="K121" s="17"/>
      <c r="L121" s="18"/>
      <c r="M121" s="18"/>
      <c r="N121" s="24" t="str">
        <f aca="true">IF(OR(B121="",M121="",E121="Left",E121="Paused"),"",IF(M121&lt;TODAY(),"Overdue",IF(M121-TODAY()&lt;=7,"This week","")))</f>
        <v/>
      </c>
      <c r="O121" s="17"/>
    </row>
    <row r="122" customFormat="false" ht="15" hidden="false" customHeight="false" outlineLevel="0" collapsed="false">
      <c r="A122" s="17"/>
      <c r="B122" s="17"/>
      <c r="C122" s="17"/>
      <c r="D122" s="18"/>
      <c r="E122" s="17"/>
      <c r="F122" s="17"/>
      <c r="G122" s="17"/>
      <c r="H122" s="18"/>
      <c r="I122" s="17"/>
      <c r="J122" s="17"/>
      <c r="K122" s="17"/>
      <c r="L122" s="18"/>
      <c r="M122" s="18"/>
      <c r="N122" s="24" t="str">
        <f aca="true">IF(OR(B122="",M122="",E122="Left",E122="Paused"),"",IF(M122&lt;TODAY(),"Overdue",IF(M122-TODAY()&lt;=7,"This week","")))</f>
        <v/>
      </c>
      <c r="O122" s="17"/>
    </row>
    <row r="123" customFormat="false" ht="15" hidden="false" customHeight="false" outlineLevel="0" collapsed="false">
      <c r="A123" s="17"/>
      <c r="B123" s="17"/>
      <c r="C123" s="17"/>
      <c r="D123" s="18"/>
      <c r="E123" s="17"/>
      <c r="F123" s="17"/>
      <c r="G123" s="17"/>
      <c r="H123" s="18"/>
      <c r="I123" s="17"/>
      <c r="J123" s="17"/>
      <c r="K123" s="17"/>
      <c r="L123" s="18"/>
      <c r="M123" s="18"/>
      <c r="N123" s="24" t="str">
        <f aca="true">IF(OR(B123="",M123="",E123="Left",E123="Paused"),"",IF(M123&lt;TODAY(),"Overdue",IF(M123-TODAY()&lt;=7,"This week","")))</f>
        <v/>
      </c>
      <c r="O123" s="17"/>
    </row>
    <row r="124" customFormat="false" ht="15" hidden="false" customHeight="false" outlineLevel="0" collapsed="false">
      <c r="A124" s="17"/>
      <c r="B124" s="17"/>
      <c r="C124" s="17"/>
      <c r="D124" s="18"/>
      <c r="E124" s="17"/>
      <c r="F124" s="17"/>
      <c r="G124" s="17"/>
      <c r="H124" s="18"/>
      <c r="I124" s="17"/>
      <c r="J124" s="17"/>
      <c r="K124" s="17"/>
      <c r="L124" s="18"/>
      <c r="M124" s="18"/>
      <c r="N124" s="24" t="str">
        <f aca="true">IF(OR(B124="",M124="",E124="Left",E124="Paused"),"",IF(M124&lt;TODAY(),"Overdue",IF(M124-TODAY()&lt;=7,"This week","")))</f>
        <v/>
      </c>
      <c r="O124" s="17"/>
    </row>
    <row r="125" customFormat="false" ht="15" hidden="false" customHeight="false" outlineLevel="0" collapsed="false">
      <c r="A125" s="17"/>
      <c r="B125" s="17"/>
      <c r="C125" s="17"/>
      <c r="D125" s="18"/>
      <c r="E125" s="17"/>
      <c r="F125" s="17"/>
      <c r="G125" s="17"/>
      <c r="H125" s="18"/>
      <c r="I125" s="17"/>
      <c r="J125" s="17"/>
      <c r="K125" s="17"/>
      <c r="L125" s="18"/>
      <c r="M125" s="18"/>
      <c r="N125" s="24" t="str">
        <f aca="true">IF(OR(B125="",M125="",E125="Left",E125="Paused"),"",IF(M125&lt;TODAY(),"Overdue",IF(M125-TODAY()&lt;=7,"This week","")))</f>
        <v/>
      </c>
      <c r="O125" s="17"/>
    </row>
    <row r="126" customFormat="false" ht="15" hidden="false" customHeight="false" outlineLevel="0" collapsed="false">
      <c r="A126" s="17"/>
      <c r="B126" s="17"/>
      <c r="C126" s="17"/>
      <c r="D126" s="18"/>
      <c r="E126" s="17"/>
      <c r="F126" s="17"/>
      <c r="G126" s="17"/>
      <c r="H126" s="18"/>
      <c r="I126" s="17"/>
      <c r="J126" s="17"/>
      <c r="K126" s="17"/>
      <c r="L126" s="18"/>
      <c r="M126" s="18"/>
      <c r="N126" s="24" t="str">
        <f aca="true">IF(OR(B126="",M126="",E126="Left",E126="Paused"),"",IF(M126&lt;TODAY(),"Overdue",IF(M126-TODAY()&lt;=7,"This week","")))</f>
        <v/>
      </c>
      <c r="O126" s="17"/>
    </row>
  </sheetData>
  <mergeCells count="3">
    <mergeCell ref="A1:O1"/>
    <mergeCell ref="A2:O2"/>
    <mergeCell ref="D4:F4"/>
  </mergeCells>
  <conditionalFormatting sqref="N7:N126">
    <cfRule type="cellIs" priority="2" operator="equal" aboveAverage="0" equalAverage="0" bottom="0" percent="0" rank="0" text="" dxfId="1">
      <formula>"Overdue"</formula>
    </cfRule>
    <cfRule type="cellIs" priority="3" operator="equal" aboveAverage="0" equalAverage="0" bottom="0" percent="0" rank="0" text="" dxfId="2">
      <formula>"This week"</formula>
    </cfRule>
  </conditionalFormatting>
  <conditionalFormatting sqref="F7:F126">
    <cfRule type="cellIs" priority="4" operator="equal" aboveAverage="0" equalAverage="0" bottom="0" percent="0" rank="0" text="" dxfId="1">
      <formula>"No"</formula>
    </cfRule>
  </conditionalFormatting>
  <dataValidations count="5">
    <dataValidation allowBlank="true" errorStyle="stop" operator="between" showDropDown="false" showErrorMessage="false" showInputMessage="false" sqref="D7:D126 H7:H126 L7:M126" type="date">
      <formula1>0</formula1>
      <formula2>0</formula2>
    </dataValidation>
    <dataValidation allowBlank="true" errorStyle="stop" operator="between" showDropDown="false" showErrorMessage="false" showInputMessage="false" sqref="E7:E126" type="list">
      <formula1>"Referral,Welcome,Training,Work experience,Mentoring,Job connection,Working,Paused,Left"</formula1>
      <formula2>0</formula2>
    </dataValidation>
    <dataValidation allowBlank="true" errorStyle="stop" operator="between" showDropDown="false" showErrorMessage="false" showInputMessage="false" sqref="F7:F126" type="list">
      <formula1>"Yes,No"</formula1>
      <formula2>0</formula2>
    </dataValidation>
    <dataValidation allowBlank="true" errorStyle="stop" operator="between" showDropDown="false" showErrorMessage="false" showInputMessage="false" sqref="G7:G126" type="list">
      <formula1>"Not needed,Pending,Cleared,Role-limited"</formula1>
      <formula2>0</formula2>
    </dataValidation>
    <dataValidation allowBlank="true" errorStyle="stop" operator="between" showDropDown="false" showErrorMessage="false" showInputMessage="false" sqref="I7:I126" type="list">
      <formula1>"Setup and teardown,Merch table with staff,Cleanup,Production runner,Ticket scanning with staff,Placement host role,Training only"</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4"/>
    <col collapsed="false" customWidth="true" hidden="false" outlineLevel="0" max="3" min="3" style="0" width="22"/>
    <col collapsed="false" customWidth="true" hidden="false" outlineLevel="0" max="4" min="4" style="0" width="18"/>
    <col collapsed="false" customWidth="true" hidden="false" outlineLevel="0" max="5" min="5" style="0" width="34"/>
    <col collapsed="false" customWidth="true" hidden="false" outlineLevel="0" max="6" min="6" style="0" width="30"/>
  </cols>
  <sheetData>
    <row r="1" customFormat="false" ht="30" hidden="false" customHeight="true" outlineLevel="0" collapsed="false">
      <c r="A1" s="1" t="s">
        <v>174</v>
      </c>
      <c r="B1" s="1"/>
      <c r="C1" s="1"/>
      <c r="D1" s="1"/>
      <c r="E1" s="1"/>
      <c r="F1" s="1"/>
    </row>
    <row r="2" customFormat="false" ht="33.75" hidden="false" customHeight="true" outlineLevel="0" collapsed="false">
      <c r="A2" s="2" t="s">
        <v>175</v>
      </c>
      <c r="B2" s="2"/>
      <c r="C2" s="2"/>
      <c r="D2" s="2"/>
      <c r="E2" s="2"/>
      <c r="F2" s="2"/>
    </row>
    <row r="4" customFormat="false" ht="31.5" hidden="false" customHeight="true" outlineLevel="0" collapsed="false">
      <c r="A4" s="14" t="s">
        <v>72</v>
      </c>
      <c r="B4" s="14" t="s">
        <v>176</v>
      </c>
      <c r="C4" s="14" t="s">
        <v>177</v>
      </c>
      <c r="D4" s="14" t="s">
        <v>47</v>
      </c>
      <c r="E4" s="14" t="s">
        <v>109</v>
      </c>
      <c r="F4" s="14" t="s">
        <v>49</v>
      </c>
    </row>
    <row r="5" customFormat="false" ht="43.5" hidden="false" customHeight="true" outlineLevel="0" collapsed="false">
      <c r="A5" s="15" t="s">
        <v>178</v>
      </c>
      <c r="B5" s="16" t="s">
        <v>179</v>
      </c>
      <c r="C5" s="16" t="s">
        <v>180</v>
      </c>
      <c r="D5" s="17" t="s">
        <v>53</v>
      </c>
      <c r="E5" s="17"/>
      <c r="F5" s="17"/>
    </row>
    <row r="6" customFormat="false" ht="43.5" hidden="false" customHeight="true" outlineLevel="0" collapsed="false">
      <c r="A6" s="15" t="s">
        <v>181</v>
      </c>
      <c r="B6" s="16" t="s">
        <v>182</v>
      </c>
      <c r="C6" s="16" t="s">
        <v>183</v>
      </c>
      <c r="D6" s="17" t="s">
        <v>53</v>
      </c>
      <c r="E6" s="17"/>
      <c r="F6" s="17"/>
    </row>
    <row r="7" customFormat="false" ht="43.5" hidden="false" customHeight="true" outlineLevel="0" collapsed="false">
      <c r="A7" s="15" t="s">
        <v>184</v>
      </c>
      <c r="B7" s="16" t="s">
        <v>185</v>
      </c>
      <c r="C7" s="16" t="s">
        <v>186</v>
      </c>
      <c r="D7" s="17" t="s">
        <v>187</v>
      </c>
      <c r="E7" s="17"/>
      <c r="F7" s="17"/>
    </row>
    <row r="8" customFormat="false" ht="43.5" hidden="false" customHeight="true" outlineLevel="0" collapsed="false">
      <c r="A8" s="15" t="s">
        <v>188</v>
      </c>
      <c r="B8" s="16" t="s">
        <v>189</v>
      </c>
      <c r="C8" s="16" t="s">
        <v>186</v>
      </c>
      <c r="D8" s="17" t="s">
        <v>187</v>
      </c>
      <c r="E8" s="17"/>
      <c r="F8" s="17"/>
    </row>
    <row r="9" customFormat="false" ht="43.5" hidden="false" customHeight="true" outlineLevel="0" collapsed="false">
      <c r="A9" s="15" t="s">
        <v>190</v>
      </c>
      <c r="B9" s="16" t="s">
        <v>191</v>
      </c>
      <c r="C9" s="16" t="s">
        <v>186</v>
      </c>
      <c r="D9" s="17" t="s">
        <v>187</v>
      </c>
      <c r="E9" s="17"/>
      <c r="F9" s="17"/>
    </row>
    <row r="10" customFormat="false" ht="43.5" hidden="false" customHeight="true" outlineLevel="0" collapsed="false">
      <c r="A10" s="15" t="s">
        <v>192</v>
      </c>
      <c r="B10" s="16" t="s">
        <v>193</v>
      </c>
      <c r="C10" s="16" t="s">
        <v>194</v>
      </c>
      <c r="D10" s="17" t="s">
        <v>187</v>
      </c>
      <c r="E10" s="17"/>
      <c r="F10" s="17"/>
    </row>
    <row r="11" customFormat="false" ht="43.5" hidden="false" customHeight="true" outlineLevel="0" collapsed="false">
      <c r="A11" s="15" t="s">
        <v>195</v>
      </c>
      <c r="B11" s="16" t="s">
        <v>196</v>
      </c>
      <c r="C11" s="16" t="s">
        <v>197</v>
      </c>
      <c r="D11" s="17" t="s">
        <v>53</v>
      </c>
      <c r="E11" s="17"/>
      <c r="F11" s="17"/>
    </row>
    <row r="12" customFormat="false" ht="15" hidden="false" customHeight="false" outlineLevel="0" collapsed="false">
      <c r="A12" s="17"/>
      <c r="B12" s="17"/>
      <c r="C12" s="17"/>
      <c r="D12" s="17"/>
      <c r="E12" s="17"/>
      <c r="F12" s="17"/>
    </row>
    <row r="13" customFormat="false" ht="15" hidden="false" customHeight="false" outlineLevel="0" collapsed="false">
      <c r="A13" s="17"/>
      <c r="B13" s="17"/>
      <c r="C13" s="17"/>
      <c r="D13" s="17"/>
      <c r="E13" s="17"/>
      <c r="F13" s="17"/>
    </row>
    <row r="14" customFormat="false" ht="15" hidden="false" customHeight="false" outlineLevel="0" collapsed="false">
      <c r="A14" s="17"/>
      <c r="B14" s="17"/>
      <c r="C14" s="17"/>
      <c r="D14" s="17"/>
      <c r="E14" s="17"/>
      <c r="F14" s="17"/>
    </row>
    <row r="15" customFormat="false" ht="15" hidden="false" customHeight="false" outlineLevel="0" collapsed="false">
      <c r="A15" s="17"/>
      <c r="B15" s="17"/>
      <c r="C15" s="17"/>
      <c r="D15" s="17"/>
      <c r="E15" s="17"/>
      <c r="F15" s="17"/>
    </row>
    <row r="16" customFormat="false" ht="15" hidden="false" customHeight="false" outlineLevel="0" collapsed="false">
      <c r="A16" s="17"/>
      <c r="B16" s="17"/>
      <c r="C16" s="17"/>
      <c r="D16" s="17"/>
      <c r="E16" s="17"/>
      <c r="F16" s="17"/>
    </row>
    <row r="17" customFormat="false" ht="15" hidden="false" customHeight="false" outlineLevel="0" collapsed="false">
      <c r="A17" s="17"/>
      <c r="B17" s="17"/>
      <c r="C17" s="17"/>
      <c r="D17" s="17"/>
      <c r="E17" s="17"/>
      <c r="F17" s="17"/>
    </row>
    <row r="18" customFormat="false" ht="15" hidden="false" customHeight="false" outlineLevel="0" collapsed="false">
      <c r="A18" s="17"/>
      <c r="B18" s="17"/>
      <c r="C18" s="17"/>
      <c r="D18" s="17"/>
      <c r="E18" s="17"/>
      <c r="F18" s="17"/>
    </row>
    <row r="19" customFormat="false" ht="15" hidden="false" customHeight="false" outlineLevel="0" collapsed="false">
      <c r="A19" s="17"/>
      <c r="B19" s="17"/>
      <c r="C19" s="17"/>
      <c r="D19" s="17"/>
      <c r="E19" s="17"/>
      <c r="F19" s="17"/>
    </row>
    <row r="20" customFormat="false" ht="15" hidden="false" customHeight="false" outlineLevel="0" collapsed="false">
      <c r="A20" s="17"/>
      <c r="B20" s="17"/>
      <c r="C20" s="17"/>
      <c r="D20" s="17"/>
      <c r="E20" s="17"/>
      <c r="F20" s="17"/>
    </row>
    <row r="21" customFormat="false" ht="15" hidden="false" customHeight="false" outlineLevel="0" collapsed="false">
      <c r="A21" s="17"/>
      <c r="B21" s="17"/>
      <c r="C21" s="17"/>
      <c r="D21" s="17"/>
      <c r="E21" s="17"/>
      <c r="F21" s="17"/>
    </row>
  </sheetData>
  <mergeCells count="2">
    <mergeCell ref="A1:F1"/>
    <mergeCell ref="A2:F2"/>
  </mergeCells>
  <dataValidations count="1">
    <dataValidation allowBlank="true" errorStyle="stop" operator="between" showDropDown="false" showErrorMessage="false" showInputMessage="false" sqref="D5:D21" type="list">
      <formula1>"Not started,Researching,Talking to a partner,Drafting,Submitted,Approved,Declined,Not yet eligible"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2026-10-21T03:23:46Z</dcterms:created>
  <dc:creator>openpyxl</dc:creator>
  <dc:description/>
  <dc:language>en-US</dc:language>
  <cp:lastModifiedBy/>
  <dcterms:modified xsi:type="dcterms:W3CDTF">2026-10-21T03:23:46Z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