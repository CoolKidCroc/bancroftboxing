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Card" sheetId="2" state="visible" r:id="rId4"/>
    <sheet name="Roster" sheetId="3" state="visible" r:id="rId5"/>
    <sheet name="Progress" sheetId="4" state="visible" r:id="rId6"/>
    <sheet name="Level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<sst xmlns="http://schemas.openxmlformats.org/spreadsheetml/2006/main" count="362" uniqueCount="192">
  <si>
    <t xml:space="preserve">BBG SKILLS PASSPORT</t>
  </si>
  <si>
    <t xml:space="preserve">Four levels for each kids' and youth class (Rookie, Contender, Challenger, Champion). Coaches tick off skills; parents get a progress card.</t>
  </si>
  <si>
    <t xml:space="preserve">1</t>
  </si>
  <si>
    <t xml:space="preserve">Levels</t>
  </si>
  <si>
    <t xml:space="preserve">Kids Boxing, Wrestling and Boxing 11-14 each have four levels of five skills. Most skills match a drill in the Coaching Library, so they're taught before they're checked. A few (gym rules, sportsmanship, helping newer athletes) are learned in every class. None of them involve hitting to the head.</t>
  </si>
  <si>
    <t xml:space="preserve">2</t>
  </si>
  <si>
    <t xml:space="preserve">Roster</t>
  </si>
  <si>
    <t xml:space="preserve">One row per athlete: first name only (add a number if two kids share a name, e.g. Liam 2), their class and the date they started. No last names, birthdays, phone numbers or health details.</t>
  </si>
  <si>
    <t xml:space="preserve">3</t>
  </si>
  <si>
    <t xml:space="preserve">Log a skill</t>
  </si>
  <si>
    <t xml:space="preserve">When a coach sees a skill done well, add a row on the Progress tab: date, athlete, skill, coach. Log each skill once. The Roster shows each athlete's level and how many skills are left.</t>
  </si>
  <si>
    <t xml:space="preserve">4</t>
  </si>
  <si>
    <t xml:space="preserve">Progress card</t>
  </si>
  <si>
    <t xml:space="preserve">On the Card tab, pick an athlete: it shows their level, what they've passed and what's next. Screenshot it or ask Claude for a parent message to go with it. Share it with the parent, never post it publicly.</t>
  </si>
  <si>
    <t xml:space="preserve">5</t>
  </si>
  <si>
    <t xml:space="preserve">Levelling up</t>
  </si>
  <si>
    <t xml:space="preserve">When all five skills of a level are passed, the athlete moves up. A small moment in class (a shout-out, a sticker) is plenty. No prizes or money.</t>
  </si>
  <si>
    <t xml:space="preserve">Colours</t>
  </si>
  <si>
    <t xml:space="preserve">Yellow, blue text</t>
  </si>
  <si>
    <t xml:space="preserve">You type or pick here</t>
  </si>
  <si>
    <t xml:space="preserve">Black, bold</t>
  </si>
  <si>
    <t xml:space="preserve">Calculated: don't type over it</t>
  </si>
  <si>
    <t xml:space="preserve">first</t>
  </si>
  <si>
    <t xml:space="preserve">count</t>
  </si>
  <si>
    <t xml:space="preserve">Bancroft Boxing &amp; Grappling</t>
  </si>
  <si>
    <t xml:space="preserve">Athlete</t>
  </si>
  <si>
    <t xml:space="preserve">← pick a name</t>
  </si>
  <si>
    <t xml:space="preserve">Class</t>
  </si>
  <si>
    <t xml:space="preserve">Level now</t>
  </si>
  <si>
    <t xml:space="preserve">Level</t>
  </si>
  <si>
    <t xml:space="preserve">Skill</t>
  </si>
  <si>
    <t xml:space="preserve">Done</t>
  </si>
  <si>
    <t xml:space="preserve">Share with the parent only. First names only; never post a child's card publicly.</t>
  </si>
  <si>
    <t xml:space="preserve">ROSTER</t>
  </si>
  <si>
    <t xml:space="preserve">First names only. Level counts and the current level fill in from the Progress tab.</t>
  </si>
  <si>
    <t xml:space="preserve">Athlete (first name)</t>
  </si>
  <si>
    <t xml:space="preserve">Started</t>
  </si>
  <si>
    <t xml:space="preserve">Coach</t>
  </si>
  <si>
    <t xml:space="preserve">Rookie</t>
  </si>
  <si>
    <t xml:space="preserve">Contender</t>
  </si>
  <si>
    <t xml:space="preserve">Challenger</t>
  </si>
  <si>
    <t xml:space="preserve">Champion</t>
  </si>
  <si>
    <t xml:space="preserve">Current level</t>
  </si>
  <si>
    <t xml:space="preserve">Skills left in level</t>
  </si>
  <si>
    <t xml:space="preserve">Last skill passed</t>
  </si>
  <si>
    <t xml:space="preserve">Notes (no health details)</t>
  </si>
  <si>
    <t xml:space="preserve">PROGRESS</t>
  </si>
  <si>
    <t xml:space="preserve">One row each time a coach sees a skill done well. Pick the athlete and the skill; class and level fill in.</t>
  </si>
  <si>
    <t xml:space="preserve">Date passed</t>
  </si>
  <si>
    <t xml:space="preserve">Note</t>
  </si>
  <si>
    <t xml:space="preserve">Key</t>
  </si>
  <si>
    <t xml:space="preserve">LEVELS</t>
  </si>
  <si>
    <t xml:space="preserve">The skills for each level. Change the wording if you like, but keep each class's skills together and in level order.</t>
  </si>
  <si>
    <t xml:space="preserve">Level name</t>
  </si>
  <si>
    <t xml:space="preserve">How it's checked</t>
  </si>
  <si>
    <t xml:space="preserve">Drill in the Coaching Library</t>
  </si>
  <si>
    <t xml:space="preserve">Kids Boxing</t>
  </si>
  <si>
    <t xml:space="preserve">Stance and guard</t>
  </si>
  <si>
    <t xml:space="preserve">Holds a good stance and guard for 20 seconds while the coach checks</t>
  </si>
  <si>
    <t xml:space="preserve">Step-drag footwork</t>
  </si>
  <si>
    <t xml:space="preserve">Steps forward, back, left and right without crossing the feet</t>
  </si>
  <si>
    <t xml:space="preserve">Jab on pads</t>
  </si>
  <si>
    <t xml:space="preserve">10 jabs on the pads, each one back to the guard</t>
  </si>
  <si>
    <t xml:space="preserve">Rope-less skipping</t>
  </si>
  <si>
    <t xml:space="preserve">30 seconds of jump-rope footwork (no rope)</t>
  </si>
  <si>
    <t xml:space="preserve">Jump rope</t>
  </si>
  <si>
    <t xml:space="preserve">Gym rules</t>
  </si>
  <si>
    <t xml:space="preserve">Stops on the whistle, takes water breaks, puts gloves on and off safely</t>
  </si>
  <si>
    <t xml:space="preserve">1-2 on pads</t>
  </si>
  <si>
    <t xml:space="preserve">Jab-cross on the pads with the back foot pivoting</t>
  </si>
  <si>
    <t xml:space="preserve">Footwork ladder</t>
  </si>
  <si>
    <t xml:space="preserve">One ladder pattern start to finish without stopping</t>
  </si>
  <si>
    <t xml:space="preserve">Footwork ladder and cones</t>
  </si>
  <si>
    <t xml:space="preserve">Slips</t>
  </si>
  <si>
    <t xml:space="preserve">Slips left and right along the slip line</t>
  </si>
  <si>
    <t xml:space="preserve">Slip line</t>
  </si>
  <si>
    <t xml:space="preserve">Bag round</t>
  </si>
  <si>
    <t xml:space="preserve">One 1-minute heavy bag round with the guard up</t>
  </si>
  <si>
    <t xml:space="preserve">Heavy bag rounds</t>
  </si>
  <si>
    <t xml:space="preserve">Glove tag</t>
  </si>
  <si>
    <t xml:space="preserve">Stays in stance for a whole round of glove tag</t>
  </si>
  <si>
    <t xml:space="preserve">Jab-step-jab</t>
  </si>
  <si>
    <t xml:space="preserve">Jab, step in, jab on the pads</t>
  </si>
  <si>
    <t xml:space="preserve">Slip and counter</t>
  </si>
  <si>
    <t xml:space="preserve">Slips, then jabs straight back, on the slip line</t>
  </si>
  <si>
    <t xml:space="preserve">Bob and weave</t>
  </si>
  <si>
    <t xml:space="preserve">Ducks under the low rope with the knees, guard up</t>
  </si>
  <si>
    <t xml:space="preserve">Bob and weave under the rope</t>
  </si>
  <si>
    <t xml:space="preserve">Pad target speed</t>
  </si>
  <si>
    <t xml:space="preserve">Hits the right pad on the coach's call, quickly and cleanly</t>
  </si>
  <si>
    <t xml:space="preserve">Pad target game</t>
  </si>
  <si>
    <t xml:space="preserve">Two bag rounds</t>
  </si>
  <si>
    <t xml:space="preserve">Two 1-minute bag rounds with good stance</t>
  </si>
  <si>
    <t xml:space="preserve">Combination</t>
  </si>
  <si>
    <t xml:space="preserve">1-2, slip, 1-2 on the pads</t>
  </si>
  <si>
    <t xml:space="preserve">Pivots</t>
  </si>
  <si>
    <t xml:space="preserve">Pivots and changes direction on the coach's call</t>
  </si>
  <si>
    <t xml:space="preserve">Follow the leader footwork</t>
  </si>
  <si>
    <t xml:space="preserve">Three bag rounds</t>
  </si>
  <si>
    <t xml:space="preserve">Three 1-minute bag rounds</t>
  </si>
  <si>
    <t xml:space="preserve">Helps a newer kid</t>
  </si>
  <si>
    <t xml:space="preserve">Shows a newer kid the stance and guard</t>
  </si>
  <si>
    <t xml:space="preserve">Leads the warm-up</t>
  </si>
  <si>
    <t xml:space="preserve">Leads part of the warm-up for the class</t>
  </si>
  <si>
    <t xml:space="preserve">Animal walks</t>
  </si>
  <si>
    <t xml:space="preserve">Wrestling</t>
  </si>
  <si>
    <t xml:space="preserve">Stance and motion</t>
  </si>
  <si>
    <t xml:space="preserve">Moves forward, back and in circles in a good stance</t>
  </si>
  <si>
    <t xml:space="preserve">Back breakfall</t>
  </si>
  <si>
    <t xml:space="preserve">Back breakfall from squatting: chin tucked, slaps the mat</t>
  </si>
  <si>
    <t xml:space="preserve">Breakfalls</t>
  </si>
  <si>
    <t xml:space="preserve">Side breakfall</t>
  </si>
  <si>
    <t xml:space="preserve">Side breakfall on both sides</t>
  </si>
  <si>
    <t xml:space="preserve">Sprawl</t>
  </si>
  <si>
    <t xml:space="preserve">Sprawls on the whistle and gets back to stance</t>
  </si>
  <si>
    <t xml:space="preserve">Sprawl drill</t>
  </si>
  <si>
    <t xml:space="preserve">Shoulder roll</t>
  </si>
  <si>
    <t xml:space="preserve">Forward and back shoulder rolls over the shoulder, not the neck</t>
  </si>
  <si>
    <t xml:space="preserve">Grappling movement warm-up</t>
  </si>
  <si>
    <t xml:space="preserve">Penetration step (knees)</t>
  </si>
  <si>
    <t xml:space="preserve">Penetration step from the knees, back straight, head up</t>
  </si>
  <si>
    <t xml:space="preserve">Penetration step</t>
  </si>
  <si>
    <t xml:space="preserve">Knee tag</t>
  </si>
  <si>
    <t xml:space="preserve">Protects the knees in stance for a whole round</t>
  </si>
  <si>
    <t xml:space="preserve">Sumo push</t>
  </si>
  <si>
    <t xml:space="preserve">Stays low and drives with the legs</t>
  </si>
  <si>
    <t xml:space="preserve">Technical stand-up</t>
  </si>
  <si>
    <t xml:space="preserve">Stands up in base with a hand protecting the face</t>
  </si>
  <si>
    <t xml:space="preserve">The tap</t>
  </si>
  <si>
    <t xml:space="preserve">Taps clearly and lets go at once when a partner taps</t>
  </si>
  <si>
    <t xml:space="preserve">Tap practice</t>
  </si>
  <si>
    <t xml:space="preserve">Penetration step (standing)</t>
  </si>
  <si>
    <t xml:space="preserve">Level change and penetration step from standing</t>
  </si>
  <si>
    <t xml:space="preserve">Half nelson turn</t>
  </si>
  <si>
    <t xml:space="preserve">Turns a partner with pressure on the shoulder, never the neck</t>
  </si>
  <si>
    <t xml:space="preserve">Turtle defence</t>
  </si>
  <si>
    <t xml:space="preserve">Keeps elbows tight so a partner can't flip them</t>
  </si>
  <si>
    <t xml:space="preserve">Turtle flip</t>
  </si>
  <si>
    <t xml:space="preserve">Hip escape</t>
  </si>
  <si>
    <t xml:space="preserve">Shrimps the length of the mat both ways</t>
  </si>
  <si>
    <t xml:space="preserve">Shrimp chains</t>
  </si>
  <si>
    <t xml:space="preserve">Live go</t>
  </si>
  <si>
    <t xml:space="preserve">Uses a move from class in live wrestling from the knees</t>
  </si>
  <si>
    <t xml:space="preserve">Live wrestling from the knees</t>
  </si>
  <si>
    <t xml:space="preserve">Sprawl and go behind</t>
  </si>
  <si>
    <t xml:space="preserve">Sprawls on a shot and comes around behind</t>
  </si>
  <si>
    <t xml:space="preserve">Pin with control</t>
  </si>
  <si>
    <t xml:space="preserve">Holds a pin for 3 seconds with control</t>
  </si>
  <si>
    <t xml:space="preserve">Sportsmanship</t>
  </si>
  <si>
    <t xml:space="preserve">Shakes hands, follows the coach's calls, wins and loses well</t>
  </si>
  <si>
    <t xml:space="preserve">Teaches breakfalls</t>
  </si>
  <si>
    <t xml:space="preserve">Shows a newer kid the back breakfall</t>
  </si>
  <si>
    <t xml:space="preserve">Conditioning</t>
  </si>
  <si>
    <t xml:space="preserve">10 sprawls back to stance in 30 seconds</t>
  </si>
  <si>
    <t xml:space="preserve">Boxing 11-14</t>
  </si>
  <si>
    <t xml:space="preserve">Good stance and guard, weight on the balls of the feet</t>
  </si>
  <si>
    <t xml:space="preserve">Footwork</t>
  </si>
  <si>
    <t xml:space="preserve">Step-drag in all four directions in stance</t>
  </si>
  <si>
    <t xml:space="preserve">Jab and 1-2</t>
  </si>
  <si>
    <t xml:space="preserve">Jab and 1-2 on the pads with the hands back to the face</t>
  </si>
  <si>
    <t xml:space="preserve">Two minutes of jump-rope footwork (no rope)</t>
  </si>
  <si>
    <t xml:space="preserve">Wraps and rules</t>
  </si>
  <si>
    <t xml:space="preserve">Wraps own hands correctly and knows the gym's safety rules</t>
  </si>
  <si>
    <t xml:space="preserve">1-2-3</t>
  </si>
  <si>
    <t xml:space="preserve">Jab, cross, lead hook on the pads</t>
  </si>
  <si>
    <t xml:space="preserve">1-2-3 on pads</t>
  </si>
  <si>
    <t xml:space="preserve">Called combinations</t>
  </si>
  <si>
    <t xml:space="preserve">Throws the coach's called combinations without dropping the hands</t>
  </si>
  <si>
    <t xml:space="preserve">Coach-called combinations</t>
  </si>
  <si>
    <t xml:space="preserve">Slips both sides on the line with a counter</t>
  </si>
  <si>
    <t xml:space="preserve">Bag rounds</t>
  </si>
  <si>
    <t xml:space="preserve">Two 2-minute bag rounds</t>
  </si>
  <si>
    <t xml:space="preserve">Ladder patterns at speed, guard up</t>
  </si>
  <si>
    <t xml:space="preserve">Bob and weave under the rope with the knees</t>
  </si>
  <si>
    <t xml:space="preserve">Body touch control</t>
  </si>
  <si>
    <t xml:space="preserve">Body-only touch drill: stays light and in control</t>
  </si>
  <si>
    <t xml:space="preserve">Body-only partner touch</t>
  </si>
  <si>
    <t xml:space="preserve">Step out</t>
  </si>
  <si>
    <t xml:space="preserve">Finishes every combination with a step out, hands up</t>
  </si>
  <si>
    <t xml:space="preserve">Three 2-minute bag rounds with good form</t>
  </si>
  <si>
    <t xml:space="preserve">Angles</t>
  </si>
  <si>
    <t xml:space="preserve">Pivots to an angle after a combination</t>
  </si>
  <si>
    <t xml:space="preserve">Leads the class warm-up</t>
  </si>
  <si>
    <t xml:space="preserve">Dynamic warm-up</t>
  </si>
  <si>
    <t xml:space="preserve">Holds pads safely</t>
  </si>
  <si>
    <t xml:space="preserve">Holds the pads safely for a partner's jab and 1-2</t>
  </si>
  <si>
    <t xml:space="preserve">Three light rounds</t>
  </si>
  <si>
    <t xml:space="preserve">Three body-only touch rounds, staying light</t>
  </si>
  <si>
    <t xml:space="preserve">Helps newer athletes</t>
  </si>
  <si>
    <t xml:space="preserve">Helps a newer athlete with stance and footwork</t>
  </si>
  <si>
    <t xml:space="preserve">Safety leader</t>
  </si>
  <si>
    <t xml:space="preserve">Can explain the gym's safety rules, including what to do after a hit to the head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</si>
</sst>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m\ d&quot;, &quot;yyyy"/>
    <numFmt numFmtId="166" formatCode="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D19A4B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2"/>
      <color rgb="FFD19A4B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C1D2F"/>
      <name val="Arial"/>
      <family val="0"/>
      <charset val="1"/>
    </font>
    <font>
      <sz val="10"/>
      <color rgb="FF0000FF"/>
      <name val="Arial"/>
      <family val="0"/>
      <charset val="1"/>
    </font>
    <font>
      <sz val="8"/>
      <color rgb="FFFFFFFF"/>
      <name val="Arial"/>
      <family val="0"/>
      <charset val="1"/>
    </font>
    <font>
      <b val="true"/>
      <sz val="18"/>
      <color rgb="FFD19A4B"/>
      <name val="Arial"/>
      <family val="0"/>
      <charset val="1"/>
    </font>
    <font>
      <b val="true"/>
      <sz val="14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4"/>
      <color rgb="FF1C1D2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C1D2F"/>
        <bgColor rgb="FF3333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BEBD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4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ill>
        <patternFill>
          <bgColor rgb="FFFBEBD3"/>
        </patternFill>
      </fill>
    </dxf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BEBD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D19A4B"/>
      <rgbColor rgb="FFFF6600"/>
      <rgbColor rgb="FF555555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1C1D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96"/>
  </cols>
  <sheetData>
    <row r="1" customFormat="false" ht="30" hidden="false" customHeight="true" outlineLevel="0" collapsed="false">
      <c r="A1" s="1" t="s">
        <v>0</v>
      </c>
      <c r="B1" s="1"/>
      <c r="C1" s="1"/>
    </row>
    <row r="2" customFormat="false" ht="31.5" hidden="false" customHeight="true" outlineLevel="0" collapsed="false">
      <c r="A2" s="2" t="s">
        <v>1</v>
      </c>
      <c r="B2" s="2"/>
      <c r="C2" s="2"/>
    </row>
    <row r="4" customFormat="false" ht="33.75" hidden="false" customHeight="true" outlineLevel="0" collapsed="false">
      <c r="A4" s="3" t="s">
        <v>2</v>
      </c>
      <c r="B4" s="4" t="s">
        <v>3</v>
      </c>
      <c r="C4" s="5" t="s">
        <v>4</v>
      </c>
    </row>
    <row r="5" customFormat="false" ht="33.75" hidden="false" customHeight="true" outlineLevel="0" collapsed="false">
      <c r="A5" s="3" t="s">
        <v>5</v>
      </c>
      <c r="B5" s="4" t="s">
        <v>6</v>
      </c>
      <c r="C5" s="5" t="s">
        <v>7</v>
      </c>
    </row>
    <row r="6" customFormat="false" ht="33.75" hidden="false" customHeight="true" outlineLevel="0" collapsed="false">
      <c r="A6" s="3" t="s">
        <v>8</v>
      </c>
      <c r="B6" s="4" t="s">
        <v>9</v>
      </c>
      <c r="C6" s="5" t="s">
        <v>10</v>
      </c>
    </row>
    <row r="7" customFormat="false" ht="33.75" hidden="false" customHeight="true" outlineLevel="0" collapsed="false">
      <c r="A7" s="3" t="s">
        <v>11</v>
      </c>
      <c r="B7" s="4" t="s">
        <v>12</v>
      </c>
      <c r="C7" s="5" t="s">
        <v>13</v>
      </c>
    </row>
    <row r="8" customFormat="false" ht="33.75" hidden="false" customHeight="true" outlineLevel="0" collapsed="false">
      <c r="A8" s="3" t="s">
        <v>14</v>
      </c>
      <c r="B8" s="4" t="s">
        <v>15</v>
      </c>
      <c r="C8" s="5" t="s">
        <v>16</v>
      </c>
    </row>
    <row r="10" customFormat="false" ht="15" hidden="false" customHeight="false" outlineLevel="0" collapsed="false">
      <c r="B10" s="6" t="s">
        <v>17</v>
      </c>
    </row>
    <row r="11" customFormat="false" ht="15" hidden="false" customHeight="false" outlineLevel="0" collapsed="false">
      <c r="B11" s="7" t="s">
        <v>18</v>
      </c>
      <c r="C11" s="8" t="s">
        <v>19</v>
      </c>
    </row>
    <row r="12" customFormat="false" ht="15" hidden="false" customHeight="false" outlineLevel="0" collapsed="false">
      <c r="B12" s="8" t="s">
        <v>20</v>
      </c>
      <c r="C12" s="8" t="s">
        <v>21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58"/>
    <col collapsed="false" customWidth="true" hidden="false" outlineLevel="0" max="4" min="4" style="0" width="14"/>
    <col collapsed="false" customWidth="true" hidden="false" outlineLevel="0" max="5" min="5" style="0" width="4"/>
    <col collapsed="false" customWidth="true" hidden="true" outlineLevel="0" max="8" min="7" style="0" width="13"/>
  </cols>
  <sheetData>
    <row r="1" customFormat="false" ht="15" hidden="false" customHeight="false" outlineLevel="0" collapsed="false">
      <c r="A1" s="9"/>
      <c r="B1" s="9"/>
      <c r="C1" s="9"/>
      <c r="D1" s="9"/>
      <c r="E1" s="9"/>
      <c r="G1" s="10" t="s">
        <v>22</v>
      </c>
      <c r="H1" s="10" t="s">
        <v>23</v>
      </c>
    </row>
    <row r="2" customFormat="false" ht="30" hidden="false" customHeight="true" outlineLevel="0" collapsed="false">
      <c r="A2" s="9"/>
      <c r="B2" s="11" t="s">
        <v>0</v>
      </c>
      <c r="C2" s="9"/>
      <c r="D2" s="9"/>
      <c r="E2" s="9"/>
      <c r="G2" s="10" t="str">
        <f aca="false">IF($C$7="","",MATCH($C$7,Levels!$A$5:$A$94,0))</f>
        <v/>
      </c>
      <c r="H2" s="10" t="str">
        <f aca="false">IF($C$7="","",COUNTIF(Levels!$A$5:$A$94,$C$7))</f>
        <v/>
      </c>
    </row>
    <row r="3" customFormat="false" ht="15" hidden="false" customHeight="false" outlineLevel="0" collapsed="false">
      <c r="A3" s="9"/>
      <c r="B3" s="12" t="s">
        <v>24</v>
      </c>
      <c r="C3" s="9"/>
      <c r="D3" s="9"/>
      <c r="E3" s="9"/>
    </row>
    <row r="4" customFormat="false" ht="15" hidden="false" customHeight="false" outlineLevel="0" collapsed="false">
      <c r="A4" s="9"/>
      <c r="B4" s="9"/>
      <c r="C4" s="9"/>
      <c r="D4" s="9"/>
      <c r="E4" s="9"/>
    </row>
    <row r="5" customFormat="false" ht="15" hidden="false" customHeight="false" outlineLevel="0" collapsed="false">
      <c r="A5" s="13"/>
      <c r="B5" s="13"/>
      <c r="C5" s="13"/>
      <c r="D5" s="13"/>
      <c r="E5" s="13"/>
    </row>
    <row r="6" customFormat="false" ht="17.35" hidden="false" customHeight="false" outlineLevel="0" collapsed="false">
      <c r="A6" s="13"/>
      <c r="B6" s="14" t="s">
        <v>25</v>
      </c>
      <c r="C6" s="15"/>
      <c r="D6" s="16" t="s">
        <v>26</v>
      </c>
      <c r="E6" s="13"/>
    </row>
    <row r="7" customFormat="false" ht="15" hidden="false" customHeight="false" outlineLevel="0" collapsed="false">
      <c r="A7" s="13"/>
      <c r="B7" s="14" t="s">
        <v>27</v>
      </c>
      <c r="C7" s="17" t="str">
        <f aca="false">IF($C$6="","",IFERROR(INDEX(Roster!$B$5:$B$154,MATCH($C$6,Roster!$A$5:$A$154,0)),""))</f>
        <v/>
      </c>
      <c r="D7" s="13"/>
      <c r="E7" s="13"/>
    </row>
    <row r="8" customFormat="false" ht="17.35" hidden="false" customHeight="false" outlineLevel="0" collapsed="false">
      <c r="A8" s="13"/>
      <c r="B8" s="14" t="s">
        <v>28</v>
      </c>
      <c r="C8" s="18" t="str">
        <f aca="false">IF($C$6="","",IFERROR(INDEX(Roster!$I$5:$I$154,MATCH($C$6,Roster!$A$5:$A$154,0)),""))</f>
        <v/>
      </c>
      <c r="D8" s="13"/>
      <c r="E8" s="13"/>
    </row>
    <row r="9" customFormat="false" ht="15" hidden="false" customHeight="false" outlineLevel="0" collapsed="false">
      <c r="A9" s="13"/>
      <c r="B9" s="13"/>
      <c r="C9" s="13"/>
      <c r="D9" s="13"/>
      <c r="E9" s="13"/>
    </row>
    <row r="10" customFormat="false" ht="15" hidden="false" customHeight="false" outlineLevel="0" collapsed="false">
      <c r="A10" s="13"/>
      <c r="B10" s="19" t="s">
        <v>29</v>
      </c>
      <c r="C10" s="19" t="s">
        <v>30</v>
      </c>
      <c r="D10" s="19" t="s">
        <v>31</v>
      </c>
      <c r="E10" s="13"/>
    </row>
    <row r="11" customFormat="false" ht="30" hidden="false" customHeight="true" outlineLevel="0" collapsed="false">
      <c r="A11" s="13"/>
      <c r="B11" s="20" t="str">
        <f aca="false">IF(OR($C$7="",0&gt;=N($H$2)),"",INDEX(Levels!$B$5:$B$94,($G$2+0))&amp;" "&amp;INDEX(Levels!$C$5:$C$94,($G$2+0)))</f>
        <v/>
      </c>
      <c r="C11" s="20" t="str">
        <f aca="false">IF(OR($C$7="",0&gt;=N($H$2)),"",INDEX(Levels!$D$5:$D$94,($G$2+0))&amp;": "&amp;INDEX(Levels!$E$5:$E$94,($G$2+0)))</f>
        <v/>
      </c>
      <c r="D11" s="21" t="str">
        <f aca="false">IF(OR($C$7="",0&gt;=N($H$2)),"",IF(COUNTIFS(Progress!$B$5:$B$3000,$C$6,Progress!$G$5:$G$3000,INDEX(Levels!$G$5:$G$94,($G$2+0)))&gt;0,"✓ Passed",IF(IFERROR(INDEX(Levels!$B$5:$B$94,($G$2+0))=VALUE(LEFT($C$8,1)),FALSE()),"Next up","Later")))</f>
        <v/>
      </c>
      <c r="E11" s="13"/>
    </row>
    <row r="12" customFormat="false" ht="30" hidden="false" customHeight="true" outlineLevel="0" collapsed="false">
      <c r="A12" s="13"/>
      <c r="B12" s="20" t="str">
        <f aca="false">IF(OR($C$7="",1&gt;=N($H$2)),"",INDEX(Levels!$B$5:$B$94,($G$2+1))&amp;" "&amp;INDEX(Levels!$C$5:$C$94,($G$2+1)))</f>
        <v/>
      </c>
      <c r="C12" s="20" t="str">
        <f aca="false">IF(OR($C$7="",1&gt;=N($H$2)),"",INDEX(Levels!$D$5:$D$94,($G$2+1))&amp;": "&amp;INDEX(Levels!$E$5:$E$94,($G$2+1)))</f>
        <v/>
      </c>
      <c r="D12" s="21" t="str">
        <f aca="false">IF(OR($C$7="",1&gt;=N($H$2)),"",IF(COUNTIFS(Progress!$B$5:$B$3000,$C$6,Progress!$G$5:$G$3000,INDEX(Levels!$G$5:$G$94,($G$2+1)))&gt;0,"✓ Passed",IF(IFERROR(INDEX(Levels!$B$5:$B$94,($G$2+1))=VALUE(LEFT($C$8,1)),FALSE()),"Next up","Later")))</f>
        <v/>
      </c>
      <c r="E12" s="13"/>
    </row>
    <row r="13" customFormat="false" ht="30" hidden="false" customHeight="true" outlineLevel="0" collapsed="false">
      <c r="A13" s="13"/>
      <c r="B13" s="20" t="str">
        <f aca="false">IF(OR($C$7="",2&gt;=N($H$2)),"",INDEX(Levels!$B$5:$B$94,($G$2+2))&amp;" "&amp;INDEX(Levels!$C$5:$C$94,($G$2+2)))</f>
        <v/>
      </c>
      <c r="C13" s="20" t="str">
        <f aca="false">IF(OR($C$7="",2&gt;=N($H$2)),"",INDEX(Levels!$D$5:$D$94,($G$2+2))&amp;": "&amp;INDEX(Levels!$E$5:$E$94,($G$2+2)))</f>
        <v/>
      </c>
      <c r="D13" s="21" t="str">
        <f aca="false">IF(OR($C$7="",2&gt;=N($H$2)),"",IF(COUNTIFS(Progress!$B$5:$B$3000,$C$6,Progress!$G$5:$G$3000,INDEX(Levels!$G$5:$G$94,($G$2+2)))&gt;0,"✓ Passed",IF(IFERROR(INDEX(Levels!$B$5:$B$94,($G$2+2))=VALUE(LEFT($C$8,1)),FALSE()),"Next up","Later")))</f>
        <v/>
      </c>
      <c r="E13" s="13"/>
    </row>
    <row r="14" customFormat="false" ht="30" hidden="false" customHeight="true" outlineLevel="0" collapsed="false">
      <c r="A14" s="13"/>
      <c r="B14" s="20" t="str">
        <f aca="false">IF(OR($C$7="",3&gt;=N($H$2)),"",INDEX(Levels!$B$5:$B$94,($G$2+3))&amp;" "&amp;INDEX(Levels!$C$5:$C$94,($G$2+3)))</f>
        <v/>
      </c>
      <c r="C14" s="20" t="str">
        <f aca="false">IF(OR($C$7="",3&gt;=N($H$2)),"",INDEX(Levels!$D$5:$D$94,($G$2+3))&amp;": "&amp;INDEX(Levels!$E$5:$E$94,($G$2+3)))</f>
        <v/>
      </c>
      <c r="D14" s="21" t="str">
        <f aca="false">IF(OR($C$7="",3&gt;=N($H$2)),"",IF(COUNTIFS(Progress!$B$5:$B$3000,$C$6,Progress!$G$5:$G$3000,INDEX(Levels!$G$5:$G$94,($G$2+3)))&gt;0,"✓ Passed",IF(IFERROR(INDEX(Levels!$B$5:$B$94,($G$2+3))=VALUE(LEFT($C$8,1)),FALSE()),"Next up","Later")))</f>
        <v/>
      </c>
      <c r="E14" s="13"/>
    </row>
    <row r="15" customFormat="false" ht="30" hidden="false" customHeight="true" outlineLevel="0" collapsed="false">
      <c r="A15" s="13"/>
      <c r="B15" s="20" t="str">
        <f aca="false">IF(OR($C$7="",4&gt;=N($H$2)),"",INDEX(Levels!$B$5:$B$94,($G$2+4))&amp;" "&amp;INDEX(Levels!$C$5:$C$94,($G$2+4)))</f>
        <v/>
      </c>
      <c r="C15" s="20" t="str">
        <f aca="false">IF(OR($C$7="",4&gt;=N($H$2)),"",INDEX(Levels!$D$5:$D$94,($G$2+4))&amp;": "&amp;INDEX(Levels!$E$5:$E$94,($G$2+4)))</f>
        <v/>
      </c>
      <c r="D15" s="21" t="str">
        <f aca="false">IF(OR($C$7="",4&gt;=N($H$2)),"",IF(COUNTIFS(Progress!$B$5:$B$3000,$C$6,Progress!$G$5:$G$3000,INDEX(Levels!$G$5:$G$94,($G$2+4)))&gt;0,"✓ Passed",IF(IFERROR(INDEX(Levels!$B$5:$B$94,($G$2+4))=VALUE(LEFT($C$8,1)),FALSE()),"Next up","Later")))</f>
        <v/>
      </c>
      <c r="E15" s="13"/>
    </row>
    <row r="16" customFormat="false" ht="30" hidden="false" customHeight="true" outlineLevel="0" collapsed="false">
      <c r="A16" s="13"/>
      <c r="B16" s="20" t="str">
        <f aca="false">IF(OR($C$7="",5&gt;=N($H$2)),"",INDEX(Levels!$B$5:$B$94,($G$2+5))&amp;" "&amp;INDEX(Levels!$C$5:$C$94,($G$2+5)))</f>
        <v/>
      </c>
      <c r="C16" s="20" t="str">
        <f aca="false">IF(OR($C$7="",5&gt;=N($H$2)),"",INDEX(Levels!$D$5:$D$94,($G$2+5))&amp;": "&amp;INDEX(Levels!$E$5:$E$94,($G$2+5)))</f>
        <v/>
      </c>
      <c r="D16" s="21" t="str">
        <f aca="false">IF(OR($C$7="",5&gt;=N($H$2)),"",IF(COUNTIFS(Progress!$B$5:$B$3000,$C$6,Progress!$G$5:$G$3000,INDEX(Levels!$G$5:$G$94,($G$2+5)))&gt;0,"✓ Passed",IF(IFERROR(INDEX(Levels!$B$5:$B$94,($G$2+5))=VALUE(LEFT($C$8,1)),FALSE()),"Next up","Later")))</f>
        <v/>
      </c>
      <c r="E16" s="13"/>
    </row>
    <row r="17" customFormat="false" ht="30" hidden="false" customHeight="true" outlineLevel="0" collapsed="false">
      <c r="A17" s="13"/>
      <c r="B17" s="20" t="str">
        <f aca="false">IF(OR($C$7="",6&gt;=N($H$2)),"",INDEX(Levels!$B$5:$B$94,($G$2+6))&amp;" "&amp;INDEX(Levels!$C$5:$C$94,($G$2+6)))</f>
        <v/>
      </c>
      <c r="C17" s="20" t="str">
        <f aca="false">IF(OR($C$7="",6&gt;=N($H$2)),"",INDEX(Levels!$D$5:$D$94,($G$2+6))&amp;": "&amp;INDEX(Levels!$E$5:$E$94,($G$2+6)))</f>
        <v/>
      </c>
      <c r="D17" s="21" t="str">
        <f aca="false">IF(OR($C$7="",6&gt;=N($H$2)),"",IF(COUNTIFS(Progress!$B$5:$B$3000,$C$6,Progress!$G$5:$G$3000,INDEX(Levels!$G$5:$G$94,($G$2+6)))&gt;0,"✓ Passed",IF(IFERROR(INDEX(Levels!$B$5:$B$94,($G$2+6))=VALUE(LEFT($C$8,1)),FALSE()),"Next up","Later")))</f>
        <v/>
      </c>
      <c r="E17" s="13"/>
    </row>
    <row r="18" customFormat="false" ht="30" hidden="false" customHeight="true" outlineLevel="0" collapsed="false">
      <c r="A18" s="13"/>
      <c r="B18" s="20" t="str">
        <f aca="false">IF(OR($C$7="",7&gt;=N($H$2)),"",INDEX(Levels!$B$5:$B$94,($G$2+7))&amp;" "&amp;INDEX(Levels!$C$5:$C$94,($G$2+7)))</f>
        <v/>
      </c>
      <c r="C18" s="20" t="str">
        <f aca="false">IF(OR($C$7="",7&gt;=N($H$2)),"",INDEX(Levels!$D$5:$D$94,($G$2+7))&amp;": "&amp;INDEX(Levels!$E$5:$E$94,($G$2+7)))</f>
        <v/>
      </c>
      <c r="D18" s="21" t="str">
        <f aca="false">IF(OR($C$7="",7&gt;=N($H$2)),"",IF(COUNTIFS(Progress!$B$5:$B$3000,$C$6,Progress!$G$5:$G$3000,INDEX(Levels!$G$5:$G$94,($G$2+7)))&gt;0,"✓ Passed",IF(IFERROR(INDEX(Levels!$B$5:$B$94,($G$2+7))=VALUE(LEFT($C$8,1)),FALSE()),"Next up","Later")))</f>
        <v/>
      </c>
      <c r="E18" s="13"/>
    </row>
    <row r="19" customFormat="false" ht="30" hidden="false" customHeight="true" outlineLevel="0" collapsed="false">
      <c r="A19" s="13"/>
      <c r="B19" s="20" t="str">
        <f aca="false">IF(OR($C$7="",8&gt;=N($H$2)),"",INDEX(Levels!$B$5:$B$94,($G$2+8))&amp;" "&amp;INDEX(Levels!$C$5:$C$94,($G$2+8)))</f>
        <v/>
      </c>
      <c r="C19" s="20" t="str">
        <f aca="false">IF(OR($C$7="",8&gt;=N($H$2)),"",INDEX(Levels!$D$5:$D$94,($G$2+8))&amp;": "&amp;INDEX(Levels!$E$5:$E$94,($G$2+8)))</f>
        <v/>
      </c>
      <c r="D19" s="21" t="str">
        <f aca="false">IF(OR($C$7="",8&gt;=N($H$2)),"",IF(COUNTIFS(Progress!$B$5:$B$3000,$C$6,Progress!$G$5:$G$3000,INDEX(Levels!$G$5:$G$94,($G$2+8)))&gt;0,"✓ Passed",IF(IFERROR(INDEX(Levels!$B$5:$B$94,($G$2+8))=VALUE(LEFT($C$8,1)),FALSE()),"Next up","Later")))</f>
        <v/>
      </c>
      <c r="E19" s="13"/>
    </row>
    <row r="20" customFormat="false" ht="30" hidden="false" customHeight="true" outlineLevel="0" collapsed="false">
      <c r="A20" s="13"/>
      <c r="B20" s="20" t="str">
        <f aca="false">IF(OR($C$7="",9&gt;=N($H$2)),"",INDEX(Levels!$B$5:$B$94,($G$2+9))&amp;" "&amp;INDEX(Levels!$C$5:$C$94,($G$2+9)))</f>
        <v/>
      </c>
      <c r="C20" s="20" t="str">
        <f aca="false">IF(OR($C$7="",9&gt;=N($H$2)),"",INDEX(Levels!$D$5:$D$94,($G$2+9))&amp;": "&amp;INDEX(Levels!$E$5:$E$94,($G$2+9)))</f>
        <v/>
      </c>
      <c r="D20" s="21" t="str">
        <f aca="false">IF(OR($C$7="",9&gt;=N($H$2)),"",IF(COUNTIFS(Progress!$B$5:$B$3000,$C$6,Progress!$G$5:$G$3000,INDEX(Levels!$G$5:$G$94,($G$2+9)))&gt;0,"✓ Passed",IF(IFERROR(INDEX(Levels!$B$5:$B$94,($G$2+9))=VALUE(LEFT($C$8,1)),FALSE()),"Next up","Later")))</f>
        <v/>
      </c>
      <c r="E20" s="13"/>
    </row>
    <row r="21" customFormat="false" ht="30" hidden="false" customHeight="true" outlineLevel="0" collapsed="false">
      <c r="A21" s="13"/>
      <c r="B21" s="20" t="str">
        <f aca="false">IF(OR($C$7="",10&gt;=N($H$2)),"",INDEX(Levels!$B$5:$B$94,($G$2+10))&amp;" "&amp;INDEX(Levels!$C$5:$C$94,($G$2+10)))</f>
        <v/>
      </c>
      <c r="C21" s="20" t="str">
        <f aca="false">IF(OR($C$7="",10&gt;=N($H$2)),"",INDEX(Levels!$D$5:$D$94,($G$2+10))&amp;": "&amp;INDEX(Levels!$E$5:$E$94,($G$2+10)))</f>
        <v/>
      </c>
      <c r="D21" s="21" t="str">
        <f aca="false">IF(OR($C$7="",10&gt;=N($H$2)),"",IF(COUNTIFS(Progress!$B$5:$B$3000,$C$6,Progress!$G$5:$G$3000,INDEX(Levels!$G$5:$G$94,($G$2+10)))&gt;0,"✓ Passed",IF(IFERROR(INDEX(Levels!$B$5:$B$94,($G$2+10))=VALUE(LEFT($C$8,1)),FALSE()),"Next up","Later")))</f>
        <v/>
      </c>
      <c r="E21" s="13"/>
    </row>
    <row r="22" customFormat="false" ht="30" hidden="false" customHeight="true" outlineLevel="0" collapsed="false">
      <c r="A22" s="13"/>
      <c r="B22" s="20" t="str">
        <f aca="false">IF(OR($C$7="",11&gt;=N($H$2)),"",INDEX(Levels!$B$5:$B$94,($G$2+11))&amp;" "&amp;INDEX(Levels!$C$5:$C$94,($G$2+11)))</f>
        <v/>
      </c>
      <c r="C22" s="20" t="str">
        <f aca="false">IF(OR($C$7="",11&gt;=N($H$2)),"",INDEX(Levels!$D$5:$D$94,($G$2+11))&amp;": "&amp;INDEX(Levels!$E$5:$E$94,($G$2+11)))</f>
        <v/>
      </c>
      <c r="D22" s="21" t="str">
        <f aca="false">IF(OR($C$7="",11&gt;=N($H$2)),"",IF(COUNTIFS(Progress!$B$5:$B$3000,$C$6,Progress!$G$5:$G$3000,INDEX(Levels!$G$5:$G$94,($G$2+11)))&gt;0,"✓ Passed",IF(IFERROR(INDEX(Levels!$B$5:$B$94,($G$2+11))=VALUE(LEFT($C$8,1)),FALSE()),"Next up","Later")))</f>
        <v/>
      </c>
      <c r="E22" s="13"/>
    </row>
    <row r="23" customFormat="false" ht="30" hidden="false" customHeight="true" outlineLevel="0" collapsed="false">
      <c r="A23" s="13"/>
      <c r="B23" s="20" t="str">
        <f aca="false">IF(OR($C$7="",12&gt;=N($H$2)),"",INDEX(Levels!$B$5:$B$94,($G$2+12))&amp;" "&amp;INDEX(Levels!$C$5:$C$94,($G$2+12)))</f>
        <v/>
      </c>
      <c r="C23" s="20" t="str">
        <f aca="false">IF(OR($C$7="",12&gt;=N($H$2)),"",INDEX(Levels!$D$5:$D$94,($G$2+12))&amp;": "&amp;INDEX(Levels!$E$5:$E$94,($G$2+12)))</f>
        <v/>
      </c>
      <c r="D23" s="21" t="str">
        <f aca="false">IF(OR($C$7="",12&gt;=N($H$2)),"",IF(COUNTIFS(Progress!$B$5:$B$3000,$C$6,Progress!$G$5:$G$3000,INDEX(Levels!$G$5:$G$94,($G$2+12)))&gt;0,"✓ Passed",IF(IFERROR(INDEX(Levels!$B$5:$B$94,($G$2+12))=VALUE(LEFT($C$8,1)),FALSE()),"Next up","Later")))</f>
        <v/>
      </c>
      <c r="E23" s="13"/>
    </row>
    <row r="24" customFormat="false" ht="30" hidden="false" customHeight="true" outlineLevel="0" collapsed="false">
      <c r="A24" s="13"/>
      <c r="B24" s="20" t="str">
        <f aca="false">IF(OR($C$7="",13&gt;=N($H$2)),"",INDEX(Levels!$B$5:$B$94,($G$2+13))&amp;" "&amp;INDEX(Levels!$C$5:$C$94,($G$2+13)))</f>
        <v/>
      </c>
      <c r="C24" s="20" t="str">
        <f aca="false">IF(OR($C$7="",13&gt;=N($H$2)),"",INDEX(Levels!$D$5:$D$94,($G$2+13))&amp;": "&amp;INDEX(Levels!$E$5:$E$94,($G$2+13)))</f>
        <v/>
      </c>
      <c r="D24" s="21" t="str">
        <f aca="false">IF(OR($C$7="",13&gt;=N($H$2)),"",IF(COUNTIFS(Progress!$B$5:$B$3000,$C$6,Progress!$G$5:$G$3000,INDEX(Levels!$G$5:$G$94,($G$2+13)))&gt;0,"✓ Passed",IF(IFERROR(INDEX(Levels!$B$5:$B$94,($G$2+13))=VALUE(LEFT($C$8,1)),FALSE()),"Next up","Later")))</f>
        <v/>
      </c>
      <c r="E24" s="13"/>
    </row>
    <row r="25" customFormat="false" ht="30" hidden="false" customHeight="true" outlineLevel="0" collapsed="false">
      <c r="A25" s="13"/>
      <c r="B25" s="20" t="str">
        <f aca="false">IF(OR($C$7="",14&gt;=N($H$2)),"",INDEX(Levels!$B$5:$B$94,($G$2+14))&amp;" "&amp;INDEX(Levels!$C$5:$C$94,($G$2+14)))</f>
        <v/>
      </c>
      <c r="C25" s="20" t="str">
        <f aca="false">IF(OR($C$7="",14&gt;=N($H$2)),"",INDEX(Levels!$D$5:$D$94,($G$2+14))&amp;": "&amp;INDEX(Levels!$E$5:$E$94,($G$2+14)))</f>
        <v/>
      </c>
      <c r="D25" s="21" t="str">
        <f aca="false">IF(OR($C$7="",14&gt;=N($H$2)),"",IF(COUNTIFS(Progress!$B$5:$B$3000,$C$6,Progress!$G$5:$G$3000,INDEX(Levels!$G$5:$G$94,($G$2+14)))&gt;0,"✓ Passed",IF(IFERROR(INDEX(Levels!$B$5:$B$94,($G$2+14))=VALUE(LEFT($C$8,1)),FALSE()),"Next up","Later")))</f>
        <v/>
      </c>
      <c r="E25" s="13"/>
    </row>
    <row r="26" customFormat="false" ht="30" hidden="false" customHeight="true" outlineLevel="0" collapsed="false">
      <c r="A26" s="13"/>
      <c r="B26" s="20" t="str">
        <f aca="false">IF(OR($C$7="",15&gt;=N($H$2)),"",INDEX(Levels!$B$5:$B$94,($G$2+15))&amp;" "&amp;INDEX(Levels!$C$5:$C$94,($G$2+15)))</f>
        <v/>
      </c>
      <c r="C26" s="20" t="str">
        <f aca="false">IF(OR($C$7="",15&gt;=N($H$2)),"",INDEX(Levels!$D$5:$D$94,($G$2+15))&amp;": "&amp;INDEX(Levels!$E$5:$E$94,($G$2+15)))</f>
        <v/>
      </c>
      <c r="D26" s="21" t="str">
        <f aca="false">IF(OR($C$7="",15&gt;=N($H$2)),"",IF(COUNTIFS(Progress!$B$5:$B$3000,$C$6,Progress!$G$5:$G$3000,INDEX(Levels!$G$5:$G$94,($G$2+15)))&gt;0,"✓ Passed",IF(IFERROR(INDEX(Levels!$B$5:$B$94,($G$2+15))=VALUE(LEFT($C$8,1)),FALSE()),"Next up","Later")))</f>
        <v/>
      </c>
      <c r="E26" s="13"/>
    </row>
    <row r="27" customFormat="false" ht="30" hidden="false" customHeight="true" outlineLevel="0" collapsed="false">
      <c r="A27" s="13"/>
      <c r="B27" s="20" t="str">
        <f aca="false">IF(OR($C$7="",16&gt;=N($H$2)),"",INDEX(Levels!$B$5:$B$94,($G$2+16))&amp;" "&amp;INDEX(Levels!$C$5:$C$94,($G$2+16)))</f>
        <v/>
      </c>
      <c r="C27" s="20" t="str">
        <f aca="false">IF(OR($C$7="",16&gt;=N($H$2)),"",INDEX(Levels!$D$5:$D$94,($G$2+16))&amp;": "&amp;INDEX(Levels!$E$5:$E$94,($G$2+16)))</f>
        <v/>
      </c>
      <c r="D27" s="21" t="str">
        <f aca="false">IF(OR($C$7="",16&gt;=N($H$2)),"",IF(COUNTIFS(Progress!$B$5:$B$3000,$C$6,Progress!$G$5:$G$3000,INDEX(Levels!$G$5:$G$94,($G$2+16)))&gt;0,"✓ Passed",IF(IFERROR(INDEX(Levels!$B$5:$B$94,($G$2+16))=VALUE(LEFT($C$8,1)),FALSE()),"Next up","Later")))</f>
        <v/>
      </c>
      <c r="E27" s="13"/>
    </row>
    <row r="28" customFormat="false" ht="30" hidden="false" customHeight="true" outlineLevel="0" collapsed="false">
      <c r="A28" s="13"/>
      <c r="B28" s="20" t="str">
        <f aca="false">IF(OR($C$7="",17&gt;=N($H$2)),"",INDEX(Levels!$B$5:$B$94,($G$2+17))&amp;" "&amp;INDEX(Levels!$C$5:$C$94,($G$2+17)))</f>
        <v/>
      </c>
      <c r="C28" s="20" t="str">
        <f aca="false">IF(OR($C$7="",17&gt;=N($H$2)),"",INDEX(Levels!$D$5:$D$94,($G$2+17))&amp;": "&amp;INDEX(Levels!$E$5:$E$94,($G$2+17)))</f>
        <v/>
      </c>
      <c r="D28" s="21" t="str">
        <f aca="false">IF(OR($C$7="",17&gt;=N($H$2)),"",IF(COUNTIFS(Progress!$B$5:$B$3000,$C$6,Progress!$G$5:$G$3000,INDEX(Levels!$G$5:$G$94,($G$2+17)))&gt;0,"✓ Passed",IF(IFERROR(INDEX(Levels!$B$5:$B$94,($G$2+17))=VALUE(LEFT($C$8,1)),FALSE()),"Next up","Later")))</f>
        <v/>
      </c>
      <c r="E28" s="13"/>
    </row>
    <row r="29" customFormat="false" ht="30" hidden="false" customHeight="true" outlineLevel="0" collapsed="false">
      <c r="A29" s="13"/>
      <c r="B29" s="20" t="str">
        <f aca="false">IF(OR($C$7="",18&gt;=N($H$2)),"",INDEX(Levels!$B$5:$B$94,($G$2+18))&amp;" "&amp;INDEX(Levels!$C$5:$C$94,($G$2+18)))</f>
        <v/>
      </c>
      <c r="C29" s="20" t="str">
        <f aca="false">IF(OR($C$7="",18&gt;=N($H$2)),"",INDEX(Levels!$D$5:$D$94,($G$2+18))&amp;": "&amp;INDEX(Levels!$E$5:$E$94,($G$2+18)))</f>
        <v/>
      </c>
      <c r="D29" s="21" t="str">
        <f aca="false">IF(OR($C$7="",18&gt;=N($H$2)),"",IF(COUNTIFS(Progress!$B$5:$B$3000,$C$6,Progress!$G$5:$G$3000,INDEX(Levels!$G$5:$G$94,($G$2+18)))&gt;0,"✓ Passed",IF(IFERROR(INDEX(Levels!$B$5:$B$94,($G$2+18))=VALUE(LEFT($C$8,1)),FALSE()),"Next up","Later")))</f>
        <v/>
      </c>
      <c r="E29" s="13"/>
    </row>
    <row r="30" customFormat="false" ht="30" hidden="false" customHeight="true" outlineLevel="0" collapsed="false">
      <c r="A30" s="13"/>
      <c r="B30" s="20" t="str">
        <f aca="false">IF(OR($C$7="",19&gt;=N($H$2)),"",INDEX(Levels!$B$5:$B$94,($G$2+19))&amp;" "&amp;INDEX(Levels!$C$5:$C$94,($G$2+19)))</f>
        <v/>
      </c>
      <c r="C30" s="20" t="str">
        <f aca="false">IF(OR($C$7="",19&gt;=N($H$2)),"",INDEX(Levels!$D$5:$D$94,($G$2+19))&amp;": "&amp;INDEX(Levels!$E$5:$E$94,($G$2+19)))</f>
        <v/>
      </c>
      <c r="D30" s="21" t="str">
        <f aca="false">IF(OR($C$7="",19&gt;=N($H$2)),"",IF(COUNTIFS(Progress!$B$5:$B$3000,$C$6,Progress!$G$5:$G$3000,INDEX(Levels!$G$5:$G$94,($G$2+19)))&gt;0,"✓ Passed",IF(IFERROR(INDEX(Levels!$B$5:$B$94,($G$2+19))=VALUE(LEFT($C$8,1)),FALSE()),"Next up","Later")))</f>
        <v/>
      </c>
      <c r="E30" s="13"/>
    </row>
    <row r="31" customFormat="false" ht="15" hidden="false" customHeight="false" outlineLevel="0" collapsed="false">
      <c r="A31" s="13"/>
      <c r="B31" s="13"/>
      <c r="C31" s="13"/>
      <c r="D31" s="13"/>
      <c r="E31" s="13"/>
    </row>
    <row r="32" customFormat="false" ht="15" hidden="false" customHeight="false" outlineLevel="0" collapsed="false">
      <c r="A32" s="13"/>
      <c r="B32" s="16" t="s">
        <v>32</v>
      </c>
      <c r="C32" s="13"/>
      <c r="D32" s="13"/>
      <c r="E32" s="13"/>
    </row>
    <row r="33" customFormat="false" ht="15" hidden="false" customHeight="false" outlineLevel="0" collapsed="false">
      <c r="A33" s="13"/>
      <c r="B33" s="13"/>
      <c r="C33" s="13"/>
      <c r="D33" s="13"/>
      <c r="E33" s="13"/>
    </row>
    <row r="34" customFormat="false" ht="15" hidden="false" customHeight="false" outlineLevel="0" collapsed="false">
      <c r="A34" s="13"/>
      <c r="B34" s="13"/>
      <c r="C34" s="13"/>
      <c r="D34" s="13"/>
      <c r="E34" s="13"/>
    </row>
    <row r="35" customFormat="false" ht="15" hidden="false" customHeight="false" outlineLevel="0" collapsed="false">
      <c r="A35" s="13"/>
      <c r="B35" s="13"/>
      <c r="C35" s="13"/>
      <c r="D35" s="13"/>
      <c r="E35" s="13"/>
    </row>
    <row r="36" customFormat="false" ht="15" hidden="false" customHeight="false" outlineLevel="0" collapsed="false">
      <c r="A36" s="13"/>
      <c r="B36" s="13"/>
      <c r="C36" s="13"/>
      <c r="D36" s="13"/>
      <c r="E36" s="13"/>
    </row>
    <row r="37" customFormat="false" ht="15" hidden="false" customHeight="false" outlineLevel="0" collapsed="false">
      <c r="A37" s="13"/>
      <c r="B37" s="13"/>
      <c r="C37" s="13"/>
      <c r="D37" s="13"/>
      <c r="E37" s="13"/>
    </row>
    <row r="38" customFormat="false" ht="15" hidden="false" customHeight="false" outlineLevel="0" collapsed="false">
      <c r="A38" s="13"/>
      <c r="B38" s="13"/>
      <c r="C38" s="13"/>
      <c r="D38" s="13"/>
      <c r="E38" s="13"/>
    </row>
    <row r="39" customFormat="false" ht="15" hidden="false" customHeight="false" outlineLevel="0" collapsed="false">
      <c r="A39" s="13"/>
      <c r="B39" s="13"/>
      <c r="C39" s="13"/>
      <c r="D39" s="13"/>
      <c r="E39" s="13"/>
    </row>
  </sheetData>
  <conditionalFormatting sqref="D11:D30">
    <cfRule type="cellIs" priority="2" operator="equal" aboveAverage="0" equalAverage="0" bottom="0" percent="0" rank="0" text="" dxfId="0">
      <formula>"✓ Passed"</formula>
    </cfRule>
  </conditionalFormatting>
  <conditionalFormatting sqref="B11:D30">
    <cfRule type="expression" priority="3" aboveAverage="0" equalAverage="0" bottom="0" percent="0" rank="0" text="" dxfId="1">
      <formula>$D11="Next up"</formula>
    </cfRule>
  </conditionalFormatting>
  <dataValidations count="1">
    <dataValidation allowBlank="true" errorStyle="stop" operator="between" showDropDown="false" showErrorMessage="false" showInputMessage="false" sqref="C6" type="list">
      <formula1>Roster!$A$5:$A$154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8" min="6" style="0" width="10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13"/>
    <col collapsed="false" customWidth="true" hidden="false" outlineLevel="0" max="12" min="12" style="0" width="36"/>
  </cols>
  <sheetData>
    <row r="1" customFormat="false" ht="30" hidden="false" customHeight="true" outlineLevel="0" collapsed="false">
      <c r="A1" s="1" t="s">
        <v>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1.5" hidden="false" customHeight="true" outlineLevel="0" collapsed="false">
      <c r="A2" s="2" t="s">
        <v>34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30" hidden="false" customHeight="true" outlineLevel="0" collapsed="false">
      <c r="A4" s="19" t="s">
        <v>35</v>
      </c>
      <c r="B4" s="19" t="s">
        <v>27</v>
      </c>
      <c r="C4" s="19" t="s">
        <v>36</v>
      </c>
      <c r="D4" s="19" t="s">
        <v>37</v>
      </c>
      <c r="E4" s="19" t="s">
        <v>38</v>
      </c>
      <c r="F4" s="19" t="s">
        <v>39</v>
      </c>
      <c r="G4" s="19" t="s">
        <v>40</v>
      </c>
      <c r="H4" s="19" t="s">
        <v>41</v>
      </c>
      <c r="I4" s="19" t="s">
        <v>42</v>
      </c>
      <c r="J4" s="19" t="s">
        <v>43</v>
      </c>
      <c r="K4" s="19" t="s">
        <v>44</v>
      </c>
      <c r="L4" s="19" t="s">
        <v>45</v>
      </c>
    </row>
    <row r="5" customFormat="false" ht="15" hidden="false" customHeight="false" outlineLevel="0" collapsed="false">
      <c r="A5" s="22"/>
      <c r="B5" s="22"/>
      <c r="C5" s="23"/>
      <c r="D5" s="22"/>
      <c r="E5" s="24" t="str">
        <f aca="false">IF(OR($A5="",$B5=""),"",SUMPRODUCT((Levels!$A$5:$A$94=$B5)*(Levels!$B$5:$B$94=1)*(COUNTIFS(Progress!$B$5:$B$3000,$A5,Progress!$G$5:$G$3000,Levels!$G$5:$G$94)&gt;0))&amp;" / "&amp;COUNTIFS(Levels!$A$5:$A$94,$B5,Levels!$B$5:$B$94,1))</f>
        <v/>
      </c>
      <c r="F5" s="24" t="str">
        <f aca="false">IF(OR($A5="",$B5=""),"",SUMPRODUCT((Levels!$A$5:$A$94=$B5)*(Levels!$B$5:$B$94=2)*(COUNTIFS(Progress!$B$5:$B$3000,$A5,Progress!$G$5:$G$3000,Levels!$G$5:$G$94)&gt;0))&amp;" / "&amp;COUNTIFS(Levels!$A$5:$A$94,$B5,Levels!$B$5:$B$94,2))</f>
        <v/>
      </c>
      <c r="G5" s="24" t="str">
        <f aca="false">IF(OR($A5="",$B5=""),"",SUMPRODUCT((Levels!$A$5:$A$94=$B5)*(Levels!$B$5:$B$94=3)*(COUNTIFS(Progress!$B$5:$B$3000,$A5,Progress!$G$5:$G$3000,Levels!$G$5:$G$94)&gt;0))&amp;" / "&amp;COUNTIFS(Levels!$A$5:$A$94,$B5,Levels!$B$5:$B$94,3))</f>
        <v/>
      </c>
      <c r="H5" s="24" t="str">
        <f aca="false">IF(OR($A5="",$B5=""),"",SUMPRODUCT((Levels!$A$5:$A$94=$B5)*(Levels!$B$5:$B$94=4)*(COUNTIFS(Progress!$B$5:$B$3000,$A5,Progress!$G$5:$G$3000,Levels!$G$5:$G$94)&gt;0))&amp;" / "&amp;COUNTIFS(Levels!$A$5:$A$94,$B5,Levels!$B$5:$B$94,4))</f>
        <v/>
      </c>
      <c r="I5" s="24" t="str">
        <f aca="false">IF(OR($A5="",$B5=""),"",IF(SUMPRODUCT((Levels!$A$5:$A$94=$B5)*(Levels!$B$5:$B$94=1)*(COUNTIFS(Progress!$B$5:$B$3000,$A5,Progress!$G$5:$G$3000,Levels!$G$5:$G$94)&gt;0))&lt;COUNTIFS(Levels!$A$5:$A$94,$B5,Levels!$B$5:$B$94,1),"1 Rookie",IF(SUMPRODUCT((Levels!$A$5:$A$94=$B5)*(Levels!$B$5:$B$94=2)*(COUNTIFS(Progress!$B$5:$B$3000,$A5,Progress!$G$5:$G$3000,Levels!$G$5:$G$94)&gt;0))&lt;COUNTIFS(Levels!$A$5:$A$94,$B5,Levels!$B$5:$B$94,2),"2 Contender",IF(SUMPRODUCT((Levels!$A$5:$A$94=$B5)*(Levels!$B$5:$B$94=3)*(COUNTIFS(Progress!$B$5:$B$3000,$A5,Progress!$G$5:$G$3000,Levels!$G$5:$G$94)&gt;0))&lt;COUNTIFS(Levels!$A$5:$A$94,$B5,Levels!$B$5:$B$94,3),"3 Challenger",IF(SUMPRODUCT((Levels!$A$5:$A$94=$B5)*(Levels!$B$5:$B$94=4)*(COUNTIFS(Progress!$B$5:$B$3000,$A5,Progress!$G$5:$G$3000,Levels!$G$5:$G$94)&gt;0))&lt;COUNTIFS(Levels!$A$5:$A$94,$B5,Levels!$B$5:$B$94,4),"4 Champion","All done")))))</f>
        <v/>
      </c>
      <c r="J5" s="25" t="str">
        <f aca="false">IF(OR(I5="",I5="All done"),"",COUNTIFS(Levels!$A$5:$A$94,$B5,Levels!$B$5:$B$94,1)*(LEFT(I5,1)="1")+COUNTIFS(Levels!$A$5:$A$94,$B5,Levels!$B$5:$B$94,2)*(LEFT(I5,1)="2")+COUNTIFS(Levels!$A$5:$A$94,$B5,Levels!$B$5:$B$94,3)*(LEFT(I5,1)="3")+COUNTIFS(Levels!$A$5:$A$94,$B5,Levels!$B$5:$B$94,4)*(LEFT(I5,1)="4")-(SUMPRODUCT((Levels!$A$5:$A$94=$B5)*(Levels!$B$5:$B$94=1)*(COUNTIFS(Progress!$B$5:$B$3000,$A5,Progress!$G$5:$G$3000,Levels!$G$5:$G$94)&gt;0))*(LEFT(I5,1)="1")+SUMPRODUCT((Levels!$A$5:$A$94=$B5)*(Levels!$B$5:$B$94=2)*(COUNTIFS(Progress!$B$5:$B$3000,$A5,Progress!$G$5:$G$3000,Levels!$G$5:$G$94)&gt;0))*(LEFT(I5,1)="2")+SUMPRODUCT((Levels!$A$5:$A$94=$B5)*(Levels!$B$5:$B$94=3)*(COUNTIFS(Progress!$B$5:$B$3000,$A5,Progress!$G$5:$G$3000,Levels!$G$5:$G$94)&gt;0))*(LEFT(I5,1)="3")+SUMPRODUCT((Levels!$A$5:$A$94=$B5)*(Levels!$B$5:$B$94=4)*(COUNTIFS(Progress!$B$5:$B$3000,$A5,Progress!$G$5:$G$3000,Levels!$G$5:$G$94)&gt;0))*(LEFT(I5,1)="4")))</f>
        <v/>
      </c>
      <c r="K5" s="26" t="str">
        <f aca="false">IF($A5="","",IF(COUNTIFS(Progress!$B$5:$B$3000,$A5)=0,"",SUMPRODUCT(MAX((Progress!$B$5:$B$3000=$A5)*Progress!$A$5:$A$3000))))</f>
        <v/>
      </c>
      <c r="L5" s="22"/>
    </row>
    <row r="6" customFormat="false" ht="15" hidden="false" customHeight="false" outlineLevel="0" collapsed="false">
      <c r="A6" s="22"/>
      <c r="B6" s="22"/>
      <c r="C6" s="23"/>
      <c r="D6" s="22"/>
      <c r="E6" s="24" t="str">
        <f aca="false">IF(OR($A6="",$B6=""),"",SUMPRODUCT((Levels!$A$5:$A$94=$B6)*(Levels!$B$5:$B$94=1)*(COUNTIFS(Progress!$B$5:$B$3000,$A6,Progress!$G$5:$G$3000,Levels!$G$5:$G$94)&gt;0))&amp;" / "&amp;COUNTIFS(Levels!$A$5:$A$94,$B6,Levels!$B$5:$B$94,1))</f>
        <v/>
      </c>
      <c r="F6" s="24" t="str">
        <f aca="false">IF(OR($A6="",$B6=""),"",SUMPRODUCT((Levels!$A$5:$A$94=$B6)*(Levels!$B$5:$B$94=2)*(COUNTIFS(Progress!$B$5:$B$3000,$A6,Progress!$G$5:$G$3000,Levels!$G$5:$G$94)&gt;0))&amp;" / "&amp;COUNTIFS(Levels!$A$5:$A$94,$B6,Levels!$B$5:$B$94,2))</f>
        <v/>
      </c>
      <c r="G6" s="24" t="str">
        <f aca="false">IF(OR($A6="",$B6=""),"",SUMPRODUCT((Levels!$A$5:$A$94=$B6)*(Levels!$B$5:$B$94=3)*(COUNTIFS(Progress!$B$5:$B$3000,$A6,Progress!$G$5:$G$3000,Levels!$G$5:$G$94)&gt;0))&amp;" / "&amp;COUNTIFS(Levels!$A$5:$A$94,$B6,Levels!$B$5:$B$94,3))</f>
        <v/>
      </c>
      <c r="H6" s="24" t="str">
        <f aca="false">IF(OR($A6="",$B6=""),"",SUMPRODUCT((Levels!$A$5:$A$94=$B6)*(Levels!$B$5:$B$94=4)*(COUNTIFS(Progress!$B$5:$B$3000,$A6,Progress!$G$5:$G$3000,Levels!$G$5:$G$94)&gt;0))&amp;" / "&amp;COUNTIFS(Levels!$A$5:$A$94,$B6,Levels!$B$5:$B$94,4))</f>
        <v/>
      </c>
      <c r="I6" s="24" t="str">
        <f aca="false">IF(OR($A6="",$B6=""),"",IF(SUMPRODUCT((Levels!$A$5:$A$94=$B6)*(Levels!$B$5:$B$94=1)*(COUNTIFS(Progress!$B$5:$B$3000,$A6,Progress!$G$5:$G$3000,Levels!$G$5:$G$94)&gt;0))&lt;COUNTIFS(Levels!$A$5:$A$94,$B6,Levels!$B$5:$B$94,1),"1 Rookie",IF(SUMPRODUCT((Levels!$A$5:$A$94=$B6)*(Levels!$B$5:$B$94=2)*(COUNTIFS(Progress!$B$5:$B$3000,$A6,Progress!$G$5:$G$3000,Levels!$G$5:$G$94)&gt;0))&lt;COUNTIFS(Levels!$A$5:$A$94,$B6,Levels!$B$5:$B$94,2),"2 Contender",IF(SUMPRODUCT((Levels!$A$5:$A$94=$B6)*(Levels!$B$5:$B$94=3)*(COUNTIFS(Progress!$B$5:$B$3000,$A6,Progress!$G$5:$G$3000,Levels!$G$5:$G$94)&gt;0))&lt;COUNTIFS(Levels!$A$5:$A$94,$B6,Levels!$B$5:$B$94,3),"3 Challenger",IF(SUMPRODUCT((Levels!$A$5:$A$94=$B6)*(Levels!$B$5:$B$94=4)*(COUNTIFS(Progress!$B$5:$B$3000,$A6,Progress!$G$5:$G$3000,Levels!$G$5:$G$94)&gt;0))&lt;COUNTIFS(Levels!$A$5:$A$94,$B6,Levels!$B$5:$B$94,4),"4 Champion","All done")))))</f>
        <v/>
      </c>
      <c r="J6" s="25" t="str">
        <f aca="false">IF(OR(I6="",I6="All done"),"",COUNTIFS(Levels!$A$5:$A$94,$B6,Levels!$B$5:$B$94,1)*(LEFT(I6,1)="1")+COUNTIFS(Levels!$A$5:$A$94,$B6,Levels!$B$5:$B$94,2)*(LEFT(I6,1)="2")+COUNTIFS(Levels!$A$5:$A$94,$B6,Levels!$B$5:$B$94,3)*(LEFT(I6,1)="3")+COUNTIFS(Levels!$A$5:$A$94,$B6,Levels!$B$5:$B$94,4)*(LEFT(I6,1)="4")-(SUMPRODUCT((Levels!$A$5:$A$94=$B6)*(Levels!$B$5:$B$94=1)*(COUNTIFS(Progress!$B$5:$B$3000,$A6,Progress!$G$5:$G$3000,Levels!$G$5:$G$94)&gt;0))*(LEFT(I6,1)="1")+SUMPRODUCT((Levels!$A$5:$A$94=$B6)*(Levels!$B$5:$B$94=2)*(COUNTIFS(Progress!$B$5:$B$3000,$A6,Progress!$G$5:$G$3000,Levels!$G$5:$G$94)&gt;0))*(LEFT(I6,1)="2")+SUMPRODUCT((Levels!$A$5:$A$94=$B6)*(Levels!$B$5:$B$94=3)*(COUNTIFS(Progress!$B$5:$B$3000,$A6,Progress!$G$5:$G$3000,Levels!$G$5:$G$94)&gt;0))*(LEFT(I6,1)="3")+SUMPRODUCT((Levels!$A$5:$A$94=$B6)*(Levels!$B$5:$B$94=4)*(COUNTIFS(Progress!$B$5:$B$3000,$A6,Progress!$G$5:$G$3000,Levels!$G$5:$G$94)&gt;0))*(LEFT(I6,1)="4")))</f>
        <v/>
      </c>
      <c r="K6" s="26" t="str">
        <f aca="false">IF($A6="","",IF(COUNTIFS(Progress!$B$5:$B$3000,$A6)=0,"",SUMPRODUCT(MAX((Progress!$B$5:$B$3000=$A6)*Progress!$A$5:$A$3000))))</f>
        <v/>
      </c>
      <c r="L6" s="22"/>
    </row>
    <row r="7" customFormat="false" ht="15" hidden="false" customHeight="false" outlineLevel="0" collapsed="false">
      <c r="A7" s="22"/>
      <c r="B7" s="22"/>
      <c r="C7" s="23"/>
      <c r="D7" s="22"/>
      <c r="E7" s="24" t="str">
        <f aca="false">IF(OR($A7="",$B7=""),"",SUMPRODUCT((Levels!$A$5:$A$94=$B7)*(Levels!$B$5:$B$94=1)*(COUNTIFS(Progress!$B$5:$B$3000,$A7,Progress!$G$5:$G$3000,Levels!$G$5:$G$94)&gt;0))&amp;" / "&amp;COUNTIFS(Levels!$A$5:$A$94,$B7,Levels!$B$5:$B$94,1))</f>
        <v/>
      </c>
      <c r="F7" s="24" t="str">
        <f aca="false">IF(OR($A7="",$B7=""),"",SUMPRODUCT((Levels!$A$5:$A$94=$B7)*(Levels!$B$5:$B$94=2)*(COUNTIFS(Progress!$B$5:$B$3000,$A7,Progress!$G$5:$G$3000,Levels!$G$5:$G$94)&gt;0))&amp;" / "&amp;COUNTIFS(Levels!$A$5:$A$94,$B7,Levels!$B$5:$B$94,2))</f>
        <v/>
      </c>
      <c r="G7" s="24" t="str">
        <f aca="false">IF(OR($A7="",$B7=""),"",SUMPRODUCT((Levels!$A$5:$A$94=$B7)*(Levels!$B$5:$B$94=3)*(COUNTIFS(Progress!$B$5:$B$3000,$A7,Progress!$G$5:$G$3000,Levels!$G$5:$G$94)&gt;0))&amp;" / "&amp;COUNTIFS(Levels!$A$5:$A$94,$B7,Levels!$B$5:$B$94,3))</f>
        <v/>
      </c>
      <c r="H7" s="24" t="str">
        <f aca="false">IF(OR($A7="",$B7=""),"",SUMPRODUCT((Levels!$A$5:$A$94=$B7)*(Levels!$B$5:$B$94=4)*(COUNTIFS(Progress!$B$5:$B$3000,$A7,Progress!$G$5:$G$3000,Levels!$G$5:$G$94)&gt;0))&amp;" / "&amp;COUNTIFS(Levels!$A$5:$A$94,$B7,Levels!$B$5:$B$94,4))</f>
        <v/>
      </c>
      <c r="I7" s="24" t="str">
        <f aca="false">IF(OR($A7="",$B7=""),"",IF(SUMPRODUCT((Levels!$A$5:$A$94=$B7)*(Levels!$B$5:$B$94=1)*(COUNTIFS(Progress!$B$5:$B$3000,$A7,Progress!$G$5:$G$3000,Levels!$G$5:$G$94)&gt;0))&lt;COUNTIFS(Levels!$A$5:$A$94,$B7,Levels!$B$5:$B$94,1),"1 Rookie",IF(SUMPRODUCT((Levels!$A$5:$A$94=$B7)*(Levels!$B$5:$B$94=2)*(COUNTIFS(Progress!$B$5:$B$3000,$A7,Progress!$G$5:$G$3000,Levels!$G$5:$G$94)&gt;0))&lt;COUNTIFS(Levels!$A$5:$A$94,$B7,Levels!$B$5:$B$94,2),"2 Contender",IF(SUMPRODUCT((Levels!$A$5:$A$94=$B7)*(Levels!$B$5:$B$94=3)*(COUNTIFS(Progress!$B$5:$B$3000,$A7,Progress!$G$5:$G$3000,Levels!$G$5:$G$94)&gt;0))&lt;COUNTIFS(Levels!$A$5:$A$94,$B7,Levels!$B$5:$B$94,3),"3 Challenger",IF(SUMPRODUCT((Levels!$A$5:$A$94=$B7)*(Levels!$B$5:$B$94=4)*(COUNTIFS(Progress!$B$5:$B$3000,$A7,Progress!$G$5:$G$3000,Levels!$G$5:$G$94)&gt;0))&lt;COUNTIFS(Levels!$A$5:$A$94,$B7,Levels!$B$5:$B$94,4),"4 Champion","All done")))))</f>
        <v/>
      </c>
      <c r="J7" s="25" t="str">
        <f aca="false">IF(OR(I7="",I7="All done"),"",COUNTIFS(Levels!$A$5:$A$94,$B7,Levels!$B$5:$B$94,1)*(LEFT(I7,1)="1")+COUNTIFS(Levels!$A$5:$A$94,$B7,Levels!$B$5:$B$94,2)*(LEFT(I7,1)="2")+COUNTIFS(Levels!$A$5:$A$94,$B7,Levels!$B$5:$B$94,3)*(LEFT(I7,1)="3")+COUNTIFS(Levels!$A$5:$A$94,$B7,Levels!$B$5:$B$94,4)*(LEFT(I7,1)="4")-(SUMPRODUCT((Levels!$A$5:$A$94=$B7)*(Levels!$B$5:$B$94=1)*(COUNTIFS(Progress!$B$5:$B$3000,$A7,Progress!$G$5:$G$3000,Levels!$G$5:$G$94)&gt;0))*(LEFT(I7,1)="1")+SUMPRODUCT((Levels!$A$5:$A$94=$B7)*(Levels!$B$5:$B$94=2)*(COUNTIFS(Progress!$B$5:$B$3000,$A7,Progress!$G$5:$G$3000,Levels!$G$5:$G$94)&gt;0))*(LEFT(I7,1)="2")+SUMPRODUCT((Levels!$A$5:$A$94=$B7)*(Levels!$B$5:$B$94=3)*(COUNTIFS(Progress!$B$5:$B$3000,$A7,Progress!$G$5:$G$3000,Levels!$G$5:$G$94)&gt;0))*(LEFT(I7,1)="3")+SUMPRODUCT((Levels!$A$5:$A$94=$B7)*(Levels!$B$5:$B$94=4)*(COUNTIFS(Progress!$B$5:$B$3000,$A7,Progress!$G$5:$G$3000,Levels!$G$5:$G$94)&gt;0))*(LEFT(I7,1)="4")))</f>
        <v/>
      </c>
      <c r="K7" s="26" t="str">
        <f aca="false">IF($A7="","",IF(COUNTIFS(Progress!$B$5:$B$3000,$A7)=0,"",SUMPRODUCT(MAX((Progress!$B$5:$B$3000=$A7)*Progress!$A$5:$A$3000))))</f>
        <v/>
      </c>
      <c r="L7" s="22"/>
    </row>
    <row r="8" customFormat="false" ht="15" hidden="false" customHeight="false" outlineLevel="0" collapsed="false">
      <c r="A8" s="22"/>
      <c r="B8" s="22"/>
      <c r="C8" s="23"/>
      <c r="D8" s="22"/>
      <c r="E8" s="24" t="str">
        <f aca="false">IF(OR($A8="",$B8=""),"",SUMPRODUCT((Levels!$A$5:$A$94=$B8)*(Levels!$B$5:$B$94=1)*(COUNTIFS(Progress!$B$5:$B$3000,$A8,Progress!$G$5:$G$3000,Levels!$G$5:$G$94)&gt;0))&amp;" / "&amp;COUNTIFS(Levels!$A$5:$A$94,$B8,Levels!$B$5:$B$94,1))</f>
        <v/>
      </c>
      <c r="F8" s="24" t="str">
        <f aca="false">IF(OR($A8="",$B8=""),"",SUMPRODUCT((Levels!$A$5:$A$94=$B8)*(Levels!$B$5:$B$94=2)*(COUNTIFS(Progress!$B$5:$B$3000,$A8,Progress!$G$5:$G$3000,Levels!$G$5:$G$94)&gt;0))&amp;" / "&amp;COUNTIFS(Levels!$A$5:$A$94,$B8,Levels!$B$5:$B$94,2))</f>
        <v/>
      </c>
      <c r="G8" s="24" t="str">
        <f aca="false">IF(OR($A8="",$B8=""),"",SUMPRODUCT((Levels!$A$5:$A$94=$B8)*(Levels!$B$5:$B$94=3)*(COUNTIFS(Progress!$B$5:$B$3000,$A8,Progress!$G$5:$G$3000,Levels!$G$5:$G$94)&gt;0))&amp;" / "&amp;COUNTIFS(Levels!$A$5:$A$94,$B8,Levels!$B$5:$B$94,3))</f>
        <v/>
      </c>
      <c r="H8" s="24" t="str">
        <f aca="false">IF(OR($A8="",$B8=""),"",SUMPRODUCT((Levels!$A$5:$A$94=$B8)*(Levels!$B$5:$B$94=4)*(COUNTIFS(Progress!$B$5:$B$3000,$A8,Progress!$G$5:$G$3000,Levels!$G$5:$G$94)&gt;0))&amp;" / "&amp;COUNTIFS(Levels!$A$5:$A$94,$B8,Levels!$B$5:$B$94,4))</f>
        <v/>
      </c>
      <c r="I8" s="24" t="str">
        <f aca="false">IF(OR($A8="",$B8=""),"",IF(SUMPRODUCT((Levels!$A$5:$A$94=$B8)*(Levels!$B$5:$B$94=1)*(COUNTIFS(Progress!$B$5:$B$3000,$A8,Progress!$G$5:$G$3000,Levels!$G$5:$G$94)&gt;0))&lt;COUNTIFS(Levels!$A$5:$A$94,$B8,Levels!$B$5:$B$94,1),"1 Rookie",IF(SUMPRODUCT((Levels!$A$5:$A$94=$B8)*(Levels!$B$5:$B$94=2)*(COUNTIFS(Progress!$B$5:$B$3000,$A8,Progress!$G$5:$G$3000,Levels!$G$5:$G$94)&gt;0))&lt;COUNTIFS(Levels!$A$5:$A$94,$B8,Levels!$B$5:$B$94,2),"2 Contender",IF(SUMPRODUCT((Levels!$A$5:$A$94=$B8)*(Levels!$B$5:$B$94=3)*(COUNTIFS(Progress!$B$5:$B$3000,$A8,Progress!$G$5:$G$3000,Levels!$G$5:$G$94)&gt;0))&lt;COUNTIFS(Levels!$A$5:$A$94,$B8,Levels!$B$5:$B$94,3),"3 Challenger",IF(SUMPRODUCT((Levels!$A$5:$A$94=$B8)*(Levels!$B$5:$B$94=4)*(COUNTIFS(Progress!$B$5:$B$3000,$A8,Progress!$G$5:$G$3000,Levels!$G$5:$G$94)&gt;0))&lt;COUNTIFS(Levels!$A$5:$A$94,$B8,Levels!$B$5:$B$94,4),"4 Champion","All done")))))</f>
        <v/>
      </c>
      <c r="J8" s="25" t="str">
        <f aca="false">IF(OR(I8="",I8="All done"),"",COUNTIFS(Levels!$A$5:$A$94,$B8,Levels!$B$5:$B$94,1)*(LEFT(I8,1)="1")+COUNTIFS(Levels!$A$5:$A$94,$B8,Levels!$B$5:$B$94,2)*(LEFT(I8,1)="2")+COUNTIFS(Levels!$A$5:$A$94,$B8,Levels!$B$5:$B$94,3)*(LEFT(I8,1)="3")+COUNTIFS(Levels!$A$5:$A$94,$B8,Levels!$B$5:$B$94,4)*(LEFT(I8,1)="4")-(SUMPRODUCT((Levels!$A$5:$A$94=$B8)*(Levels!$B$5:$B$94=1)*(COUNTIFS(Progress!$B$5:$B$3000,$A8,Progress!$G$5:$G$3000,Levels!$G$5:$G$94)&gt;0))*(LEFT(I8,1)="1")+SUMPRODUCT((Levels!$A$5:$A$94=$B8)*(Levels!$B$5:$B$94=2)*(COUNTIFS(Progress!$B$5:$B$3000,$A8,Progress!$G$5:$G$3000,Levels!$G$5:$G$94)&gt;0))*(LEFT(I8,1)="2")+SUMPRODUCT((Levels!$A$5:$A$94=$B8)*(Levels!$B$5:$B$94=3)*(COUNTIFS(Progress!$B$5:$B$3000,$A8,Progress!$G$5:$G$3000,Levels!$G$5:$G$94)&gt;0))*(LEFT(I8,1)="3")+SUMPRODUCT((Levels!$A$5:$A$94=$B8)*(Levels!$B$5:$B$94=4)*(COUNTIFS(Progress!$B$5:$B$3000,$A8,Progress!$G$5:$G$3000,Levels!$G$5:$G$94)&gt;0))*(LEFT(I8,1)="4")))</f>
        <v/>
      </c>
      <c r="K8" s="26" t="str">
        <f aca="false">IF($A8="","",IF(COUNTIFS(Progress!$B$5:$B$3000,$A8)=0,"",SUMPRODUCT(MAX((Progress!$B$5:$B$3000=$A8)*Progress!$A$5:$A$3000))))</f>
        <v/>
      </c>
      <c r="L8" s="22"/>
    </row>
    <row r="9" customFormat="false" ht="15" hidden="false" customHeight="false" outlineLevel="0" collapsed="false">
      <c r="A9" s="22"/>
      <c r="B9" s="22"/>
      <c r="C9" s="23"/>
      <c r="D9" s="22"/>
      <c r="E9" s="24" t="str">
        <f aca="false">IF(OR($A9="",$B9=""),"",SUMPRODUCT((Levels!$A$5:$A$94=$B9)*(Levels!$B$5:$B$94=1)*(COUNTIFS(Progress!$B$5:$B$3000,$A9,Progress!$G$5:$G$3000,Levels!$G$5:$G$94)&gt;0))&amp;" / "&amp;COUNTIFS(Levels!$A$5:$A$94,$B9,Levels!$B$5:$B$94,1))</f>
        <v/>
      </c>
      <c r="F9" s="24" t="str">
        <f aca="false">IF(OR($A9="",$B9=""),"",SUMPRODUCT((Levels!$A$5:$A$94=$B9)*(Levels!$B$5:$B$94=2)*(COUNTIFS(Progress!$B$5:$B$3000,$A9,Progress!$G$5:$G$3000,Levels!$G$5:$G$94)&gt;0))&amp;" / "&amp;COUNTIFS(Levels!$A$5:$A$94,$B9,Levels!$B$5:$B$94,2))</f>
        <v/>
      </c>
      <c r="G9" s="24" t="str">
        <f aca="false">IF(OR($A9="",$B9=""),"",SUMPRODUCT((Levels!$A$5:$A$94=$B9)*(Levels!$B$5:$B$94=3)*(COUNTIFS(Progress!$B$5:$B$3000,$A9,Progress!$G$5:$G$3000,Levels!$G$5:$G$94)&gt;0))&amp;" / "&amp;COUNTIFS(Levels!$A$5:$A$94,$B9,Levels!$B$5:$B$94,3))</f>
        <v/>
      </c>
      <c r="H9" s="24" t="str">
        <f aca="false">IF(OR($A9="",$B9=""),"",SUMPRODUCT((Levels!$A$5:$A$94=$B9)*(Levels!$B$5:$B$94=4)*(COUNTIFS(Progress!$B$5:$B$3000,$A9,Progress!$G$5:$G$3000,Levels!$G$5:$G$94)&gt;0))&amp;" / "&amp;COUNTIFS(Levels!$A$5:$A$94,$B9,Levels!$B$5:$B$94,4))</f>
        <v/>
      </c>
      <c r="I9" s="24" t="str">
        <f aca="false">IF(OR($A9="",$B9=""),"",IF(SUMPRODUCT((Levels!$A$5:$A$94=$B9)*(Levels!$B$5:$B$94=1)*(COUNTIFS(Progress!$B$5:$B$3000,$A9,Progress!$G$5:$G$3000,Levels!$G$5:$G$94)&gt;0))&lt;COUNTIFS(Levels!$A$5:$A$94,$B9,Levels!$B$5:$B$94,1),"1 Rookie",IF(SUMPRODUCT((Levels!$A$5:$A$94=$B9)*(Levels!$B$5:$B$94=2)*(COUNTIFS(Progress!$B$5:$B$3000,$A9,Progress!$G$5:$G$3000,Levels!$G$5:$G$94)&gt;0))&lt;COUNTIFS(Levels!$A$5:$A$94,$B9,Levels!$B$5:$B$94,2),"2 Contender",IF(SUMPRODUCT((Levels!$A$5:$A$94=$B9)*(Levels!$B$5:$B$94=3)*(COUNTIFS(Progress!$B$5:$B$3000,$A9,Progress!$G$5:$G$3000,Levels!$G$5:$G$94)&gt;0))&lt;COUNTIFS(Levels!$A$5:$A$94,$B9,Levels!$B$5:$B$94,3),"3 Challenger",IF(SUMPRODUCT((Levels!$A$5:$A$94=$B9)*(Levels!$B$5:$B$94=4)*(COUNTIFS(Progress!$B$5:$B$3000,$A9,Progress!$G$5:$G$3000,Levels!$G$5:$G$94)&gt;0))&lt;COUNTIFS(Levels!$A$5:$A$94,$B9,Levels!$B$5:$B$94,4),"4 Champion","All done")))))</f>
        <v/>
      </c>
      <c r="J9" s="25" t="str">
        <f aca="false">IF(OR(I9="",I9="All done"),"",COUNTIFS(Levels!$A$5:$A$94,$B9,Levels!$B$5:$B$94,1)*(LEFT(I9,1)="1")+COUNTIFS(Levels!$A$5:$A$94,$B9,Levels!$B$5:$B$94,2)*(LEFT(I9,1)="2")+COUNTIFS(Levels!$A$5:$A$94,$B9,Levels!$B$5:$B$94,3)*(LEFT(I9,1)="3")+COUNTIFS(Levels!$A$5:$A$94,$B9,Levels!$B$5:$B$94,4)*(LEFT(I9,1)="4")-(SUMPRODUCT((Levels!$A$5:$A$94=$B9)*(Levels!$B$5:$B$94=1)*(COUNTIFS(Progress!$B$5:$B$3000,$A9,Progress!$G$5:$G$3000,Levels!$G$5:$G$94)&gt;0))*(LEFT(I9,1)="1")+SUMPRODUCT((Levels!$A$5:$A$94=$B9)*(Levels!$B$5:$B$94=2)*(COUNTIFS(Progress!$B$5:$B$3000,$A9,Progress!$G$5:$G$3000,Levels!$G$5:$G$94)&gt;0))*(LEFT(I9,1)="2")+SUMPRODUCT((Levels!$A$5:$A$94=$B9)*(Levels!$B$5:$B$94=3)*(COUNTIFS(Progress!$B$5:$B$3000,$A9,Progress!$G$5:$G$3000,Levels!$G$5:$G$94)&gt;0))*(LEFT(I9,1)="3")+SUMPRODUCT((Levels!$A$5:$A$94=$B9)*(Levels!$B$5:$B$94=4)*(COUNTIFS(Progress!$B$5:$B$3000,$A9,Progress!$G$5:$G$3000,Levels!$G$5:$G$94)&gt;0))*(LEFT(I9,1)="4")))</f>
        <v/>
      </c>
      <c r="K9" s="26" t="str">
        <f aca="false">IF($A9="","",IF(COUNTIFS(Progress!$B$5:$B$3000,$A9)=0,"",SUMPRODUCT(MAX((Progress!$B$5:$B$3000=$A9)*Progress!$A$5:$A$3000))))</f>
        <v/>
      </c>
      <c r="L9" s="22"/>
    </row>
    <row r="10" customFormat="false" ht="15" hidden="false" customHeight="false" outlineLevel="0" collapsed="false">
      <c r="A10" s="22"/>
      <c r="B10" s="22"/>
      <c r="C10" s="23"/>
      <c r="D10" s="22"/>
      <c r="E10" s="24" t="str">
        <f aca="false">IF(OR($A10="",$B10=""),"",SUMPRODUCT((Levels!$A$5:$A$94=$B10)*(Levels!$B$5:$B$94=1)*(COUNTIFS(Progress!$B$5:$B$3000,$A10,Progress!$G$5:$G$3000,Levels!$G$5:$G$94)&gt;0))&amp;" / "&amp;COUNTIFS(Levels!$A$5:$A$94,$B10,Levels!$B$5:$B$94,1))</f>
        <v/>
      </c>
      <c r="F10" s="24" t="str">
        <f aca="false">IF(OR($A10="",$B10=""),"",SUMPRODUCT((Levels!$A$5:$A$94=$B10)*(Levels!$B$5:$B$94=2)*(COUNTIFS(Progress!$B$5:$B$3000,$A10,Progress!$G$5:$G$3000,Levels!$G$5:$G$94)&gt;0))&amp;" / "&amp;COUNTIFS(Levels!$A$5:$A$94,$B10,Levels!$B$5:$B$94,2))</f>
        <v/>
      </c>
      <c r="G10" s="24" t="str">
        <f aca="false">IF(OR($A10="",$B10=""),"",SUMPRODUCT((Levels!$A$5:$A$94=$B10)*(Levels!$B$5:$B$94=3)*(COUNTIFS(Progress!$B$5:$B$3000,$A10,Progress!$G$5:$G$3000,Levels!$G$5:$G$94)&gt;0))&amp;" / "&amp;COUNTIFS(Levels!$A$5:$A$94,$B10,Levels!$B$5:$B$94,3))</f>
        <v/>
      </c>
      <c r="H10" s="24" t="str">
        <f aca="false">IF(OR($A10="",$B10=""),"",SUMPRODUCT((Levels!$A$5:$A$94=$B10)*(Levels!$B$5:$B$94=4)*(COUNTIFS(Progress!$B$5:$B$3000,$A10,Progress!$G$5:$G$3000,Levels!$G$5:$G$94)&gt;0))&amp;" / "&amp;COUNTIFS(Levels!$A$5:$A$94,$B10,Levels!$B$5:$B$94,4))</f>
        <v/>
      </c>
      <c r="I10" s="24" t="str">
        <f aca="false">IF(OR($A10="",$B10=""),"",IF(SUMPRODUCT((Levels!$A$5:$A$94=$B10)*(Levels!$B$5:$B$94=1)*(COUNTIFS(Progress!$B$5:$B$3000,$A10,Progress!$G$5:$G$3000,Levels!$G$5:$G$94)&gt;0))&lt;COUNTIFS(Levels!$A$5:$A$94,$B10,Levels!$B$5:$B$94,1),"1 Rookie",IF(SUMPRODUCT((Levels!$A$5:$A$94=$B10)*(Levels!$B$5:$B$94=2)*(COUNTIFS(Progress!$B$5:$B$3000,$A10,Progress!$G$5:$G$3000,Levels!$G$5:$G$94)&gt;0))&lt;COUNTIFS(Levels!$A$5:$A$94,$B10,Levels!$B$5:$B$94,2),"2 Contender",IF(SUMPRODUCT((Levels!$A$5:$A$94=$B10)*(Levels!$B$5:$B$94=3)*(COUNTIFS(Progress!$B$5:$B$3000,$A10,Progress!$G$5:$G$3000,Levels!$G$5:$G$94)&gt;0))&lt;COUNTIFS(Levels!$A$5:$A$94,$B10,Levels!$B$5:$B$94,3),"3 Challenger",IF(SUMPRODUCT((Levels!$A$5:$A$94=$B10)*(Levels!$B$5:$B$94=4)*(COUNTIFS(Progress!$B$5:$B$3000,$A10,Progress!$G$5:$G$3000,Levels!$G$5:$G$94)&gt;0))&lt;COUNTIFS(Levels!$A$5:$A$94,$B10,Levels!$B$5:$B$94,4),"4 Champion","All done")))))</f>
        <v/>
      </c>
      <c r="J10" s="25" t="str">
        <f aca="false">IF(OR(I10="",I10="All done"),"",COUNTIFS(Levels!$A$5:$A$94,$B10,Levels!$B$5:$B$94,1)*(LEFT(I10,1)="1")+COUNTIFS(Levels!$A$5:$A$94,$B10,Levels!$B$5:$B$94,2)*(LEFT(I10,1)="2")+COUNTIFS(Levels!$A$5:$A$94,$B10,Levels!$B$5:$B$94,3)*(LEFT(I10,1)="3")+COUNTIFS(Levels!$A$5:$A$94,$B10,Levels!$B$5:$B$94,4)*(LEFT(I10,1)="4")-(SUMPRODUCT((Levels!$A$5:$A$94=$B10)*(Levels!$B$5:$B$94=1)*(COUNTIFS(Progress!$B$5:$B$3000,$A10,Progress!$G$5:$G$3000,Levels!$G$5:$G$94)&gt;0))*(LEFT(I10,1)="1")+SUMPRODUCT((Levels!$A$5:$A$94=$B10)*(Levels!$B$5:$B$94=2)*(COUNTIFS(Progress!$B$5:$B$3000,$A10,Progress!$G$5:$G$3000,Levels!$G$5:$G$94)&gt;0))*(LEFT(I10,1)="2")+SUMPRODUCT((Levels!$A$5:$A$94=$B10)*(Levels!$B$5:$B$94=3)*(COUNTIFS(Progress!$B$5:$B$3000,$A10,Progress!$G$5:$G$3000,Levels!$G$5:$G$94)&gt;0))*(LEFT(I10,1)="3")+SUMPRODUCT((Levels!$A$5:$A$94=$B10)*(Levels!$B$5:$B$94=4)*(COUNTIFS(Progress!$B$5:$B$3000,$A10,Progress!$G$5:$G$3000,Levels!$G$5:$G$94)&gt;0))*(LEFT(I10,1)="4")))</f>
        <v/>
      </c>
      <c r="K10" s="26" t="str">
        <f aca="false">IF($A10="","",IF(COUNTIFS(Progress!$B$5:$B$3000,$A10)=0,"",SUMPRODUCT(MAX((Progress!$B$5:$B$3000=$A10)*Progress!$A$5:$A$3000))))</f>
        <v/>
      </c>
      <c r="L10" s="22"/>
    </row>
    <row r="11" customFormat="false" ht="15" hidden="false" customHeight="false" outlineLevel="0" collapsed="false">
      <c r="A11" s="22"/>
      <c r="B11" s="22"/>
      <c r="C11" s="23"/>
      <c r="D11" s="22"/>
      <c r="E11" s="24" t="str">
        <f aca="false">IF(OR($A11="",$B11=""),"",SUMPRODUCT((Levels!$A$5:$A$94=$B11)*(Levels!$B$5:$B$94=1)*(COUNTIFS(Progress!$B$5:$B$3000,$A11,Progress!$G$5:$G$3000,Levels!$G$5:$G$94)&gt;0))&amp;" / "&amp;COUNTIFS(Levels!$A$5:$A$94,$B11,Levels!$B$5:$B$94,1))</f>
        <v/>
      </c>
      <c r="F11" s="24" t="str">
        <f aca="false">IF(OR($A11="",$B11=""),"",SUMPRODUCT((Levels!$A$5:$A$94=$B11)*(Levels!$B$5:$B$94=2)*(COUNTIFS(Progress!$B$5:$B$3000,$A11,Progress!$G$5:$G$3000,Levels!$G$5:$G$94)&gt;0))&amp;" / "&amp;COUNTIFS(Levels!$A$5:$A$94,$B11,Levels!$B$5:$B$94,2))</f>
        <v/>
      </c>
      <c r="G11" s="24" t="str">
        <f aca="false">IF(OR($A11="",$B11=""),"",SUMPRODUCT((Levels!$A$5:$A$94=$B11)*(Levels!$B$5:$B$94=3)*(COUNTIFS(Progress!$B$5:$B$3000,$A11,Progress!$G$5:$G$3000,Levels!$G$5:$G$94)&gt;0))&amp;" / "&amp;COUNTIFS(Levels!$A$5:$A$94,$B11,Levels!$B$5:$B$94,3))</f>
        <v/>
      </c>
      <c r="H11" s="24" t="str">
        <f aca="false">IF(OR($A11="",$B11=""),"",SUMPRODUCT((Levels!$A$5:$A$94=$B11)*(Levels!$B$5:$B$94=4)*(COUNTIFS(Progress!$B$5:$B$3000,$A11,Progress!$G$5:$G$3000,Levels!$G$5:$G$94)&gt;0))&amp;" / "&amp;COUNTIFS(Levels!$A$5:$A$94,$B11,Levels!$B$5:$B$94,4))</f>
        <v/>
      </c>
      <c r="I11" s="24" t="str">
        <f aca="false">IF(OR($A11="",$B11=""),"",IF(SUMPRODUCT((Levels!$A$5:$A$94=$B11)*(Levels!$B$5:$B$94=1)*(COUNTIFS(Progress!$B$5:$B$3000,$A11,Progress!$G$5:$G$3000,Levels!$G$5:$G$94)&gt;0))&lt;COUNTIFS(Levels!$A$5:$A$94,$B11,Levels!$B$5:$B$94,1),"1 Rookie",IF(SUMPRODUCT((Levels!$A$5:$A$94=$B11)*(Levels!$B$5:$B$94=2)*(COUNTIFS(Progress!$B$5:$B$3000,$A11,Progress!$G$5:$G$3000,Levels!$G$5:$G$94)&gt;0))&lt;COUNTIFS(Levels!$A$5:$A$94,$B11,Levels!$B$5:$B$94,2),"2 Contender",IF(SUMPRODUCT((Levels!$A$5:$A$94=$B11)*(Levels!$B$5:$B$94=3)*(COUNTIFS(Progress!$B$5:$B$3000,$A11,Progress!$G$5:$G$3000,Levels!$G$5:$G$94)&gt;0))&lt;COUNTIFS(Levels!$A$5:$A$94,$B11,Levels!$B$5:$B$94,3),"3 Challenger",IF(SUMPRODUCT((Levels!$A$5:$A$94=$B11)*(Levels!$B$5:$B$94=4)*(COUNTIFS(Progress!$B$5:$B$3000,$A11,Progress!$G$5:$G$3000,Levels!$G$5:$G$94)&gt;0))&lt;COUNTIFS(Levels!$A$5:$A$94,$B11,Levels!$B$5:$B$94,4),"4 Champion","All done")))))</f>
        <v/>
      </c>
      <c r="J11" s="25" t="str">
        <f aca="false">IF(OR(I11="",I11="All done"),"",COUNTIFS(Levels!$A$5:$A$94,$B11,Levels!$B$5:$B$94,1)*(LEFT(I11,1)="1")+COUNTIFS(Levels!$A$5:$A$94,$B11,Levels!$B$5:$B$94,2)*(LEFT(I11,1)="2")+COUNTIFS(Levels!$A$5:$A$94,$B11,Levels!$B$5:$B$94,3)*(LEFT(I11,1)="3")+COUNTIFS(Levels!$A$5:$A$94,$B11,Levels!$B$5:$B$94,4)*(LEFT(I11,1)="4")-(SUMPRODUCT((Levels!$A$5:$A$94=$B11)*(Levels!$B$5:$B$94=1)*(COUNTIFS(Progress!$B$5:$B$3000,$A11,Progress!$G$5:$G$3000,Levels!$G$5:$G$94)&gt;0))*(LEFT(I11,1)="1")+SUMPRODUCT((Levels!$A$5:$A$94=$B11)*(Levels!$B$5:$B$94=2)*(COUNTIFS(Progress!$B$5:$B$3000,$A11,Progress!$G$5:$G$3000,Levels!$G$5:$G$94)&gt;0))*(LEFT(I11,1)="2")+SUMPRODUCT((Levels!$A$5:$A$94=$B11)*(Levels!$B$5:$B$94=3)*(COUNTIFS(Progress!$B$5:$B$3000,$A11,Progress!$G$5:$G$3000,Levels!$G$5:$G$94)&gt;0))*(LEFT(I11,1)="3")+SUMPRODUCT((Levels!$A$5:$A$94=$B11)*(Levels!$B$5:$B$94=4)*(COUNTIFS(Progress!$B$5:$B$3000,$A11,Progress!$G$5:$G$3000,Levels!$G$5:$G$94)&gt;0))*(LEFT(I11,1)="4")))</f>
        <v/>
      </c>
      <c r="K11" s="26" t="str">
        <f aca="false">IF($A11="","",IF(COUNTIFS(Progress!$B$5:$B$3000,$A11)=0,"",SUMPRODUCT(MAX((Progress!$B$5:$B$3000=$A11)*Progress!$A$5:$A$3000))))</f>
        <v/>
      </c>
      <c r="L11" s="22"/>
    </row>
    <row r="12" customFormat="false" ht="15" hidden="false" customHeight="false" outlineLevel="0" collapsed="false">
      <c r="A12" s="22"/>
      <c r="B12" s="22"/>
      <c r="C12" s="23"/>
      <c r="D12" s="22"/>
      <c r="E12" s="24" t="str">
        <f aca="false">IF(OR($A12="",$B12=""),"",SUMPRODUCT((Levels!$A$5:$A$94=$B12)*(Levels!$B$5:$B$94=1)*(COUNTIFS(Progress!$B$5:$B$3000,$A12,Progress!$G$5:$G$3000,Levels!$G$5:$G$94)&gt;0))&amp;" / "&amp;COUNTIFS(Levels!$A$5:$A$94,$B12,Levels!$B$5:$B$94,1))</f>
        <v/>
      </c>
      <c r="F12" s="24" t="str">
        <f aca="false">IF(OR($A12="",$B12=""),"",SUMPRODUCT((Levels!$A$5:$A$94=$B12)*(Levels!$B$5:$B$94=2)*(COUNTIFS(Progress!$B$5:$B$3000,$A12,Progress!$G$5:$G$3000,Levels!$G$5:$G$94)&gt;0))&amp;" / "&amp;COUNTIFS(Levels!$A$5:$A$94,$B12,Levels!$B$5:$B$94,2))</f>
        <v/>
      </c>
      <c r="G12" s="24" t="str">
        <f aca="false">IF(OR($A12="",$B12=""),"",SUMPRODUCT((Levels!$A$5:$A$94=$B12)*(Levels!$B$5:$B$94=3)*(COUNTIFS(Progress!$B$5:$B$3000,$A12,Progress!$G$5:$G$3000,Levels!$G$5:$G$94)&gt;0))&amp;" / "&amp;COUNTIFS(Levels!$A$5:$A$94,$B12,Levels!$B$5:$B$94,3))</f>
        <v/>
      </c>
      <c r="H12" s="24" t="str">
        <f aca="false">IF(OR($A12="",$B12=""),"",SUMPRODUCT((Levels!$A$5:$A$94=$B12)*(Levels!$B$5:$B$94=4)*(COUNTIFS(Progress!$B$5:$B$3000,$A12,Progress!$G$5:$G$3000,Levels!$G$5:$G$94)&gt;0))&amp;" / "&amp;COUNTIFS(Levels!$A$5:$A$94,$B12,Levels!$B$5:$B$94,4))</f>
        <v/>
      </c>
      <c r="I12" s="24" t="str">
        <f aca="false">IF(OR($A12="",$B12=""),"",IF(SUMPRODUCT((Levels!$A$5:$A$94=$B12)*(Levels!$B$5:$B$94=1)*(COUNTIFS(Progress!$B$5:$B$3000,$A12,Progress!$G$5:$G$3000,Levels!$G$5:$G$94)&gt;0))&lt;COUNTIFS(Levels!$A$5:$A$94,$B12,Levels!$B$5:$B$94,1),"1 Rookie",IF(SUMPRODUCT((Levels!$A$5:$A$94=$B12)*(Levels!$B$5:$B$94=2)*(COUNTIFS(Progress!$B$5:$B$3000,$A12,Progress!$G$5:$G$3000,Levels!$G$5:$G$94)&gt;0))&lt;COUNTIFS(Levels!$A$5:$A$94,$B12,Levels!$B$5:$B$94,2),"2 Contender",IF(SUMPRODUCT((Levels!$A$5:$A$94=$B12)*(Levels!$B$5:$B$94=3)*(COUNTIFS(Progress!$B$5:$B$3000,$A12,Progress!$G$5:$G$3000,Levels!$G$5:$G$94)&gt;0))&lt;COUNTIFS(Levels!$A$5:$A$94,$B12,Levels!$B$5:$B$94,3),"3 Challenger",IF(SUMPRODUCT((Levels!$A$5:$A$94=$B12)*(Levels!$B$5:$B$94=4)*(COUNTIFS(Progress!$B$5:$B$3000,$A12,Progress!$G$5:$G$3000,Levels!$G$5:$G$94)&gt;0))&lt;COUNTIFS(Levels!$A$5:$A$94,$B12,Levels!$B$5:$B$94,4),"4 Champion","All done")))))</f>
        <v/>
      </c>
      <c r="J12" s="25" t="str">
        <f aca="false">IF(OR(I12="",I12="All done"),"",COUNTIFS(Levels!$A$5:$A$94,$B12,Levels!$B$5:$B$94,1)*(LEFT(I12,1)="1")+COUNTIFS(Levels!$A$5:$A$94,$B12,Levels!$B$5:$B$94,2)*(LEFT(I12,1)="2")+COUNTIFS(Levels!$A$5:$A$94,$B12,Levels!$B$5:$B$94,3)*(LEFT(I12,1)="3")+COUNTIFS(Levels!$A$5:$A$94,$B12,Levels!$B$5:$B$94,4)*(LEFT(I12,1)="4")-(SUMPRODUCT((Levels!$A$5:$A$94=$B12)*(Levels!$B$5:$B$94=1)*(COUNTIFS(Progress!$B$5:$B$3000,$A12,Progress!$G$5:$G$3000,Levels!$G$5:$G$94)&gt;0))*(LEFT(I12,1)="1")+SUMPRODUCT((Levels!$A$5:$A$94=$B12)*(Levels!$B$5:$B$94=2)*(COUNTIFS(Progress!$B$5:$B$3000,$A12,Progress!$G$5:$G$3000,Levels!$G$5:$G$94)&gt;0))*(LEFT(I12,1)="2")+SUMPRODUCT((Levels!$A$5:$A$94=$B12)*(Levels!$B$5:$B$94=3)*(COUNTIFS(Progress!$B$5:$B$3000,$A12,Progress!$G$5:$G$3000,Levels!$G$5:$G$94)&gt;0))*(LEFT(I12,1)="3")+SUMPRODUCT((Levels!$A$5:$A$94=$B12)*(Levels!$B$5:$B$94=4)*(COUNTIFS(Progress!$B$5:$B$3000,$A12,Progress!$G$5:$G$3000,Levels!$G$5:$G$94)&gt;0))*(LEFT(I12,1)="4")))</f>
        <v/>
      </c>
      <c r="K12" s="26" t="str">
        <f aca="false">IF($A12="","",IF(COUNTIFS(Progress!$B$5:$B$3000,$A12)=0,"",SUMPRODUCT(MAX((Progress!$B$5:$B$3000=$A12)*Progress!$A$5:$A$3000))))</f>
        <v/>
      </c>
      <c r="L12" s="22"/>
    </row>
    <row r="13" customFormat="false" ht="15" hidden="false" customHeight="false" outlineLevel="0" collapsed="false">
      <c r="A13" s="22"/>
      <c r="B13" s="22"/>
      <c r="C13" s="23"/>
      <c r="D13" s="22"/>
      <c r="E13" s="24" t="str">
        <f aca="false">IF(OR($A13="",$B13=""),"",SUMPRODUCT((Levels!$A$5:$A$94=$B13)*(Levels!$B$5:$B$94=1)*(COUNTIFS(Progress!$B$5:$B$3000,$A13,Progress!$G$5:$G$3000,Levels!$G$5:$G$94)&gt;0))&amp;" / "&amp;COUNTIFS(Levels!$A$5:$A$94,$B13,Levels!$B$5:$B$94,1))</f>
        <v/>
      </c>
      <c r="F13" s="24" t="str">
        <f aca="false">IF(OR($A13="",$B13=""),"",SUMPRODUCT((Levels!$A$5:$A$94=$B13)*(Levels!$B$5:$B$94=2)*(COUNTIFS(Progress!$B$5:$B$3000,$A13,Progress!$G$5:$G$3000,Levels!$G$5:$G$94)&gt;0))&amp;" / "&amp;COUNTIFS(Levels!$A$5:$A$94,$B13,Levels!$B$5:$B$94,2))</f>
        <v/>
      </c>
      <c r="G13" s="24" t="str">
        <f aca="false">IF(OR($A13="",$B13=""),"",SUMPRODUCT((Levels!$A$5:$A$94=$B13)*(Levels!$B$5:$B$94=3)*(COUNTIFS(Progress!$B$5:$B$3000,$A13,Progress!$G$5:$G$3000,Levels!$G$5:$G$94)&gt;0))&amp;" / "&amp;COUNTIFS(Levels!$A$5:$A$94,$B13,Levels!$B$5:$B$94,3))</f>
        <v/>
      </c>
      <c r="H13" s="24" t="str">
        <f aca="false">IF(OR($A13="",$B13=""),"",SUMPRODUCT((Levels!$A$5:$A$94=$B13)*(Levels!$B$5:$B$94=4)*(COUNTIFS(Progress!$B$5:$B$3000,$A13,Progress!$G$5:$G$3000,Levels!$G$5:$G$94)&gt;0))&amp;" / "&amp;COUNTIFS(Levels!$A$5:$A$94,$B13,Levels!$B$5:$B$94,4))</f>
        <v/>
      </c>
      <c r="I13" s="24" t="str">
        <f aca="false">IF(OR($A13="",$B13=""),"",IF(SUMPRODUCT((Levels!$A$5:$A$94=$B13)*(Levels!$B$5:$B$94=1)*(COUNTIFS(Progress!$B$5:$B$3000,$A13,Progress!$G$5:$G$3000,Levels!$G$5:$G$94)&gt;0))&lt;COUNTIFS(Levels!$A$5:$A$94,$B13,Levels!$B$5:$B$94,1),"1 Rookie",IF(SUMPRODUCT((Levels!$A$5:$A$94=$B13)*(Levels!$B$5:$B$94=2)*(COUNTIFS(Progress!$B$5:$B$3000,$A13,Progress!$G$5:$G$3000,Levels!$G$5:$G$94)&gt;0))&lt;COUNTIFS(Levels!$A$5:$A$94,$B13,Levels!$B$5:$B$94,2),"2 Contender",IF(SUMPRODUCT((Levels!$A$5:$A$94=$B13)*(Levels!$B$5:$B$94=3)*(COUNTIFS(Progress!$B$5:$B$3000,$A13,Progress!$G$5:$G$3000,Levels!$G$5:$G$94)&gt;0))&lt;COUNTIFS(Levels!$A$5:$A$94,$B13,Levels!$B$5:$B$94,3),"3 Challenger",IF(SUMPRODUCT((Levels!$A$5:$A$94=$B13)*(Levels!$B$5:$B$94=4)*(COUNTIFS(Progress!$B$5:$B$3000,$A13,Progress!$G$5:$G$3000,Levels!$G$5:$G$94)&gt;0))&lt;COUNTIFS(Levels!$A$5:$A$94,$B13,Levels!$B$5:$B$94,4),"4 Champion","All done")))))</f>
        <v/>
      </c>
      <c r="J13" s="25" t="str">
        <f aca="false">IF(OR(I13="",I13="All done"),"",COUNTIFS(Levels!$A$5:$A$94,$B13,Levels!$B$5:$B$94,1)*(LEFT(I13,1)="1")+COUNTIFS(Levels!$A$5:$A$94,$B13,Levels!$B$5:$B$94,2)*(LEFT(I13,1)="2")+COUNTIFS(Levels!$A$5:$A$94,$B13,Levels!$B$5:$B$94,3)*(LEFT(I13,1)="3")+COUNTIFS(Levels!$A$5:$A$94,$B13,Levels!$B$5:$B$94,4)*(LEFT(I13,1)="4")-(SUMPRODUCT((Levels!$A$5:$A$94=$B13)*(Levels!$B$5:$B$94=1)*(COUNTIFS(Progress!$B$5:$B$3000,$A13,Progress!$G$5:$G$3000,Levels!$G$5:$G$94)&gt;0))*(LEFT(I13,1)="1")+SUMPRODUCT((Levels!$A$5:$A$94=$B13)*(Levels!$B$5:$B$94=2)*(COUNTIFS(Progress!$B$5:$B$3000,$A13,Progress!$G$5:$G$3000,Levels!$G$5:$G$94)&gt;0))*(LEFT(I13,1)="2")+SUMPRODUCT((Levels!$A$5:$A$94=$B13)*(Levels!$B$5:$B$94=3)*(COUNTIFS(Progress!$B$5:$B$3000,$A13,Progress!$G$5:$G$3000,Levels!$G$5:$G$94)&gt;0))*(LEFT(I13,1)="3")+SUMPRODUCT((Levels!$A$5:$A$94=$B13)*(Levels!$B$5:$B$94=4)*(COUNTIFS(Progress!$B$5:$B$3000,$A13,Progress!$G$5:$G$3000,Levels!$G$5:$G$94)&gt;0))*(LEFT(I13,1)="4")))</f>
        <v/>
      </c>
      <c r="K13" s="26" t="str">
        <f aca="false">IF($A13="","",IF(COUNTIFS(Progress!$B$5:$B$3000,$A13)=0,"",SUMPRODUCT(MAX((Progress!$B$5:$B$3000=$A13)*Progress!$A$5:$A$3000))))</f>
        <v/>
      </c>
      <c r="L13" s="22"/>
    </row>
    <row r="14" customFormat="false" ht="15" hidden="false" customHeight="false" outlineLevel="0" collapsed="false">
      <c r="A14" s="22"/>
      <c r="B14" s="22"/>
      <c r="C14" s="23"/>
      <c r="D14" s="22"/>
      <c r="E14" s="24" t="str">
        <f aca="false">IF(OR($A14="",$B14=""),"",SUMPRODUCT((Levels!$A$5:$A$94=$B14)*(Levels!$B$5:$B$94=1)*(COUNTIFS(Progress!$B$5:$B$3000,$A14,Progress!$G$5:$G$3000,Levels!$G$5:$G$94)&gt;0))&amp;" / "&amp;COUNTIFS(Levels!$A$5:$A$94,$B14,Levels!$B$5:$B$94,1))</f>
        <v/>
      </c>
      <c r="F14" s="24" t="str">
        <f aca="false">IF(OR($A14="",$B14=""),"",SUMPRODUCT((Levels!$A$5:$A$94=$B14)*(Levels!$B$5:$B$94=2)*(COUNTIFS(Progress!$B$5:$B$3000,$A14,Progress!$G$5:$G$3000,Levels!$G$5:$G$94)&gt;0))&amp;" / "&amp;COUNTIFS(Levels!$A$5:$A$94,$B14,Levels!$B$5:$B$94,2))</f>
        <v/>
      </c>
      <c r="G14" s="24" t="str">
        <f aca="false">IF(OR($A14="",$B14=""),"",SUMPRODUCT((Levels!$A$5:$A$94=$B14)*(Levels!$B$5:$B$94=3)*(COUNTIFS(Progress!$B$5:$B$3000,$A14,Progress!$G$5:$G$3000,Levels!$G$5:$G$94)&gt;0))&amp;" / "&amp;COUNTIFS(Levels!$A$5:$A$94,$B14,Levels!$B$5:$B$94,3))</f>
        <v/>
      </c>
      <c r="H14" s="24" t="str">
        <f aca="false">IF(OR($A14="",$B14=""),"",SUMPRODUCT((Levels!$A$5:$A$94=$B14)*(Levels!$B$5:$B$94=4)*(COUNTIFS(Progress!$B$5:$B$3000,$A14,Progress!$G$5:$G$3000,Levels!$G$5:$G$94)&gt;0))&amp;" / "&amp;COUNTIFS(Levels!$A$5:$A$94,$B14,Levels!$B$5:$B$94,4))</f>
        <v/>
      </c>
      <c r="I14" s="24" t="str">
        <f aca="false">IF(OR($A14="",$B14=""),"",IF(SUMPRODUCT((Levels!$A$5:$A$94=$B14)*(Levels!$B$5:$B$94=1)*(COUNTIFS(Progress!$B$5:$B$3000,$A14,Progress!$G$5:$G$3000,Levels!$G$5:$G$94)&gt;0))&lt;COUNTIFS(Levels!$A$5:$A$94,$B14,Levels!$B$5:$B$94,1),"1 Rookie",IF(SUMPRODUCT((Levels!$A$5:$A$94=$B14)*(Levels!$B$5:$B$94=2)*(COUNTIFS(Progress!$B$5:$B$3000,$A14,Progress!$G$5:$G$3000,Levels!$G$5:$G$94)&gt;0))&lt;COUNTIFS(Levels!$A$5:$A$94,$B14,Levels!$B$5:$B$94,2),"2 Contender",IF(SUMPRODUCT((Levels!$A$5:$A$94=$B14)*(Levels!$B$5:$B$94=3)*(COUNTIFS(Progress!$B$5:$B$3000,$A14,Progress!$G$5:$G$3000,Levels!$G$5:$G$94)&gt;0))&lt;COUNTIFS(Levels!$A$5:$A$94,$B14,Levels!$B$5:$B$94,3),"3 Challenger",IF(SUMPRODUCT((Levels!$A$5:$A$94=$B14)*(Levels!$B$5:$B$94=4)*(COUNTIFS(Progress!$B$5:$B$3000,$A14,Progress!$G$5:$G$3000,Levels!$G$5:$G$94)&gt;0))&lt;COUNTIFS(Levels!$A$5:$A$94,$B14,Levels!$B$5:$B$94,4),"4 Champion","All done")))))</f>
        <v/>
      </c>
      <c r="J14" s="25" t="str">
        <f aca="false">IF(OR(I14="",I14="All done"),"",COUNTIFS(Levels!$A$5:$A$94,$B14,Levels!$B$5:$B$94,1)*(LEFT(I14,1)="1")+COUNTIFS(Levels!$A$5:$A$94,$B14,Levels!$B$5:$B$94,2)*(LEFT(I14,1)="2")+COUNTIFS(Levels!$A$5:$A$94,$B14,Levels!$B$5:$B$94,3)*(LEFT(I14,1)="3")+COUNTIFS(Levels!$A$5:$A$94,$B14,Levels!$B$5:$B$94,4)*(LEFT(I14,1)="4")-(SUMPRODUCT((Levels!$A$5:$A$94=$B14)*(Levels!$B$5:$B$94=1)*(COUNTIFS(Progress!$B$5:$B$3000,$A14,Progress!$G$5:$G$3000,Levels!$G$5:$G$94)&gt;0))*(LEFT(I14,1)="1")+SUMPRODUCT((Levels!$A$5:$A$94=$B14)*(Levels!$B$5:$B$94=2)*(COUNTIFS(Progress!$B$5:$B$3000,$A14,Progress!$G$5:$G$3000,Levels!$G$5:$G$94)&gt;0))*(LEFT(I14,1)="2")+SUMPRODUCT((Levels!$A$5:$A$94=$B14)*(Levels!$B$5:$B$94=3)*(COUNTIFS(Progress!$B$5:$B$3000,$A14,Progress!$G$5:$G$3000,Levels!$G$5:$G$94)&gt;0))*(LEFT(I14,1)="3")+SUMPRODUCT((Levels!$A$5:$A$94=$B14)*(Levels!$B$5:$B$94=4)*(COUNTIFS(Progress!$B$5:$B$3000,$A14,Progress!$G$5:$G$3000,Levels!$G$5:$G$94)&gt;0))*(LEFT(I14,1)="4")))</f>
        <v/>
      </c>
      <c r="K14" s="26" t="str">
        <f aca="false">IF($A14="","",IF(COUNTIFS(Progress!$B$5:$B$3000,$A14)=0,"",SUMPRODUCT(MAX((Progress!$B$5:$B$3000=$A14)*Progress!$A$5:$A$3000))))</f>
        <v/>
      </c>
      <c r="L14" s="22"/>
    </row>
    <row r="15" customFormat="false" ht="15" hidden="false" customHeight="false" outlineLevel="0" collapsed="false">
      <c r="A15" s="22"/>
      <c r="B15" s="22"/>
      <c r="C15" s="23"/>
      <c r="D15" s="22"/>
      <c r="E15" s="24" t="str">
        <f aca="false">IF(OR($A15="",$B15=""),"",SUMPRODUCT((Levels!$A$5:$A$94=$B15)*(Levels!$B$5:$B$94=1)*(COUNTIFS(Progress!$B$5:$B$3000,$A15,Progress!$G$5:$G$3000,Levels!$G$5:$G$94)&gt;0))&amp;" / "&amp;COUNTIFS(Levels!$A$5:$A$94,$B15,Levels!$B$5:$B$94,1))</f>
        <v/>
      </c>
      <c r="F15" s="24" t="str">
        <f aca="false">IF(OR($A15="",$B15=""),"",SUMPRODUCT((Levels!$A$5:$A$94=$B15)*(Levels!$B$5:$B$94=2)*(COUNTIFS(Progress!$B$5:$B$3000,$A15,Progress!$G$5:$G$3000,Levels!$G$5:$G$94)&gt;0))&amp;" / "&amp;COUNTIFS(Levels!$A$5:$A$94,$B15,Levels!$B$5:$B$94,2))</f>
        <v/>
      </c>
      <c r="G15" s="24" t="str">
        <f aca="false">IF(OR($A15="",$B15=""),"",SUMPRODUCT((Levels!$A$5:$A$94=$B15)*(Levels!$B$5:$B$94=3)*(COUNTIFS(Progress!$B$5:$B$3000,$A15,Progress!$G$5:$G$3000,Levels!$G$5:$G$94)&gt;0))&amp;" / "&amp;COUNTIFS(Levels!$A$5:$A$94,$B15,Levels!$B$5:$B$94,3))</f>
        <v/>
      </c>
      <c r="H15" s="24" t="str">
        <f aca="false">IF(OR($A15="",$B15=""),"",SUMPRODUCT((Levels!$A$5:$A$94=$B15)*(Levels!$B$5:$B$94=4)*(COUNTIFS(Progress!$B$5:$B$3000,$A15,Progress!$G$5:$G$3000,Levels!$G$5:$G$94)&gt;0))&amp;" / "&amp;COUNTIFS(Levels!$A$5:$A$94,$B15,Levels!$B$5:$B$94,4))</f>
        <v/>
      </c>
      <c r="I15" s="24" t="str">
        <f aca="false">IF(OR($A15="",$B15=""),"",IF(SUMPRODUCT((Levels!$A$5:$A$94=$B15)*(Levels!$B$5:$B$94=1)*(COUNTIFS(Progress!$B$5:$B$3000,$A15,Progress!$G$5:$G$3000,Levels!$G$5:$G$94)&gt;0))&lt;COUNTIFS(Levels!$A$5:$A$94,$B15,Levels!$B$5:$B$94,1),"1 Rookie",IF(SUMPRODUCT((Levels!$A$5:$A$94=$B15)*(Levels!$B$5:$B$94=2)*(COUNTIFS(Progress!$B$5:$B$3000,$A15,Progress!$G$5:$G$3000,Levels!$G$5:$G$94)&gt;0))&lt;COUNTIFS(Levels!$A$5:$A$94,$B15,Levels!$B$5:$B$94,2),"2 Contender",IF(SUMPRODUCT((Levels!$A$5:$A$94=$B15)*(Levels!$B$5:$B$94=3)*(COUNTIFS(Progress!$B$5:$B$3000,$A15,Progress!$G$5:$G$3000,Levels!$G$5:$G$94)&gt;0))&lt;COUNTIFS(Levels!$A$5:$A$94,$B15,Levels!$B$5:$B$94,3),"3 Challenger",IF(SUMPRODUCT((Levels!$A$5:$A$94=$B15)*(Levels!$B$5:$B$94=4)*(COUNTIFS(Progress!$B$5:$B$3000,$A15,Progress!$G$5:$G$3000,Levels!$G$5:$G$94)&gt;0))&lt;COUNTIFS(Levels!$A$5:$A$94,$B15,Levels!$B$5:$B$94,4),"4 Champion","All done")))))</f>
        <v/>
      </c>
      <c r="J15" s="25" t="str">
        <f aca="false">IF(OR(I15="",I15="All done"),"",COUNTIFS(Levels!$A$5:$A$94,$B15,Levels!$B$5:$B$94,1)*(LEFT(I15,1)="1")+COUNTIFS(Levels!$A$5:$A$94,$B15,Levels!$B$5:$B$94,2)*(LEFT(I15,1)="2")+COUNTIFS(Levels!$A$5:$A$94,$B15,Levels!$B$5:$B$94,3)*(LEFT(I15,1)="3")+COUNTIFS(Levels!$A$5:$A$94,$B15,Levels!$B$5:$B$94,4)*(LEFT(I15,1)="4")-(SUMPRODUCT((Levels!$A$5:$A$94=$B15)*(Levels!$B$5:$B$94=1)*(COUNTIFS(Progress!$B$5:$B$3000,$A15,Progress!$G$5:$G$3000,Levels!$G$5:$G$94)&gt;0))*(LEFT(I15,1)="1")+SUMPRODUCT((Levels!$A$5:$A$94=$B15)*(Levels!$B$5:$B$94=2)*(COUNTIFS(Progress!$B$5:$B$3000,$A15,Progress!$G$5:$G$3000,Levels!$G$5:$G$94)&gt;0))*(LEFT(I15,1)="2")+SUMPRODUCT((Levels!$A$5:$A$94=$B15)*(Levels!$B$5:$B$94=3)*(COUNTIFS(Progress!$B$5:$B$3000,$A15,Progress!$G$5:$G$3000,Levels!$G$5:$G$94)&gt;0))*(LEFT(I15,1)="3")+SUMPRODUCT((Levels!$A$5:$A$94=$B15)*(Levels!$B$5:$B$94=4)*(COUNTIFS(Progress!$B$5:$B$3000,$A15,Progress!$G$5:$G$3000,Levels!$G$5:$G$94)&gt;0))*(LEFT(I15,1)="4")))</f>
        <v/>
      </c>
      <c r="K15" s="26" t="str">
        <f aca="false">IF($A15="","",IF(COUNTIFS(Progress!$B$5:$B$3000,$A15)=0,"",SUMPRODUCT(MAX((Progress!$B$5:$B$3000=$A15)*Progress!$A$5:$A$3000))))</f>
        <v/>
      </c>
      <c r="L15" s="22"/>
    </row>
    <row r="16" customFormat="false" ht="15" hidden="false" customHeight="false" outlineLevel="0" collapsed="false">
      <c r="A16" s="22"/>
      <c r="B16" s="22"/>
      <c r="C16" s="23"/>
      <c r="D16" s="22"/>
      <c r="E16" s="24" t="str">
        <f aca="false">IF(OR($A16="",$B16=""),"",SUMPRODUCT((Levels!$A$5:$A$94=$B16)*(Levels!$B$5:$B$94=1)*(COUNTIFS(Progress!$B$5:$B$3000,$A16,Progress!$G$5:$G$3000,Levels!$G$5:$G$94)&gt;0))&amp;" / "&amp;COUNTIFS(Levels!$A$5:$A$94,$B16,Levels!$B$5:$B$94,1))</f>
        <v/>
      </c>
      <c r="F16" s="24" t="str">
        <f aca="false">IF(OR($A16="",$B16=""),"",SUMPRODUCT((Levels!$A$5:$A$94=$B16)*(Levels!$B$5:$B$94=2)*(COUNTIFS(Progress!$B$5:$B$3000,$A16,Progress!$G$5:$G$3000,Levels!$G$5:$G$94)&gt;0))&amp;" / "&amp;COUNTIFS(Levels!$A$5:$A$94,$B16,Levels!$B$5:$B$94,2))</f>
        <v/>
      </c>
      <c r="G16" s="24" t="str">
        <f aca="false">IF(OR($A16="",$B16=""),"",SUMPRODUCT((Levels!$A$5:$A$94=$B16)*(Levels!$B$5:$B$94=3)*(COUNTIFS(Progress!$B$5:$B$3000,$A16,Progress!$G$5:$G$3000,Levels!$G$5:$G$94)&gt;0))&amp;" / "&amp;COUNTIFS(Levels!$A$5:$A$94,$B16,Levels!$B$5:$B$94,3))</f>
        <v/>
      </c>
      <c r="H16" s="24" t="str">
        <f aca="false">IF(OR($A16="",$B16=""),"",SUMPRODUCT((Levels!$A$5:$A$94=$B16)*(Levels!$B$5:$B$94=4)*(COUNTIFS(Progress!$B$5:$B$3000,$A16,Progress!$G$5:$G$3000,Levels!$G$5:$G$94)&gt;0))&amp;" / "&amp;COUNTIFS(Levels!$A$5:$A$94,$B16,Levels!$B$5:$B$94,4))</f>
        <v/>
      </c>
      <c r="I16" s="24" t="str">
        <f aca="false">IF(OR($A16="",$B16=""),"",IF(SUMPRODUCT((Levels!$A$5:$A$94=$B16)*(Levels!$B$5:$B$94=1)*(COUNTIFS(Progress!$B$5:$B$3000,$A16,Progress!$G$5:$G$3000,Levels!$G$5:$G$94)&gt;0))&lt;COUNTIFS(Levels!$A$5:$A$94,$B16,Levels!$B$5:$B$94,1),"1 Rookie",IF(SUMPRODUCT((Levels!$A$5:$A$94=$B16)*(Levels!$B$5:$B$94=2)*(COUNTIFS(Progress!$B$5:$B$3000,$A16,Progress!$G$5:$G$3000,Levels!$G$5:$G$94)&gt;0))&lt;COUNTIFS(Levels!$A$5:$A$94,$B16,Levels!$B$5:$B$94,2),"2 Contender",IF(SUMPRODUCT((Levels!$A$5:$A$94=$B16)*(Levels!$B$5:$B$94=3)*(COUNTIFS(Progress!$B$5:$B$3000,$A16,Progress!$G$5:$G$3000,Levels!$G$5:$G$94)&gt;0))&lt;COUNTIFS(Levels!$A$5:$A$94,$B16,Levels!$B$5:$B$94,3),"3 Challenger",IF(SUMPRODUCT((Levels!$A$5:$A$94=$B16)*(Levels!$B$5:$B$94=4)*(COUNTIFS(Progress!$B$5:$B$3000,$A16,Progress!$G$5:$G$3000,Levels!$G$5:$G$94)&gt;0))&lt;COUNTIFS(Levels!$A$5:$A$94,$B16,Levels!$B$5:$B$94,4),"4 Champion","All done")))))</f>
        <v/>
      </c>
      <c r="J16" s="25" t="str">
        <f aca="false">IF(OR(I16="",I16="All done"),"",COUNTIFS(Levels!$A$5:$A$94,$B16,Levels!$B$5:$B$94,1)*(LEFT(I16,1)="1")+COUNTIFS(Levels!$A$5:$A$94,$B16,Levels!$B$5:$B$94,2)*(LEFT(I16,1)="2")+COUNTIFS(Levels!$A$5:$A$94,$B16,Levels!$B$5:$B$94,3)*(LEFT(I16,1)="3")+COUNTIFS(Levels!$A$5:$A$94,$B16,Levels!$B$5:$B$94,4)*(LEFT(I16,1)="4")-(SUMPRODUCT((Levels!$A$5:$A$94=$B16)*(Levels!$B$5:$B$94=1)*(COUNTIFS(Progress!$B$5:$B$3000,$A16,Progress!$G$5:$G$3000,Levels!$G$5:$G$94)&gt;0))*(LEFT(I16,1)="1")+SUMPRODUCT((Levels!$A$5:$A$94=$B16)*(Levels!$B$5:$B$94=2)*(COUNTIFS(Progress!$B$5:$B$3000,$A16,Progress!$G$5:$G$3000,Levels!$G$5:$G$94)&gt;0))*(LEFT(I16,1)="2")+SUMPRODUCT((Levels!$A$5:$A$94=$B16)*(Levels!$B$5:$B$94=3)*(COUNTIFS(Progress!$B$5:$B$3000,$A16,Progress!$G$5:$G$3000,Levels!$G$5:$G$94)&gt;0))*(LEFT(I16,1)="3")+SUMPRODUCT((Levels!$A$5:$A$94=$B16)*(Levels!$B$5:$B$94=4)*(COUNTIFS(Progress!$B$5:$B$3000,$A16,Progress!$G$5:$G$3000,Levels!$G$5:$G$94)&gt;0))*(LEFT(I16,1)="4")))</f>
        <v/>
      </c>
      <c r="K16" s="26" t="str">
        <f aca="false">IF($A16="","",IF(COUNTIFS(Progress!$B$5:$B$3000,$A16)=0,"",SUMPRODUCT(MAX((Progress!$B$5:$B$3000=$A16)*Progress!$A$5:$A$3000))))</f>
        <v/>
      </c>
      <c r="L16" s="22"/>
    </row>
    <row r="17" customFormat="false" ht="15" hidden="false" customHeight="false" outlineLevel="0" collapsed="false">
      <c r="A17" s="22"/>
      <c r="B17" s="22"/>
      <c r="C17" s="23"/>
      <c r="D17" s="22"/>
      <c r="E17" s="24" t="str">
        <f aca="false">IF(OR($A17="",$B17=""),"",SUMPRODUCT((Levels!$A$5:$A$94=$B17)*(Levels!$B$5:$B$94=1)*(COUNTIFS(Progress!$B$5:$B$3000,$A17,Progress!$G$5:$G$3000,Levels!$G$5:$G$94)&gt;0))&amp;" / "&amp;COUNTIFS(Levels!$A$5:$A$94,$B17,Levels!$B$5:$B$94,1))</f>
        <v/>
      </c>
      <c r="F17" s="24" t="str">
        <f aca="false">IF(OR($A17="",$B17=""),"",SUMPRODUCT((Levels!$A$5:$A$94=$B17)*(Levels!$B$5:$B$94=2)*(COUNTIFS(Progress!$B$5:$B$3000,$A17,Progress!$G$5:$G$3000,Levels!$G$5:$G$94)&gt;0))&amp;" / "&amp;COUNTIFS(Levels!$A$5:$A$94,$B17,Levels!$B$5:$B$94,2))</f>
        <v/>
      </c>
      <c r="G17" s="24" t="str">
        <f aca="false">IF(OR($A17="",$B17=""),"",SUMPRODUCT((Levels!$A$5:$A$94=$B17)*(Levels!$B$5:$B$94=3)*(COUNTIFS(Progress!$B$5:$B$3000,$A17,Progress!$G$5:$G$3000,Levels!$G$5:$G$94)&gt;0))&amp;" / "&amp;COUNTIFS(Levels!$A$5:$A$94,$B17,Levels!$B$5:$B$94,3))</f>
        <v/>
      </c>
      <c r="H17" s="24" t="str">
        <f aca="false">IF(OR($A17="",$B17=""),"",SUMPRODUCT((Levels!$A$5:$A$94=$B17)*(Levels!$B$5:$B$94=4)*(COUNTIFS(Progress!$B$5:$B$3000,$A17,Progress!$G$5:$G$3000,Levels!$G$5:$G$94)&gt;0))&amp;" / "&amp;COUNTIFS(Levels!$A$5:$A$94,$B17,Levels!$B$5:$B$94,4))</f>
        <v/>
      </c>
      <c r="I17" s="24" t="str">
        <f aca="false">IF(OR($A17="",$B17=""),"",IF(SUMPRODUCT((Levels!$A$5:$A$94=$B17)*(Levels!$B$5:$B$94=1)*(COUNTIFS(Progress!$B$5:$B$3000,$A17,Progress!$G$5:$G$3000,Levels!$G$5:$G$94)&gt;0))&lt;COUNTIFS(Levels!$A$5:$A$94,$B17,Levels!$B$5:$B$94,1),"1 Rookie",IF(SUMPRODUCT((Levels!$A$5:$A$94=$B17)*(Levels!$B$5:$B$94=2)*(COUNTIFS(Progress!$B$5:$B$3000,$A17,Progress!$G$5:$G$3000,Levels!$G$5:$G$94)&gt;0))&lt;COUNTIFS(Levels!$A$5:$A$94,$B17,Levels!$B$5:$B$94,2),"2 Contender",IF(SUMPRODUCT((Levels!$A$5:$A$94=$B17)*(Levels!$B$5:$B$94=3)*(COUNTIFS(Progress!$B$5:$B$3000,$A17,Progress!$G$5:$G$3000,Levels!$G$5:$G$94)&gt;0))&lt;COUNTIFS(Levels!$A$5:$A$94,$B17,Levels!$B$5:$B$94,3),"3 Challenger",IF(SUMPRODUCT((Levels!$A$5:$A$94=$B17)*(Levels!$B$5:$B$94=4)*(COUNTIFS(Progress!$B$5:$B$3000,$A17,Progress!$G$5:$G$3000,Levels!$G$5:$G$94)&gt;0))&lt;COUNTIFS(Levels!$A$5:$A$94,$B17,Levels!$B$5:$B$94,4),"4 Champion","All done")))))</f>
        <v/>
      </c>
      <c r="J17" s="25" t="str">
        <f aca="false">IF(OR(I17="",I17="All done"),"",COUNTIFS(Levels!$A$5:$A$94,$B17,Levels!$B$5:$B$94,1)*(LEFT(I17,1)="1")+COUNTIFS(Levels!$A$5:$A$94,$B17,Levels!$B$5:$B$94,2)*(LEFT(I17,1)="2")+COUNTIFS(Levels!$A$5:$A$94,$B17,Levels!$B$5:$B$94,3)*(LEFT(I17,1)="3")+COUNTIFS(Levels!$A$5:$A$94,$B17,Levels!$B$5:$B$94,4)*(LEFT(I17,1)="4")-(SUMPRODUCT((Levels!$A$5:$A$94=$B17)*(Levels!$B$5:$B$94=1)*(COUNTIFS(Progress!$B$5:$B$3000,$A17,Progress!$G$5:$G$3000,Levels!$G$5:$G$94)&gt;0))*(LEFT(I17,1)="1")+SUMPRODUCT((Levels!$A$5:$A$94=$B17)*(Levels!$B$5:$B$94=2)*(COUNTIFS(Progress!$B$5:$B$3000,$A17,Progress!$G$5:$G$3000,Levels!$G$5:$G$94)&gt;0))*(LEFT(I17,1)="2")+SUMPRODUCT((Levels!$A$5:$A$94=$B17)*(Levels!$B$5:$B$94=3)*(COUNTIFS(Progress!$B$5:$B$3000,$A17,Progress!$G$5:$G$3000,Levels!$G$5:$G$94)&gt;0))*(LEFT(I17,1)="3")+SUMPRODUCT((Levels!$A$5:$A$94=$B17)*(Levels!$B$5:$B$94=4)*(COUNTIFS(Progress!$B$5:$B$3000,$A17,Progress!$G$5:$G$3000,Levels!$G$5:$G$94)&gt;0))*(LEFT(I17,1)="4")))</f>
        <v/>
      </c>
      <c r="K17" s="26" t="str">
        <f aca="false">IF($A17="","",IF(COUNTIFS(Progress!$B$5:$B$3000,$A17)=0,"",SUMPRODUCT(MAX((Progress!$B$5:$B$3000=$A17)*Progress!$A$5:$A$3000))))</f>
        <v/>
      </c>
      <c r="L17" s="22"/>
    </row>
    <row r="18" customFormat="false" ht="15" hidden="false" customHeight="false" outlineLevel="0" collapsed="false">
      <c r="A18" s="22"/>
      <c r="B18" s="22"/>
      <c r="C18" s="23"/>
      <c r="D18" s="22"/>
      <c r="E18" s="24" t="str">
        <f aca="false">IF(OR($A18="",$B18=""),"",SUMPRODUCT((Levels!$A$5:$A$94=$B18)*(Levels!$B$5:$B$94=1)*(COUNTIFS(Progress!$B$5:$B$3000,$A18,Progress!$G$5:$G$3000,Levels!$G$5:$G$94)&gt;0))&amp;" / "&amp;COUNTIFS(Levels!$A$5:$A$94,$B18,Levels!$B$5:$B$94,1))</f>
        <v/>
      </c>
      <c r="F18" s="24" t="str">
        <f aca="false">IF(OR($A18="",$B18=""),"",SUMPRODUCT((Levels!$A$5:$A$94=$B18)*(Levels!$B$5:$B$94=2)*(COUNTIFS(Progress!$B$5:$B$3000,$A18,Progress!$G$5:$G$3000,Levels!$G$5:$G$94)&gt;0))&amp;" / "&amp;COUNTIFS(Levels!$A$5:$A$94,$B18,Levels!$B$5:$B$94,2))</f>
        <v/>
      </c>
      <c r="G18" s="24" t="str">
        <f aca="false">IF(OR($A18="",$B18=""),"",SUMPRODUCT((Levels!$A$5:$A$94=$B18)*(Levels!$B$5:$B$94=3)*(COUNTIFS(Progress!$B$5:$B$3000,$A18,Progress!$G$5:$G$3000,Levels!$G$5:$G$94)&gt;0))&amp;" / "&amp;COUNTIFS(Levels!$A$5:$A$94,$B18,Levels!$B$5:$B$94,3))</f>
        <v/>
      </c>
      <c r="H18" s="24" t="str">
        <f aca="false">IF(OR($A18="",$B18=""),"",SUMPRODUCT((Levels!$A$5:$A$94=$B18)*(Levels!$B$5:$B$94=4)*(COUNTIFS(Progress!$B$5:$B$3000,$A18,Progress!$G$5:$G$3000,Levels!$G$5:$G$94)&gt;0))&amp;" / "&amp;COUNTIFS(Levels!$A$5:$A$94,$B18,Levels!$B$5:$B$94,4))</f>
        <v/>
      </c>
      <c r="I18" s="24" t="str">
        <f aca="false">IF(OR($A18="",$B18=""),"",IF(SUMPRODUCT((Levels!$A$5:$A$94=$B18)*(Levels!$B$5:$B$94=1)*(COUNTIFS(Progress!$B$5:$B$3000,$A18,Progress!$G$5:$G$3000,Levels!$G$5:$G$94)&gt;0))&lt;COUNTIFS(Levels!$A$5:$A$94,$B18,Levels!$B$5:$B$94,1),"1 Rookie",IF(SUMPRODUCT((Levels!$A$5:$A$94=$B18)*(Levels!$B$5:$B$94=2)*(COUNTIFS(Progress!$B$5:$B$3000,$A18,Progress!$G$5:$G$3000,Levels!$G$5:$G$94)&gt;0))&lt;COUNTIFS(Levels!$A$5:$A$94,$B18,Levels!$B$5:$B$94,2),"2 Contender",IF(SUMPRODUCT((Levels!$A$5:$A$94=$B18)*(Levels!$B$5:$B$94=3)*(COUNTIFS(Progress!$B$5:$B$3000,$A18,Progress!$G$5:$G$3000,Levels!$G$5:$G$94)&gt;0))&lt;COUNTIFS(Levels!$A$5:$A$94,$B18,Levels!$B$5:$B$94,3),"3 Challenger",IF(SUMPRODUCT((Levels!$A$5:$A$94=$B18)*(Levels!$B$5:$B$94=4)*(COUNTIFS(Progress!$B$5:$B$3000,$A18,Progress!$G$5:$G$3000,Levels!$G$5:$G$94)&gt;0))&lt;COUNTIFS(Levels!$A$5:$A$94,$B18,Levels!$B$5:$B$94,4),"4 Champion","All done")))))</f>
        <v/>
      </c>
      <c r="J18" s="25" t="str">
        <f aca="false">IF(OR(I18="",I18="All done"),"",COUNTIFS(Levels!$A$5:$A$94,$B18,Levels!$B$5:$B$94,1)*(LEFT(I18,1)="1")+COUNTIFS(Levels!$A$5:$A$94,$B18,Levels!$B$5:$B$94,2)*(LEFT(I18,1)="2")+COUNTIFS(Levels!$A$5:$A$94,$B18,Levels!$B$5:$B$94,3)*(LEFT(I18,1)="3")+COUNTIFS(Levels!$A$5:$A$94,$B18,Levels!$B$5:$B$94,4)*(LEFT(I18,1)="4")-(SUMPRODUCT((Levels!$A$5:$A$94=$B18)*(Levels!$B$5:$B$94=1)*(COUNTIFS(Progress!$B$5:$B$3000,$A18,Progress!$G$5:$G$3000,Levels!$G$5:$G$94)&gt;0))*(LEFT(I18,1)="1")+SUMPRODUCT((Levels!$A$5:$A$94=$B18)*(Levels!$B$5:$B$94=2)*(COUNTIFS(Progress!$B$5:$B$3000,$A18,Progress!$G$5:$G$3000,Levels!$G$5:$G$94)&gt;0))*(LEFT(I18,1)="2")+SUMPRODUCT((Levels!$A$5:$A$94=$B18)*(Levels!$B$5:$B$94=3)*(COUNTIFS(Progress!$B$5:$B$3000,$A18,Progress!$G$5:$G$3000,Levels!$G$5:$G$94)&gt;0))*(LEFT(I18,1)="3")+SUMPRODUCT((Levels!$A$5:$A$94=$B18)*(Levels!$B$5:$B$94=4)*(COUNTIFS(Progress!$B$5:$B$3000,$A18,Progress!$G$5:$G$3000,Levels!$G$5:$G$94)&gt;0))*(LEFT(I18,1)="4")))</f>
        <v/>
      </c>
      <c r="K18" s="26" t="str">
        <f aca="false">IF($A18="","",IF(COUNTIFS(Progress!$B$5:$B$3000,$A18)=0,"",SUMPRODUCT(MAX((Progress!$B$5:$B$3000=$A18)*Progress!$A$5:$A$3000))))</f>
        <v/>
      </c>
      <c r="L18" s="22"/>
    </row>
    <row r="19" customFormat="false" ht="15" hidden="false" customHeight="false" outlineLevel="0" collapsed="false">
      <c r="A19" s="22"/>
      <c r="B19" s="22"/>
      <c r="C19" s="23"/>
      <c r="D19" s="22"/>
      <c r="E19" s="24" t="str">
        <f aca="false">IF(OR($A19="",$B19=""),"",SUMPRODUCT((Levels!$A$5:$A$94=$B19)*(Levels!$B$5:$B$94=1)*(COUNTIFS(Progress!$B$5:$B$3000,$A19,Progress!$G$5:$G$3000,Levels!$G$5:$G$94)&gt;0))&amp;" / "&amp;COUNTIFS(Levels!$A$5:$A$94,$B19,Levels!$B$5:$B$94,1))</f>
        <v/>
      </c>
      <c r="F19" s="24" t="str">
        <f aca="false">IF(OR($A19="",$B19=""),"",SUMPRODUCT((Levels!$A$5:$A$94=$B19)*(Levels!$B$5:$B$94=2)*(COUNTIFS(Progress!$B$5:$B$3000,$A19,Progress!$G$5:$G$3000,Levels!$G$5:$G$94)&gt;0))&amp;" / "&amp;COUNTIFS(Levels!$A$5:$A$94,$B19,Levels!$B$5:$B$94,2))</f>
        <v/>
      </c>
      <c r="G19" s="24" t="str">
        <f aca="false">IF(OR($A19="",$B19=""),"",SUMPRODUCT((Levels!$A$5:$A$94=$B19)*(Levels!$B$5:$B$94=3)*(COUNTIFS(Progress!$B$5:$B$3000,$A19,Progress!$G$5:$G$3000,Levels!$G$5:$G$94)&gt;0))&amp;" / "&amp;COUNTIFS(Levels!$A$5:$A$94,$B19,Levels!$B$5:$B$94,3))</f>
        <v/>
      </c>
      <c r="H19" s="24" t="str">
        <f aca="false">IF(OR($A19="",$B19=""),"",SUMPRODUCT((Levels!$A$5:$A$94=$B19)*(Levels!$B$5:$B$94=4)*(COUNTIFS(Progress!$B$5:$B$3000,$A19,Progress!$G$5:$G$3000,Levels!$G$5:$G$94)&gt;0))&amp;" / "&amp;COUNTIFS(Levels!$A$5:$A$94,$B19,Levels!$B$5:$B$94,4))</f>
        <v/>
      </c>
      <c r="I19" s="24" t="str">
        <f aca="false">IF(OR($A19="",$B19=""),"",IF(SUMPRODUCT((Levels!$A$5:$A$94=$B19)*(Levels!$B$5:$B$94=1)*(COUNTIFS(Progress!$B$5:$B$3000,$A19,Progress!$G$5:$G$3000,Levels!$G$5:$G$94)&gt;0))&lt;COUNTIFS(Levels!$A$5:$A$94,$B19,Levels!$B$5:$B$94,1),"1 Rookie",IF(SUMPRODUCT((Levels!$A$5:$A$94=$B19)*(Levels!$B$5:$B$94=2)*(COUNTIFS(Progress!$B$5:$B$3000,$A19,Progress!$G$5:$G$3000,Levels!$G$5:$G$94)&gt;0))&lt;COUNTIFS(Levels!$A$5:$A$94,$B19,Levels!$B$5:$B$94,2),"2 Contender",IF(SUMPRODUCT((Levels!$A$5:$A$94=$B19)*(Levels!$B$5:$B$94=3)*(COUNTIFS(Progress!$B$5:$B$3000,$A19,Progress!$G$5:$G$3000,Levels!$G$5:$G$94)&gt;0))&lt;COUNTIFS(Levels!$A$5:$A$94,$B19,Levels!$B$5:$B$94,3),"3 Challenger",IF(SUMPRODUCT((Levels!$A$5:$A$94=$B19)*(Levels!$B$5:$B$94=4)*(COUNTIFS(Progress!$B$5:$B$3000,$A19,Progress!$G$5:$G$3000,Levels!$G$5:$G$94)&gt;0))&lt;COUNTIFS(Levels!$A$5:$A$94,$B19,Levels!$B$5:$B$94,4),"4 Champion","All done")))))</f>
        <v/>
      </c>
      <c r="J19" s="25" t="str">
        <f aca="false">IF(OR(I19="",I19="All done"),"",COUNTIFS(Levels!$A$5:$A$94,$B19,Levels!$B$5:$B$94,1)*(LEFT(I19,1)="1")+COUNTIFS(Levels!$A$5:$A$94,$B19,Levels!$B$5:$B$94,2)*(LEFT(I19,1)="2")+COUNTIFS(Levels!$A$5:$A$94,$B19,Levels!$B$5:$B$94,3)*(LEFT(I19,1)="3")+COUNTIFS(Levels!$A$5:$A$94,$B19,Levels!$B$5:$B$94,4)*(LEFT(I19,1)="4")-(SUMPRODUCT((Levels!$A$5:$A$94=$B19)*(Levels!$B$5:$B$94=1)*(COUNTIFS(Progress!$B$5:$B$3000,$A19,Progress!$G$5:$G$3000,Levels!$G$5:$G$94)&gt;0))*(LEFT(I19,1)="1")+SUMPRODUCT((Levels!$A$5:$A$94=$B19)*(Levels!$B$5:$B$94=2)*(COUNTIFS(Progress!$B$5:$B$3000,$A19,Progress!$G$5:$G$3000,Levels!$G$5:$G$94)&gt;0))*(LEFT(I19,1)="2")+SUMPRODUCT((Levels!$A$5:$A$94=$B19)*(Levels!$B$5:$B$94=3)*(COUNTIFS(Progress!$B$5:$B$3000,$A19,Progress!$G$5:$G$3000,Levels!$G$5:$G$94)&gt;0))*(LEFT(I19,1)="3")+SUMPRODUCT((Levels!$A$5:$A$94=$B19)*(Levels!$B$5:$B$94=4)*(COUNTIFS(Progress!$B$5:$B$3000,$A19,Progress!$G$5:$G$3000,Levels!$G$5:$G$94)&gt;0))*(LEFT(I19,1)="4")))</f>
        <v/>
      </c>
      <c r="K19" s="26" t="str">
        <f aca="false">IF($A19="","",IF(COUNTIFS(Progress!$B$5:$B$3000,$A19)=0,"",SUMPRODUCT(MAX((Progress!$B$5:$B$3000=$A19)*Progress!$A$5:$A$3000))))</f>
        <v/>
      </c>
      <c r="L19" s="22"/>
    </row>
    <row r="20" customFormat="false" ht="15" hidden="false" customHeight="false" outlineLevel="0" collapsed="false">
      <c r="A20" s="22"/>
      <c r="B20" s="22"/>
      <c r="C20" s="23"/>
      <c r="D20" s="22"/>
      <c r="E20" s="24" t="str">
        <f aca="false">IF(OR($A20="",$B20=""),"",SUMPRODUCT((Levels!$A$5:$A$94=$B20)*(Levels!$B$5:$B$94=1)*(COUNTIFS(Progress!$B$5:$B$3000,$A20,Progress!$G$5:$G$3000,Levels!$G$5:$G$94)&gt;0))&amp;" / "&amp;COUNTIFS(Levels!$A$5:$A$94,$B20,Levels!$B$5:$B$94,1))</f>
        <v/>
      </c>
      <c r="F20" s="24" t="str">
        <f aca="false">IF(OR($A20="",$B20=""),"",SUMPRODUCT((Levels!$A$5:$A$94=$B20)*(Levels!$B$5:$B$94=2)*(COUNTIFS(Progress!$B$5:$B$3000,$A20,Progress!$G$5:$G$3000,Levels!$G$5:$G$94)&gt;0))&amp;" / "&amp;COUNTIFS(Levels!$A$5:$A$94,$B20,Levels!$B$5:$B$94,2))</f>
        <v/>
      </c>
      <c r="G20" s="24" t="str">
        <f aca="false">IF(OR($A20="",$B20=""),"",SUMPRODUCT((Levels!$A$5:$A$94=$B20)*(Levels!$B$5:$B$94=3)*(COUNTIFS(Progress!$B$5:$B$3000,$A20,Progress!$G$5:$G$3000,Levels!$G$5:$G$94)&gt;0))&amp;" / "&amp;COUNTIFS(Levels!$A$5:$A$94,$B20,Levels!$B$5:$B$94,3))</f>
        <v/>
      </c>
      <c r="H20" s="24" t="str">
        <f aca="false">IF(OR($A20="",$B20=""),"",SUMPRODUCT((Levels!$A$5:$A$94=$B20)*(Levels!$B$5:$B$94=4)*(COUNTIFS(Progress!$B$5:$B$3000,$A20,Progress!$G$5:$G$3000,Levels!$G$5:$G$94)&gt;0))&amp;" / "&amp;COUNTIFS(Levels!$A$5:$A$94,$B20,Levels!$B$5:$B$94,4))</f>
        <v/>
      </c>
      <c r="I20" s="24" t="str">
        <f aca="false">IF(OR($A20="",$B20=""),"",IF(SUMPRODUCT((Levels!$A$5:$A$94=$B20)*(Levels!$B$5:$B$94=1)*(COUNTIFS(Progress!$B$5:$B$3000,$A20,Progress!$G$5:$G$3000,Levels!$G$5:$G$94)&gt;0))&lt;COUNTIFS(Levels!$A$5:$A$94,$B20,Levels!$B$5:$B$94,1),"1 Rookie",IF(SUMPRODUCT((Levels!$A$5:$A$94=$B20)*(Levels!$B$5:$B$94=2)*(COUNTIFS(Progress!$B$5:$B$3000,$A20,Progress!$G$5:$G$3000,Levels!$G$5:$G$94)&gt;0))&lt;COUNTIFS(Levels!$A$5:$A$94,$B20,Levels!$B$5:$B$94,2),"2 Contender",IF(SUMPRODUCT((Levels!$A$5:$A$94=$B20)*(Levels!$B$5:$B$94=3)*(COUNTIFS(Progress!$B$5:$B$3000,$A20,Progress!$G$5:$G$3000,Levels!$G$5:$G$94)&gt;0))&lt;COUNTIFS(Levels!$A$5:$A$94,$B20,Levels!$B$5:$B$94,3),"3 Challenger",IF(SUMPRODUCT((Levels!$A$5:$A$94=$B20)*(Levels!$B$5:$B$94=4)*(COUNTIFS(Progress!$B$5:$B$3000,$A20,Progress!$G$5:$G$3000,Levels!$G$5:$G$94)&gt;0))&lt;COUNTIFS(Levels!$A$5:$A$94,$B20,Levels!$B$5:$B$94,4),"4 Champion","All done")))))</f>
        <v/>
      </c>
      <c r="J20" s="25" t="str">
        <f aca="false">IF(OR(I20="",I20="All done"),"",COUNTIFS(Levels!$A$5:$A$94,$B20,Levels!$B$5:$B$94,1)*(LEFT(I20,1)="1")+COUNTIFS(Levels!$A$5:$A$94,$B20,Levels!$B$5:$B$94,2)*(LEFT(I20,1)="2")+COUNTIFS(Levels!$A$5:$A$94,$B20,Levels!$B$5:$B$94,3)*(LEFT(I20,1)="3")+COUNTIFS(Levels!$A$5:$A$94,$B20,Levels!$B$5:$B$94,4)*(LEFT(I20,1)="4")-(SUMPRODUCT((Levels!$A$5:$A$94=$B20)*(Levels!$B$5:$B$94=1)*(COUNTIFS(Progress!$B$5:$B$3000,$A20,Progress!$G$5:$G$3000,Levels!$G$5:$G$94)&gt;0))*(LEFT(I20,1)="1")+SUMPRODUCT((Levels!$A$5:$A$94=$B20)*(Levels!$B$5:$B$94=2)*(COUNTIFS(Progress!$B$5:$B$3000,$A20,Progress!$G$5:$G$3000,Levels!$G$5:$G$94)&gt;0))*(LEFT(I20,1)="2")+SUMPRODUCT((Levels!$A$5:$A$94=$B20)*(Levels!$B$5:$B$94=3)*(COUNTIFS(Progress!$B$5:$B$3000,$A20,Progress!$G$5:$G$3000,Levels!$G$5:$G$94)&gt;0))*(LEFT(I20,1)="3")+SUMPRODUCT((Levels!$A$5:$A$94=$B20)*(Levels!$B$5:$B$94=4)*(COUNTIFS(Progress!$B$5:$B$3000,$A20,Progress!$G$5:$G$3000,Levels!$G$5:$G$94)&gt;0))*(LEFT(I20,1)="4")))</f>
        <v/>
      </c>
      <c r="K20" s="26" t="str">
        <f aca="false">IF($A20="","",IF(COUNTIFS(Progress!$B$5:$B$3000,$A20)=0,"",SUMPRODUCT(MAX((Progress!$B$5:$B$3000=$A20)*Progress!$A$5:$A$3000))))</f>
        <v/>
      </c>
      <c r="L20" s="22"/>
    </row>
    <row r="21" customFormat="false" ht="15" hidden="false" customHeight="false" outlineLevel="0" collapsed="false">
      <c r="A21" s="22"/>
      <c r="B21" s="22"/>
      <c r="C21" s="23"/>
      <c r="D21" s="22"/>
      <c r="E21" s="24" t="str">
        <f aca="false">IF(OR($A21="",$B21=""),"",SUMPRODUCT((Levels!$A$5:$A$94=$B21)*(Levels!$B$5:$B$94=1)*(COUNTIFS(Progress!$B$5:$B$3000,$A21,Progress!$G$5:$G$3000,Levels!$G$5:$G$94)&gt;0))&amp;" / "&amp;COUNTIFS(Levels!$A$5:$A$94,$B21,Levels!$B$5:$B$94,1))</f>
        <v/>
      </c>
      <c r="F21" s="24" t="str">
        <f aca="false">IF(OR($A21="",$B21=""),"",SUMPRODUCT((Levels!$A$5:$A$94=$B21)*(Levels!$B$5:$B$94=2)*(COUNTIFS(Progress!$B$5:$B$3000,$A21,Progress!$G$5:$G$3000,Levels!$G$5:$G$94)&gt;0))&amp;" / "&amp;COUNTIFS(Levels!$A$5:$A$94,$B21,Levels!$B$5:$B$94,2))</f>
        <v/>
      </c>
      <c r="G21" s="24" t="str">
        <f aca="false">IF(OR($A21="",$B21=""),"",SUMPRODUCT((Levels!$A$5:$A$94=$B21)*(Levels!$B$5:$B$94=3)*(COUNTIFS(Progress!$B$5:$B$3000,$A21,Progress!$G$5:$G$3000,Levels!$G$5:$G$94)&gt;0))&amp;" / "&amp;COUNTIFS(Levels!$A$5:$A$94,$B21,Levels!$B$5:$B$94,3))</f>
        <v/>
      </c>
      <c r="H21" s="24" t="str">
        <f aca="false">IF(OR($A21="",$B21=""),"",SUMPRODUCT((Levels!$A$5:$A$94=$B21)*(Levels!$B$5:$B$94=4)*(COUNTIFS(Progress!$B$5:$B$3000,$A21,Progress!$G$5:$G$3000,Levels!$G$5:$G$94)&gt;0))&amp;" / "&amp;COUNTIFS(Levels!$A$5:$A$94,$B21,Levels!$B$5:$B$94,4))</f>
        <v/>
      </c>
      <c r="I21" s="24" t="str">
        <f aca="false">IF(OR($A21="",$B21=""),"",IF(SUMPRODUCT((Levels!$A$5:$A$94=$B21)*(Levels!$B$5:$B$94=1)*(COUNTIFS(Progress!$B$5:$B$3000,$A21,Progress!$G$5:$G$3000,Levels!$G$5:$G$94)&gt;0))&lt;COUNTIFS(Levels!$A$5:$A$94,$B21,Levels!$B$5:$B$94,1),"1 Rookie",IF(SUMPRODUCT((Levels!$A$5:$A$94=$B21)*(Levels!$B$5:$B$94=2)*(COUNTIFS(Progress!$B$5:$B$3000,$A21,Progress!$G$5:$G$3000,Levels!$G$5:$G$94)&gt;0))&lt;COUNTIFS(Levels!$A$5:$A$94,$B21,Levels!$B$5:$B$94,2),"2 Contender",IF(SUMPRODUCT((Levels!$A$5:$A$94=$B21)*(Levels!$B$5:$B$94=3)*(COUNTIFS(Progress!$B$5:$B$3000,$A21,Progress!$G$5:$G$3000,Levels!$G$5:$G$94)&gt;0))&lt;COUNTIFS(Levels!$A$5:$A$94,$B21,Levels!$B$5:$B$94,3),"3 Challenger",IF(SUMPRODUCT((Levels!$A$5:$A$94=$B21)*(Levels!$B$5:$B$94=4)*(COUNTIFS(Progress!$B$5:$B$3000,$A21,Progress!$G$5:$G$3000,Levels!$G$5:$G$94)&gt;0))&lt;COUNTIFS(Levels!$A$5:$A$94,$B21,Levels!$B$5:$B$94,4),"4 Champion","All done")))))</f>
        <v/>
      </c>
      <c r="J21" s="25" t="str">
        <f aca="false">IF(OR(I21="",I21="All done"),"",COUNTIFS(Levels!$A$5:$A$94,$B21,Levels!$B$5:$B$94,1)*(LEFT(I21,1)="1")+COUNTIFS(Levels!$A$5:$A$94,$B21,Levels!$B$5:$B$94,2)*(LEFT(I21,1)="2")+COUNTIFS(Levels!$A$5:$A$94,$B21,Levels!$B$5:$B$94,3)*(LEFT(I21,1)="3")+COUNTIFS(Levels!$A$5:$A$94,$B21,Levels!$B$5:$B$94,4)*(LEFT(I21,1)="4")-(SUMPRODUCT((Levels!$A$5:$A$94=$B21)*(Levels!$B$5:$B$94=1)*(COUNTIFS(Progress!$B$5:$B$3000,$A21,Progress!$G$5:$G$3000,Levels!$G$5:$G$94)&gt;0))*(LEFT(I21,1)="1")+SUMPRODUCT((Levels!$A$5:$A$94=$B21)*(Levels!$B$5:$B$94=2)*(COUNTIFS(Progress!$B$5:$B$3000,$A21,Progress!$G$5:$G$3000,Levels!$G$5:$G$94)&gt;0))*(LEFT(I21,1)="2")+SUMPRODUCT((Levels!$A$5:$A$94=$B21)*(Levels!$B$5:$B$94=3)*(COUNTIFS(Progress!$B$5:$B$3000,$A21,Progress!$G$5:$G$3000,Levels!$G$5:$G$94)&gt;0))*(LEFT(I21,1)="3")+SUMPRODUCT((Levels!$A$5:$A$94=$B21)*(Levels!$B$5:$B$94=4)*(COUNTIFS(Progress!$B$5:$B$3000,$A21,Progress!$G$5:$G$3000,Levels!$G$5:$G$94)&gt;0))*(LEFT(I21,1)="4")))</f>
        <v/>
      </c>
      <c r="K21" s="26" t="str">
        <f aca="false">IF($A21="","",IF(COUNTIFS(Progress!$B$5:$B$3000,$A21)=0,"",SUMPRODUCT(MAX((Progress!$B$5:$B$3000=$A21)*Progress!$A$5:$A$3000))))</f>
        <v/>
      </c>
      <c r="L21" s="22"/>
    </row>
    <row r="22" customFormat="false" ht="15" hidden="false" customHeight="false" outlineLevel="0" collapsed="false">
      <c r="A22" s="22"/>
      <c r="B22" s="22"/>
      <c r="C22" s="23"/>
      <c r="D22" s="22"/>
      <c r="E22" s="24" t="str">
        <f aca="false">IF(OR($A22="",$B22=""),"",SUMPRODUCT((Levels!$A$5:$A$94=$B22)*(Levels!$B$5:$B$94=1)*(COUNTIFS(Progress!$B$5:$B$3000,$A22,Progress!$G$5:$G$3000,Levels!$G$5:$G$94)&gt;0))&amp;" / "&amp;COUNTIFS(Levels!$A$5:$A$94,$B22,Levels!$B$5:$B$94,1))</f>
        <v/>
      </c>
      <c r="F22" s="24" t="str">
        <f aca="false">IF(OR($A22="",$B22=""),"",SUMPRODUCT((Levels!$A$5:$A$94=$B22)*(Levels!$B$5:$B$94=2)*(COUNTIFS(Progress!$B$5:$B$3000,$A22,Progress!$G$5:$G$3000,Levels!$G$5:$G$94)&gt;0))&amp;" / "&amp;COUNTIFS(Levels!$A$5:$A$94,$B22,Levels!$B$5:$B$94,2))</f>
        <v/>
      </c>
      <c r="G22" s="24" t="str">
        <f aca="false">IF(OR($A22="",$B22=""),"",SUMPRODUCT((Levels!$A$5:$A$94=$B22)*(Levels!$B$5:$B$94=3)*(COUNTIFS(Progress!$B$5:$B$3000,$A22,Progress!$G$5:$G$3000,Levels!$G$5:$G$94)&gt;0))&amp;" / "&amp;COUNTIFS(Levels!$A$5:$A$94,$B22,Levels!$B$5:$B$94,3))</f>
        <v/>
      </c>
      <c r="H22" s="24" t="str">
        <f aca="false">IF(OR($A22="",$B22=""),"",SUMPRODUCT((Levels!$A$5:$A$94=$B22)*(Levels!$B$5:$B$94=4)*(COUNTIFS(Progress!$B$5:$B$3000,$A22,Progress!$G$5:$G$3000,Levels!$G$5:$G$94)&gt;0))&amp;" / "&amp;COUNTIFS(Levels!$A$5:$A$94,$B22,Levels!$B$5:$B$94,4))</f>
        <v/>
      </c>
      <c r="I22" s="24" t="str">
        <f aca="false">IF(OR($A22="",$B22=""),"",IF(SUMPRODUCT((Levels!$A$5:$A$94=$B22)*(Levels!$B$5:$B$94=1)*(COUNTIFS(Progress!$B$5:$B$3000,$A22,Progress!$G$5:$G$3000,Levels!$G$5:$G$94)&gt;0))&lt;COUNTIFS(Levels!$A$5:$A$94,$B22,Levels!$B$5:$B$94,1),"1 Rookie",IF(SUMPRODUCT((Levels!$A$5:$A$94=$B22)*(Levels!$B$5:$B$94=2)*(COUNTIFS(Progress!$B$5:$B$3000,$A22,Progress!$G$5:$G$3000,Levels!$G$5:$G$94)&gt;0))&lt;COUNTIFS(Levels!$A$5:$A$94,$B22,Levels!$B$5:$B$94,2),"2 Contender",IF(SUMPRODUCT((Levels!$A$5:$A$94=$B22)*(Levels!$B$5:$B$94=3)*(COUNTIFS(Progress!$B$5:$B$3000,$A22,Progress!$G$5:$G$3000,Levels!$G$5:$G$94)&gt;0))&lt;COUNTIFS(Levels!$A$5:$A$94,$B22,Levels!$B$5:$B$94,3),"3 Challenger",IF(SUMPRODUCT((Levels!$A$5:$A$94=$B22)*(Levels!$B$5:$B$94=4)*(COUNTIFS(Progress!$B$5:$B$3000,$A22,Progress!$G$5:$G$3000,Levels!$G$5:$G$94)&gt;0))&lt;COUNTIFS(Levels!$A$5:$A$94,$B22,Levels!$B$5:$B$94,4),"4 Champion","All done")))))</f>
        <v/>
      </c>
      <c r="J22" s="25" t="str">
        <f aca="false">IF(OR(I22="",I22="All done"),"",COUNTIFS(Levels!$A$5:$A$94,$B22,Levels!$B$5:$B$94,1)*(LEFT(I22,1)="1")+COUNTIFS(Levels!$A$5:$A$94,$B22,Levels!$B$5:$B$94,2)*(LEFT(I22,1)="2")+COUNTIFS(Levels!$A$5:$A$94,$B22,Levels!$B$5:$B$94,3)*(LEFT(I22,1)="3")+COUNTIFS(Levels!$A$5:$A$94,$B22,Levels!$B$5:$B$94,4)*(LEFT(I22,1)="4")-(SUMPRODUCT((Levels!$A$5:$A$94=$B22)*(Levels!$B$5:$B$94=1)*(COUNTIFS(Progress!$B$5:$B$3000,$A22,Progress!$G$5:$G$3000,Levels!$G$5:$G$94)&gt;0))*(LEFT(I22,1)="1")+SUMPRODUCT((Levels!$A$5:$A$94=$B22)*(Levels!$B$5:$B$94=2)*(COUNTIFS(Progress!$B$5:$B$3000,$A22,Progress!$G$5:$G$3000,Levels!$G$5:$G$94)&gt;0))*(LEFT(I22,1)="2")+SUMPRODUCT((Levels!$A$5:$A$94=$B22)*(Levels!$B$5:$B$94=3)*(COUNTIFS(Progress!$B$5:$B$3000,$A22,Progress!$G$5:$G$3000,Levels!$G$5:$G$94)&gt;0))*(LEFT(I22,1)="3")+SUMPRODUCT((Levels!$A$5:$A$94=$B22)*(Levels!$B$5:$B$94=4)*(COUNTIFS(Progress!$B$5:$B$3000,$A22,Progress!$G$5:$G$3000,Levels!$G$5:$G$94)&gt;0))*(LEFT(I22,1)="4")))</f>
        <v/>
      </c>
      <c r="K22" s="26" t="str">
        <f aca="false">IF($A22="","",IF(COUNTIFS(Progress!$B$5:$B$3000,$A22)=0,"",SUMPRODUCT(MAX((Progress!$B$5:$B$3000=$A22)*Progress!$A$5:$A$3000))))</f>
        <v/>
      </c>
      <c r="L22" s="22"/>
    </row>
    <row r="23" customFormat="false" ht="15" hidden="false" customHeight="false" outlineLevel="0" collapsed="false">
      <c r="A23" s="22"/>
      <c r="B23" s="22"/>
      <c r="C23" s="23"/>
      <c r="D23" s="22"/>
      <c r="E23" s="24" t="str">
        <f aca="false">IF(OR($A23="",$B23=""),"",SUMPRODUCT((Levels!$A$5:$A$94=$B23)*(Levels!$B$5:$B$94=1)*(COUNTIFS(Progress!$B$5:$B$3000,$A23,Progress!$G$5:$G$3000,Levels!$G$5:$G$94)&gt;0))&amp;" / "&amp;COUNTIFS(Levels!$A$5:$A$94,$B23,Levels!$B$5:$B$94,1))</f>
        <v/>
      </c>
      <c r="F23" s="24" t="str">
        <f aca="false">IF(OR($A23="",$B23=""),"",SUMPRODUCT((Levels!$A$5:$A$94=$B23)*(Levels!$B$5:$B$94=2)*(COUNTIFS(Progress!$B$5:$B$3000,$A23,Progress!$G$5:$G$3000,Levels!$G$5:$G$94)&gt;0))&amp;" / "&amp;COUNTIFS(Levels!$A$5:$A$94,$B23,Levels!$B$5:$B$94,2))</f>
        <v/>
      </c>
      <c r="G23" s="24" t="str">
        <f aca="false">IF(OR($A23="",$B23=""),"",SUMPRODUCT((Levels!$A$5:$A$94=$B23)*(Levels!$B$5:$B$94=3)*(COUNTIFS(Progress!$B$5:$B$3000,$A23,Progress!$G$5:$G$3000,Levels!$G$5:$G$94)&gt;0))&amp;" / "&amp;COUNTIFS(Levels!$A$5:$A$94,$B23,Levels!$B$5:$B$94,3))</f>
        <v/>
      </c>
      <c r="H23" s="24" t="str">
        <f aca="false">IF(OR($A23="",$B23=""),"",SUMPRODUCT((Levels!$A$5:$A$94=$B23)*(Levels!$B$5:$B$94=4)*(COUNTIFS(Progress!$B$5:$B$3000,$A23,Progress!$G$5:$G$3000,Levels!$G$5:$G$94)&gt;0))&amp;" / "&amp;COUNTIFS(Levels!$A$5:$A$94,$B23,Levels!$B$5:$B$94,4))</f>
        <v/>
      </c>
      <c r="I23" s="24" t="str">
        <f aca="false">IF(OR($A23="",$B23=""),"",IF(SUMPRODUCT((Levels!$A$5:$A$94=$B23)*(Levels!$B$5:$B$94=1)*(COUNTIFS(Progress!$B$5:$B$3000,$A23,Progress!$G$5:$G$3000,Levels!$G$5:$G$94)&gt;0))&lt;COUNTIFS(Levels!$A$5:$A$94,$B23,Levels!$B$5:$B$94,1),"1 Rookie",IF(SUMPRODUCT((Levels!$A$5:$A$94=$B23)*(Levels!$B$5:$B$94=2)*(COUNTIFS(Progress!$B$5:$B$3000,$A23,Progress!$G$5:$G$3000,Levels!$G$5:$G$94)&gt;0))&lt;COUNTIFS(Levels!$A$5:$A$94,$B23,Levels!$B$5:$B$94,2),"2 Contender",IF(SUMPRODUCT((Levels!$A$5:$A$94=$B23)*(Levels!$B$5:$B$94=3)*(COUNTIFS(Progress!$B$5:$B$3000,$A23,Progress!$G$5:$G$3000,Levels!$G$5:$G$94)&gt;0))&lt;COUNTIFS(Levels!$A$5:$A$94,$B23,Levels!$B$5:$B$94,3),"3 Challenger",IF(SUMPRODUCT((Levels!$A$5:$A$94=$B23)*(Levels!$B$5:$B$94=4)*(COUNTIFS(Progress!$B$5:$B$3000,$A23,Progress!$G$5:$G$3000,Levels!$G$5:$G$94)&gt;0))&lt;COUNTIFS(Levels!$A$5:$A$94,$B23,Levels!$B$5:$B$94,4),"4 Champion","All done")))))</f>
        <v/>
      </c>
      <c r="J23" s="25" t="str">
        <f aca="false">IF(OR(I23="",I23="All done"),"",COUNTIFS(Levels!$A$5:$A$94,$B23,Levels!$B$5:$B$94,1)*(LEFT(I23,1)="1")+COUNTIFS(Levels!$A$5:$A$94,$B23,Levels!$B$5:$B$94,2)*(LEFT(I23,1)="2")+COUNTIFS(Levels!$A$5:$A$94,$B23,Levels!$B$5:$B$94,3)*(LEFT(I23,1)="3")+COUNTIFS(Levels!$A$5:$A$94,$B23,Levels!$B$5:$B$94,4)*(LEFT(I23,1)="4")-(SUMPRODUCT((Levels!$A$5:$A$94=$B23)*(Levels!$B$5:$B$94=1)*(COUNTIFS(Progress!$B$5:$B$3000,$A23,Progress!$G$5:$G$3000,Levels!$G$5:$G$94)&gt;0))*(LEFT(I23,1)="1")+SUMPRODUCT((Levels!$A$5:$A$94=$B23)*(Levels!$B$5:$B$94=2)*(COUNTIFS(Progress!$B$5:$B$3000,$A23,Progress!$G$5:$G$3000,Levels!$G$5:$G$94)&gt;0))*(LEFT(I23,1)="2")+SUMPRODUCT((Levels!$A$5:$A$94=$B23)*(Levels!$B$5:$B$94=3)*(COUNTIFS(Progress!$B$5:$B$3000,$A23,Progress!$G$5:$G$3000,Levels!$G$5:$G$94)&gt;0))*(LEFT(I23,1)="3")+SUMPRODUCT((Levels!$A$5:$A$94=$B23)*(Levels!$B$5:$B$94=4)*(COUNTIFS(Progress!$B$5:$B$3000,$A23,Progress!$G$5:$G$3000,Levels!$G$5:$G$94)&gt;0))*(LEFT(I23,1)="4")))</f>
        <v/>
      </c>
      <c r="K23" s="26" t="str">
        <f aca="false">IF($A23="","",IF(COUNTIFS(Progress!$B$5:$B$3000,$A23)=0,"",SUMPRODUCT(MAX((Progress!$B$5:$B$3000=$A23)*Progress!$A$5:$A$3000))))</f>
        <v/>
      </c>
      <c r="L23" s="22"/>
    </row>
    <row r="24" customFormat="false" ht="15" hidden="false" customHeight="false" outlineLevel="0" collapsed="false">
      <c r="A24" s="22"/>
      <c r="B24" s="22"/>
      <c r="C24" s="23"/>
      <c r="D24" s="22"/>
      <c r="E24" s="24" t="str">
        <f aca="false">IF(OR($A24="",$B24=""),"",SUMPRODUCT((Levels!$A$5:$A$94=$B24)*(Levels!$B$5:$B$94=1)*(COUNTIFS(Progress!$B$5:$B$3000,$A24,Progress!$G$5:$G$3000,Levels!$G$5:$G$94)&gt;0))&amp;" / "&amp;COUNTIFS(Levels!$A$5:$A$94,$B24,Levels!$B$5:$B$94,1))</f>
        <v/>
      </c>
      <c r="F24" s="24" t="str">
        <f aca="false">IF(OR($A24="",$B24=""),"",SUMPRODUCT((Levels!$A$5:$A$94=$B24)*(Levels!$B$5:$B$94=2)*(COUNTIFS(Progress!$B$5:$B$3000,$A24,Progress!$G$5:$G$3000,Levels!$G$5:$G$94)&gt;0))&amp;" / "&amp;COUNTIFS(Levels!$A$5:$A$94,$B24,Levels!$B$5:$B$94,2))</f>
        <v/>
      </c>
      <c r="G24" s="24" t="str">
        <f aca="false">IF(OR($A24="",$B24=""),"",SUMPRODUCT((Levels!$A$5:$A$94=$B24)*(Levels!$B$5:$B$94=3)*(COUNTIFS(Progress!$B$5:$B$3000,$A24,Progress!$G$5:$G$3000,Levels!$G$5:$G$94)&gt;0))&amp;" / "&amp;COUNTIFS(Levels!$A$5:$A$94,$B24,Levels!$B$5:$B$94,3))</f>
        <v/>
      </c>
      <c r="H24" s="24" t="str">
        <f aca="false">IF(OR($A24="",$B24=""),"",SUMPRODUCT((Levels!$A$5:$A$94=$B24)*(Levels!$B$5:$B$94=4)*(COUNTIFS(Progress!$B$5:$B$3000,$A24,Progress!$G$5:$G$3000,Levels!$G$5:$G$94)&gt;0))&amp;" / "&amp;COUNTIFS(Levels!$A$5:$A$94,$B24,Levels!$B$5:$B$94,4))</f>
        <v/>
      </c>
      <c r="I24" s="24" t="str">
        <f aca="false">IF(OR($A24="",$B24=""),"",IF(SUMPRODUCT((Levels!$A$5:$A$94=$B24)*(Levels!$B$5:$B$94=1)*(COUNTIFS(Progress!$B$5:$B$3000,$A24,Progress!$G$5:$G$3000,Levels!$G$5:$G$94)&gt;0))&lt;COUNTIFS(Levels!$A$5:$A$94,$B24,Levels!$B$5:$B$94,1),"1 Rookie",IF(SUMPRODUCT((Levels!$A$5:$A$94=$B24)*(Levels!$B$5:$B$94=2)*(COUNTIFS(Progress!$B$5:$B$3000,$A24,Progress!$G$5:$G$3000,Levels!$G$5:$G$94)&gt;0))&lt;COUNTIFS(Levels!$A$5:$A$94,$B24,Levels!$B$5:$B$94,2),"2 Contender",IF(SUMPRODUCT((Levels!$A$5:$A$94=$B24)*(Levels!$B$5:$B$94=3)*(COUNTIFS(Progress!$B$5:$B$3000,$A24,Progress!$G$5:$G$3000,Levels!$G$5:$G$94)&gt;0))&lt;COUNTIFS(Levels!$A$5:$A$94,$B24,Levels!$B$5:$B$94,3),"3 Challenger",IF(SUMPRODUCT((Levels!$A$5:$A$94=$B24)*(Levels!$B$5:$B$94=4)*(COUNTIFS(Progress!$B$5:$B$3000,$A24,Progress!$G$5:$G$3000,Levels!$G$5:$G$94)&gt;0))&lt;COUNTIFS(Levels!$A$5:$A$94,$B24,Levels!$B$5:$B$94,4),"4 Champion","All done")))))</f>
        <v/>
      </c>
      <c r="J24" s="25" t="str">
        <f aca="false">IF(OR(I24="",I24="All done"),"",COUNTIFS(Levels!$A$5:$A$94,$B24,Levels!$B$5:$B$94,1)*(LEFT(I24,1)="1")+COUNTIFS(Levels!$A$5:$A$94,$B24,Levels!$B$5:$B$94,2)*(LEFT(I24,1)="2")+COUNTIFS(Levels!$A$5:$A$94,$B24,Levels!$B$5:$B$94,3)*(LEFT(I24,1)="3")+COUNTIFS(Levels!$A$5:$A$94,$B24,Levels!$B$5:$B$94,4)*(LEFT(I24,1)="4")-(SUMPRODUCT((Levels!$A$5:$A$94=$B24)*(Levels!$B$5:$B$94=1)*(COUNTIFS(Progress!$B$5:$B$3000,$A24,Progress!$G$5:$G$3000,Levels!$G$5:$G$94)&gt;0))*(LEFT(I24,1)="1")+SUMPRODUCT((Levels!$A$5:$A$94=$B24)*(Levels!$B$5:$B$94=2)*(COUNTIFS(Progress!$B$5:$B$3000,$A24,Progress!$G$5:$G$3000,Levels!$G$5:$G$94)&gt;0))*(LEFT(I24,1)="2")+SUMPRODUCT((Levels!$A$5:$A$94=$B24)*(Levels!$B$5:$B$94=3)*(COUNTIFS(Progress!$B$5:$B$3000,$A24,Progress!$G$5:$G$3000,Levels!$G$5:$G$94)&gt;0))*(LEFT(I24,1)="3")+SUMPRODUCT((Levels!$A$5:$A$94=$B24)*(Levels!$B$5:$B$94=4)*(COUNTIFS(Progress!$B$5:$B$3000,$A24,Progress!$G$5:$G$3000,Levels!$G$5:$G$94)&gt;0))*(LEFT(I24,1)="4")))</f>
        <v/>
      </c>
      <c r="K24" s="26" t="str">
        <f aca="false">IF($A24="","",IF(COUNTIFS(Progress!$B$5:$B$3000,$A24)=0,"",SUMPRODUCT(MAX((Progress!$B$5:$B$3000=$A24)*Progress!$A$5:$A$3000))))</f>
        <v/>
      </c>
      <c r="L24" s="22"/>
    </row>
    <row r="25" customFormat="false" ht="15" hidden="false" customHeight="false" outlineLevel="0" collapsed="false">
      <c r="A25" s="22"/>
      <c r="B25" s="22"/>
      <c r="C25" s="23"/>
      <c r="D25" s="22"/>
      <c r="E25" s="24" t="str">
        <f aca="false">IF(OR($A25="",$B25=""),"",SUMPRODUCT((Levels!$A$5:$A$94=$B25)*(Levels!$B$5:$B$94=1)*(COUNTIFS(Progress!$B$5:$B$3000,$A25,Progress!$G$5:$G$3000,Levels!$G$5:$G$94)&gt;0))&amp;" / "&amp;COUNTIFS(Levels!$A$5:$A$94,$B25,Levels!$B$5:$B$94,1))</f>
        <v/>
      </c>
      <c r="F25" s="24" t="str">
        <f aca="false">IF(OR($A25="",$B25=""),"",SUMPRODUCT((Levels!$A$5:$A$94=$B25)*(Levels!$B$5:$B$94=2)*(COUNTIFS(Progress!$B$5:$B$3000,$A25,Progress!$G$5:$G$3000,Levels!$G$5:$G$94)&gt;0))&amp;" / "&amp;COUNTIFS(Levels!$A$5:$A$94,$B25,Levels!$B$5:$B$94,2))</f>
        <v/>
      </c>
      <c r="G25" s="24" t="str">
        <f aca="false">IF(OR($A25="",$B25=""),"",SUMPRODUCT((Levels!$A$5:$A$94=$B25)*(Levels!$B$5:$B$94=3)*(COUNTIFS(Progress!$B$5:$B$3000,$A25,Progress!$G$5:$G$3000,Levels!$G$5:$G$94)&gt;0))&amp;" / "&amp;COUNTIFS(Levels!$A$5:$A$94,$B25,Levels!$B$5:$B$94,3))</f>
        <v/>
      </c>
      <c r="H25" s="24" t="str">
        <f aca="false">IF(OR($A25="",$B25=""),"",SUMPRODUCT((Levels!$A$5:$A$94=$B25)*(Levels!$B$5:$B$94=4)*(COUNTIFS(Progress!$B$5:$B$3000,$A25,Progress!$G$5:$G$3000,Levels!$G$5:$G$94)&gt;0))&amp;" / "&amp;COUNTIFS(Levels!$A$5:$A$94,$B25,Levels!$B$5:$B$94,4))</f>
        <v/>
      </c>
      <c r="I25" s="24" t="str">
        <f aca="false">IF(OR($A25="",$B25=""),"",IF(SUMPRODUCT((Levels!$A$5:$A$94=$B25)*(Levels!$B$5:$B$94=1)*(COUNTIFS(Progress!$B$5:$B$3000,$A25,Progress!$G$5:$G$3000,Levels!$G$5:$G$94)&gt;0))&lt;COUNTIFS(Levels!$A$5:$A$94,$B25,Levels!$B$5:$B$94,1),"1 Rookie",IF(SUMPRODUCT((Levels!$A$5:$A$94=$B25)*(Levels!$B$5:$B$94=2)*(COUNTIFS(Progress!$B$5:$B$3000,$A25,Progress!$G$5:$G$3000,Levels!$G$5:$G$94)&gt;0))&lt;COUNTIFS(Levels!$A$5:$A$94,$B25,Levels!$B$5:$B$94,2),"2 Contender",IF(SUMPRODUCT((Levels!$A$5:$A$94=$B25)*(Levels!$B$5:$B$94=3)*(COUNTIFS(Progress!$B$5:$B$3000,$A25,Progress!$G$5:$G$3000,Levels!$G$5:$G$94)&gt;0))&lt;COUNTIFS(Levels!$A$5:$A$94,$B25,Levels!$B$5:$B$94,3),"3 Challenger",IF(SUMPRODUCT((Levels!$A$5:$A$94=$B25)*(Levels!$B$5:$B$94=4)*(COUNTIFS(Progress!$B$5:$B$3000,$A25,Progress!$G$5:$G$3000,Levels!$G$5:$G$94)&gt;0))&lt;COUNTIFS(Levels!$A$5:$A$94,$B25,Levels!$B$5:$B$94,4),"4 Champion","All done")))))</f>
        <v/>
      </c>
      <c r="J25" s="25" t="str">
        <f aca="false">IF(OR(I25="",I25="All done"),"",COUNTIFS(Levels!$A$5:$A$94,$B25,Levels!$B$5:$B$94,1)*(LEFT(I25,1)="1")+COUNTIFS(Levels!$A$5:$A$94,$B25,Levels!$B$5:$B$94,2)*(LEFT(I25,1)="2")+COUNTIFS(Levels!$A$5:$A$94,$B25,Levels!$B$5:$B$94,3)*(LEFT(I25,1)="3")+COUNTIFS(Levels!$A$5:$A$94,$B25,Levels!$B$5:$B$94,4)*(LEFT(I25,1)="4")-(SUMPRODUCT((Levels!$A$5:$A$94=$B25)*(Levels!$B$5:$B$94=1)*(COUNTIFS(Progress!$B$5:$B$3000,$A25,Progress!$G$5:$G$3000,Levels!$G$5:$G$94)&gt;0))*(LEFT(I25,1)="1")+SUMPRODUCT((Levels!$A$5:$A$94=$B25)*(Levels!$B$5:$B$94=2)*(COUNTIFS(Progress!$B$5:$B$3000,$A25,Progress!$G$5:$G$3000,Levels!$G$5:$G$94)&gt;0))*(LEFT(I25,1)="2")+SUMPRODUCT((Levels!$A$5:$A$94=$B25)*(Levels!$B$5:$B$94=3)*(COUNTIFS(Progress!$B$5:$B$3000,$A25,Progress!$G$5:$G$3000,Levels!$G$5:$G$94)&gt;0))*(LEFT(I25,1)="3")+SUMPRODUCT((Levels!$A$5:$A$94=$B25)*(Levels!$B$5:$B$94=4)*(COUNTIFS(Progress!$B$5:$B$3000,$A25,Progress!$G$5:$G$3000,Levels!$G$5:$G$94)&gt;0))*(LEFT(I25,1)="4")))</f>
        <v/>
      </c>
      <c r="K25" s="26" t="str">
        <f aca="false">IF($A25="","",IF(COUNTIFS(Progress!$B$5:$B$3000,$A25)=0,"",SUMPRODUCT(MAX((Progress!$B$5:$B$3000=$A25)*Progress!$A$5:$A$3000))))</f>
        <v/>
      </c>
      <c r="L25" s="22"/>
    </row>
    <row r="26" customFormat="false" ht="15" hidden="false" customHeight="false" outlineLevel="0" collapsed="false">
      <c r="A26" s="22"/>
      <c r="B26" s="22"/>
      <c r="C26" s="23"/>
      <c r="D26" s="22"/>
      <c r="E26" s="24" t="str">
        <f aca="false">IF(OR($A26="",$B26=""),"",SUMPRODUCT((Levels!$A$5:$A$94=$B26)*(Levels!$B$5:$B$94=1)*(COUNTIFS(Progress!$B$5:$B$3000,$A26,Progress!$G$5:$G$3000,Levels!$G$5:$G$94)&gt;0))&amp;" / "&amp;COUNTIFS(Levels!$A$5:$A$94,$B26,Levels!$B$5:$B$94,1))</f>
        <v/>
      </c>
      <c r="F26" s="24" t="str">
        <f aca="false">IF(OR($A26="",$B26=""),"",SUMPRODUCT((Levels!$A$5:$A$94=$B26)*(Levels!$B$5:$B$94=2)*(COUNTIFS(Progress!$B$5:$B$3000,$A26,Progress!$G$5:$G$3000,Levels!$G$5:$G$94)&gt;0))&amp;" / "&amp;COUNTIFS(Levels!$A$5:$A$94,$B26,Levels!$B$5:$B$94,2))</f>
        <v/>
      </c>
      <c r="G26" s="24" t="str">
        <f aca="false">IF(OR($A26="",$B26=""),"",SUMPRODUCT((Levels!$A$5:$A$94=$B26)*(Levels!$B$5:$B$94=3)*(COUNTIFS(Progress!$B$5:$B$3000,$A26,Progress!$G$5:$G$3000,Levels!$G$5:$G$94)&gt;0))&amp;" / "&amp;COUNTIFS(Levels!$A$5:$A$94,$B26,Levels!$B$5:$B$94,3))</f>
        <v/>
      </c>
      <c r="H26" s="24" t="str">
        <f aca="false">IF(OR($A26="",$B26=""),"",SUMPRODUCT((Levels!$A$5:$A$94=$B26)*(Levels!$B$5:$B$94=4)*(COUNTIFS(Progress!$B$5:$B$3000,$A26,Progress!$G$5:$G$3000,Levels!$G$5:$G$94)&gt;0))&amp;" / "&amp;COUNTIFS(Levels!$A$5:$A$94,$B26,Levels!$B$5:$B$94,4))</f>
        <v/>
      </c>
      <c r="I26" s="24" t="str">
        <f aca="false">IF(OR($A26="",$B26=""),"",IF(SUMPRODUCT((Levels!$A$5:$A$94=$B26)*(Levels!$B$5:$B$94=1)*(COUNTIFS(Progress!$B$5:$B$3000,$A26,Progress!$G$5:$G$3000,Levels!$G$5:$G$94)&gt;0))&lt;COUNTIFS(Levels!$A$5:$A$94,$B26,Levels!$B$5:$B$94,1),"1 Rookie",IF(SUMPRODUCT((Levels!$A$5:$A$94=$B26)*(Levels!$B$5:$B$94=2)*(COUNTIFS(Progress!$B$5:$B$3000,$A26,Progress!$G$5:$G$3000,Levels!$G$5:$G$94)&gt;0))&lt;COUNTIFS(Levels!$A$5:$A$94,$B26,Levels!$B$5:$B$94,2),"2 Contender",IF(SUMPRODUCT((Levels!$A$5:$A$94=$B26)*(Levels!$B$5:$B$94=3)*(COUNTIFS(Progress!$B$5:$B$3000,$A26,Progress!$G$5:$G$3000,Levels!$G$5:$G$94)&gt;0))&lt;COUNTIFS(Levels!$A$5:$A$94,$B26,Levels!$B$5:$B$94,3),"3 Challenger",IF(SUMPRODUCT((Levels!$A$5:$A$94=$B26)*(Levels!$B$5:$B$94=4)*(COUNTIFS(Progress!$B$5:$B$3000,$A26,Progress!$G$5:$G$3000,Levels!$G$5:$G$94)&gt;0))&lt;COUNTIFS(Levels!$A$5:$A$94,$B26,Levels!$B$5:$B$94,4),"4 Champion","All done")))))</f>
        <v/>
      </c>
      <c r="J26" s="25" t="str">
        <f aca="false">IF(OR(I26="",I26="All done"),"",COUNTIFS(Levels!$A$5:$A$94,$B26,Levels!$B$5:$B$94,1)*(LEFT(I26,1)="1")+COUNTIFS(Levels!$A$5:$A$94,$B26,Levels!$B$5:$B$94,2)*(LEFT(I26,1)="2")+COUNTIFS(Levels!$A$5:$A$94,$B26,Levels!$B$5:$B$94,3)*(LEFT(I26,1)="3")+COUNTIFS(Levels!$A$5:$A$94,$B26,Levels!$B$5:$B$94,4)*(LEFT(I26,1)="4")-(SUMPRODUCT((Levels!$A$5:$A$94=$B26)*(Levels!$B$5:$B$94=1)*(COUNTIFS(Progress!$B$5:$B$3000,$A26,Progress!$G$5:$G$3000,Levels!$G$5:$G$94)&gt;0))*(LEFT(I26,1)="1")+SUMPRODUCT((Levels!$A$5:$A$94=$B26)*(Levels!$B$5:$B$94=2)*(COUNTIFS(Progress!$B$5:$B$3000,$A26,Progress!$G$5:$G$3000,Levels!$G$5:$G$94)&gt;0))*(LEFT(I26,1)="2")+SUMPRODUCT((Levels!$A$5:$A$94=$B26)*(Levels!$B$5:$B$94=3)*(COUNTIFS(Progress!$B$5:$B$3000,$A26,Progress!$G$5:$G$3000,Levels!$G$5:$G$94)&gt;0))*(LEFT(I26,1)="3")+SUMPRODUCT((Levels!$A$5:$A$94=$B26)*(Levels!$B$5:$B$94=4)*(COUNTIFS(Progress!$B$5:$B$3000,$A26,Progress!$G$5:$G$3000,Levels!$G$5:$G$94)&gt;0))*(LEFT(I26,1)="4")))</f>
        <v/>
      </c>
      <c r="K26" s="26" t="str">
        <f aca="false">IF($A26="","",IF(COUNTIFS(Progress!$B$5:$B$3000,$A26)=0,"",SUMPRODUCT(MAX((Progress!$B$5:$B$3000=$A26)*Progress!$A$5:$A$3000))))</f>
        <v/>
      </c>
      <c r="L26" s="22"/>
    </row>
    <row r="27" customFormat="false" ht="15" hidden="false" customHeight="false" outlineLevel="0" collapsed="false">
      <c r="A27" s="22"/>
      <c r="B27" s="22"/>
      <c r="C27" s="23"/>
      <c r="D27" s="22"/>
      <c r="E27" s="24" t="str">
        <f aca="false">IF(OR($A27="",$B27=""),"",SUMPRODUCT((Levels!$A$5:$A$94=$B27)*(Levels!$B$5:$B$94=1)*(COUNTIFS(Progress!$B$5:$B$3000,$A27,Progress!$G$5:$G$3000,Levels!$G$5:$G$94)&gt;0))&amp;" / "&amp;COUNTIFS(Levels!$A$5:$A$94,$B27,Levels!$B$5:$B$94,1))</f>
        <v/>
      </c>
      <c r="F27" s="24" t="str">
        <f aca="false">IF(OR($A27="",$B27=""),"",SUMPRODUCT((Levels!$A$5:$A$94=$B27)*(Levels!$B$5:$B$94=2)*(COUNTIFS(Progress!$B$5:$B$3000,$A27,Progress!$G$5:$G$3000,Levels!$G$5:$G$94)&gt;0))&amp;" / "&amp;COUNTIFS(Levels!$A$5:$A$94,$B27,Levels!$B$5:$B$94,2))</f>
        <v/>
      </c>
      <c r="G27" s="24" t="str">
        <f aca="false">IF(OR($A27="",$B27=""),"",SUMPRODUCT((Levels!$A$5:$A$94=$B27)*(Levels!$B$5:$B$94=3)*(COUNTIFS(Progress!$B$5:$B$3000,$A27,Progress!$G$5:$G$3000,Levels!$G$5:$G$94)&gt;0))&amp;" / "&amp;COUNTIFS(Levels!$A$5:$A$94,$B27,Levels!$B$5:$B$94,3))</f>
        <v/>
      </c>
      <c r="H27" s="24" t="str">
        <f aca="false">IF(OR($A27="",$B27=""),"",SUMPRODUCT((Levels!$A$5:$A$94=$B27)*(Levels!$B$5:$B$94=4)*(COUNTIFS(Progress!$B$5:$B$3000,$A27,Progress!$G$5:$G$3000,Levels!$G$5:$G$94)&gt;0))&amp;" / "&amp;COUNTIFS(Levels!$A$5:$A$94,$B27,Levels!$B$5:$B$94,4))</f>
        <v/>
      </c>
      <c r="I27" s="24" t="str">
        <f aca="false">IF(OR($A27="",$B27=""),"",IF(SUMPRODUCT((Levels!$A$5:$A$94=$B27)*(Levels!$B$5:$B$94=1)*(COUNTIFS(Progress!$B$5:$B$3000,$A27,Progress!$G$5:$G$3000,Levels!$G$5:$G$94)&gt;0))&lt;COUNTIFS(Levels!$A$5:$A$94,$B27,Levels!$B$5:$B$94,1),"1 Rookie",IF(SUMPRODUCT((Levels!$A$5:$A$94=$B27)*(Levels!$B$5:$B$94=2)*(COUNTIFS(Progress!$B$5:$B$3000,$A27,Progress!$G$5:$G$3000,Levels!$G$5:$G$94)&gt;0))&lt;COUNTIFS(Levels!$A$5:$A$94,$B27,Levels!$B$5:$B$94,2),"2 Contender",IF(SUMPRODUCT((Levels!$A$5:$A$94=$B27)*(Levels!$B$5:$B$94=3)*(COUNTIFS(Progress!$B$5:$B$3000,$A27,Progress!$G$5:$G$3000,Levels!$G$5:$G$94)&gt;0))&lt;COUNTIFS(Levels!$A$5:$A$94,$B27,Levels!$B$5:$B$94,3),"3 Challenger",IF(SUMPRODUCT((Levels!$A$5:$A$94=$B27)*(Levels!$B$5:$B$94=4)*(COUNTIFS(Progress!$B$5:$B$3000,$A27,Progress!$G$5:$G$3000,Levels!$G$5:$G$94)&gt;0))&lt;COUNTIFS(Levels!$A$5:$A$94,$B27,Levels!$B$5:$B$94,4),"4 Champion","All done")))))</f>
        <v/>
      </c>
      <c r="J27" s="25" t="str">
        <f aca="false">IF(OR(I27="",I27="All done"),"",COUNTIFS(Levels!$A$5:$A$94,$B27,Levels!$B$5:$B$94,1)*(LEFT(I27,1)="1")+COUNTIFS(Levels!$A$5:$A$94,$B27,Levels!$B$5:$B$94,2)*(LEFT(I27,1)="2")+COUNTIFS(Levels!$A$5:$A$94,$B27,Levels!$B$5:$B$94,3)*(LEFT(I27,1)="3")+COUNTIFS(Levels!$A$5:$A$94,$B27,Levels!$B$5:$B$94,4)*(LEFT(I27,1)="4")-(SUMPRODUCT((Levels!$A$5:$A$94=$B27)*(Levels!$B$5:$B$94=1)*(COUNTIFS(Progress!$B$5:$B$3000,$A27,Progress!$G$5:$G$3000,Levels!$G$5:$G$94)&gt;0))*(LEFT(I27,1)="1")+SUMPRODUCT((Levels!$A$5:$A$94=$B27)*(Levels!$B$5:$B$94=2)*(COUNTIFS(Progress!$B$5:$B$3000,$A27,Progress!$G$5:$G$3000,Levels!$G$5:$G$94)&gt;0))*(LEFT(I27,1)="2")+SUMPRODUCT((Levels!$A$5:$A$94=$B27)*(Levels!$B$5:$B$94=3)*(COUNTIFS(Progress!$B$5:$B$3000,$A27,Progress!$G$5:$G$3000,Levels!$G$5:$G$94)&gt;0))*(LEFT(I27,1)="3")+SUMPRODUCT((Levels!$A$5:$A$94=$B27)*(Levels!$B$5:$B$94=4)*(COUNTIFS(Progress!$B$5:$B$3000,$A27,Progress!$G$5:$G$3000,Levels!$G$5:$G$94)&gt;0))*(LEFT(I27,1)="4")))</f>
        <v/>
      </c>
      <c r="K27" s="26" t="str">
        <f aca="false">IF($A27="","",IF(COUNTIFS(Progress!$B$5:$B$3000,$A27)=0,"",SUMPRODUCT(MAX((Progress!$B$5:$B$3000=$A27)*Progress!$A$5:$A$3000))))</f>
        <v/>
      </c>
      <c r="L27" s="22"/>
    </row>
    <row r="28" customFormat="false" ht="15" hidden="false" customHeight="false" outlineLevel="0" collapsed="false">
      <c r="A28" s="22"/>
      <c r="B28" s="22"/>
      <c r="C28" s="23"/>
      <c r="D28" s="22"/>
      <c r="E28" s="24" t="str">
        <f aca="false">IF(OR($A28="",$B28=""),"",SUMPRODUCT((Levels!$A$5:$A$94=$B28)*(Levels!$B$5:$B$94=1)*(COUNTIFS(Progress!$B$5:$B$3000,$A28,Progress!$G$5:$G$3000,Levels!$G$5:$G$94)&gt;0))&amp;" / "&amp;COUNTIFS(Levels!$A$5:$A$94,$B28,Levels!$B$5:$B$94,1))</f>
        <v/>
      </c>
      <c r="F28" s="24" t="str">
        <f aca="false">IF(OR($A28="",$B28=""),"",SUMPRODUCT((Levels!$A$5:$A$94=$B28)*(Levels!$B$5:$B$94=2)*(COUNTIFS(Progress!$B$5:$B$3000,$A28,Progress!$G$5:$G$3000,Levels!$G$5:$G$94)&gt;0))&amp;" / "&amp;COUNTIFS(Levels!$A$5:$A$94,$B28,Levels!$B$5:$B$94,2))</f>
        <v/>
      </c>
      <c r="G28" s="24" t="str">
        <f aca="false">IF(OR($A28="",$B28=""),"",SUMPRODUCT((Levels!$A$5:$A$94=$B28)*(Levels!$B$5:$B$94=3)*(COUNTIFS(Progress!$B$5:$B$3000,$A28,Progress!$G$5:$G$3000,Levels!$G$5:$G$94)&gt;0))&amp;" / "&amp;COUNTIFS(Levels!$A$5:$A$94,$B28,Levels!$B$5:$B$94,3))</f>
        <v/>
      </c>
      <c r="H28" s="24" t="str">
        <f aca="false">IF(OR($A28="",$B28=""),"",SUMPRODUCT((Levels!$A$5:$A$94=$B28)*(Levels!$B$5:$B$94=4)*(COUNTIFS(Progress!$B$5:$B$3000,$A28,Progress!$G$5:$G$3000,Levels!$G$5:$G$94)&gt;0))&amp;" / "&amp;COUNTIFS(Levels!$A$5:$A$94,$B28,Levels!$B$5:$B$94,4))</f>
        <v/>
      </c>
      <c r="I28" s="24" t="str">
        <f aca="false">IF(OR($A28="",$B28=""),"",IF(SUMPRODUCT((Levels!$A$5:$A$94=$B28)*(Levels!$B$5:$B$94=1)*(COUNTIFS(Progress!$B$5:$B$3000,$A28,Progress!$G$5:$G$3000,Levels!$G$5:$G$94)&gt;0))&lt;COUNTIFS(Levels!$A$5:$A$94,$B28,Levels!$B$5:$B$94,1),"1 Rookie",IF(SUMPRODUCT((Levels!$A$5:$A$94=$B28)*(Levels!$B$5:$B$94=2)*(COUNTIFS(Progress!$B$5:$B$3000,$A28,Progress!$G$5:$G$3000,Levels!$G$5:$G$94)&gt;0))&lt;COUNTIFS(Levels!$A$5:$A$94,$B28,Levels!$B$5:$B$94,2),"2 Contender",IF(SUMPRODUCT((Levels!$A$5:$A$94=$B28)*(Levels!$B$5:$B$94=3)*(COUNTIFS(Progress!$B$5:$B$3000,$A28,Progress!$G$5:$G$3000,Levels!$G$5:$G$94)&gt;0))&lt;COUNTIFS(Levels!$A$5:$A$94,$B28,Levels!$B$5:$B$94,3),"3 Challenger",IF(SUMPRODUCT((Levels!$A$5:$A$94=$B28)*(Levels!$B$5:$B$94=4)*(COUNTIFS(Progress!$B$5:$B$3000,$A28,Progress!$G$5:$G$3000,Levels!$G$5:$G$94)&gt;0))&lt;COUNTIFS(Levels!$A$5:$A$94,$B28,Levels!$B$5:$B$94,4),"4 Champion","All done")))))</f>
        <v/>
      </c>
      <c r="J28" s="25" t="str">
        <f aca="false">IF(OR(I28="",I28="All done"),"",COUNTIFS(Levels!$A$5:$A$94,$B28,Levels!$B$5:$B$94,1)*(LEFT(I28,1)="1")+COUNTIFS(Levels!$A$5:$A$94,$B28,Levels!$B$5:$B$94,2)*(LEFT(I28,1)="2")+COUNTIFS(Levels!$A$5:$A$94,$B28,Levels!$B$5:$B$94,3)*(LEFT(I28,1)="3")+COUNTIFS(Levels!$A$5:$A$94,$B28,Levels!$B$5:$B$94,4)*(LEFT(I28,1)="4")-(SUMPRODUCT((Levels!$A$5:$A$94=$B28)*(Levels!$B$5:$B$94=1)*(COUNTIFS(Progress!$B$5:$B$3000,$A28,Progress!$G$5:$G$3000,Levels!$G$5:$G$94)&gt;0))*(LEFT(I28,1)="1")+SUMPRODUCT((Levels!$A$5:$A$94=$B28)*(Levels!$B$5:$B$94=2)*(COUNTIFS(Progress!$B$5:$B$3000,$A28,Progress!$G$5:$G$3000,Levels!$G$5:$G$94)&gt;0))*(LEFT(I28,1)="2")+SUMPRODUCT((Levels!$A$5:$A$94=$B28)*(Levels!$B$5:$B$94=3)*(COUNTIFS(Progress!$B$5:$B$3000,$A28,Progress!$G$5:$G$3000,Levels!$G$5:$G$94)&gt;0))*(LEFT(I28,1)="3")+SUMPRODUCT((Levels!$A$5:$A$94=$B28)*(Levels!$B$5:$B$94=4)*(COUNTIFS(Progress!$B$5:$B$3000,$A28,Progress!$G$5:$G$3000,Levels!$G$5:$G$94)&gt;0))*(LEFT(I28,1)="4")))</f>
        <v/>
      </c>
      <c r="K28" s="26" t="str">
        <f aca="false">IF($A28="","",IF(COUNTIFS(Progress!$B$5:$B$3000,$A28)=0,"",SUMPRODUCT(MAX((Progress!$B$5:$B$3000=$A28)*Progress!$A$5:$A$3000))))</f>
        <v/>
      </c>
      <c r="L28" s="22"/>
    </row>
    <row r="29" customFormat="false" ht="15" hidden="false" customHeight="false" outlineLevel="0" collapsed="false">
      <c r="A29" s="22"/>
      <c r="B29" s="22"/>
      <c r="C29" s="23"/>
      <c r="D29" s="22"/>
      <c r="E29" s="24" t="str">
        <f aca="false">IF(OR($A29="",$B29=""),"",SUMPRODUCT((Levels!$A$5:$A$94=$B29)*(Levels!$B$5:$B$94=1)*(COUNTIFS(Progress!$B$5:$B$3000,$A29,Progress!$G$5:$G$3000,Levels!$G$5:$G$94)&gt;0))&amp;" / "&amp;COUNTIFS(Levels!$A$5:$A$94,$B29,Levels!$B$5:$B$94,1))</f>
        <v/>
      </c>
      <c r="F29" s="24" t="str">
        <f aca="false">IF(OR($A29="",$B29=""),"",SUMPRODUCT((Levels!$A$5:$A$94=$B29)*(Levels!$B$5:$B$94=2)*(COUNTIFS(Progress!$B$5:$B$3000,$A29,Progress!$G$5:$G$3000,Levels!$G$5:$G$94)&gt;0))&amp;" / "&amp;COUNTIFS(Levels!$A$5:$A$94,$B29,Levels!$B$5:$B$94,2))</f>
        <v/>
      </c>
      <c r="G29" s="24" t="str">
        <f aca="false">IF(OR($A29="",$B29=""),"",SUMPRODUCT((Levels!$A$5:$A$94=$B29)*(Levels!$B$5:$B$94=3)*(COUNTIFS(Progress!$B$5:$B$3000,$A29,Progress!$G$5:$G$3000,Levels!$G$5:$G$94)&gt;0))&amp;" / "&amp;COUNTIFS(Levels!$A$5:$A$94,$B29,Levels!$B$5:$B$94,3))</f>
        <v/>
      </c>
      <c r="H29" s="24" t="str">
        <f aca="false">IF(OR($A29="",$B29=""),"",SUMPRODUCT((Levels!$A$5:$A$94=$B29)*(Levels!$B$5:$B$94=4)*(COUNTIFS(Progress!$B$5:$B$3000,$A29,Progress!$G$5:$G$3000,Levels!$G$5:$G$94)&gt;0))&amp;" / "&amp;COUNTIFS(Levels!$A$5:$A$94,$B29,Levels!$B$5:$B$94,4))</f>
        <v/>
      </c>
      <c r="I29" s="24" t="str">
        <f aca="false">IF(OR($A29="",$B29=""),"",IF(SUMPRODUCT((Levels!$A$5:$A$94=$B29)*(Levels!$B$5:$B$94=1)*(COUNTIFS(Progress!$B$5:$B$3000,$A29,Progress!$G$5:$G$3000,Levels!$G$5:$G$94)&gt;0))&lt;COUNTIFS(Levels!$A$5:$A$94,$B29,Levels!$B$5:$B$94,1),"1 Rookie",IF(SUMPRODUCT((Levels!$A$5:$A$94=$B29)*(Levels!$B$5:$B$94=2)*(COUNTIFS(Progress!$B$5:$B$3000,$A29,Progress!$G$5:$G$3000,Levels!$G$5:$G$94)&gt;0))&lt;COUNTIFS(Levels!$A$5:$A$94,$B29,Levels!$B$5:$B$94,2),"2 Contender",IF(SUMPRODUCT((Levels!$A$5:$A$94=$B29)*(Levels!$B$5:$B$94=3)*(COUNTIFS(Progress!$B$5:$B$3000,$A29,Progress!$G$5:$G$3000,Levels!$G$5:$G$94)&gt;0))&lt;COUNTIFS(Levels!$A$5:$A$94,$B29,Levels!$B$5:$B$94,3),"3 Challenger",IF(SUMPRODUCT((Levels!$A$5:$A$94=$B29)*(Levels!$B$5:$B$94=4)*(COUNTIFS(Progress!$B$5:$B$3000,$A29,Progress!$G$5:$G$3000,Levels!$G$5:$G$94)&gt;0))&lt;COUNTIFS(Levels!$A$5:$A$94,$B29,Levels!$B$5:$B$94,4),"4 Champion","All done")))))</f>
        <v/>
      </c>
      <c r="J29" s="25" t="str">
        <f aca="false">IF(OR(I29="",I29="All done"),"",COUNTIFS(Levels!$A$5:$A$94,$B29,Levels!$B$5:$B$94,1)*(LEFT(I29,1)="1")+COUNTIFS(Levels!$A$5:$A$94,$B29,Levels!$B$5:$B$94,2)*(LEFT(I29,1)="2")+COUNTIFS(Levels!$A$5:$A$94,$B29,Levels!$B$5:$B$94,3)*(LEFT(I29,1)="3")+COUNTIFS(Levels!$A$5:$A$94,$B29,Levels!$B$5:$B$94,4)*(LEFT(I29,1)="4")-(SUMPRODUCT((Levels!$A$5:$A$94=$B29)*(Levels!$B$5:$B$94=1)*(COUNTIFS(Progress!$B$5:$B$3000,$A29,Progress!$G$5:$G$3000,Levels!$G$5:$G$94)&gt;0))*(LEFT(I29,1)="1")+SUMPRODUCT((Levels!$A$5:$A$94=$B29)*(Levels!$B$5:$B$94=2)*(COUNTIFS(Progress!$B$5:$B$3000,$A29,Progress!$G$5:$G$3000,Levels!$G$5:$G$94)&gt;0))*(LEFT(I29,1)="2")+SUMPRODUCT((Levels!$A$5:$A$94=$B29)*(Levels!$B$5:$B$94=3)*(COUNTIFS(Progress!$B$5:$B$3000,$A29,Progress!$G$5:$G$3000,Levels!$G$5:$G$94)&gt;0))*(LEFT(I29,1)="3")+SUMPRODUCT((Levels!$A$5:$A$94=$B29)*(Levels!$B$5:$B$94=4)*(COUNTIFS(Progress!$B$5:$B$3000,$A29,Progress!$G$5:$G$3000,Levels!$G$5:$G$94)&gt;0))*(LEFT(I29,1)="4")))</f>
        <v/>
      </c>
      <c r="K29" s="26" t="str">
        <f aca="false">IF($A29="","",IF(COUNTIFS(Progress!$B$5:$B$3000,$A29)=0,"",SUMPRODUCT(MAX((Progress!$B$5:$B$3000=$A29)*Progress!$A$5:$A$3000))))</f>
        <v/>
      </c>
      <c r="L29" s="22"/>
    </row>
    <row r="30" customFormat="false" ht="15" hidden="false" customHeight="false" outlineLevel="0" collapsed="false">
      <c r="A30" s="22"/>
      <c r="B30" s="22"/>
      <c r="C30" s="23"/>
      <c r="D30" s="22"/>
      <c r="E30" s="24" t="str">
        <f aca="false">IF(OR($A30="",$B30=""),"",SUMPRODUCT((Levels!$A$5:$A$94=$B30)*(Levels!$B$5:$B$94=1)*(COUNTIFS(Progress!$B$5:$B$3000,$A30,Progress!$G$5:$G$3000,Levels!$G$5:$G$94)&gt;0))&amp;" / "&amp;COUNTIFS(Levels!$A$5:$A$94,$B30,Levels!$B$5:$B$94,1))</f>
        <v/>
      </c>
      <c r="F30" s="24" t="str">
        <f aca="false">IF(OR($A30="",$B30=""),"",SUMPRODUCT((Levels!$A$5:$A$94=$B30)*(Levels!$B$5:$B$94=2)*(COUNTIFS(Progress!$B$5:$B$3000,$A30,Progress!$G$5:$G$3000,Levels!$G$5:$G$94)&gt;0))&amp;" / "&amp;COUNTIFS(Levels!$A$5:$A$94,$B30,Levels!$B$5:$B$94,2))</f>
        <v/>
      </c>
      <c r="G30" s="24" t="str">
        <f aca="false">IF(OR($A30="",$B30=""),"",SUMPRODUCT((Levels!$A$5:$A$94=$B30)*(Levels!$B$5:$B$94=3)*(COUNTIFS(Progress!$B$5:$B$3000,$A30,Progress!$G$5:$G$3000,Levels!$G$5:$G$94)&gt;0))&amp;" / "&amp;COUNTIFS(Levels!$A$5:$A$94,$B30,Levels!$B$5:$B$94,3))</f>
        <v/>
      </c>
      <c r="H30" s="24" t="str">
        <f aca="false">IF(OR($A30="",$B30=""),"",SUMPRODUCT((Levels!$A$5:$A$94=$B30)*(Levels!$B$5:$B$94=4)*(COUNTIFS(Progress!$B$5:$B$3000,$A30,Progress!$G$5:$G$3000,Levels!$G$5:$G$94)&gt;0))&amp;" / "&amp;COUNTIFS(Levels!$A$5:$A$94,$B30,Levels!$B$5:$B$94,4))</f>
        <v/>
      </c>
      <c r="I30" s="24" t="str">
        <f aca="false">IF(OR($A30="",$B30=""),"",IF(SUMPRODUCT((Levels!$A$5:$A$94=$B30)*(Levels!$B$5:$B$94=1)*(COUNTIFS(Progress!$B$5:$B$3000,$A30,Progress!$G$5:$G$3000,Levels!$G$5:$G$94)&gt;0))&lt;COUNTIFS(Levels!$A$5:$A$94,$B30,Levels!$B$5:$B$94,1),"1 Rookie",IF(SUMPRODUCT((Levels!$A$5:$A$94=$B30)*(Levels!$B$5:$B$94=2)*(COUNTIFS(Progress!$B$5:$B$3000,$A30,Progress!$G$5:$G$3000,Levels!$G$5:$G$94)&gt;0))&lt;COUNTIFS(Levels!$A$5:$A$94,$B30,Levels!$B$5:$B$94,2),"2 Contender",IF(SUMPRODUCT((Levels!$A$5:$A$94=$B30)*(Levels!$B$5:$B$94=3)*(COUNTIFS(Progress!$B$5:$B$3000,$A30,Progress!$G$5:$G$3000,Levels!$G$5:$G$94)&gt;0))&lt;COUNTIFS(Levels!$A$5:$A$94,$B30,Levels!$B$5:$B$94,3),"3 Challenger",IF(SUMPRODUCT((Levels!$A$5:$A$94=$B30)*(Levels!$B$5:$B$94=4)*(COUNTIFS(Progress!$B$5:$B$3000,$A30,Progress!$G$5:$G$3000,Levels!$G$5:$G$94)&gt;0))&lt;COUNTIFS(Levels!$A$5:$A$94,$B30,Levels!$B$5:$B$94,4),"4 Champion","All done")))))</f>
        <v/>
      </c>
      <c r="J30" s="25" t="str">
        <f aca="false">IF(OR(I30="",I30="All done"),"",COUNTIFS(Levels!$A$5:$A$94,$B30,Levels!$B$5:$B$94,1)*(LEFT(I30,1)="1")+COUNTIFS(Levels!$A$5:$A$94,$B30,Levels!$B$5:$B$94,2)*(LEFT(I30,1)="2")+COUNTIFS(Levels!$A$5:$A$94,$B30,Levels!$B$5:$B$94,3)*(LEFT(I30,1)="3")+COUNTIFS(Levels!$A$5:$A$94,$B30,Levels!$B$5:$B$94,4)*(LEFT(I30,1)="4")-(SUMPRODUCT((Levels!$A$5:$A$94=$B30)*(Levels!$B$5:$B$94=1)*(COUNTIFS(Progress!$B$5:$B$3000,$A30,Progress!$G$5:$G$3000,Levels!$G$5:$G$94)&gt;0))*(LEFT(I30,1)="1")+SUMPRODUCT((Levels!$A$5:$A$94=$B30)*(Levels!$B$5:$B$94=2)*(COUNTIFS(Progress!$B$5:$B$3000,$A30,Progress!$G$5:$G$3000,Levels!$G$5:$G$94)&gt;0))*(LEFT(I30,1)="2")+SUMPRODUCT((Levels!$A$5:$A$94=$B30)*(Levels!$B$5:$B$94=3)*(COUNTIFS(Progress!$B$5:$B$3000,$A30,Progress!$G$5:$G$3000,Levels!$G$5:$G$94)&gt;0))*(LEFT(I30,1)="3")+SUMPRODUCT((Levels!$A$5:$A$94=$B30)*(Levels!$B$5:$B$94=4)*(COUNTIFS(Progress!$B$5:$B$3000,$A30,Progress!$G$5:$G$3000,Levels!$G$5:$G$94)&gt;0))*(LEFT(I30,1)="4")))</f>
        <v/>
      </c>
      <c r="K30" s="26" t="str">
        <f aca="false">IF($A30="","",IF(COUNTIFS(Progress!$B$5:$B$3000,$A30)=0,"",SUMPRODUCT(MAX((Progress!$B$5:$B$3000=$A30)*Progress!$A$5:$A$3000))))</f>
        <v/>
      </c>
      <c r="L30" s="22"/>
    </row>
    <row r="31" customFormat="false" ht="15" hidden="false" customHeight="false" outlineLevel="0" collapsed="false">
      <c r="A31" s="22"/>
      <c r="B31" s="22"/>
      <c r="C31" s="23"/>
      <c r="D31" s="22"/>
      <c r="E31" s="24" t="str">
        <f aca="false">IF(OR($A31="",$B31=""),"",SUMPRODUCT((Levels!$A$5:$A$94=$B31)*(Levels!$B$5:$B$94=1)*(COUNTIFS(Progress!$B$5:$B$3000,$A31,Progress!$G$5:$G$3000,Levels!$G$5:$G$94)&gt;0))&amp;" / "&amp;COUNTIFS(Levels!$A$5:$A$94,$B31,Levels!$B$5:$B$94,1))</f>
        <v/>
      </c>
      <c r="F31" s="24" t="str">
        <f aca="false">IF(OR($A31="",$B31=""),"",SUMPRODUCT((Levels!$A$5:$A$94=$B31)*(Levels!$B$5:$B$94=2)*(COUNTIFS(Progress!$B$5:$B$3000,$A31,Progress!$G$5:$G$3000,Levels!$G$5:$G$94)&gt;0))&amp;" / "&amp;COUNTIFS(Levels!$A$5:$A$94,$B31,Levels!$B$5:$B$94,2))</f>
        <v/>
      </c>
      <c r="G31" s="24" t="str">
        <f aca="false">IF(OR($A31="",$B31=""),"",SUMPRODUCT((Levels!$A$5:$A$94=$B31)*(Levels!$B$5:$B$94=3)*(COUNTIFS(Progress!$B$5:$B$3000,$A31,Progress!$G$5:$G$3000,Levels!$G$5:$G$94)&gt;0))&amp;" / "&amp;COUNTIFS(Levels!$A$5:$A$94,$B31,Levels!$B$5:$B$94,3))</f>
        <v/>
      </c>
      <c r="H31" s="24" t="str">
        <f aca="false">IF(OR($A31="",$B31=""),"",SUMPRODUCT((Levels!$A$5:$A$94=$B31)*(Levels!$B$5:$B$94=4)*(COUNTIFS(Progress!$B$5:$B$3000,$A31,Progress!$G$5:$G$3000,Levels!$G$5:$G$94)&gt;0))&amp;" / "&amp;COUNTIFS(Levels!$A$5:$A$94,$B31,Levels!$B$5:$B$94,4))</f>
        <v/>
      </c>
      <c r="I31" s="24" t="str">
        <f aca="false">IF(OR($A31="",$B31=""),"",IF(SUMPRODUCT((Levels!$A$5:$A$94=$B31)*(Levels!$B$5:$B$94=1)*(COUNTIFS(Progress!$B$5:$B$3000,$A31,Progress!$G$5:$G$3000,Levels!$G$5:$G$94)&gt;0))&lt;COUNTIFS(Levels!$A$5:$A$94,$B31,Levels!$B$5:$B$94,1),"1 Rookie",IF(SUMPRODUCT((Levels!$A$5:$A$94=$B31)*(Levels!$B$5:$B$94=2)*(COUNTIFS(Progress!$B$5:$B$3000,$A31,Progress!$G$5:$G$3000,Levels!$G$5:$G$94)&gt;0))&lt;COUNTIFS(Levels!$A$5:$A$94,$B31,Levels!$B$5:$B$94,2),"2 Contender",IF(SUMPRODUCT((Levels!$A$5:$A$94=$B31)*(Levels!$B$5:$B$94=3)*(COUNTIFS(Progress!$B$5:$B$3000,$A31,Progress!$G$5:$G$3000,Levels!$G$5:$G$94)&gt;0))&lt;COUNTIFS(Levels!$A$5:$A$94,$B31,Levels!$B$5:$B$94,3),"3 Challenger",IF(SUMPRODUCT((Levels!$A$5:$A$94=$B31)*(Levels!$B$5:$B$94=4)*(COUNTIFS(Progress!$B$5:$B$3000,$A31,Progress!$G$5:$G$3000,Levels!$G$5:$G$94)&gt;0))&lt;COUNTIFS(Levels!$A$5:$A$94,$B31,Levels!$B$5:$B$94,4),"4 Champion","All done")))))</f>
        <v/>
      </c>
      <c r="J31" s="25" t="str">
        <f aca="false">IF(OR(I31="",I31="All done"),"",COUNTIFS(Levels!$A$5:$A$94,$B31,Levels!$B$5:$B$94,1)*(LEFT(I31,1)="1")+COUNTIFS(Levels!$A$5:$A$94,$B31,Levels!$B$5:$B$94,2)*(LEFT(I31,1)="2")+COUNTIFS(Levels!$A$5:$A$94,$B31,Levels!$B$5:$B$94,3)*(LEFT(I31,1)="3")+COUNTIFS(Levels!$A$5:$A$94,$B31,Levels!$B$5:$B$94,4)*(LEFT(I31,1)="4")-(SUMPRODUCT((Levels!$A$5:$A$94=$B31)*(Levels!$B$5:$B$94=1)*(COUNTIFS(Progress!$B$5:$B$3000,$A31,Progress!$G$5:$G$3000,Levels!$G$5:$G$94)&gt;0))*(LEFT(I31,1)="1")+SUMPRODUCT((Levels!$A$5:$A$94=$B31)*(Levels!$B$5:$B$94=2)*(COUNTIFS(Progress!$B$5:$B$3000,$A31,Progress!$G$5:$G$3000,Levels!$G$5:$G$94)&gt;0))*(LEFT(I31,1)="2")+SUMPRODUCT((Levels!$A$5:$A$94=$B31)*(Levels!$B$5:$B$94=3)*(COUNTIFS(Progress!$B$5:$B$3000,$A31,Progress!$G$5:$G$3000,Levels!$G$5:$G$94)&gt;0))*(LEFT(I31,1)="3")+SUMPRODUCT((Levels!$A$5:$A$94=$B31)*(Levels!$B$5:$B$94=4)*(COUNTIFS(Progress!$B$5:$B$3000,$A31,Progress!$G$5:$G$3000,Levels!$G$5:$G$94)&gt;0))*(LEFT(I31,1)="4")))</f>
        <v/>
      </c>
      <c r="K31" s="26" t="str">
        <f aca="false">IF($A31="","",IF(COUNTIFS(Progress!$B$5:$B$3000,$A31)=0,"",SUMPRODUCT(MAX((Progress!$B$5:$B$3000=$A31)*Progress!$A$5:$A$3000))))</f>
        <v/>
      </c>
      <c r="L31" s="22"/>
    </row>
    <row r="32" customFormat="false" ht="15" hidden="false" customHeight="false" outlineLevel="0" collapsed="false">
      <c r="A32" s="22"/>
      <c r="B32" s="22"/>
      <c r="C32" s="23"/>
      <c r="D32" s="22"/>
      <c r="E32" s="24" t="str">
        <f aca="false">IF(OR($A32="",$B32=""),"",SUMPRODUCT((Levels!$A$5:$A$94=$B32)*(Levels!$B$5:$B$94=1)*(COUNTIFS(Progress!$B$5:$B$3000,$A32,Progress!$G$5:$G$3000,Levels!$G$5:$G$94)&gt;0))&amp;" / "&amp;COUNTIFS(Levels!$A$5:$A$94,$B32,Levels!$B$5:$B$94,1))</f>
        <v/>
      </c>
      <c r="F32" s="24" t="str">
        <f aca="false">IF(OR($A32="",$B32=""),"",SUMPRODUCT((Levels!$A$5:$A$94=$B32)*(Levels!$B$5:$B$94=2)*(COUNTIFS(Progress!$B$5:$B$3000,$A32,Progress!$G$5:$G$3000,Levels!$G$5:$G$94)&gt;0))&amp;" / "&amp;COUNTIFS(Levels!$A$5:$A$94,$B32,Levels!$B$5:$B$94,2))</f>
        <v/>
      </c>
      <c r="G32" s="24" t="str">
        <f aca="false">IF(OR($A32="",$B32=""),"",SUMPRODUCT((Levels!$A$5:$A$94=$B32)*(Levels!$B$5:$B$94=3)*(COUNTIFS(Progress!$B$5:$B$3000,$A32,Progress!$G$5:$G$3000,Levels!$G$5:$G$94)&gt;0))&amp;" / "&amp;COUNTIFS(Levels!$A$5:$A$94,$B32,Levels!$B$5:$B$94,3))</f>
        <v/>
      </c>
      <c r="H32" s="24" t="str">
        <f aca="false">IF(OR($A32="",$B32=""),"",SUMPRODUCT((Levels!$A$5:$A$94=$B32)*(Levels!$B$5:$B$94=4)*(COUNTIFS(Progress!$B$5:$B$3000,$A32,Progress!$G$5:$G$3000,Levels!$G$5:$G$94)&gt;0))&amp;" / "&amp;COUNTIFS(Levels!$A$5:$A$94,$B32,Levels!$B$5:$B$94,4))</f>
        <v/>
      </c>
      <c r="I32" s="24" t="str">
        <f aca="false">IF(OR($A32="",$B32=""),"",IF(SUMPRODUCT((Levels!$A$5:$A$94=$B32)*(Levels!$B$5:$B$94=1)*(COUNTIFS(Progress!$B$5:$B$3000,$A32,Progress!$G$5:$G$3000,Levels!$G$5:$G$94)&gt;0))&lt;COUNTIFS(Levels!$A$5:$A$94,$B32,Levels!$B$5:$B$94,1),"1 Rookie",IF(SUMPRODUCT((Levels!$A$5:$A$94=$B32)*(Levels!$B$5:$B$94=2)*(COUNTIFS(Progress!$B$5:$B$3000,$A32,Progress!$G$5:$G$3000,Levels!$G$5:$G$94)&gt;0))&lt;COUNTIFS(Levels!$A$5:$A$94,$B32,Levels!$B$5:$B$94,2),"2 Contender",IF(SUMPRODUCT((Levels!$A$5:$A$94=$B32)*(Levels!$B$5:$B$94=3)*(COUNTIFS(Progress!$B$5:$B$3000,$A32,Progress!$G$5:$G$3000,Levels!$G$5:$G$94)&gt;0))&lt;COUNTIFS(Levels!$A$5:$A$94,$B32,Levels!$B$5:$B$94,3),"3 Challenger",IF(SUMPRODUCT((Levels!$A$5:$A$94=$B32)*(Levels!$B$5:$B$94=4)*(COUNTIFS(Progress!$B$5:$B$3000,$A32,Progress!$G$5:$G$3000,Levels!$G$5:$G$94)&gt;0))&lt;COUNTIFS(Levels!$A$5:$A$94,$B32,Levels!$B$5:$B$94,4),"4 Champion","All done")))))</f>
        <v/>
      </c>
      <c r="J32" s="25" t="str">
        <f aca="false">IF(OR(I32="",I32="All done"),"",COUNTIFS(Levels!$A$5:$A$94,$B32,Levels!$B$5:$B$94,1)*(LEFT(I32,1)="1")+COUNTIFS(Levels!$A$5:$A$94,$B32,Levels!$B$5:$B$94,2)*(LEFT(I32,1)="2")+COUNTIFS(Levels!$A$5:$A$94,$B32,Levels!$B$5:$B$94,3)*(LEFT(I32,1)="3")+COUNTIFS(Levels!$A$5:$A$94,$B32,Levels!$B$5:$B$94,4)*(LEFT(I32,1)="4")-(SUMPRODUCT((Levels!$A$5:$A$94=$B32)*(Levels!$B$5:$B$94=1)*(COUNTIFS(Progress!$B$5:$B$3000,$A32,Progress!$G$5:$G$3000,Levels!$G$5:$G$94)&gt;0))*(LEFT(I32,1)="1")+SUMPRODUCT((Levels!$A$5:$A$94=$B32)*(Levels!$B$5:$B$94=2)*(COUNTIFS(Progress!$B$5:$B$3000,$A32,Progress!$G$5:$G$3000,Levels!$G$5:$G$94)&gt;0))*(LEFT(I32,1)="2")+SUMPRODUCT((Levels!$A$5:$A$94=$B32)*(Levels!$B$5:$B$94=3)*(COUNTIFS(Progress!$B$5:$B$3000,$A32,Progress!$G$5:$G$3000,Levels!$G$5:$G$94)&gt;0))*(LEFT(I32,1)="3")+SUMPRODUCT((Levels!$A$5:$A$94=$B32)*(Levels!$B$5:$B$94=4)*(COUNTIFS(Progress!$B$5:$B$3000,$A32,Progress!$G$5:$G$3000,Levels!$G$5:$G$94)&gt;0))*(LEFT(I32,1)="4")))</f>
        <v/>
      </c>
      <c r="K32" s="26" t="str">
        <f aca="false">IF($A32="","",IF(COUNTIFS(Progress!$B$5:$B$3000,$A32)=0,"",SUMPRODUCT(MAX((Progress!$B$5:$B$3000=$A32)*Progress!$A$5:$A$3000))))</f>
        <v/>
      </c>
      <c r="L32" s="22"/>
    </row>
    <row r="33" customFormat="false" ht="15" hidden="false" customHeight="false" outlineLevel="0" collapsed="false">
      <c r="A33" s="22"/>
      <c r="B33" s="22"/>
      <c r="C33" s="23"/>
      <c r="D33" s="22"/>
      <c r="E33" s="24" t="str">
        <f aca="false">IF(OR($A33="",$B33=""),"",SUMPRODUCT((Levels!$A$5:$A$94=$B33)*(Levels!$B$5:$B$94=1)*(COUNTIFS(Progress!$B$5:$B$3000,$A33,Progress!$G$5:$G$3000,Levels!$G$5:$G$94)&gt;0))&amp;" / "&amp;COUNTIFS(Levels!$A$5:$A$94,$B33,Levels!$B$5:$B$94,1))</f>
        <v/>
      </c>
      <c r="F33" s="24" t="str">
        <f aca="false">IF(OR($A33="",$B33=""),"",SUMPRODUCT((Levels!$A$5:$A$94=$B33)*(Levels!$B$5:$B$94=2)*(COUNTIFS(Progress!$B$5:$B$3000,$A33,Progress!$G$5:$G$3000,Levels!$G$5:$G$94)&gt;0))&amp;" / "&amp;COUNTIFS(Levels!$A$5:$A$94,$B33,Levels!$B$5:$B$94,2))</f>
        <v/>
      </c>
      <c r="G33" s="24" t="str">
        <f aca="false">IF(OR($A33="",$B33=""),"",SUMPRODUCT((Levels!$A$5:$A$94=$B33)*(Levels!$B$5:$B$94=3)*(COUNTIFS(Progress!$B$5:$B$3000,$A33,Progress!$G$5:$G$3000,Levels!$G$5:$G$94)&gt;0))&amp;" / "&amp;COUNTIFS(Levels!$A$5:$A$94,$B33,Levels!$B$5:$B$94,3))</f>
        <v/>
      </c>
      <c r="H33" s="24" t="str">
        <f aca="false">IF(OR($A33="",$B33=""),"",SUMPRODUCT((Levels!$A$5:$A$94=$B33)*(Levels!$B$5:$B$94=4)*(COUNTIFS(Progress!$B$5:$B$3000,$A33,Progress!$G$5:$G$3000,Levels!$G$5:$G$94)&gt;0))&amp;" / "&amp;COUNTIFS(Levels!$A$5:$A$94,$B33,Levels!$B$5:$B$94,4))</f>
        <v/>
      </c>
      <c r="I33" s="24" t="str">
        <f aca="false">IF(OR($A33="",$B33=""),"",IF(SUMPRODUCT((Levels!$A$5:$A$94=$B33)*(Levels!$B$5:$B$94=1)*(COUNTIFS(Progress!$B$5:$B$3000,$A33,Progress!$G$5:$G$3000,Levels!$G$5:$G$94)&gt;0))&lt;COUNTIFS(Levels!$A$5:$A$94,$B33,Levels!$B$5:$B$94,1),"1 Rookie",IF(SUMPRODUCT((Levels!$A$5:$A$94=$B33)*(Levels!$B$5:$B$94=2)*(COUNTIFS(Progress!$B$5:$B$3000,$A33,Progress!$G$5:$G$3000,Levels!$G$5:$G$94)&gt;0))&lt;COUNTIFS(Levels!$A$5:$A$94,$B33,Levels!$B$5:$B$94,2),"2 Contender",IF(SUMPRODUCT((Levels!$A$5:$A$94=$B33)*(Levels!$B$5:$B$94=3)*(COUNTIFS(Progress!$B$5:$B$3000,$A33,Progress!$G$5:$G$3000,Levels!$G$5:$G$94)&gt;0))&lt;COUNTIFS(Levels!$A$5:$A$94,$B33,Levels!$B$5:$B$94,3),"3 Challenger",IF(SUMPRODUCT((Levels!$A$5:$A$94=$B33)*(Levels!$B$5:$B$94=4)*(COUNTIFS(Progress!$B$5:$B$3000,$A33,Progress!$G$5:$G$3000,Levels!$G$5:$G$94)&gt;0))&lt;COUNTIFS(Levels!$A$5:$A$94,$B33,Levels!$B$5:$B$94,4),"4 Champion","All done")))))</f>
        <v/>
      </c>
      <c r="J33" s="25" t="str">
        <f aca="false">IF(OR(I33="",I33="All done"),"",COUNTIFS(Levels!$A$5:$A$94,$B33,Levels!$B$5:$B$94,1)*(LEFT(I33,1)="1")+COUNTIFS(Levels!$A$5:$A$94,$B33,Levels!$B$5:$B$94,2)*(LEFT(I33,1)="2")+COUNTIFS(Levels!$A$5:$A$94,$B33,Levels!$B$5:$B$94,3)*(LEFT(I33,1)="3")+COUNTIFS(Levels!$A$5:$A$94,$B33,Levels!$B$5:$B$94,4)*(LEFT(I33,1)="4")-(SUMPRODUCT((Levels!$A$5:$A$94=$B33)*(Levels!$B$5:$B$94=1)*(COUNTIFS(Progress!$B$5:$B$3000,$A33,Progress!$G$5:$G$3000,Levels!$G$5:$G$94)&gt;0))*(LEFT(I33,1)="1")+SUMPRODUCT((Levels!$A$5:$A$94=$B33)*(Levels!$B$5:$B$94=2)*(COUNTIFS(Progress!$B$5:$B$3000,$A33,Progress!$G$5:$G$3000,Levels!$G$5:$G$94)&gt;0))*(LEFT(I33,1)="2")+SUMPRODUCT((Levels!$A$5:$A$94=$B33)*(Levels!$B$5:$B$94=3)*(COUNTIFS(Progress!$B$5:$B$3000,$A33,Progress!$G$5:$G$3000,Levels!$G$5:$G$94)&gt;0))*(LEFT(I33,1)="3")+SUMPRODUCT((Levels!$A$5:$A$94=$B33)*(Levels!$B$5:$B$94=4)*(COUNTIFS(Progress!$B$5:$B$3000,$A33,Progress!$G$5:$G$3000,Levels!$G$5:$G$94)&gt;0))*(LEFT(I33,1)="4")))</f>
        <v/>
      </c>
      <c r="K33" s="26" t="str">
        <f aca="false">IF($A33="","",IF(COUNTIFS(Progress!$B$5:$B$3000,$A33)=0,"",SUMPRODUCT(MAX((Progress!$B$5:$B$3000=$A33)*Progress!$A$5:$A$3000))))</f>
        <v/>
      </c>
      <c r="L33" s="22"/>
    </row>
    <row r="34" customFormat="false" ht="15" hidden="false" customHeight="false" outlineLevel="0" collapsed="false">
      <c r="A34" s="22"/>
      <c r="B34" s="22"/>
      <c r="C34" s="23"/>
      <c r="D34" s="22"/>
      <c r="E34" s="24" t="str">
        <f aca="false">IF(OR($A34="",$B34=""),"",SUMPRODUCT((Levels!$A$5:$A$94=$B34)*(Levels!$B$5:$B$94=1)*(COUNTIFS(Progress!$B$5:$B$3000,$A34,Progress!$G$5:$G$3000,Levels!$G$5:$G$94)&gt;0))&amp;" / "&amp;COUNTIFS(Levels!$A$5:$A$94,$B34,Levels!$B$5:$B$94,1))</f>
        <v/>
      </c>
      <c r="F34" s="24" t="str">
        <f aca="false">IF(OR($A34="",$B34=""),"",SUMPRODUCT((Levels!$A$5:$A$94=$B34)*(Levels!$B$5:$B$94=2)*(COUNTIFS(Progress!$B$5:$B$3000,$A34,Progress!$G$5:$G$3000,Levels!$G$5:$G$94)&gt;0))&amp;" / "&amp;COUNTIFS(Levels!$A$5:$A$94,$B34,Levels!$B$5:$B$94,2))</f>
        <v/>
      </c>
      <c r="G34" s="24" t="str">
        <f aca="false">IF(OR($A34="",$B34=""),"",SUMPRODUCT((Levels!$A$5:$A$94=$B34)*(Levels!$B$5:$B$94=3)*(COUNTIFS(Progress!$B$5:$B$3000,$A34,Progress!$G$5:$G$3000,Levels!$G$5:$G$94)&gt;0))&amp;" / "&amp;COUNTIFS(Levels!$A$5:$A$94,$B34,Levels!$B$5:$B$94,3))</f>
        <v/>
      </c>
      <c r="H34" s="24" t="str">
        <f aca="false">IF(OR($A34="",$B34=""),"",SUMPRODUCT((Levels!$A$5:$A$94=$B34)*(Levels!$B$5:$B$94=4)*(COUNTIFS(Progress!$B$5:$B$3000,$A34,Progress!$G$5:$G$3000,Levels!$G$5:$G$94)&gt;0))&amp;" / "&amp;COUNTIFS(Levels!$A$5:$A$94,$B34,Levels!$B$5:$B$94,4))</f>
        <v/>
      </c>
      <c r="I34" s="24" t="str">
        <f aca="false">IF(OR($A34="",$B34=""),"",IF(SUMPRODUCT((Levels!$A$5:$A$94=$B34)*(Levels!$B$5:$B$94=1)*(COUNTIFS(Progress!$B$5:$B$3000,$A34,Progress!$G$5:$G$3000,Levels!$G$5:$G$94)&gt;0))&lt;COUNTIFS(Levels!$A$5:$A$94,$B34,Levels!$B$5:$B$94,1),"1 Rookie",IF(SUMPRODUCT((Levels!$A$5:$A$94=$B34)*(Levels!$B$5:$B$94=2)*(COUNTIFS(Progress!$B$5:$B$3000,$A34,Progress!$G$5:$G$3000,Levels!$G$5:$G$94)&gt;0))&lt;COUNTIFS(Levels!$A$5:$A$94,$B34,Levels!$B$5:$B$94,2),"2 Contender",IF(SUMPRODUCT((Levels!$A$5:$A$94=$B34)*(Levels!$B$5:$B$94=3)*(COUNTIFS(Progress!$B$5:$B$3000,$A34,Progress!$G$5:$G$3000,Levels!$G$5:$G$94)&gt;0))&lt;COUNTIFS(Levels!$A$5:$A$94,$B34,Levels!$B$5:$B$94,3),"3 Challenger",IF(SUMPRODUCT((Levels!$A$5:$A$94=$B34)*(Levels!$B$5:$B$94=4)*(COUNTIFS(Progress!$B$5:$B$3000,$A34,Progress!$G$5:$G$3000,Levels!$G$5:$G$94)&gt;0))&lt;COUNTIFS(Levels!$A$5:$A$94,$B34,Levels!$B$5:$B$94,4),"4 Champion","All done")))))</f>
        <v/>
      </c>
      <c r="J34" s="25" t="str">
        <f aca="false">IF(OR(I34="",I34="All done"),"",COUNTIFS(Levels!$A$5:$A$94,$B34,Levels!$B$5:$B$94,1)*(LEFT(I34,1)="1")+COUNTIFS(Levels!$A$5:$A$94,$B34,Levels!$B$5:$B$94,2)*(LEFT(I34,1)="2")+COUNTIFS(Levels!$A$5:$A$94,$B34,Levels!$B$5:$B$94,3)*(LEFT(I34,1)="3")+COUNTIFS(Levels!$A$5:$A$94,$B34,Levels!$B$5:$B$94,4)*(LEFT(I34,1)="4")-(SUMPRODUCT((Levels!$A$5:$A$94=$B34)*(Levels!$B$5:$B$94=1)*(COUNTIFS(Progress!$B$5:$B$3000,$A34,Progress!$G$5:$G$3000,Levels!$G$5:$G$94)&gt;0))*(LEFT(I34,1)="1")+SUMPRODUCT((Levels!$A$5:$A$94=$B34)*(Levels!$B$5:$B$94=2)*(COUNTIFS(Progress!$B$5:$B$3000,$A34,Progress!$G$5:$G$3000,Levels!$G$5:$G$94)&gt;0))*(LEFT(I34,1)="2")+SUMPRODUCT((Levels!$A$5:$A$94=$B34)*(Levels!$B$5:$B$94=3)*(COUNTIFS(Progress!$B$5:$B$3000,$A34,Progress!$G$5:$G$3000,Levels!$G$5:$G$94)&gt;0))*(LEFT(I34,1)="3")+SUMPRODUCT((Levels!$A$5:$A$94=$B34)*(Levels!$B$5:$B$94=4)*(COUNTIFS(Progress!$B$5:$B$3000,$A34,Progress!$G$5:$G$3000,Levels!$G$5:$G$94)&gt;0))*(LEFT(I34,1)="4")))</f>
        <v/>
      </c>
      <c r="K34" s="26" t="str">
        <f aca="false">IF($A34="","",IF(COUNTIFS(Progress!$B$5:$B$3000,$A34)=0,"",SUMPRODUCT(MAX((Progress!$B$5:$B$3000=$A34)*Progress!$A$5:$A$3000))))</f>
        <v/>
      </c>
      <c r="L34" s="22"/>
    </row>
    <row r="35" customFormat="false" ht="15" hidden="false" customHeight="false" outlineLevel="0" collapsed="false">
      <c r="A35" s="22"/>
      <c r="B35" s="22"/>
      <c r="C35" s="23"/>
      <c r="D35" s="22"/>
      <c r="E35" s="24" t="str">
        <f aca="false">IF(OR($A35="",$B35=""),"",SUMPRODUCT((Levels!$A$5:$A$94=$B35)*(Levels!$B$5:$B$94=1)*(COUNTIFS(Progress!$B$5:$B$3000,$A35,Progress!$G$5:$G$3000,Levels!$G$5:$G$94)&gt;0))&amp;" / "&amp;COUNTIFS(Levels!$A$5:$A$94,$B35,Levels!$B$5:$B$94,1))</f>
        <v/>
      </c>
      <c r="F35" s="24" t="str">
        <f aca="false">IF(OR($A35="",$B35=""),"",SUMPRODUCT((Levels!$A$5:$A$94=$B35)*(Levels!$B$5:$B$94=2)*(COUNTIFS(Progress!$B$5:$B$3000,$A35,Progress!$G$5:$G$3000,Levels!$G$5:$G$94)&gt;0))&amp;" / "&amp;COUNTIFS(Levels!$A$5:$A$94,$B35,Levels!$B$5:$B$94,2))</f>
        <v/>
      </c>
      <c r="G35" s="24" t="str">
        <f aca="false">IF(OR($A35="",$B35=""),"",SUMPRODUCT((Levels!$A$5:$A$94=$B35)*(Levels!$B$5:$B$94=3)*(COUNTIFS(Progress!$B$5:$B$3000,$A35,Progress!$G$5:$G$3000,Levels!$G$5:$G$94)&gt;0))&amp;" / "&amp;COUNTIFS(Levels!$A$5:$A$94,$B35,Levels!$B$5:$B$94,3))</f>
        <v/>
      </c>
      <c r="H35" s="24" t="str">
        <f aca="false">IF(OR($A35="",$B35=""),"",SUMPRODUCT((Levels!$A$5:$A$94=$B35)*(Levels!$B$5:$B$94=4)*(COUNTIFS(Progress!$B$5:$B$3000,$A35,Progress!$G$5:$G$3000,Levels!$G$5:$G$94)&gt;0))&amp;" / "&amp;COUNTIFS(Levels!$A$5:$A$94,$B35,Levels!$B$5:$B$94,4))</f>
        <v/>
      </c>
      <c r="I35" s="24" t="str">
        <f aca="false">IF(OR($A35="",$B35=""),"",IF(SUMPRODUCT((Levels!$A$5:$A$94=$B35)*(Levels!$B$5:$B$94=1)*(COUNTIFS(Progress!$B$5:$B$3000,$A35,Progress!$G$5:$G$3000,Levels!$G$5:$G$94)&gt;0))&lt;COUNTIFS(Levels!$A$5:$A$94,$B35,Levels!$B$5:$B$94,1),"1 Rookie",IF(SUMPRODUCT((Levels!$A$5:$A$94=$B35)*(Levels!$B$5:$B$94=2)*(COUNTIFS(Progress!$B$5:$B$3000,$A35,Progress!$G$5:$G$3000,Levels!$G$5:$G$94)&gt;0))&lt;COUNTIFS(Levels!$A$5:$A$94,$B35,Levels!$B$5:$B$94,2),"2 Contender",IF(SUMPRODUCT((Levels!$A$5:$A$94=$B35)*(Levels!$B$5:$B$94=3)*(COUNTIFS(Progress!$B$5:$B$3000,$A35,Progress!$G$5:$G$3000,Levels!$G$5:$G$94)&gt;0))&lt;COUNTIFS(Levels!$A$5:$A$94,$B35,Levels!$B$5:$B$94,3),"3 Challenger",IF(SUMPRODUCT((Levels!$A$5:$A$94=$B35)*(Levels!$B$5:$B$94=4)*(COUNTIFS(Progress!$B$5:$B$3000,$A35,Progress!$G$5:$G$3000,Levels!$G$5:$G$94)&gt;0))&lt;COUNTIFS(Levels!$A$5:$A$94,$B35,Levels!$B$5:$B$94,4),"4 Champion","All done")))))</f>
        <v/>
      </c>
      <c r="J35" s="25" t="str">
        <f aca="false">IF(OR(I35="",I35="All done"),"",COUNTIFS(Levels!$A$5:$A$94,$B35,Levels!$B$5:$B$94,1)*(LEFT(I35,1)="1")+COUNTIFS(Levels!$A$5:$A$94,$B35,Levels!$B$5:$B$94,2)*(LEFT(I35,1)="2")+COUNTIFS(Levels!$A$5:$A$94,$B35,Levels!$B$5:$B$94,3)*(LEFT(I35,1)="3")+COUNTIFS(Levels!$A$5:$A$94,$B35,Levels!$B$5:$B$94,4)*(LEFT(I35,1)="4")-(SUMPRODUCT((Levels!$A$5:$A$94=$B35)*(Levels!$B$5:$B$94=1)*(COUNTIFS(Progress!$B$5:$B$3000,$A35,Progress!$G$5:$G$3000,Levels!$G$5:$G$94)&gt;0))*(LEFT(I35,1)="1")+SUMPRODUCT((Levels!$A$5:$A$94=$B35)*(Levels!$B$5:$B$94=2)*(COUNTIFS(Progress!$B$5:$B$3000,$A35,Progress!$G$5:$G$3000,Levels!$G$5:$G$94)&gt;0))*(LEFT(I35,1)="2")+SUMPRODUCT((Levels!$A$5:$A$94=$B35)*(Levels!$B$5:$B$94=3)*(COUNTIFS(Progress!$B$5:$B$3000,$A35,Progress!$G$5:$G$3000,Levels!$G$5:$G$94)&gt;0))*(LEFT(I35,1)="3")+SUMPRODUCT((Levels!$A$5:$A$94=$B35)*(Levels!$B$5:$B$94=4)*(COUNTIFS(Progress!$B$5:$B$3000,$A35,Progress!$G$5:$G$3000,Levels!$G$5:$G$94)&gt;0))*(LEFT(I35,1)="4")))</f>
        <v/>
      </c>
      <c r="K35" s="26" t="str">
        <f aca="false">IF($A35="","",IF(COUNTIFS(Progress!$B$5:$B$3000,$A35)=0,"",SUMPRODUCT(MAX((Progress!$B$5:$B$3000=$A35)*Progress!$A$5:$A$3000))))</f>
        <v/>
      </c>
      <c r="L35" s="22"/>
    </row>
    <row r="36" customFormat="false" ht="15" hidden="false" customHeight="false" outlineLevel="0" collapsed="false">
      <c r="A36" s="22"/>
      <c r="B36" s="22"/>
      <c r="C36" s="23"/>
      <c r="D36" s="22"/>
      <c r="E36" s="24" t="str">
        <f aca="false">IF(OR($A36="",$B36=""),"",SUMPRODUCT((Levels!$A$5:$A$94=$B36)*(Levels!$B$5:$B$94=1)*(COUNTIFS(Progress!$B$5:$B$3000,$A36,Progress!$G$5:$G$3000,Levels!$G$5:$G$94)&gt;0))&amp;" / "&amp;COUNTIFS(Levels!$A$5:$A$94,$B36,Levels!$B$5:$B$94,1))</f>
        <v/>
      </c>
      <c r="F36" s="24" t="str">
        <f aca="false">IF(OR($A36="",$B36=""),"",SUMPRODUCT((Levels!$A$5:$A$94=$B36)*(Levels!$B$5:$B$94=2)*(COUNTIFS(Progress!$B$5:$B$3000,$A36,Progress!$G$5:$G$3000,Levels!$G$5:$G$94)&gt;0))&amp;" / "&amp;COUNTIFS(Levels!$A$5:$A$94,$B36,Levels!$B$5:$B$94,2))</f>
        <v/>
      </c>
      <c r="G36" s="24" t="str">
        <f aca="false">IF(OR($A36="",$B36=""),"",SUMPRODUCT((Levels!$A$5:$A$94=$B36)*(Levels!$B$5:$B$94=3)*(COUNTIFS(Progress!$B$5:$B$3000,$A36,Progress!$G$5:$G$3000,Levels!$G$5:$G$94)&gt;0))&amp;" / "&amp;COUNTIFS(Levels!$A$5:$A$94,$B36,Levels!$B$5:$B$94,3))</f>
        <v/>
      </c>
      <c r="H36" s="24" t="str">
        <f aca="false">IF(OR($A36="",$B36=""),"",SUMPRODUCT((Levels!$A$5:$A$94=$B36)*(Levels!$B$5:$B$94=4)*(COUNTIFS(Progress!$B$5:$B$3000,$A36,Progress!$G$5:$G$3000,Levels!$G$5:$G$94)&gt;0))&amp;" / "&amp;COUNTIFS(Levels!$A$5:$A$94,$B36,Levels!$B$5:$B$94,4))</f>
        <v/>
      </c>
      <c r="I36" s="24" t="str">
        <f aca="false">IF(OR($A36="",$B36=""),"",IF(SUMPRODUCT((Levels!$A$5:$A$94=$B36)*(Levels!$B$5:$B$94=1)*(COUNTIFS(Progress!$B$5:$B$3000,$A36,Progress!$G$5:$G$3000,Levels!$G$5:$G$94)&gt;0))&lt;COUNTIFS(Levels!$A$5:$A$94,$B36,Levels!$B$5:$B$94,1),"1 Rookie",IF(SUMPRODUCT((Levels!$A$5:$A$94=$B36)*(Levels!$B$5:$B$94=2)*(COUNTIFS(Progress!$B$5:$B$3000,$A36,Progress!$G$5:$G$3000,Levels!$G$5:$G$94)&gt;0))&lt;COUNTIFS(Levels!$A$5:$A$94,$B36,Levels!$B$5:$B$94,2),"2 Contender",IF(SUMPRODUCT((Levels!$A$5:$A$94=$B36)*(Levels!$B$5:$B$94=3)*(COUNTIFS(Progress!$B$5:$B$3000,$A36,Progress!$G$5:$G$3000,Levels!$G$5:$G$94)&gt;0))&lt;COUNTIFS(Levels!$A$5:$A$94,$B36,Levels!$B$5:$B$94,3),"3 Challenger",IF(SUMPRODUCT((Levels!$A$5:$A$94=$B36)*(Levels!$B$5:$B$94=4)*(COUNTIFS(Progress!$B$5:$B$3000,$A36,Progress!$G$5:$G$3000,Levels!$G$5:$G$94)&gt;0))&lt;COUNTIFS(Levels!$A$5:$A$94,$B36,Levels!$B$5:$B$94,4),"4 Champion","All done")))))</f>
        <v/>
      </c>
      <c r="J36" s="25" t="str">
        <f aca="false">IF(OR(I36="",I36="All done"),"",COUNTIFS(Levels!$A$5:$A$94,$B36,Levels!$B$5:$B$94,1)*(LEFT(I36,1)="1")+COUNTIFS(Levels!$A$5:$A$94,$B36,Levels!$B$5:$B$94,2)*(LEFT(I36,1)="2")+COUNTIFS(Levels!$A$5:$A$94,$B36,Levels!$B$5:$B$94,3)*(LEFT(I36,1)="3")+COUNTIFS(Levels!$A$5:$A$94,$B36,Levels!$B$5:$B$94,4)*(LEFT(I36,1)="4")-(SUMPRODUCT((Levels!$A$5:$A$94=$B36)*(Levels!$B$5:$B$94=1)*(COUNTIFS(Progress!$B$5:$B$3000,$A36,Progress!$G$5:$G$3000,Levels!$G$5:$G$94)&gt;0))*(LEFT(I36,1)="1")+SUMPRODUCT((Levels!$A$5:$A$94=$B36)*(Levels!$B$5:$B$94=2)*(COUNTIFS(Progress!$B$5:$B$3000,$A36,Progress!$G$5:$G$3000,Levels!$G$5:$G$94)&gt;0))*(LEFT(I36,1)="2")+SUMPRODUCT((Levels!$A$5:$A$94=$B36)*(Levels!$B$5:$B$94=3)*(COUNTIFS(Progress!$B$5:$B$3000,$A36,Progress!$G$5:$G$3000,Levels!$G$5:$G$94)&gt;0))*(LEFT(I36,1)="3")+SUMPRODUCT((Levels!$A$5:$A$94=$B36)*(Levels!$B$5:$B$94=4)*(COUNTIFS(Progress!$B$5:$B$3000,$A36,Progress!$G$5:$G$3000,Levels!$G$5:$G$94)&gt;0))*(LEFT(I36,1)="4")))</f>
        <v/>
      </c>
      <c r="K36" s="26" t="str">
        <f aca="false">IF($A36="","",IF(COUNTIFS(Progress!$B$5:$B$3000,$A36)=0,"",SUMPRODUCT(MAX((Progress!$B$5:$B$3000=$A36)*Progress!$A$5:$A$3000))))</f>
        <v/>
      </c>
      <c r="L36" s="22"/>
    </row>
    <row r="37" customFormat="false" ht="15" hidden="false" customHeight="false" outlineLevel="0" collapsed="false">
      <c r="A37" s="22"/>
      <c r="B37" s="22"/>
      <c r="C37" s="23"/>
      <c r="D37" s="22"/>
      <c r="E37" s="24" t="str">
        <f aca="false">IF(OR($A37="",$B37=""),"",SUMPRODUCT((Levels!$A$5:$A$94=$B37)*(Levels!$B$5:$B$94=1)*(COUNTIFS(Progress!$B$5:$B$3000,$A37,Progress!$G$5:$G$3000,Levels!$G$5:$G$94)&gt;0))&amp;" / "&amp;COUNTIFS(Levels!$A$5:$A$94,$B37,Levels!$B$5:$B$94,1))</f>
        <v/>
      </c>
      <c r="F37" s="24" t="str">
        <f aca="false">IF(OR($A37="",$B37=""),"",SUMPRODUCT((Levels!$A$5:$A$94=$B37)*(Levels!$B$5:$B$94=2)*(COUNTIFS(Progress!$B$5:$B$3000,$A37,Progress!$G$5:$G$3000,Levels!$G$5:$G$94)&gt;0))&amp;" / "&amp;COUNTIFS(Levels!$A$5:$A$94,$B37,Levels!$B$5:$B$94,2))</f>
        <v/>
      </c>
      <c r="G37" s="24" t="str">
        <f aca="false">IF(OR($A37="",$B37=""),"",SUMPRODUCT((Levels!$A$5:$A$94=$B37)*(Levels!$B$5:$B$94=3)*(COUNTIFS(Progress!$B$5:$B$3000,$A37,Progress!$G$5:$G$3000,Levels!$G$5:$G$94)&gt;0))&amp;" / "&amp;COUNTIFS(Levels!$A$5:$A$94,$B37,Levels!$B$5:$B$94,3))</f>
        <v/>
      </c>
      <c r="H37" s="24" t="str">
        <f aca="false">IF(OR($A37="",$B37=""),"",SUMPRODUCT((Levels!$A$5:$A$94=$B37)*(Levels!$B$5:$B$94=4)*(COUNTIFS(Progress!$B$5:$B$3000,$A37,Progress!$G$5:$G$3000,Levels!$G$5:$G$94)&gt;0))&amp;" / "&amp;COUNTIFS(Levels!$A$5:$A$94,$B37,Levels!$B$5:$B$94,4))</f>
        <v/>
      </c>
      <c r="I37" s="24" t="str">
        <f aca="false">IF(OR($A37="",$B37=""),"",IF(SUMPRODUCT((Levels!$A$5:$A$94=$B37)*(Levels!$B$5:$B$94=1)*(COUNTIFS(Progress!$B$5:$B$3000,$A37,Progress!$G$5:$G$3000,Levels!$G$5:$G$94)&gt;0))&lt;COUNTIFS(Levels!$A$5:$A$94,$B37,Levels!$B$5:$B$94,1),"1 Rookie",IF(SUMPRODUCT((Levels!$A$5:$A$94=$B37)*(Levels!$B$5:$B$94=2)*(COUNTIFS(Progress!$B$5:$B$3000,$A37,Progress!$G$5:$G$3000,Levels!$G$5:$G$94)&gt;0))&lt;COUNTIFS(Levels!$A$5:$A$94,$B37,Levels!$B$5:$B$94,2),"2 Contender",IF(SUMPRODUCT((Levels!$A$5:$A$94=$B37)*(Levels!$B$5:$B$94=3)*(COUNTIFS(Progress!$B$5:$B$3000,$A37,Progress!$G$5:$G$3000,Levels!$G$5:$G$94)&gt;0))&lt;COUNTIFS(Levels!$A$5:$A$94,$B37,Levels!$B$5:$B$94,3),"3 Challenger",IF(SUMPRODUCT((Levels!$A$5:$A$94=$B37)*(Levels!$B$5:$B$94=4)*(COUNTIFS(Progress!$B$5:$B$3000,$A37,Progress!$G$5:$G$3000,Levels!$G$5:$G$94)&gt;0))&lt;COUNTIFS(Levels!$A$5:$A$94,$B37,Levels!$B$5:$B$94,4),"4 Champion","All done")))))</f>
        <v/>
      </c>
      <c r="J37" s="25" t="str">
        <f aca="false">IF(OR(I37="",I37="All done"),"",COUNTIFS(Levels!$A$5:$A$94,$B37,Levels!$B$5:$B$94,1)*(LEFT(I37,1)="1")+COUNTIFS(Levels!$A$5:$A$94,$B37,Levels!$B$5:$B$94,2)*(LEFT(I37,1)="2")+COUNTIFS(Levels!$A$5:$A$94,$B37,Levels!$B$5:$B$94,3)*(LEFT(I37,1)="3")+COUNTIFS(Levels!$A$5:$A$94,$B37,Levels!$B$5:$B$94,4)*(LEFT(I37,1)="4")-(SUMPRODUCT((Levels!$A$5:$A$94=$B37)*(Levels!$B$5:$B$94=1)*(COUNTIFS(Progress!$B$5:$B$3000,$A37,Progress!$G$5:$G$3000,Levels!$G$5:$G$94)&gt;0))*(LEFT(I37,1)="1")+SUMPRODUCT((Levels!$A$5:$A$94=$B37)*(Levels!$B$5:$B$94=2)*(COUNTIFS(Progress!$B$5:$B$3000,$A37,Progress!$G$5:$G$3000,Levels!$G$5:$G$94)&gt;0))*(LEFT(I37,1)="2")+SUMPRODUCT((Levels!$A$5:$A$94=$B37)*(Levels!$B$5:$B$94=3)*(COUNTIFS(Progress!$B$5:$B$3000,$A37,Progress!$G$5:$G$3000,Levels!$G$5:$G$94)&gt;0))*(LEFT(I37,1)="3")+SUMPRODUCT((Levels!$A$5:$A$94=$B37)*(Levels!$B$5:$B$94=4)*(COUNTIFS(Progress!$B$5:$B$3000,$A37,Progress!$G$5:$G$3000,Levels!$G$5:$G$94)&gt;0))*(LEFT(I37,1)="4")))</f>
        <v/>
      </c>
      <c r="K37" s="26" t="str">
        <f aca="false">IF($A37="","",IF(COUNTIFS(Progress!$B$5:$B$3000,$A37)=0,"",SUMPRODUCT(MAX((Progress!$B$5:$B$3000=$A37)*Progress!$A$5:$A$3000))))</f>
        <v/>
      </c>
      <c r="L37" s="22"/>
    </row>
    <row r="38" customFormat="false" ht="15" hidden="false" customHeight="false" outlineLevel="0" collapsed="false">
      <c r="A38" s="22"/>
      <c r="B38" s="22"/>
      <c r="C38" s="23"/>
      <c r="D38" s="22"/>
      <c r="E38" s="24" t="str">
        <f aca="false">IF(OR($A38="",$B38=""),"",SUMPRODUCT((Levels!$A$5:$A$94=$B38)*(Levels!$B$5:$B$94=1)*(COUNTIFS(Progress!$B$5:$B$3000,$A38,Progress!$G$5:$G$3000,Levels!$G$5:$G$94)&gt;0))&amp;" / "&amp;COUNTIFS(Levels!$A$5:$A$94,$B38,Levels!$B$5:$B$94,1))</f>
        <v/>
      </c>
      <c r="F38" s="24" t="str">
        <f aca="false">IF(OR($A38="",$B38=""),"",SUMPRODUCT((Levels!$A$5:$A$94=$B38)*(Levels!$B$5:$B$94=2)*(COUNTIFS(Progress!$B$5:$B$3000,$A38,Progress!$G$5:$G$3000,Levels!$G$5:$G$94)&gt;0))&amp;" / "&amp;COUNTIFS(Levels!$A$5:$A$94,$B38,Levels!$B$5:$B$94,2))</f>
        <v/>
      </c>
      <c r="G38" s="24" t="str">
        <f aca="false">IF(OR($A38="",$B38=""),"",SUMPRODUCT((Levels!$A$5:$A$94=$B38)*(Levels!$B$5:$B$94=3)*(COUNTIFS(Progress!$B$5:$B$3000,$A38,Progress!$G$5:$G$3000,Levels!$G$5:$G$94)&gt;0))&amp;" / "&amp;COUNTIFS(Levels!$A$5:$A$94,$B38,Levels!$B$5:$B$94,3))</f>
        <v/>
      </c>
      <c r="H38" s="24" t="str">
        <f aca="false">IF(OR($A38="",$B38=""),"",SUMPRODUCT((Levels!$A$5:$A$94=$B38)*(Levels!$B$5:$B$94=4)*(COUNTIFS(Progress!$B$5:$B$3000,$A38,Progress!$G$5:$G$3000,Levels!$G$5:$G$94)&gt;0))&amp;" / "&amp;COUNTIFS(Levels!$A$5:$A$94,$B38,Levels!$B$5:$B$94,4))</f>
        <v/>
      </c>
      <c r="I38" s="24" t="str">
        <f aca="false">IF(OR($A38="",$B38=""),"",IF(SUMPRODUCT((Levels!$A$5:$A$94=$B38)*(Levels!$B$5:$B$94=1)*(COUNTIFS(Progress!$B$5:$B$3000,$A38,Progress!$G$5:$G$3000,Levels!$G$5:$G$94)&gt;0))&lt;COUNTIFS(Levels!$A$5:$A$94,$B38,Levels!$B$5:$B$94,1),"1 Rookie",IF(SUMPRODUCT((Levels!$A$5:$A$94=$B38)*(Levels!$B$5:$B$94=2)*(COUNTIFS(Progress!$B$5:$B$3000,$A38,Progress!$G$5:$G$3000,Levels!$G$5:$G$94)&gt;0))&lt;COUNTIFS(Levels!$A$5:$A$94,$B38,Levels!$B$5:$B$94,2),"2 Contender",IF(SUMPRODUCT((Levels!$A$5:$A$94=$B38)*(Levels!$B$5:$B$94=3)*(COUNTIFS(Progress!$B$5:$B$3000,$A38,Progress!$G$5:$G$3000,Levels!$G$5:$G$94)&gt;0))&lt;COUNTIFS(Levels!$A$5:$A$94,$B38,Levels!$B$5:$B$94,3),"3 Challenger",IF(SUMPRODUCT((Levels!$A$5:$A$94=$B38)*(Levels!$B$5:$B$94=4)*(COUNTIFS(Progress!$B$5:$B$3000,$A38,Progress!$G$5:$G$3000,Levels!$G$5:$G$94)&gt;0))&lt;COUNTIFS(Levels!$A$5:$A$94,$B38,Levels!$B$5:$B$94,4),"4 Champion","All done")))))</f>
        <v/>
      </c>
      <c r="J38" s="25" t="str">
        <f aca="false">IF(OR(I38="",I38="All done"),"",COUNTIFS(Levels!$A$5:$A$94,$B38,Levels!$B$5:$B$94,1)*(LEFT(I38,1)="1")+COUNTIFS(Levels!$A$5:$A$94,$B38,Levels!$B$5:$B$94,2)*(LEFT(I38,1)="2")+COUNTIFS(Levels!$A$5:$A$94,$B38,Levels!$B$5:$B$94,3)*(LEFT(I38,1)="3")+COUNTIFS(Levels!$A$5:$A$94,$B38,Levels!$B$5:$B$94,4)*(LEFT(I38,1)="4")-(SUMPRODUCT((Levels!$A$5:$A$94=$B38)*(Levels!$B$5:$B$94=1)*(COUNTIFS(Progress!$B$5:$B$3000,$A38,Progress!$G$5:$G$3000,Levels!$G$5:$G$94)&gt;0))*(LEFT(I38,1)="1")+SUMPRODUCT((Levels!$A$5:$A$94=$B38)*(Levels!$B$5:$B$94=2)*(COUNTIFS(Progress!$B$5:$B$3000,$A38,Progress!$G$5:$G$3000,Levels!$G$5:$G$94)&gt;0))*(LEFT(I38,1)="2")+SUMPRODUCT((Levels!$A$5:$A$94=$B38)*(Levels!$B$5:$B$94=3)*(COUNTIFS(Progress!$B$5:$B$3000,$A38,Progress!$G$5:$G$3000,Levels!$G$5:$G$94)&gt;0))*(LEFT(I38,1)="3")+SUMPRODUCT((Levels!$A$5:$A$94=$B38)*(Levels!$B$5:$B$94=4)*(COUNTIFS(Progress!$B$5:$B$3000,$A38,Progress!$G$5:$G$3000,Levels!$G$5:$G$94)&gt;0))*(LEFT(I38,1)="4")))</f>
        <v/>
      </c>
      <c r="K38" s="26" t="str">
        <f aca="false">IF($A38="","",IF(COUNTIFS(Progress!$B$5:$B$3000,$A38)=0,"",SUMPRODUCT(MAX((Progress!$B$5:$B$3000=$A38)*Progress!$A$5:$A$3000))))</f>
        <v/>
      </c>
      <c r="L38" s="22"/>
    </row>
    <row r="39" customFormat="false" ht="15" hidden="false" customHeight="false" outlineLevel="0" collapsed="false">
      <c r="A39" s="22"/>
      <c r="B39" s="22"/>
      <c r="C39" s="23"/>
      <c r="D39" s="22"/>
      <c r="E39" s="24" t="str">
        <f aca="false">IF(OR($A39="",$B39=""),"",SUMPRODUCT((Levels!$A$5:$A$94=$B39)*(Levels!$B$5:$B$94=1)*(COUNTIFS(Progress!$B$5:$B$3000,$A39,Progress!$G$5:$G$3000,Levels!$G$5:$G$94)&gt;0))&amp;" / "&amp;COUNTIFS(Levels!$A$5:$A$94,$B39,Levels!$B$5:$B$94,1))</f>
        <v/>
      </c>
      <c r="F39" s="24" t="str">
        <f aca="false">IF(OR($A39="",$B39=""),"",SUMPRODUCT((Levels!$A$5:$A$94=$B39)*(Levels!$B$5:$B$94=2)*(COUNTIFS(Progress!$B$5:$B$3000,$A39,Progress!$G$5:$G$3000,Levels!$G$5:$G$94)&gt;0))&amp;" / "&amp;COUNTIFS(Levels!$A$5:$A$94,$B39,Levels!$B$5:$B$94,2))</f>
        <v/>
      </c>
      <c r="G39" s="24" t="str">
        <f aca="false">IF(OR($A39="",$B39=""),"",SUMPRODUCT((Levels!$A$5:$A$94=$B39)*(Levels!$B$5:$B$94=3)*(COUNTIFS(Progress!$B$5:$B$3000,$A39,Progress!$G$5:$G$3000,Levels!$G$5:$G$94)&gt;0))&amp;" / "&amp;COUNTIFS(Levels!$A$5:$A$94,$B39,Levels!$B$5:$B$94,3))</f>
        <v/>
      </c>
      <c r="H39" s="24" t="str">
        <f aca="false">IF(OR($A39="",$B39=""),"",SUMPRODUCT((Levels!$A$5:$A$94=$B39)*(Levels!$B$5:$B$94=4)*(COUNTIFS(Progress!$B$5:$B$3000,$A39,Progress!$G$5:$G$3000,Levels!$G$5:$G$94)&gt;0))&amp;" / "&amp;COUNTIFS(Levels!$A$5:$A$94,$B39,Levels!$B$5:$B$94,4))</f>
        <v/>
      </c>
      <c r="I39" s="24" t="str">
        <f aca="false">IF(OR($A39="",$B39=""),"",IF(SUMPRODUCT((Levels!$A$5:$A$94=$B39)*(Levels!$B$5:$B$94=1)*(COUNTIFS(Progress!$B$5:$B$3000,$A39,Progress!$G$5:$G$3000,Levels!$G$5:$G$94)&gt;0))&lt;COUNTIFS(Levels!$A$5:$A$94,$B39,Levels!$B$5:$B$94,1),"1 Rookie",IF(SUMPRODUCT((Levels!$A$5:$A$94=$B39)*(Levels!$B$5:$B$94=2)*(COUNTIFS(Progress!$B$5:$B$3000,$A39,Progress!$G$5:$G$3000,Levels!$G$5:$G$94)&gt;0))&lt;COUNTIFS(Levels!$A$5:$A$94,$B39,Levels!$B$5:$B$94,2),"2 Contender",IF(SUMPRODUCT((Levels!$A$5:$A$94=$B39)*(Levels!$B$5:$B$94=3)*(COUNTIFS(Progress!$B$5:$B$3000,$A39,Progress!$G$5:$G$3000,Levels!$G$5:$G$94)&gt;0))&lt;COUNTIFS(Levels!$A$5:$A$94,$B39,Levels!$B$5:$B$94,3),"3 Challenger",IF(SUMPRODUCT((Levels!$A$5:$A$94=$B39)*(Levels!$B$5:$B$94=4)*(COUNTIFS(Progress!$B$5:$B$3000,$A39,Progress!$G$5:$G$3000,Levels!$G$5:$G$94)&gt;0))&lt;COUNTIFS(Levels!$A$5:$A$94,$B39,Levels!$B$5:$B$94,4),"4 Champion","All done")))))</f>
        <v/>
      </c>
      <c r="J39" s="25" t="str">
        <f aca="false">IF(OR(I39="",I39="All done"),"",COUNTIFS(Levels!$A$5:$A$94,$B39,Levels!$B$5:$B$94,1)*(LEFT(I39,1)="1")+COUNTIFS(Levels!$A$5:$A$94,$B39,Levels!$B$5:$B$94,2)*(LEFT(I39,1)="2")+COUNTIFS(Levels!$A$5:$A$94,$B39,Levels!$B$5:$B$94,3)*(LEFT(I39,1)="3")+COUNTIFS(Levels!$A$5:$A$94,$B39,Levels!$B$5:$B$94,4)*(LEFT(I39,1)="4")-(SUMPRODUCT((Levels!$A$5:$A$94=$B39)*(Levels!$B$5:$B$94=1)*(COUNTIFS(Progress!$B$5:$B$3000,$A39,Progress!$G$5:$G$3000,Levels!$G$5:$G$94)&gt;0))*(LEFT(I39,1)="1")+SUMPRODUCT((Levels!$A$5:$A$94=$B39)*(Levels!$B$5:$B$94=2)*(COUNTIFS(Progress!$B$5:$B$3000,$A39,Progress!$G$5:$G$3000,Levels!$G$5:$G$94)&gt;0))*(LEFT(I39,1)="2")+SUMPRODUCT((Levels!$A$5:$A$94=$B39)*(Levels!$B$5:$B$94=3)*(COUNTIFS(Progress!$B$5:$B$3000,$A39,Progress!$G$5:$G$3000,Levels!$G$5:$G$94)&gt;0))*(LEFT(I39,1)="3")+SUMPRODUCT((Levels!$A$5:$A$94=$B39)*(Levels!$B$5:$B$94=4)*(COUNTIFS(Progress!$B$5:$B$3000,$A39,Progress!$G$5:$G$3000,Levels!$G$5:$G$94)&gt;0))*(LEFT(I39,1)="4")))</f>
        <v/>
      </c>
      <c r="K39" s="26" t="str">
        <f aca="false">IF($A39="","",IF(COUNTIFS(Progress!$B$5:$B$3000,$A39)=0,"",SUMPRODUCT(MAX((Progress!$B$5:$B$3000=$A39)*Progress!$A$5:$A$3000))))</f>
        <v/>
      </c>
      <c r="L39" s="22"/>
    </row>
    <row r="40" customFormat="false" ht="15" hidden="false" customHeight="false" outlineLevel="0" collapsed="false">
      <c r="A40" s="22"/>
      <c r="B40" s="22"/>
      <c r="C40" s="23"/>
      <c r="D40" s="22"/>
      <c r="E40" s="24" t="str">
        <f aca="false">IF(OR($A40="",$B40=""),"",SUMPRODUCT((Levels!$A$5:$A$94=$B40)*(Levels!$B$5:$B$94=1)*(COUNTIFS(Progress!$B$5:$B$3000,$A40,Progress!$G$5:$G$3000,Levels!$G$5:$G$94)&gt;0))&amp;" / "&amp;COUNTIFS(Levels!$A$5:$A$94,$B40,Levels!$B$5:$B$94,1))</f>
        <v/>
      </c>
      <c r="F40" s="24" t="str">
        <f aca="false">IF(OR($A40="",$B40=""),"",SUMPRODUCT((Levels!$A$5:$A$94=$B40)*(Levels!$B$5:$B$94=2)*(COUNTIFS(Progress!$B$5:$B$3000,$A40,Progress!$G$5:$G$3000,Levels!$G$5:$G$94)&gt;0))&amp;" / "&amp;COUNTIFS(Levels!$A$5:$A$94,$B40,Levels!$B$5:$B$94,2))</f>
        <v/>
      </c>
      <c r="G40" s="24" t="str">
        <f aca="false">IF(OR($A40="",$B40=""),"",SUMPRODUCT((Levels!$A$5:$A$94=$B40)*(Levels!$B$5:$B$94=3)*(COUNTIFS(Progress!$B$5:$B$3000,$A40,Progress!$G$5:$G$3000,Levels!$G$5:$G$94)&gt;0))&amp;" / "&amp;COUNTIFS(Levels!$A$5:$A$94,$B40,Levels!$B$5:$B$94,3))</f>
        <v/>
      </c>
      <c r="H40" s="24" t="str">
        <f aca="false">IF(OR($A40="",$B40=""),"",SUMPRODUCT((Levels!$A$5:$A$94=$B40)*(Levels!$B$5:$B$94=4)*(COUNTIFS(Progress!$B$5:$B$3000,$A40,Progress!$G$5:$G$3000,Levels!$G$5:$G$94)&gt;0))&amp;" / "&amp;COUNTIFS(Levels!$A$5:$A$94,$B40,Levels!$B$5:$B$94,4))</f>
        <v/>
      </c>
      <c r="I40" s="24" t="str">
        <f aca="false">IF(OR($A40="",$B40=""),"",IF(SUMPRODUCT((Levels!$A$5:$A$94=$B40)*(Levels!$B$5:$B$94=1)*(COUNTIFS(Progress!$B$5:$B$3000,$A40,Progress!$G$5:$G$3000,Levels!$G$5:$G$94)&gt;0))&lt;COUNTIFS(Levels!$A$5:$A$94,$B40,Levels!$B$5:$B$94,1),"1 Rookie",IF(SUMPRODUCT((Levels!$A$5:$A$94=$B40)*(Levels!$B$5:$B$94=2)*(COUNTIFS(Progress!$B$5:$B$3000,$A40,Progress!$G$5:$G$3000,Levels!$G$5:$G$94)&gt;0))&lt;COUNTIFS(Levels!$A$5:$A$94,$B40,Levels!$B$5:$B$94,2),"2 Contender",IF(SUMPRODUCT((Levels!$A$5:$A$94=$B40)*(Levels!$B$5:$B$94=3)*(COUNTIFS(Progress!$B$5:$B$3000,$A40,Progress!$G$5:$G$3000,Levels!$G$5:$G$94)&gt;0))&lt;COUNTIFS(Levels!$A$5:$A$94,$B40,Levels!$B$5:$B$94,3),"3 Challenger",IF(SUMPRODUCT((Levels!$A$5:$A$94=$B40)*(Levels!$B$5:$B$94=4)*(COUNTIFS(Progress!$B$5:$B$3000,$A40,Progress!$G$5:$G$3000,Levels!$G$5:$G$94)&gt;0))&lt;COUNTIFS(Levels!$A$5:$A$94,$B40,Levels!$B$5:$B$94,4),"4 Champion","All done")))))</f>
        <v/>
      </c>
      <c r="J40" s="25" t="str">
        <f aca="false">IF(OR(I40="",I40="All done"),"",COUNTIFS(Levels!$A$5:$A$94,$B40,Levels!$B$5:$B$94,1)*(LEFT(I40,1)="1")+COUNTIFS(Levels!$A$5:$A$94,$B40,Levels!$B$5:$B$94,2)*(LEFT(I40,1)="2")+COUNTIFS(Levels!$A$5:$A$94,$B40,Levels!$B$5:$B$94,3)*(LEFT(I40,1)="3")+COUNTIFS(Levels!$A$5:$A$94,$B40,Levels!$B$5:$B$94,4)*(LEFT(I40,1)="4")-(SUMPRODUCT((Levels!$A$5:$A$94=$B40)*(Levels!$B$5:$B$94=1)*(COUNTIFS(Progress!$B$5:$B$3000,$A40,Progress!$G$5:$G$3000,Levels!$G$5:$G$94)&gt;0))*(LEFT(I40,1)="1")+SUMPRODUCT((Levels!$A$5:$A$94=$B40)*(Levels!$B$5:$B$94=2)*(COUNTIFS(Progress!$B$5:$B$3000,$A40,Progress!$G$5:$G$3000,Levels!$G$5:$G$94)&gt;0))*(LEFT(I40,1)="2")+SUMPRODUCT((Levels!$A$5:$A$94=$B40)*(Levels!$B$5:$B$94=3)*(COUNTIFS(Progress!$B$5:$B$3000,$A40,Progress!$G$5:$G$3000,Levels!$G$5:$G$94)&gt;0))*(LEFT(I40,1)="3")+SUMPRODUCT((Levels!$A$5:$A$94=$B40)*(Levels!$B$5:$B$94=4)*(COUNTIFS(Progress!$B$5:$B$3000,$A40,Progress!$G$5:$G$3000,Levels!$G$5:$G$94)&gt;0))*(LEFT(I40,1)="4")))</f>
        <v/>
      </c>
      <c r="K40" s="26" t="str">
        <f aca="false">IF($A40="","",IF(COUNTIFS(Progress!$B$5:$B$3000,$A40)=0,"",SUMPRODUCT(MAX((Progress!$B$5:$B$3000=$A40)*Progress!$A$5:$A$3000))))</f>
        <v/>
      </c>
      <c r="L40" s="22"/>
    </row>
    <row r="41" customFormat="false" ht="15" hidden="false" customHeight="false" outlineLevel="0" collapsed="false">
      <c r="A41" s="22"/>
      <c r="B41" s="22"/>
      <c r="C41" s="23"/>
      <c r="D41" s="22"/>
      <c r="E41" s="24" t="str">
        <f aca="false">IF(OR($A41="",$B41=""),"",SUMPRODUCT((Levels!$A$5:$A$94=$B41)*(Levels!$B$5:$B$94=1)*(COUNTIFS(Progress!$B$5:$B$3000,$A41,Progress!$G$5:$G$3000,Levels!$G$5:$G$94)&gt;0))&amp;" / "&amp;COUNTIFS(Levels!$A$5:$A$94,$B41,Levels!$B$5:$B$94,1))</f>
        <v/>
      </c>
      <c r="F41" s="24" t="str">
        <f aca="false">IF(OR($A41="",$B41=""),"",SUMPRODUCT((Levels!$A$5:$A$94=$B41)*(Levels!$B$5:$B$94=2)*(COUNTIFS(Progress!$B$5:$B$3000,$A41,Progress!$G$5:$G$3000,Levels!$G$5:$G$94)&gt;0))&amp;" / "&amp;COUNTIFS(Levels!$A$5:$A$94,$B41,Levels!$B$5:$B$94,2))</f>
        <v/>
      </c>
      <c r="G41" s="24" t="str">
        <f aca="false">IF(OR($A41="",$B41=""),"",SUMPRODUCT((Levels!$A$5:$A$94=$B41)*(Levels!$B$5:$B$94=3)*(COUNTIFS(Progress!$B$5:$B$3000,$A41,Progress!$G$5:$G$3000,Levels!$G$5:$G$94)&gt;0))&amp;" / "&amp;COUNTIFS(Levels!$A$5:$A$94,$B41,Levels!$B$5:$B$94,3))</f>
        <v/>
      </c>
      <c r="H41" s="24" t="str">
        <f aca="false">IF(OR($A41="",$B41=""),"",SUMPRODUCT((Levels!$A$5:$A$94=$B41)*(Levels!$B$5:$B$94=4)*(COUNTIFS(Progress!$B$5:$B$3000,$A41,Progress!$G$5:$G$3000,Levels!$G$5:$G$94)&gt;0))&amp;" / "&amp;COUNTIFS(Levels!$A$5:$A$94,$B41,Levels!$B$5:$B$94,4))</f>
        <v/>
      </c>
      <c r="I41" s="24" t="str">
        <f aca="false">IF(OR($A41="",$B41=""),"",IF(SUMPRODUCT((Levels!$A$5:$A$94=$B41)*(Levels!$B$5:$B$94=1)*(COUNTIFS(Progress!$B$5:$B$3000,$A41,Progress!$G$5:$G$3000,Levels!$G$5:$G$94)&gt;0))&lt;COUNTIFS(Levels!$A$5:$A$94,$B41,Levels!$B$5:$B$94,1),"1 Rookie",IF(SUMPRODUCT((Levels!$A$5:$A$94=$B41)*(Levels!$B$5:$B$94=2)*(COUNTIFS(Progress!$B$5:$B$3000,$A41,Progress!$G$5:$G$3000,Levels!$G$5:$G$94)&gt;0))&lt;COUNTIFS(Levels!$A$5:$A$94,$B41,Levels!$B$5:$B$94,2),"2 Contender",IF(SUMPRODUCT((Levels!$A$5:$A$94=$B41)*(Levels!$B$5:$B$94=3)*(COUNTIFS(Progress!$B$5:$B$3000,$A41,Progress!$G$5:$G$3000,Levels!$G$5:$G$94)&gt;0))&lt;COUNTIFS(Levels!$A$5:$A$94,$B41,Levels!$B$5:$B$94,3),"3 Challenger",IF(SUMPRODUCT((Levels!$A$5:$A$94=$B41)*(Levels!$B$5:$B$94=4)*(COUNTIFS(Progress!$B$5:$B$3000,$A41,Progress!$G$5:$G$3000,Levels!$G$5:$G$94)&gt;0))&lt;COUNTIFS(Levels!$A$5:$A$94,$B41,Levels!$B$5:$B$94,4),"4 Champion","All done")))))</f>
        <v/>
      </c>
      <c r="J41" s="25" t="str">
        <f aca="false">IF(OR(I41="",I41="All done"),"",COUNTIFS(Levels!$A$5:$A$94,$B41,Levels!$B$5:$B$94,1)*(LEFT(I41,1)="1")+COUNTIFS(Levels!$A$5:$A$94,$B41,Levels!$B$5:$B$94,2)*(LEFT(I41,1)="2")+COUNTIFS(Levels!$A$5:$A$94,$B41,Levels!$B$5:$B$94,3)*(LEFT(I41,1)="3")+COUNTIFS(Levels!$A$5:$A$94,$B41,Levels!$B$5:$B$94,4)*(LEFT(I41,1)="4")-(SUMPRODUCT((Levels!$A$5:$A$94=$B41)*(Levels!$B$5:$B$94=1)*(COUNTIFS(Progress!$B$5:$B$3000,$A41,Progress!$G$5:$G$3000,Levels!$G$5:$G$94)&gt;0))*(LEFT(I41,1)="1")+SUMPRODUCT((Levels!$A$5:$A$94=$B41)*(Levels!$B$5:$B$94=2)*(COUNTIFS(Progress!$B$5:$B$3000,$A41,Progress!$G$5:$G$3000,Levels!$G$5:$G$94)&gt;0))*(LEFT(I41,1)="2")+SUMPRODUCT((Levels!$A$5:$A$94=$B41)*(Levels!$B$5:$B$94=3)*(COUNTIFS(Progress!$B$5:$B$3000,$A41,Progress!$G$5:$G$3000,Levels!$G$5:$G$94)&gt;0))*(LEFT(I41,1)="3")+SUMPRODUCT((Levels!$A$5:$A$94=$B41)*(Levels!$B$5:$B$94=4)*(COUNTIFS(Progress!$B$5:$B$3000,$A41,Progress!$G$5:$G$3000,Levels!$G$5:$G$94)&gt;0))*(LEFT(I41,1)="4")))</f>
        <v/>
      </c>
      <c r="K41" s="26" t="str">
        <f aca="false">IF($A41="","",IF(COUNTIFS(Progress!$B$5:$B$3000,$A41)=0,"",SUMPRODUCT(MAX((Progress!$B$5:$B$3000=$A41)*Progress!$A$5:$A$3000))))</f>
        <v/>
      </c>
      <c r="L41" s="22"/>
    </row>
    <row r="42" customFormat="false" ht="15" hidden="false" customHeight="false" outlineLevel="0" collapsed="false">
      <c r="A42" s="22"/>
      <c r="B42" s="22"/>
      <c r="C42" s="23"/>
      <c r="D42" s="22"/>
      <c r="E42" s="24" t="str">
        <f aca="false">IF(OR($A42="",$B42=""),"",SUMPRODUCT((Levels!$A$5:$A$94=$B42)*(Levels!$B$5:$B$94=1)*(COUNTIFS(Progress!$B$5:$B$3000,$A42,Progress!$G$5:$G$3000,Levels!$G$5:$G$94)&gt;0))&amp;" / "&amp;COUNTIFS(Levels!$A$5:$A$94,$B42,Levels!$B$5:$B$94,1))</f>
        <v/>
      </c>
      <c r="F42" s="24" t="str">
        <f aca="false">IF(OR($A42="",$B42=""),"",SUMPRODUCT((Levels!$A$5:$A$94=$B42)*(Levels!$B$5:$B$94=2)*(COUNTIFS(Progress!$B$5:$B$3000,$A42,Progress!$G$5:$G$3000,Levels!$G$5:$G$94)&gt;0))&amp;" / "&amp;COUNTIFS(Levels!$A$5:$A$94,$B42,Levels!$B$5:$B$94,2))</f>
        <v/>
      </c>
      <c r="G42" s="24" t="str">
        <f aca="false">IF(OR($A42="",$B42=""),"",SUMPRODUCT((Levels!$A$5:$A$94=$B42)*(Levels!$B$5:$B$94=3)*(COUNTIFS(Progress!$B$5:$B$3000,$A42,Progress!$G$5:$G$3000,Levels!$G$5:$G$94)&gt;0))&amp;" / "&amp;COUNTIFS(Levels!$A$5:$A$94,$B42,Levels!$B$5:$B$94,3))</f>
        <v/>
      </c>
      <c r="H42" s="24" t="str">
        <f aca="false">IF(OR($A42="",$B42=""),"",SUMPRODUCT((Levels!$A$5:$A$94=$B42)*(Levels!$B$5:$B$94=4)*(COUNTIFS(Progress!$B$5:$B$3000,$A42,Progress!$G$5:$G$3000,Levels!$G$5:$G$94)&gt;0))&amp;" / "&amp;COUNTIFS(Levels!$A$5:$A$94,$B42,Levels!$B$5:$B$94,4))</f>
        <v/>
      </c>
      <c r="I42" s="24" t="str">
        <f aca="false">IF(OR($A42="",$B42=""),"",IF(SUMPRODUCT((Levels!$A$5:$A$94=$B42)*(Levels!$B$5:$B$94=1)*(COUNTIFS(Progress!$B$5:$B$3000,$A42,Progress!$G$5:$G$3000,Levels!$G$5:$G$94)&gt;0))&lt;COUNTIFS(Levels!$A$5:$A$94,$B42,Levels!$B$5:$B$94,1),"1 Rookie",IF(SUMPRODUCT((Levels!$A$5:$A$94=$B42)*(Levels!$B$5:$B$94=2)*(COUNTIFS(Progress!$B$5:$B$3000,$A42,Progress!$G$5:$G$3000,Levels!$G$5:$G$94)&gt;0))&lt;COUNTIFS(Levels!$A$5:$A$94,$B42,Levels!$B$5:$B$94,2),"2 Contender",IF(SUMPRODUCT((Levels!$A$5:$A$94=$B42)*(Levels!$B$5:$B$94=3)*(COUNTIFS(Progress!$B$5:$B$3000,$A42,Progress!$G$5:$G$3000,Levels!$G$5:$G$94)&gt;0))&lt;COUNTIFS(Levels!$A$5:$A$94,$B42,Levels!$B$5:$B$94,3),"3 Challenger",IF(SUMPRODUCT((Levels!$A$5:$A$94=$B42)*(Levels!$B$5:$B$94=4)*(COUNTIFS(Progress!$B$5:$B$3000,$A42,Progress!$G$5:$G$3000,Levels!$G$5:$G$94)&gt;0))&lt;COUNTIFS(Levels!$A$5:$A$94,$B42,Levels!$B$5:$B$94,4),"4 Champion","All done")))))</f>
        <v/>
      </c>
      <c r="J42" s="25" t="str">
        <f aca="false">IF(OR(I42="",I42="All done"),"",COUNTIFS(Levels!$A$5:$A$94,$B42,Levels!$B$5:$B$94,1)*(LEFT(I42,1)="1")+COUNTIFS(Levels!$A$5:$A$94,$B42,Levels!$B$5:$B$94,2)*(LEFT(I42,1)="2")+COUNTIFS(Levels!$A$5:$A$94,$B42,Levels!$B$5:$B$94,3)*(LEFT(I42,1)="3")+COUNTIFS(Levels!$A$5:$A$94,$B42,Levels!$B$5:$B$94,4)*(LEFT(I42,1)="4")-(SUMPRODUCT((Levels!$A$5:$A$94=$B42)*(Levels!$B$5:$B$94=1)*(COUNTIFS(Progress!$B$5:$B$3000,$A42,Progress!$G$5:$G$3000,Levels!$G$5:$G$94)&gt;0))*(LEFT(I42,1)="1")+SUMPRODUCT((Levels!$A$5:$A$94=$B42)*(Levels!$B$5:$B$94=2)*(COUNTIFS(Progress!$B$5:$B$3000,$A42,Progress!$G$5:$G$3000,Levels!$G$5:$G$94)&gt;0))*(LEFT(I42,1)="2")+SUMPRODUCT((Levels!$A$5:$A$94=$B42)*(Levels!$B$5:$B$94=3)*(COUNTIFS(Progress!$B$5:$B$3000,$A42,Progress!$G$5:$G$3000,Levels!$G$5:$G$94)&gt;0))*(LEFT(I42,1)="3")+SUMPRODUCT((Levels!$A$5:$A$94=$B42)*(Levels!$B$5:$B$94=4)*(COUNTIFS(Progress!$B$5:$B$3000,$A42,Progress!$G$5:$G$3000,Levels!$G$5:$G$94)&gt;0))*(LEFT(I42,1)="4")))</f>
        <v/>
      </c>
      <c r="K42" s="26" t="str">
        <f aca="false">IF($A42="","",IF(COUNTIFS(Progress!$B$5:$B$3000,$A42)=0,"",SUMPRODUCT(MAX((Progress!$B$5:$B$3000=$A42)*Progress!$A$5:$A$3000))))</f>
        <v/>
      </c>
      <c r="L42" s="22"/>
    </row>
    <row r="43" customFormat="false" ht="15" hidden="false" customHeight="false" outlineLevel="0" collapsed="false">
      <c r="A43" s="22"/>
      <c r="B43" s="22"/>
      <c r="C43" s="23"/>
      <c r="D43" s="22"/>
      <c r="E43" s="24" t="str">
        <f aca="false">IF(OR($A43="",$B43=""),"",SUMPRODUCT((Levels!$A$5:$A$94=$B43)*(Levels!$B$5:$B$94=1)*(COUNTIFS(Progress!$B$5:$B$3000,$A43,Progress!$G$5:$G$3000,Levels!$G$5:$G$94)&gt;0))&amp;" / "&amp;COUNTIFS(Levels!$A$5:$A$94,$B43,Levels!$B$5:$B$94,1))</f>
        <v/>
      </c>
      <c r="F43" s="24" t="str">
        <f aca="false">IF(OR($A43="",$B43=""),"",SUMPRODUCT((Levels!$A$5:$A$94=$B43)*(Levels!$B$5:$B$94=2)*(COUNTIFS(Progress!$B$5:$B$3000,$A43,Progress!$G$5:$G$3000,Levels!$G$5:$G$94)&gt;0))&amp;" / "&amp;COUNTIFS(Levels!$A$5:$A$94,$B43,Levels!$B$5:$B$94,2))</f>
        <v/>
      </c>
      <c r="G43" s="24" t="str">
        <f aca="false">IF(OR($A43="",$B43=""),"",SUMPRODUCT((Levels!$A$5:$A$94=$B43)*(Levels!$B$5:$B$94=3)*(COUNTIFS(Progress!$B$5:$B$3000,$A43,Progress!$G$5:$G$3000,Levels!$G$5:$G$94)&gt;0))&amp;" / "&amp;COUNTIFS(Levels!$A$5:$A$94,$B43,Levels!$B$5:$B$94,3))</f>
        <v/>
      </c>
      <c r="H43" s="24" t="str">
        <f aca="false">IF(OR($A43="",$B43=""),"",SUMPRODUCT((Levels!$A$5:$A$94=$B43)*(Levels!$B$5:$B$94=4)*(COUNTIFS(Progress!$B$5:$B$3000,$A43,Progress!$G$5:$G$3000,Levels!$G$5:$G$94)&gt;0))&amp;" / "&amp;COUNTIFS(Levels!$A$5:$A$94,$B43,Levels!$B$5:$B$94,4))</f>
        <v/>
      </c>
      <c r="I43" s="24" t="str">
        <f aca="false">IF(OR($A43="",$B43=""),"",IF(SUMPRODUCT((Levels!$A$5:$A$94=$B43)*(Levels!$B$5:$B$94=1)*(COUNTIFS(Progress!$B$5:$B$3000,$A43,Progress!$G$5:$G$3000,Levels!$G$5:$G$94)&gt;0))&lt;COUNTIFS(Levels!$A$5:$A$94,$B43,Levels!$B$5:$B$94,1),"1 Rookie",IF(SUMPRODUCT((Levels!$A$5:$A$94=$B43)*(Levels!$B$5:$B$94=2)*(COUNTIFS(Progress!$B$5:$B$3000,$A43,Progress!$G$5:$G$3000,Levels!$G$5:$G$94)&gt;0))&lt;COUNTIFS(Levels!$A$5:$A$94,$B43,Levels!$B$5:$B$94,2),"2 Contender",IF(SUMPRODUCT((Levels!$A$5:$A$94=$B43)*(Levels!$B$5:$B$94=3)*(COUNTIFS(Progress!$B$5:$B$3000,$A43,Progress!$G$5:$G$3000,Levels!$G$5:$G$94)&gt;0))&lt;COUNTIFS(Levels!$A$5:$A$94,$B43,Levels!$B$5:$B$94,3),"3 Challenger",IF(SUMPRODUCT((Levels!$A$5:$A$94=$B43)*(Levels!$B$5:$B$94=4)*(COUNTIFS(Progress!$B$5:$B$3000,$A43,Progress!$G$5:$G$3000,Levels!$G$5:$G$94)&gt;0))&lt;COUNTIFS(Levels!$A$5:$A$94,$B43,Levels!$B$5:$B$94,4),"4 Champion","All done")))))</f>
        <v/>
      </c>
      <c r="J43" s="25" t="str">
        <f aca="false">IF(OR(I43="",I43="All done"),"",COUNTIFS(Levels!$A$5:$A$94,$B43,Levels!$B$5:$B$94,1)*(LEFT(I43,1)="1")+COUNTIFS(Levels!$A$5:$A$94,$B43,Levels!$B$5:$B$94,2)*(LEFT(I43,1)="2")+COUNTIFS(Levels!$A$5:$A$94,$B43,Levels!$B$5:$B$94,3)*(LEFT(I43,1)="3")+COUNTIFS(Levels!$A$5:$A$94,$B43,Levels!$B$5:$B$94,4)*(LEFT(I43,1)="4")-(SUMPRODUCT((Levels!$A$5:$A$94=$B43)*(Levels!$B$5:$B$94=1)*(COUNTIFS(Progress!$B$5:$B$3000,$A43,Progress!$G$5:$G$3000,Levels!$G$5:$G$94)&gt;0))*(LEFT(I43,1)="1")+SUMPRODUCT((Levels!$A$5:$A$94=$B43)*(Levels!$B$5:$B$94=2)*(COUNTIFS(Progress!$B$5:$B$3000,$A43,Progress!$G$5:$G$3000,Levels!$G$5:$G$94)&gt;0))*(LEFT(I43,1)="2")+SUMPRODUCT((Levels!$A$5:$A$94=$B43)*(Levels!$B$5:$B$94=3)*(COUNTIFS(Progress!$B$5:$B$3000,$A43,Progress!$G$5:$G$3000,Levels!$G$5:$G$94)&gt;0))*(LEFT(I43,1)="3")+SUMPRODUCT((Levels!$A$5:$A$94=$B43)*(Levels!$B$5:$B$94=4)*(COUNTIFS(Progress!$B$5:$B$3000,$A43,Progress!$G$5:$G$3000,Levels!$G$5:$G$94)&gt;0))*(LEFT(I43,1)="4")))</f>
        <v/>
      </c>
      <c r="K43" s="26" t="str">
        <f aca="false">IF($A43="","",IF(COUNTIFS(Progress!$B$5:$B$3000,$A43)=0,"",SUMPRODUCT(MAX((Progress!$B$5:$B$3000=$A43)*Progress!$A$5:$A$3000))))</f>
        <v/>
      </c>
      <c r="L43" s="22"/>
    </row>
    <row r="44" customFormat="false" ht="15" hidden="false" customHeight="false" outlineLevel="0" collapsed="false">
      <c r="A44" s="22"/>
      <c r="B44" s="22"/>
      <c r="C44" s="23"/>
      <c r="D44" s="22"/>
      <c r="E44" s="24" t="str">
        <f aca="false">IF(OR($A44="",$B44=""),"",SUMPRODUCT((Levels!$A$5:$A$94=$B44)*(Levels!$B$5:$B$94=1)*(COUNTIFS(Progress!$B$5:$B$3000,$A44,Progress!$G$5:$G$3000,Levels!$G$5:$G$94)&gt;0))&amp;" / "&amp;COUNTIFS(Levels!$A$5:$A$94,$B44,Levels!$B$5:$B$94,1))</f>
        <v/>
      </c>
      <c r="F44" s="24" t="str">
        <f aca="false">IF(OR($A44="",$B44=""),"",SUMPRODUCT((Levels!$A$5:$A$94=$B44)*(Levels!$B$5:$B$94=2)*(COUNTIFS(Progress!$B$5:$B$3000,$A44,Progress!$G$5:$G$3000,Levels!$G$5:$G$94)&gt;0))&amp;" / "&amp;COUNTIFS(Levels!$A$5:$A$94,$B44,Levels!$B$5:$B$94,2))</f>
        <v/>
      </c>
      <c r="G44" s="24" t="str">
        <f aca="false">IF(OR($A44="",$B44=""),"",SUMPRODUCT((Levels!$A$5:$A$94=$B44)*(Levels!$B$5:$B$94=3)*(COUNTIFS(Progress!$B$5:$B$3000,$A44,Progress!$G$5:$G$3000,Levels!$G$5:$G$94)&gt;0))&amp;" / "&amp;COUNTIFS(Levels!$A$5:$A$94,$B44,Levels!$B$5:$B$94,3))</f>
        <v/>
      </c>
      <c r="H44" s="24" t="str">
        <f aca="false">IF(OR($A44="",$B44=""),"",SUMPRODUCT((Levels!$A$5:$A$94=$B44)*(Levels!$B$5:$B$94=4)*(COUNTIFS(Progress!$B$5:$B$3000,$A44,Progress!$G$5:$G$3000,Levels!$G$5:$G$94)&gt;0))&amp;" / "&amp;COUNTIFS(Levels!$A$5:$A$94,$B44,Levels!$B$5:$B$94,4))</f>
        <v/>
      </c>
      <c r="I44" s="24" t="str">
        <f aca="false">IF(OR($A44="",$B44=""),"",IF(SUMPRODUCT((Levels!$A$5:$A$94=$B44)*(Levels!$B$5:$B$94=1)*(COUNTIFS(Progress!$B$5:$B$3000,$A44,Progress!$G$5:$G$3000,Levels!$G$5:$G$94)&gt;0))&lt;COUNTIFS(Levels!$A$5:$A$94,$B44,Levels!$B$5:$B$94,1),"1 Rookie",IF(SUMPRODUCT((Levels!$A$5:$A$94=$B44)*(Levels!$B$5:$B$94=2)*(COUNTIFS(Progress!$B$5:$B$3000,$A44,Progress!$G$5:$G$3000,Levels!$G$5:$G$94)&gt;0))&lt;COUNTIFS(Levels!$A$5:$A$94,$B44,Levels!$B$5:$B$94,2),"2 Contender",IF(SUMPRODUCT((Levels!$A$5:$A$94=$B44)*(Levels!$B$5:$B$94=3)*(COUNTIFS(Progress!$B$5:$B$3000,$A44,Progress!$G$5:$G$3000,Levels!$G$5:$G$94)&gt;0))&lt;COUNTIFS(Levels!$A$5:$A$94,$B44,Levels!$B$5:$B$94,3),"3 Challenger",IF(SUMPRODUCT((Levels!$A$5:$A$94=$B44)*(Levels!$B$5:$B$94=4)*(COUNTIFS(Progress!$B$5:$B$3000,$A44,Progress!$G$5:$G$3000,Levels!$G$5:$G$94)&gt;0))&lt;COUNTIFS(Levels!$A$5:$A$94,$B44,Levels!$B$5:$B$94,4),"4 Champion","All done")))))</f>
        <v/>
      </c>
      <c r="J44" s="25" t="str">
        <f aca="false">IF(OR(I44="",I44="All done"),"",COUNTIFS(Levels!$A$5:$A$94,$B44,Levels!$B$5:$B$94,1)*(LEFT(I44,1)="1")+COUNTIFS(Levels!$A$5:$A$94,$B44,Levels!$B$5:$B$94,2)*(LEFT(I44,1)="2")+COUNTIFS(Levels!$A$5:$A$94,$B44,Levels!$B$5:$B$94,3)*(LEFT(I44,1)="3")+COUNTIFS(Levels!$A$5:$A$94,$B44,Levels!$B$5:$B$94,4)*(LEFT(I44,1)="4")-(SUMPRODUCT((Levels!$A$5:$A$94=$B44)*(Levels!$B$5:$B$94=1)*(COUNTIFS(Progress!$B$5:$B$3000,$A44,Progress!$G$5:$G$3000,Levels!$G$5:$G$94)&gt;0))*(LEFT(I44,1)="1")+SUMPRODUCT((Levels!$A$5:$A$94=$B44)*(Levels!$B$5:$B$94=2)*(COUNTIFS(Progress!$B$5:$B$3000,$A44,Progress!$G$5:$G$3000,Levels!$G$5:$G$94)&gt;0))*(LEFT(I44,1)="2")+SUMPRODUCT((Levels!$A$5:$A$94=$B44)*(Levels!$B$5:$B$94=3)*(COUNTIFS(Progress!$B$5:$B$3000,$A44,Progress!$G$5:$G$3000,Levels!$G$5:$G$94)&gt;0))*(LEFT(I44,1)="3")+SUMPRODUCT((Levels!$A$5:$A$94=$B44)*(Levels!$B$5:$B$94=4)*(COUNTIFS(Progress!$B$5:$B$3000,$A44,Progress!$G$5:$G$3000,Levels!$G$5:$G$94)&gt;0))*(LEFT(I44,1)="4")))</f>
        <v/>
      </c>
      <c r="K44" s="26" t="str">
        <f aca="false">IF($A44="","",IF(COUNTIFS(Progress!$B$5:$B$3000,$A44)=0,"",SUMPRODUCT(MAX((Progress!$B$5:$B$3000=$A44)*Progress!$A$5:$A$3000))))</f>
        <v/>
      </c>
      <c r="L44" s="22"/>
    </row>
    <row r="45" customFormat="false" ht="15" hidden="false" customHeight="false" outlineLevel="0" collapsed="false">
      <c r="A45" s="22"/>
      <c r="B45" s="22"/>
      <c r="C45" s="23"/>
      <c r="D45" s="22"/>
      <c r="E45" s="24" t="str">
        <f aca="false">IF(OR($A45="",$B45=""),"",SUMPRODUCT((Levels!$A$5:$A$94=$B45)*(Levels!$B$5:$B$94=1)*(COUNTIFS(Progress!$B$5:$B$3000,$A45,Progress!$G$5:$G$3000,Levels!$G$5:$G$94)&gt;0))&amp;" / "&amp;COUNTIFS(Levels!$A$5:$A$94,$B45,Levels!$B$5:$B$94,1))</f>
        <v/>
      </c>
      <c r="F45" s="24" t="str">
        <f aca="false">IF(OR($A45="",$B45=""),"",SUMPRODUCT((Levels!$A$5:$A$94=$B45)*(Levels!$B$5:$B$94=2)*(COUNTIFS(Progress!$B$5:$B$3000,$A45,Progress!$G$5:$G$3000,Levels!$G$5:$G$94)&gt;0))&amp;" / "&amp;COUNTIFS(Levels!$A$5:$A$94,$B45,Levels!$B$5:$B$94,2))</f>
        <v/>
      </c>
      <c r="G45" s="24" t="str">
        <f aca="false">IF(OR($A45="",$B45=""),"",SUMPRODUCT((Levels!$A$5:$A$94=$B45)*(Levels!$B$5:$B$94=3)*(COUNTIFS(Progress!$B$5:$B$3000,$A45,Progress!$G$5:$G$3000,Levels!$G$5:$G$94)&gt;0))&amp;" / "&amp;COUNTIFS(Levels!$A$5:$A$94,$B45,Levels!$B$5:$B$94,3))</f>
        <v/>
      </c>
      <c r="H45" s="24" t="str">
        <f aca="false">IF(OR($A45="",$B45=""),"",SUMPRODUCT((Levels!$A$5:$A$94=$B45)*(Levels!$B$5:$B$94=4)*(COUNTIFS(Progress!$B$5:$B$3000,$A45,Progress!$G$5:$G$3000,Levels!$G$5:$G$94)&gt;0))&amp;" / "&amp;COUNTIFS(Levels!$A$5:$A$94,$B45,Levels!$B$5:$B$94,4))</f>
        <v/>
      </c>
      <c r="I45" s="24" t="str">
        <f aca="false">IF(OR($A45="",$B45=""),"",IF(SUMPRODUCT((Levels!$A$5:$A$94=$B45)*(Levels!$B$5:$B$94=1)*(COUNTIFS(Progress!$B$5:$B$3000,$A45,Progress!$G$5:$G$3000,Levels!$G$5:$G$94)&gt;0))&lt;COUNTIFS(Levels!$A$5:$A$94,$B45,Levels!$B$5:$B$94,1),"1 Rookie",IF(SUMPRODUCT((Levels!$A$5:$A$94=$B45)*(Levels!$B$5:$B$94=2)*(COUNTIFS(Progress!$B$5:$B$3000,$A45,Progress!$G$5:$G$3000,Levels!$G$5:$G$94)&gt;0))&lt;COUNTIFS(Levels!$A$5:$A$94,$B45,Levels!$B$5:$B$94,2),"2 Contender",IF(SUMPRODUCT((Levels!$A$5:$A$94=$B45)*(Levels!$B$5:$B$94=3)*(COUNTIFS(Progress!$B$5:$B$3000,$A45,Progress!$G$5:$G$3000,Levels!$G$5:$G$94)&gt;0))&lt;COUNTIFS(Levels!$A$5:$A$94,$B45,Levels!$B$5:$B$94,3),"3 Challenger",IF(SUMPRODUCT((Levels!$A$5:$A$94=$B45)*(Levels!$B$5:$B$94=4)*(COUNTIFS(Progress!$B$5:$B$3000,$A45,Progress!$G$5:$G$3000,Levels!$G$5:$G$94)&gt;0))&lt;COUNTIFS(Levels!$A$5:$A$94,$B45,Levels!$B$5:$B$94,4),"4 Champion","All done")))))</f>
        <v/>
      </c>
      <c r="J45" s="25" t="str">
        <f aca="false">IF(OR(I45="",I45="All done"),"",COUNTIFS(Levels!$A$5:$A$94,$B45,Levels!$B$5:$B$94,1)*(LEFT(I45,1)="1")+COUNTIFS(Levels!$A$5:$A$94,$B45,Levels!$B$5:$B$94,2)*(LEFT(I45,1)="2")+COUNTIFS(Levels!$A$5:$A$94,$B45,Levels!$B$5:$B$94,3)*(LEFT(I45,1)="3")+COUNTIFS(Levels!$A$5:$A$94,$B45,Levels!$B$5:$B$94,4)*(LEFT(I45,1)="4")-(SUMPRODUCT((Levels!$A$5:$A$94=$B45)*(Levels!$B$5:$B$94=1)*(COUNTIFS(Progress!$B$5:$B$3000,$A45,Progress!$G$5:$G$3000,Levels!$G$5:$G$94)&gt;0))*(LEFT(I45,1)="1")+SUMPRODUCT((Levels!$A$5:$A$94=$B45)*(Levels!$B$5:$B$94=2)*(COUNTIFS(Progress!$B$5:$B$3000,$A45,Progress!$G$5:$G$3000,Levels!$G$5:$G$94)&gt;0))*(LEFT(I45,1)="2")+SUMPRODUCT((Levels!$A$5:$A$94=$B45)*(Levels!$B$5:$B$94=3)*(COUNTIFS(Progress!$B$5:$B$3000,$A45,Progress!$G$5:$G$3000,Levels!$G$5:$G$94)&gt;0))*(LEFT(I45,1)="3")+SUMPRODUCT((Levels!$A$5:$A$94=$B45)*(Levels!$B$5:$B$94=4)*(COUNTIFS(Progress!$B$5:$B$3000,$A45,Progress!$G$5:$G$3000,Levels!$G$5:$G$94)&gt;0))*(LEFT(I45,1)="4")))</f>
        <v/>
      </c>
      <c r="K45" s="26" t="str">
        <f aca="false">IF($A45="","",IF(COUNTIFS(Progress!$B$5:$B$3000,$A45)=0,"",SUMPRODUCT(MAX((Progress!$B$5:$B$3000=$A45)*Progress!$A$5:$A$3000))))</f>
        <v/>
      </c>
      <c r="L45" s="22"/>
    </row>
    <row r="46" customFormat="false" ht="15" hidden="false" customHeight="false" outlineLevel="0" collapsed="false">
      <c r="A46" s="22"/>
      <c r="B46" s="22"/>
      <c r="C46" s="23"/>
      <c r="D46" s="22"/>
      <c r="E46" s="24" t="str">
        <f aca="false">IF(OR($A46="",$B46=""),"",SUMPRODUCT((Levels!$A$5:$A$94=$B46)*(Levels!$B$5:$B$94=1)*(COUNTIFS(Progress!$B$5:$B$3000,$A46,Progress!$G$5:$G$3000,Levels!$G$5:$G$94)&gt;0))&amp;" / "&amp;COUNTIFS(Levels!$A$5:$A$94,$B46,Levels!$B$5:$B$94,1))</f>
        <v/>
      </c>
      <c r="F46" s="24" t="str">
        <f aca="false">IF(OR($A46="",$B46=""),"",SUMPRODUCT((Levels!$A$5:$A$94=$B46)*(Levels!$B$5:$B$94=2)*(COUNTIFS(Progress!$B$5:$B$3000,$A46,Progress!$G$5:$G$3000,Levels!$G$5:$G$94)&gt;0))&amp;" / "&amp;COUNTIFS(Levels!$A$5:$A$94,$B46,Levels!$B$5:$B$94,2))</f>
        <v/>
      </c>
      <c r="G46" s="24" t="str">
        <f aca="false">IF(OR($A46="",$B46=""),"",SUMPRODUCT((Levels!$A$5:$A$94=$B46)*(Levels!$B$5:$B$94=3)*(COUNTIFS(Progress!$B$5:$B$3000,$A46,Progress!$G$5:$G$3000,Levels!$G$5:$G$94)&gt;0))&amp;" / "&amp;COUNTIFS(Levels!$A$5:$A$94,$B46,Levels!$B$5:$B$94,3))</f>
        <v/>
      </c>
      <c r="H46" s="24" t="str">
        <f aca="false">IF(OR($A46="",$B46=""),"",SUMPRODUCT((Levels!$A$5:$A$94=$B46)*(Levels!$B$5:$B$94=4)*(COUNTIFS(Progress!$B$5:$B$3000,$A46,Progress!$G$5:$G$3000,Levels!$G$5:$G$94)&gt;0))&amp;" / "&amp;COUNTIFS(Levels!$A$5:$A$94,$B46,Levels!$B$5:$B$94,4))</f>
        <v/>
      </c>
      <c r="I46" s="24" t="str">
        <f aca="false">IF(OR($A46="",$B46=""),"",IF(SUMPRODUCT((Levels!$A$5:$A$94=$B46)*(Levels!$B$5:$B$94=1)*(COUNTIFS(Progress!$B$5:$B$3000,$A46,Progress!$G$5:$G$3000,Levels!$G$5:$G$94)&gt;0))&lt;COUNTIFS(Levels!$A$5:$A$94,$B46,Levels!$B$5:$B$94,1),"1 Rookie",IF(SUMPRODUCT((Levels!$A$5:$A$94=$B46)*(Levels!$B$5:$B$94=2)*(COUNTIFS(Progress!$B$5:$B$3000,$A46,Progress!$G$5:$G$3000,Levels!$G$5:$G$94)&gt;0))&lt;COUNTIFS(Levels!$A$5:$A$94,$B46,Levels!$B$5:$B$94,2),"2 Contender",IF(SUMPRODUCT((Levels!$A$5:$A$94=$B46)*(Levels!$B$5:$B$94=3)*(COUNTIFS(Progress!$B$5:$B$3000,$A46,Progress!$G$5:$G$3000,Levels!$G$5:$G$94)&gt;0))&lt;COUNTIFS(Levels!$A$5:$A$94,$B46,Levels!$B$5:$B$94,3),"3 Challenger",IF(SUMPRODUCT((Levels!$A$5:$A$94=$B46)*(Levels!$B$5:$B$94=4)*(COUNTIFS(Progress!$B$5:$B$3000,$A46,Progress!$G$5:$G$3000,Levels!$G$5:$G$94)&gt;0))&lt;COUNTIFS(Levels!$A$5:$A$94,$B46,Levels!$B$5:$B$94,4),"4 Champion","All done")))))</f>
        <v/>
      </c>
      <c r="J46" s="25" t="str">
        <f aca="false">IF(OR(I46="",I46="All done"),"",COUNTIFS(Levels!$A$5:$A$94,$B46,Levels!$B$5:$B$94,1)*(LEFT(I46,1)="1")+COUNTIFS(Levels!$A$5:$A$94,$B46,Levels!$B$5:$B$94,2)*(LEFT(I46,1)="2")+COUNTIFS(Levels!$A$5:$A$94,$B46,Levels!$B$5:$B$94,3)*(LEFT(I46,1)="3")+COUNTIFS(Levels!$A$5:$A$94,$B46,Levels!$B$5:$B$94,4)*(LEFT(I46,1)="4")-(SUMPRODUCT((Levels!$A$5:$A$94=$B46)*(Levels!$B$5:$B$94=1)*(COUNTIFS(Progress!$B$5:$B$3000,$A46,Progress!$G$5:$G$3000,Levels!$G$5:$G$94)&gt;0))*(LEFT(I46,1)="1")+SUMPRODUCT((Levels!$A$5:$A$94=$B46)*(Levels!$B$5:$B$94=2)*(COUNTIFS(Progress!$B$5:$B$3000,$A46,Progress!$G$5:$G$3000,Levels!$G$5:$G$94)&gt;0))*(LEFT(I46,1)="2")+SUMPRODUCT((Levels!$A$5:$A$94=$B46)*(Levels!$B$5:$B$94=3)*(COUNTIFS(Progress!$B$5:$B$3000,$A46,Progress!$G$5:$G$3000,Levels!$G$5:$G$94)&gt;0))*(LEFT(I46,1)="3")+SUMPRODUCT((Levels!$A$5:$A$94=$B46)*(Levels!$B$5:$B$94=4)*(COUNTIFS(Progress!$B$5:$B$3000,$A46,Progress!$G$5:$G$3000,Levels!$G$5:$G$94)&gt;0))*(LEFT(I46,1)="4")))</f>
        <v/>
      </c>
      <c r="K46" s="26" t="str">
        <f aca="false">IF($A46="","",IF(COUNTIFS(Progress!$B$5:$B$3000,$A46)=0,"",SUMPRODUCT(MAX((Progress!$B$5:$B$3000=$A46)*Progress!$A$5:$A$3000))))</f>
        <v/>
      </c>
      <c r="L46" s="22"/>
    </row>
    <row r="47" customFormat="false" ht="15" hidden="false" customHeight="false" outlineLevel="0" collapsed="false">
      <c r="A47" s="22"/>
      <c r="B47" s="22"/>
      <c r="C47" s="23"/>
      <c r="D47" s="22"/>
      <c r="E47" s="24" t="str">
        <f aca="false">IF(OR($A47="",$B47=""),"",SUMPRODUCT((Levels!$A$5:$A$94=$B47)*(Levels!$B$5:$B$94=1)*(COUNTIFS(Progress!$B$5:$B$3000,$A47,Progress!$G$5:$G$3000,Levels!$G$5:$G$94)&gt;0))&amp;" / "&amp;COUNTIFS(Levels!$A$5:$A$94,$B47,Levels!$B$5:$B$94,1))</f>
        <v/>
      </c>
      <c r="F47" s="24" t="str">
        <f aca="false">IF(OR($A47="",$B47=""),"",SUMPRODUCT((Levels!$A$5:$A$94=$B47)*(Levels!$B$5:$B$94=2)*(COUNTIFS(Progress!$B$5:$B$3000,$A47,Progress!$G$5:$G$3000,Levels!$G$5:$G$94)&gt;0))&amp;" / "&amp;COUNTIFS(Levels!$A$5:$A$94,$B47,Levels!$B$5:$B$94,2))</f>
        <v/>
      </c>
      <c r="G47" s="24" t="str">
        <f aca="false">IF(OR($A47="",$B47=""),"",SUMPRODUCT((Levels!$A$5:$A$94=$B47)*(Levels!$B$5:$B$94=3)*(COUNTIFS(Progress!$B$5:$B$3000,$A47,Progress!$G$5:$G$3000,Levels!$G$5:$G$94)&gt;0))&amp;" / "&amp;COUNTIFS(Levels!$A$5:$A$94,$B47,Levels!$B$5:$B$94,3))</f>
        <v/>
      </c>
      <c r="H47" s="24" t="str">
        <f aca="false">IF(OR($A47="",$B47=""),"",SUMPRODUCT((Levels!$A$5:$A$94=$B47)*(Levels!$B$5:$B$94=4)*(COUNTIFS(Progress!$B$5:$B$3000,$A47,Progress!$G$5:$G$3000,Levels!$G$5:$G$94)&gt;0))&amp;" / "&amp;COUNTIFS(Levels!$A$5:$A$94,$B47,Levels!$B$5:$B$94,4))</f>
        <v/>
      </c>
      <c r="I47" s="24" t="str">
        <f aca="false">IF(OR($A47="",$B47=""),"",IF(SUMPRODUCT((Levels!$A$5:$A$94=$B47)*(Levels!$B$5:$B$94=1)*(COUNTIFS(Progress!$B$5:$B$3000,$A47,Progress!$G$5:$G$3000,Levels!$G$5:$G$94)&gt;0))&lt;COUNTIFS(Levels!$A$5:$A$94,$B47,Levels!$B$5:$B$94,1),"1 Rookie",IF(SUMPRODUCT((Levels!$A$5:$A$94=$B47)*(Levels!$B$5:$B$94=2)*(COUNTIFS(Progress!$B$5:$B$3000,$A47,Progress!$G$5:$G$3000,Levels!$G$5:$G$94)&gt;0))&lt;COUNTIFS(Levels!$A$5:$A$94,$B47,Levels!$B$5:$B$94,2),"2 Contender",IF(SUMPRODUCT((Levels!$A$5:$A$94=$B47)*(Levels!$B$5:$B$94=3)*(COUNTIFS(Progress!$B$5:$B$3000,$A47,Progress!$G$5:$G$3000,Levels!$G$5:$G$94)&gt;0))&lt;COUNTIFS(Levels!$A$5:$A$94,$B47,Levels!$B$5:$B$94,3),"3 Challenger",IF(SUMPRODUCT((Levels!$A$5:$A$94=$B47)*(Levels!$B$5:$B$94=4)*(COUNTIFS(Progress!$B$5:$B$3000,$A47,Progress!$G$5:$G$3000,Levels!$G$5:$G$94)&gt;0))&lt;COUNTIFS(Levels!$A$5:$A$94,$B47,Levels!$B$5:$B$94,4),"4 Champion","All done")))))</f>
        <v/>
      </c>
      <c r="J47" s="25" t="str">
        <f aca="false">IF(OR(I47="",I47="All done"),"",COUNTIFS(Levels!$A$5:$A$94,$B47,Levels!$B$5:$B$94,1)*(LEFT(I47,1)="1")+COUNTIFS(Levels!$A$5:$A$94,$B47,Levels!$B$5:$B$94,2)*(LEFT(I47,1)="2")+COUNTIFS(Levels!$A$5:$A$94,$B47,Levels!$B$5:$B$94,3)*(LEFT(I47,1)="3")+COUNTIFS(Levels!$A$5:$A$94,$B47,Levels!$B$5:$B$94,4)*(LEFT(I47,1)="4")-(SUMPRODUCT((Levels!$A$5:$A$94=$B47)*(Levels!$B$5:$B$94=1)*(COUNTIFS(Progress!$B$5:$B$3000,$A47,Progress!$G$5:$G$3000,Levels!$G$5:$G$94)&gt;0))*(LEFT(I47,1)="1")+SUMPRODUCT((Levels!$A$5:$A$94=$B47)*(Levels!$B$5:$B$94=2)*(COUNTIFS(Progress!$B$5:$B$3000,$A47,Progress!$G$5:$G$3000,Levels!$G$5:$G$94)&gt;0))*(LEFT(I47,1)="2")+SUMPRODUCT((Levels!$A$5:$A$94=$B47)*(Levels!$B$5:$B$94=3)*(COUNTIFS(Progress!$B$5:$B$3000,$A47,Progress!$G$5:$G$3000,Levels!$G$5:$G$94)&gt;0))*(LEFT(I47,1)="3")+SUMPRODUCT((Levels!$A$5:$A$94=$B47)*(Levels!$B$5:$B$94=4)*(COUNTIFS(Progress!$B$5:$B$3000,$A47,Progress!$G$5:$G$3000,Levels!$G$5:$G$94)&gt;0))*(LEFT(I47,1)="4")))</f>
        <v/>
      </c>
      <c r="K47" s="26" t="str">
        <f aca="false">IF($A47="","",IF(COUNTIFS(Progress!$B$5:$B$3000,$A47)=0,"",SUMPRODUCT(MAX((Progress!$B$5:$B$3000=$A47)*Progress!$A$5:$A$3000))))</f>
        <v/>
      </c>
      <c r="L47" s="22"/>
    </row>
    <row r="48" customFormat="false" ht="15" hidden="false" customHeight="false" outlineLevel="0" collapsed="false">
      <c r="A48" s="22"/>
      <c r="B48" s="22"/>
      <c r="C48" s="23"/>
      <c r="D48" s="22"/>
      <c r="E48" s="24" t="str">
        <f aca="false">IF(OR($A48="",$B48=""),"",SUMPRODUCT((Levels!$A$5:$A$94=$B48)*(Levels!$B$5:$B$94=1)*(COUNTIFS(Progress!$B$5:$B$3000,$A48,Progress!$G$5:$G$3000,Levels!$G$5:$G$94)&gt;0))&amp;" / "&amp;COUNTIFS(Levels!$A$5:$A$94,$B48,Levels!$B$5:$B$94,1))</f>
        <v/>
      </c>
      <c r="F48" s="24" t="str">
        <f aca="false">IF(OR($A48="",$B48=""),"",SUMPRODUCT((Levels!$A$5:$A$94=$B48)*(Levels!$B$5:$B$94=2)*(COUNTIFS(Progress!$B$5:$B$3000,$A48,Progress!$G$5:$G$3000,Levels!$G$5:$G$94)&gt;0))&amp;" / "&amp;COUNTIFS(Levels!$A$5:$A$94,$B48,Levels!$B$5:$B$94,2))</f>
        <v/>
      </c>
      <c r="G48" s="24" t="str">
        <f aca="false">IF(OR($A48="",$B48=""),"",SUMPRODUCT((Levels!$A$5:$A$94=$B48)*(Levels!$B$5:$B$94=3)*(COUNTIFS(Progress!$B$5:$B$3000,$A48,Progress!$G$5:$G$3000,Levels!$G$5:$G$94)&gt;0))&amp;" / "&amp;COUNTIFS(Levels!$A$5:$A$94,$B48,Levels!$B$5:$B$94,3))</f>
        <v/>
      </c>
      <c r="H48" s="24" t="str">
        <f aca="false">IF(OR($A48="",$B48=""),"",SUMPRODUCT((Levels!$A$5:$A$94=$B48)*(Levels!$B$5:$B$94=4)*(COUNTIFS(Progress!$B$5:$B$3000,$A48,Progress!$G$5:$G$3000,Levels!$G$5:$G$94)&gt;0))&amp;" / "&amp;COUNTIFS(Levels!$A$5:$A$94,$B48,Levels!$B$5:$B$94,4))</f>
        <v/>
      </c>
      <c r="I48" s="24" t="str">
        <f aca="false">IF(OR($A48="",$B48=""),"",IF(SUMPRODUCT((Levels!$A$5:$A$94=$B48)*(Levels!$B$5:$B$94=1)*(COUNTIFS(Progress!$B$5:$B$3000,$A48,Progress!$G$5:$G$3000,Levels!$G$5:$G$94)&gt;0))&lt;COUNTIFS(Levels!$A$5:$A$94,$B48,Levels!$B$5:$B$94,1),"1 Rookie",IF(SUMPRODUCT((Levels!$A$5:$A$94=$B48)*(Levels!$B$5:$B$94=2)*(COUNTIFS(Progress!$B$5:$B$3000,$A48,Progress!$G$5:$G$3000,Levels!$G$5:$G$94)&gt;0))&lt;COUNTIFS(Levels!$A$5:$A$94,$B48,Levels!$B$5:$B$94,2),"2 Contender",IF(SUMPRODUCT((Levels!$A$5:$A$94=$B48)*(Levels!$B$5:$B$94=3)*(COUNTIFS(Progress!$B$5:$B$3000,$A48,Progress!$G$5:$G$3000,Levels!$G$5:$G$94)&gt;0))&lt;COUNTIFS(Levels!$A$5:$A$94,$B48,Levels!$B$5:$B$94,3),"3 Challenger",IF(SUMPRODUCT((Levels!$A$5:$A$94=$B48)*(Levels!$B$5:$B$94=4)*(COUNTIFS(Progress!$B$5:$B$3000,$A48,Progress!$G$5:$G$3000,Levels!$G$5:$G$94)&gt;0))&lt;COUNTIFS(Levels!$A$5:$A$94,$B48,Levels!$B$5:$B$94,4),"4 Champion","All done")))))</f>
        <v/>
      </c>
      <c r="J48" s="25" t="str">
        <f aca="false">IF(OR(I48="",I48="All done"),"",COUNTIFS(Levels!$A$5:$A$94,$B48,Levels!$B$5:$B$94,1)*(LEFT(I48,1)="1")+COUNTIFS(Levels!$A$5:$A$94,$B48,Levels!$B$5:$B$94,2)*(LEFT(I48,1)="2")+COUNTIFS(Levels!$A$5:$A$94,$B48,Levels!$B$5:$B$94,3)*(LEFT(I48,1)="3")+COUNTIFS(Levels!$A$5:$A$94,$B48,Levels!$B$5:$B$94,4)*(LEFT(I48,1)="4")-(SUMPRODUCT((Levels!$A$5:$A$94=$B48)*(Levels!$B$5:$B$94=1)*(COUNTIFS(Progress!$B$5:$B$3000,$A48,Progress!$G$5:$G$3000,Levels!$G$5:$G$94)&gt;0))*(LEFT(I48,1)="1")+SUMPRODUCT((Levels!$A$5:$A$94=$B48)*(Levels!$B$5:$B$94=2)*(COUNTIFS(Progress!$B$5:$B$3000,$A48,Progress!$G$5:$G$3000,Levels!$G$5:$G$94)&gt;0))*(LEFT(I48,1)="2")+SUMPRODUCT((Levels!$A$5:$A$94=$B48)*(Levels!$B$5:$B$94=3)*(COUNTIFS(Progress!$B$5:$B$3000,$A48,Progress!$G$5:$G$3000,Levels!$G$5:$G$94)&gt;0))*(LEFT(I48,1)="3")+SUMPRODUCT((Levels!$A$5:$A$94=$B48)*(Levels!$B$5:$B$94=4)*(COUNTIFS(Progress!$B$5:$B$3000,$A48,Progress!$G$5:$G$3000,Levels!$G$5:$G$94)&gt;0))*(LEFT(I48,1)="4")))</f>
        <v/>
      </c>
      <c r="K48" s="26" t="str">
        <f aca="false">IF($A48="","",IF(COUNTIFS(Progress!$B$5:$B$3000,$A48)=0,"",SUMPRODUCT(MAX((Progress!$B$5:$B$3000=$A48)*Progress!$A$5:$A$3000))))</f>
        <v/>
      </c>
      <c r="L48" s="22"/>
    </row>
    <row r="49" customFormat="false" ht="15" hidden="false" customHeight="false" outlineLevel="0" collapsed="false">
      <c r="A49" s="22"/>
      <c r="B49" s="22"/>
      <c r="C49" s="23"/>
      <c r="D49" s="22"/>
      <c r="E49" s="24" t="str">
        <f aca="false">IF(OR($A49="",$B49=""),"",SUMPRODUCT((Levels!$A$5:$A$94=$B49)*(Levels!$B$5:$B$94=1)*(COUNTIFS(Progress!$B$5:$B$3000,$A49,Progress!$G$5:$G$3000,Levels!$G$5:$G$94)&gt;0))&amp;" / "&amp;COUNTIFS(Levels!$A$5:$A$94,$B49,Levels!$B$5:$B$94,1))</f>
        <v/>
      </c>
      <c r="F49" s="24" t="str">
        <f aca="false">IF(OR($A49="",$B49=""),"",SUMPRODUCT((Levels!$A$5:$A$94=$B49)*(Levels!$B$5:$B$94=2)*(COUNTIFS(Progress!$B$5:$B$3000,$A49,Progress!$G$5:$G$3000,Levels!$G$5:$G$94)&gt;0))&amp;" / "&amp;COUNTIFS(Levels!$A$5:$A$94,$B49,Levels!$B$5:$B$94,2))</f>
        <v/>
      </c>
      <c r="G49" s="24" t="str">
        <f aca="false">IF(OR($A49="",$B49=""),"",SUMPRODUCT((Levels!$A$5:$A$94=$B49)*(Levels!$B$5:$B$94=3)*(COUNTIFS(Progress!$B$5:$B$3000,$A49,Progress!$G$5:$G$3000,Levels!$G$5:$G$94)&gt;0))&amp;" / "&amp;COUNTIFS(Levels!$A$5:$A$94,$B49,Levels!$B$5:$B$94,3))</f>
        <v/>
      </c>
      <c r="H49" s="24" t="str">
        <f aca="false">IF(OR($A49="",$B49=""),"",SUMPRODUCT((Levels!$A$5:$A$94=$B49)*(Levels!$B$5:$B$94=4)*(COUNTIFS(Progress!$B$5:$B$3000,$A49,Progress!$G$5:$G$3000,Levels!$G$5:$G$94)&gt;0))&amp;" / "&amp;COUNTIFS(Levels!$A$5:$A$94,$B49,Levels!$B$5:$B$94,4))</f>
        <v/>
      </c>
      <c r="I49" s="24" t="str">
        <f aca="false">IF(OR($A49="",$B49=""),"",IF(SUMPRODUCT((Levels!$A$5:$A$94=$B49)*(Levels!$B$5:$B$94=1)*(COUNTIFS(Progress!$B$5:$B$3000,$A49,Progress!$G$5:$G$3000,Levels!$G$5:$G$94)&gt;0))&lt;COUNTIFS(Levels!$A$5:$A$94,$B49,Levels!$B$5:$B$94,1),"1 Rookie",IF(SUMPRODUCT((Levels!$A$5:$A$94=$B49)*(Levels!$B$5:$B$94=2)*(COUNTIFS(Progress!$B$5:$B$3000,$A49,Progress!$G$5:$G$3000,Levels!$G$5:$G$94)&gt;0))&lt;COUNTIFS(Levels!$A$5:$A$94,$B49,Levels!$B$5:$B$94,2),"2 Contender",IF(SUMPRODUCT((Levels!$A$5:$A$94=$B49)*(Levels!$B$5:$B$94=3)*(COUNTIFS(Progress!$B$5:$B$3000,$A49,Progress!$G$5:$G$3000,Levels!$G$5:$G$94)&gt;0))&lt;COUNTIFS(Levels!$A$5:$A$94,$B49,Levels!$B$5:$B$94,3),"3 Challenger",IF(SUMPRODUCT((Levels!$A$5:$A$94=$B49)*(Levels!$B$5:$B$94=4)*(COUNTIFS(Progress!$B$5:$B$3000,$A49,Progress!$G$5:$G$3000,Levels!$G$5:$G$94)&gt;0))&lt;COUNTIFS(Levels!$A$5:$A$94,$B49,Levels!$B$5:$B$94,4),"4 Champion","All done")))))</f>
        <v/>
      </c>
      <c r="J49" s="25" t="str">
        <f aca="false">IF(OR(I49="",I49="All done"),"",COUNTIFS(Levels!$A$5:$A$94,$B49,Levels!$B$5:$B$94,1)*(LEFT(I49,1)="1")+COUNTIFS(Levels!$A$5:$A$94,$B49,Levels!$B$5:$B$94,2)*(LEFT(I49,1)="2")+COUNTIFS(Levels!$A$5:$A$94,$B49,Levels!$B$5:$B$94,3)*(LEFT(I49,1)="3")+COUNTIFS(Levels!$A$5:$A$94,$B49,Levels!$B$5:$B$94,4)*(LEFT(I49,1)="4")-(SUMPRODUCT((Levels!$A$5:$A$94=$B49)*(Levels!$B$5:$B$94=1)*(COUNTIFS(Progress!$B$5:$B$3000,$A49,Progress!$G$5:$G$3000,Levels!$G$5:$G$94)&gt;0))*(LEFT(I49,1)="1")+SUMPRODUCT((Levels!$A$5:$A$94=$B49)*(Levels!$B$5:$B$94=2)*(COUNTIFS(Progress!$B$5:$B$3000,$A49,Progress!$G$5:$G$3000,Levels!$G$5:$G$94)&gt;0))*(LEFT(I49,1)="2")+SUMPRODUCT((Levels!$A$5:$A$94=$B49)*(Levels!$B$5:$B$94=3)*(COUNTIFS(Progress!$B$5:$B$3000,$A49,Progress!$G$5:$G$3000,Levels!$G$5:$G$94)&gt;0))*(LEFT(I49,1)="3")+SUMPRODUCT((Levels!$A$5:$A$94=$B49)*(Levels!$B$5:$B$94=4)*(COUNTIFS(Progress!$B$5:$B$3000,$A49,Progress!$G$5:$G$3000,Levels!$G$5:$G$94)&gt;0))*(LEFT(I49,1)="4")))</f>
        <v/>
      </c>
      <c r="K49" s="26" t="str">
        <f aca="false">IF($A49="","",IF(COUNTIFS(Progress!$B$5:$B$3000,$A49)=0,"",SUMPRODUCT(MAX((Progress!$B$5:$B$3000=$A49)*Progress!$A$5:$A$3000))))</f>
        <v/>
      </c>
      <c r="L49" s="22"/>
    </row>
    <row r="50" customFormat="false" ht="15" hidden="false" customHeight="false" outlineLevel="0" collapsed="false">
      <c r="A50" s="22"/>
      <c r="B50" s="22"/>
      <c r="C50" s="23"/>
      <c r="D50" s="22"/>
      <c r="E50" s="24" t="str">
        <f aca="false">IF(OR($A50="",$B50=""),"",SUMPRODUCT((Levels!$A$5:$A$94=$B50)*(Levels!$B$5:$B$94=1)*(COUNTIFS(Progress!$B$5:$B$3000,$A50,Progress!$G$5:$G$3000,Levels!$G$5:$G$94)&gt;0))&amp;" / "&amp;COUNTIFS(Levels!$A$5:$A$94,$B50,Levels!$B$5:$B$94,1))</f>
        <v/>
      </c>
      <c r="F50" s="24" t="str">
        <f aca="false">IF(OR($A50="",$B50=""),"",SUMPRODUCT((Levels!$A$5:$A$94=$B50)*(Levels!$B$5:$B$94=2)*(COUNTIFS(Progress!$B$5:$B$3000,$A50,Progress!$G$5:$G$3000,Levels!$G$5:$G$94)&gt;0))&amp;" / "&amp;COUNTIFS(Levels!$A$5:$A$94,$B50,Levels!$B$5:$B$94,2))</f>
        <v/>
      </c>
      <c r="G50" s="24" t="str">
        <f aca="false">IF(OR($A50="",$B50=""),"",SUMPRODUCT((Levels!$A$5:$A$94=$B50)*(Levels!$B$5:$B$94=3)*(COUNTIFS(Progress!$B$5:$B$3000,$A50,Progress!$G$5:$G$3000,Levels!$G$5:$G$94)&gt;0))&amp;" / "&amp;COUNTIFS(Levels!$A$5:$A$94,$B50,Levels!$B$5:$B$94,3))</f>
        <v/>
      </c>
      <c r="H50" s="24" t="str">
        <f aca="false">IF(OR($A50="",$B50=""),"",SUMPRODUCT((Levels!$A$5:$A$94=$B50)*(Levels!$B$5:$B$94=4)*(COUNTIFS(Progress!$B$5:$B$3000,$A50,Progress!$G$5:$G$3000,Levels!$G$5:$G$94)&gt;0))&amp;" / "&amp;COUNTIFS(Levels!$A$5:$A$94,$B50,Levels!$B$5:$B$94,4))</f>
        <v/>
      </c>
      <c r="I50" s="24" t="str">
        <f aca="false">IF(OR($A50="",$B50=""),"",IF(SUMPRODUCT((Levels!$A$5:$A$94=$B50)*(Levels!$B$5:$B$94=1)*(COUNTIFS(Progress!$B$5:$B$3000,$A50,Progress!$G$5:$G$3000,Levels!$G$5:$G$94)&gt;0))&lt;COUNTIFS(Levels!$A$5:$A$94,$B50,Levels!$B$5:$B$94,1),"1 Rookie",IF(SUMPRODUCT((Levels!$A$5:$A$94=$B50)*(Levels!$B$5:$B$94=2)*(COUNTIFS(Progress!$B$5:$B$3000,$A50,Progress!$G$5:$G$3000,Levels!$G$5:$G$94)&gt;0))&lt;COUNTIFS(Levels!$A$5:$A$94,$B50,Levels!$B$5:$B$94,2),"2 Contender",IF(SUMPRODUCT((Levels!$A$5:$A$94=$B50)*(Levels!$B$5:$B$94=3)*(COUNTIFS(Progress!$B$5:$B$3000,$A50,Progress!$G$5:$G$3000,Levels!$G$5:$G$94)&gt;0))&lt;COUNTIFS(Levels!$A$5:$A$94,$B50,Levels!$B$5:$B$94,3),"3 Challenger",IF(SUMPRODUCT((Levels!$A$5:$A$94=$B50)*(Levels!$B$5:$B$94=4)*(COUNTIFS(Progress!$B$5:$B$3000,$A50,Progress!$G$5:$G$3000,Levels!$G$5:$G$94)&gt;0))&lt;COUNTIFS(Levels!$A$5:$A$94,$B50,Levels!$B$5:$B$94,4),"4 Champion","All done")))))</f>
        <v/>
      </c>
      <c r="J50" s="25" t="str">
        <f aca="false">IF(OR(I50="",I50="All done"),"",COUNTIFS(Levels!$A$5:$A$94,$B50,Levels!$B$5:$B$94,1)*(LEFT(I50,1)="1")+COUNTIFS(Levels!$A$5:$A$94,$B50,Levels!$B$5:$B$94,2)*(LEFT(I50,1)="2")+COUNTIFS(Levels!$A$5:$A$94,$B50,Levels!$B$5:$B$94,3)*(LEFT(I50,1)="3")+COUNTIFS(Levels!$A$5:$A$94,$B50,Levels!$B$5:$B$94,4)*(LEFT(I50,1)="4")-(SUMPRODUCT((Levels!$A$5:$A$94=$B50)*(Levels!$B$5:$B$94=1)*(COUNTIFS(Progress!$B$5:$B$3000,$A50,Progress!$G$5:$G$3000,Levels!$G$5:$G$94)&gt;0))*(LEFT(I50,1)="1")+SUMPRODUCT((Levels!$A$5:$A$94=$B50)*(Levels!$B$5:$B$94=2)*(COUNTIFS(Progress!$B$5:$B$3000,$A50,Progress!$G$5:$G$3000,Levels!$G$5:$G$94)&gt;0))*(LEFT(I50,1)="2")+SUMPRODUCT((Levels!$A$5:$A$94=$B50)*(Levels!$B$5:$B$94=3)*(COUNTIFS(Progress!$B$5:$B$3000,$A50,Progress!$G$5:$G$3000,Levels!$G$5:$G$94)&gt;0))*(LEFT(I50,1)="3")+SUMPRODUCT((Levels!$A$5:$A$94=$B50)*(Levels!$B$5:$B$94=4)*(COUNTIFS(Progress!$B$5:$B$3000,$A50,Progress!$G$5:$G$3000,Levels!$G$5:$G$94)&gt;0))*(LEFT(I50,1)="4")))</f>
        <v/>
      </c>
      <c r="K50" s="26" t="str">
        <f aca="false">IF($A50="","",IF(COUNTIFS(Progress!$B$5:$B$3000,$A50)=0,"",SUMPRODUCT(MAX((Progress!$B$5:$B$3000=$A50)*Progress!$A$5:$A$3000))))</f>
        <v/>
      </c>
      <c r="L50" s="22"/>
    </row>
    <row r="51" customFormat="false" ht="15" hidden="false" customHeight="false" outlineLevel="0" collapsed="false">
      <c r="A51" s="22"/>
      <c r="B51" s="22"/>
      <c r="C51" s="23"/>
      <c r="D51" s="22"/>
      <c r="E51" s="24" t="str">
        <f aca="false">IF(OR($A51="",$B51=""),"",SUMPRODUCT((Levels!$A$5:$A$94=$B51)*(Levels!$B$5:$B$94=1)*(COUNTIFS(Progress!$B$5:$B$3000,$A51,Progress!$G$5:$G$3000,Levels!$G$5:$G$94)&gt;0))&amp;" / "&amp;COUNTIFS(Levels!$A$5:$A$94,$B51,Levels!$B$5:$B$94,1))</f>
        <v/>
      </c>
      <c r="F51" s="24" t="str">
        <f aca="false">IF(OR($A51="",$B51=""),"",SUMPRODUCT((Levels!$A$5:$A$94=$B51)*(Levels!$B$5:$B$94=2)*(COUNTIFS(Progress!$B$5:$B$3000,$A51,Progress!$G$5:$G$3000,Levels!$G$5:$G$94)&gt;0))&amp;" / "&amp;COUNTIFS(Levels!$A$5:$A$94,$B51,Levels!$B$5:$B$94,2))</f>
        <v/>
      </c>
      <c r="G51" s="24" t="str">
        <f aca="false">IF(OR($A51="",$B51=""),"",SUMPRODUCT((Levels!$A$5:$A$94=$B51)*(Levels!$B$5:$B$94=3)*(COUNTIFS(Progress!$B$5:$B$3000,$A51,Progress!$G$5:$G$3000,Levels!$G$5:$G$94)&gt;0))&amp;" / "&amp;COUNTIFS(Levels!$A$5:$A$94,$B51,Levels!$B$5:$B$94,3))</f>
        <v/>
      </c>
      <c r="H51" s="24" t="str">
        <f aca="false">IF(OR($A51="",$B51=""),"",SUMPRODUCT((Levels!$A$5:$A$94=$B51)*(Levels!$B$5:$B$94=4)*(COUNTIFS(Progress!$B$5:$B$3000,$A51,Progress!$G$5:$G$3000,Levels!$G$5:$G$94)&gt;0))&amp;" / "&amp;COUNTIFS(Levels!$A$5:$A$94,$B51,Levels!$B$5:$B$94,4))</f>
        <v/>
      </c>
      <c r="I51" s="24" t="str">
        <f aca="false">IF(OR($A51="",$B51=""),"",IF(SUMPRODUCT((Levels!$A$5:$A$94=$B51)*(Levels!$B$5:$B$94=1)*(COUNTIFS(Progress!$B$5:$B$3000,$A51,Progress!$G$5:$G$3000,Levels!$G$5:$G$94)&gt;0))&lt;COUNTIFS(Levels!$A$5:$A$94,$B51,Levels!$B$5:$B$94,1),"1 Rookie",IF(SUMPRODUCT((Levels!$A$5:$A$94=$B51)*(Levels!$B$5:$B$94=2)*(COUNTIFS(Progress!$B$5:$B$3000,$A51,Progress!$G$5:$G$3000,Levels!$G$5:$G$94)&gt;0))&lt;COUNTIFS(Levels!$A$5:$A$94,$B51,Levels!$B$5:$B$94,2),"2 Contender",IF(SUMPRODUCT((Levels!$A$5:$A$94=$B51)*(Levels!$B$5:$B$94=3)*(COUNTIFS(Progress!$B$5:$B$3000,$A51,Progress!$G$5:$G$3000,Levels!$G$5:$G$94)&gt;0))&lt;COUNTIFS(Levels!$A$5:$A$94,$B51,Levels!$B$5:$B$94,3),"3 Challenger",IF(SUMPRODUCT((Levels!$A$5:$A$94=$B51)*(Levels!$B$5:$B$94=4)*(COUNTIFS(Progress!$B$5:$B$3000,$A51,Progress!$G$5:$G$3000,Levels!$G$5:$G$94)&gt;0))&lt;COUNTIFS(Levels!$A$5:$A$94,$B51,Levels!$B$5:$B$94,4),"4 Champion","All done")))))</f>
        <v/>
      </c>
      <c r="J51" s="25" t="str">
        <f aca="false">IF(OR(I51="",I51="All done"),"",COUNTIFS(Levels!$A$5:$A$94,$B51,Levels!$B$5:$B$94,1)*(LEFT(I51,1)="1")+COUNTIFS(Levels!$A$5:$A$94,$B51,Levels!$B$5:$B$94,2)*(LEFT(I51,1)="2")+COUNTIFS(Levels!$A$5:$A$94,$B51,Levels!$B$5:$B$94,3)*(LEFT(I51,1)="3")+COUNTIFS(Levels!$A$5:$A$94,$B51,Levels!$B$5:$B$94,4)*(LEFT(I51,1)="4")-(SUMPRODUCT((Levels!$A$5:$A$94=$B51)*(Levels!$B$5:$B$94=1)*(COUNTIFS(Progress!$B$5:$B$3000,$A51,Progress!$G$5:$G$3000,Levels!$G$5:$G$94)&gt;0))*(LEFT(I51,1)="1")+SUMPRODUCT((Levels!$A$5:$A$94=$B51)*(Levels!$B$5:$B$94=2)*(COUNTIFS(Progress!$B$5:$B$3000,$A51,Progress!$G$5:$G$3000,Levels!$G$5:$G$94)&gt;0))*(LEFT(I51,1)="2")+SUMPRODUCT((Levels!$A$5:$A$94=$B51)*(Levels!$B$5:$B$94=3)*(COUNTIFS(Progress!$B$5:$B$3000,$A51,Progress!$G$5:$G$3000,Levels!$G$5:$G$94)&gt;0))*(LEFT(I51,1)="3")+SUMPRODUCT((Levels!$A$5:$A$94=$B51)*(Levels!$B$5:$B$94=4)*(COUNTIFS(Progress!$B$5:$B$3000,$A51,Progress!$G$5:$G$3000,Levels!$G$5:$G$94)&gt;0))*(LEFT(I51,1)="4")))</f>
        <v/>
      </c>
      <c r="K51" s="26" t="str">
        <f aca="false">IF($A51="","",IF(COUNTIFS(Progress!$B$5:$B$3000,$A51)=0,"",SUMPRODUCT(MAX((Progress!$B$5:$B$3000=$A51)*Progress!$A$5:$A$3000))))</f>
        <v/>
      </c>
      <c r="L51" s="22"/>
    </row>
    <row r="52" customFormat="false" ht="15" hidden="false" customHeight="false" outlineLevel="0" collapsed="false">
      <c r="A52" s="22"/>
      <c r="B52" s="22"/>
      <c r="C52" s="23"/>
      <c r="D52" s="22"/>
      <c r="E52" s="24" t="str">
        <f aca="false">IF(OR($A52="",$B52=""),"",SUMPRODUCT((Levels!$A$5:$A$94=$B52)*(Levels!$B$5:$B$94=1)*(COUNTIFS(Progress!$B$5:$B$3000,$A52,Progress!$G$5:$G$3000,Levels!$G$5:$G$94)&gt;0))&amp;" / "&amp;COUNTIFS(Levels!$A$5:$A$94,$B52,Levels!$B$5:$B$94,1))</f>
        <v/>
      </c>
      <c r="F52" s="24" t="str">
        <f aca="false">IF(OR($A52="",$B52=""),"",SUMPRODUCT((Levels!$A$5:$A$94=$B52)*(Levels!$B$5:$B$94=2)*(COUNTIFS(Progress!$B$5:$B$3000,$A52,Progress!$G$5:$G$3000,Levels!$G$5:$G$94)&gt;0))&amp;" / "&amp;COUNTIFS(Levels!$A$5:$A$94,$B52,Levels!$B$5:$B$94,2))</f>
        <v/>
      </c>
      <c r="G52" s="24" t="str">
        <f aca="false">IF(OR($A52="",$B52=""),"",SUMPRODUCT((Levels!$A$5:$A$94=$B52)*(Levels!$B$5:$B$94=3)*(COUNTIFS(Progress!$B$5:$B$3000,$A52,Progress!$G$5:$G$3000,Levels!$G$5:$G$94)&gt;0))&amp;" / "&amp;COUNTIFS(Levels!$A$5:$A$94,$B52,Levels!$B$5:$B$94,3))</f>
        <v/>
      </c>
      <c r="H52" s="24" t="str">
        <f aca="false">IF(OR($A52="",$B52=""),"",SUMPRODUCT((Levels!$A$5:$A$94=$B52)*(Levels!$B$5:$B$94=4)*(COUNTIFS(Progress!$B$5:$B$3000,$A52,Progress!$G$5:$G$3000,Levels!$G$5:$G$94)&gt;0))&amp;" / "&amp;COUNTIFS(Levels!$A$5:$A$94,$B52,Levels!$B$5:$B$94,4))</f>
        <v/>
      </c>
      <c r="I52" s="24" t="str">
        <f aca="false">IF(OR($A52="",$B52=""),"",IF(SUMPRODUCT((Levels!$A$5:$A$94=$B52)*(Levels!$B$5:$B$94=1)*(COUNTIFS(Progress!$B$5:$B$3000,$A52,Progress!$G$5:$G$3000,Levels!$G$5:$G$94)&gt;0))&lt;COUNTIFS(Levels!$A$5:$A$94,$B52,Levels!$B$5:$B$94,1),"1 Rookie",IF(SUMPRODUCT((Levels!$A$5:$A$94=$B52)*(Levels!$B$5:$B$94=2)*(COUNTIFS(Progress!$B$5:$B$3000,$A52,Progress!$G$5:$G$3000,Levels!$G$5:$G$94)&gt;0))&lt;COUNTIFS(Levels!$A$5:$A$94,$B52,Levels!$B$5:$B$94,2),"2 Contender",IF(SUMPRODUCT((Levels!$A$5:$A$94=$B52)*(Levels!$B$5:$B$94=3)*(COUNTIFS(Progress!$B$5:$B$3000,$A52,Progress!$G$5:$G$3000,Levels!$G$5:$G$94)&gt;0))&lt;COUNTIFS(Levels!$A$5:$A$94,$B52,Levels!$B$5:$B$94,3),"3 Challenger",IF(SUMPRODUCT((Levels!$A$5:$A$94=$B52)*(Levels!$B$5:$B$94=4)*(COUNTIFS(Progress!$B$5:$B$3000,$A52,Progress!$G$5:$G$3000,Levels!$G$5:$G$94)&gt;0))&lt;COUNTIFS(Levels!$A$5:$A$94,$B52,Levels!$B$5:$B$94,4),"4 Champion","All done")))))</f>
        <v/>
      </c>
      <c r="J52" s="25" t="str">
        <f aca="false">IF(OR(I52="",I52="All done"),"",COUNTIFS(Levels!$A$5:$A$94,$B52,Levels!$B$5:$B$94,1)*(LEFT(I52,1)="1")+COUNTIFS(Levels!$A$5:$A$94,$B52,Levels!$B$5:$B$94,2)*(LEFT(I52,1)="2")+COUNTIFS(Levels!$A$5:$A$94,$B52,Levels!$B$5:$B$94,3)*(LEFT(I52,1)="3")+COUNTIFS(Levels!$A$5:$A$94,$B52,Levels!$B$5:$B$94,4)*(LEFT(I52,1)="4")-(SUMPRODUCT((Levels!$A$5:$A$94=$B52)*(Levels!$B$5:$B$94=1)*(COUNTIFS(Progress!$B$5:$B$3000,$A52,Progress!$G$5:$G$3000,Levels!$G$5:$G$94)&gt;0))*(LEFT(I52,1)="1")+SUMPRODUCT((Levels!$A$5:$A$94=$B52)*(Levels!$B$5:$B$94=2)*(COUNTIFS(Progress!$B$5:$B$3000,$A52,Progress!$G$5:$G$3000,Levels!$G$5:$G$94)&gt;0))*(LEFT(I52,1)="2")+SUMPRODUCT((Levels!$A$5:$A$94=$B52)*(Levels!$B$5:$B$94=3)*(COUNTIFS(Progress!$B$5:$B$3000,$A52,Progress!$G$5:$G$3000,Levels!$G$5:$G$94)&gt;0))*(LEFT(I52,1)="3")+SUMPRODUCT((Levels!$A$5:$A$94=$B52)*(Levels!$B$5:$B$94=4)*(COUNTIFS(Progress!$B$5:$B$3000,$A52,Progress!$G$5:$G$3000,Levels!$G$5:$G$94)&gt;0))*(LEFT(I52,1)="4")))</f>
        <v/>
      </c>
      <c r="K52" s="26" t="str">
        <f aca="false">IF($A52="","",IF(COUNTIFS(Progress!$B$5:$B$3000,$A52)=0,"",SUMPRODUCT(MAX((Progress!$B$5:$B$3000=$A52)*Progress!$A$5:$A$3000))))</f>
        <v/>
      </c>
      <c r="L52" s="22"/>
    </row>
    <row r="53" customFormat="false" ht="15" hidden="false" customHeight="false" outlineLevel="0" collapsed="false">
      <c r="A53" s="22"/>
      <c r="B53" s="22"/>
      <c r="C53" s="23"/>
      <c r="D53" s="22"/>
      <c r="E53" s="24" t="str">
        <f aca="false">IF(OR($A53="",$B53=""),"",SUMPRODUCT((Levels!$A$5:$A$94=$B53)*(Levels!$B$5:$B$94=1)*(COUNTIFS(Progress!$B$5:$B$3000,$A53,Progress!$G$5:$G$3000,Levels!$G$5:$G$94)&gt;0))&amp;" / "&amp;COUNTIFS(Levels!$A$5:$A$94,$B53,Levels!$B$5:$B$94,1))</f>
        <v/>
      </c>
      <c r="F53" s="24" t="str">
        <f aca="false">IF(OR($A53="",$B53=""),"",SUMPRODUCT((Levels!$A$5:$A$94=$B53)*(Levels!$B$5:$B$94=2)*(COUNTIFS(Progress!$B$5:$B$3000,$A53,Progress!$G$5:$G$3000,Levels!$G$5:$G$94)&gt;0))&amp;" / "&amp;COUNTIFS(Levels!$A$5:$A$94,$B53,Levels!$B$5:$B$94,2))</f>
        <v/>
      </c>
      <c r="G53" s="24" t="str">
        <f aca="false">IF(OR($A53="",$B53=""),"",SUMPRODUCT((Levels!$A$5:$A$94=$B53)*(Levels!$B$5:$B$94=3)*(COUNTIFS(Progress!$B$5:$B$3000,$A53,Progress!$G$5:$G$3000,Levels!$G$5:$G$94)&gt;0))&amp;" / "&amp;COUNTIFS(Levels!$A$5:$A$94,$B53,Levels!$B$5:$B$94,3))</f>
        <v/>
      </c>
      <c r="H53" s="24" t="str">
        <f aca="false">IF(OR($A53="",$B53=""),"",SUMPRODUCT((Levels!$A$5:$A$94=$B53)*(Levels!$B$5:$B$94=4)*(COUNTIFS(Progress!$B$5:$B$3000,$A53,Progress!$G$5:$G$3000,Levels!$G$5:$G$94)&gt;0))&amp;" / "&amp;COUNTIFS(Levels!$A$5:$A$94,$B53,Levels!$B$5:$B$94,4))</f>
        <v/>
      </c>
      <c r="I53" s="24" t="str">
        <f aca="false">IF(OR($A53="",$B53=""),"",IF(SUMPRODUCT((Levels!$A$5:$A$94=$B53)*(Levels!$B$5:$B$94=1)*(COUNTIFS(Progress!$B$5:$B$3000,$A53,Progress!$G$5:$G$3000,Levels!$G$5:$G$94)&gt;0))&lt;COUNTIFS(Levels!$A$5:$A$94,$B53,Levels!$B$5:$B$94,1),"1 Rookie",IF(SUMPRODUCT((Levels!$A$5:$A$94=$B53)*(Levels!$B$5:$B$94=2)*(COUNTIFS(Progress!$B$5:$B$3000,$A53,Progress!$G$5:$G$3000,Levels!$G$5:$G$94)&gt;0))&lt;COUNTIFS(Levels!$A$5:$A$94,$B53,Levels!$B$5:$B$94,2),"2 Contender",IF(SUMPRODUCT((Levels!$A$5:$A$94=$B53)*(Levels!$B$5:$B$94=3)*(COUNTIFS(Progress!$B$5:$B$3000,$A53,Progress!$G$5:$G$3000,Levels!$G$5:$G$94)&gt;0))&lt;COUNTIFS(Levels!$A$5:$A$94,$B53,Levels!$B$5:$B$94,3),"3 Challenger",IF(SUMPRODUCT((Levels!$A$5:$A$94=$B53)*(Levels!$B$5:$B$94=4)*(COUNTIFS(Progress!$B$5:$B$3000,$A53,Progress!$G$5:$G$3000,Levels!$G$5:$G$94)&gt;0))&lt;COUNTIFS(Levels!$A$5:$A$94,$B53,Levels!$B$5:$B$94,4),"4 Champion","All done")))))</f>
        <v/>
      </c>
      <c r="J53" s="25" t="str">
        <f aca="false">IF(OR(I53="",I53="All done"),"",COUNTIFS(Levels!$A$5:$A$94,$B53,Levels!$B$5:$B$94,1)*(LEFT(I53,1)="1")+COUNTIFS(Levels!$A$5:$A$94,$B53,Levels!$B$5:$B$94,2)*(LEFT(I53,1)="2")+COUNTIFS(Levels!$A$5:$A$94,$B53,Levels!$B$5:$B$94,3)*(LEFT(I53,1)="3")+COUNTIFS(Levels!$A$5:$A$94,$B53,Levels!$B$5:$B$94,4)*(LEFT(I53,1)="4")-(SUMPRODUCT((Levels!$A$5:$A$94=$B53)*(Levels!$B$5:$B$94=1)*(COUNTIFS(Progress!$B$5:$B$3000,$A53,Progress!$G$5:$G$3000,Levels!$G$5:$G$94)&gt;0))*(LEFT(I53,1)="1")+SUMPRODUCT((Levels!$A$5:$A$94=$B53)*(Levels!$B$5:$B$94=2)*(COUNTIFS(Progress!$B$5:$B$3000,$A53,Progress!$G$5:$G$3000,Levels!$G$5:$G$94)&gt;0))*(LEFT(I53,1)="2")+SUMPRODUCT((Levels!$A$5:$A$94=$B53)*(Levels!$B$5:$B$94=3)*(COUNTIFS(Progress!$B$5:$B$3000,$A53,Progress!$G$5:$G$3000,Levels!$G$5:$G$94)&gt;0))*(LEFT(I53,1)="3")+SUMPRODUCT((Levels!$A$5:$A$94=$B53)*(Levels!$B$5:$B$94=4)*(COUNTIFS(Progress!$B$5:$B$3000,$A53,Progress!$G$5:$G$3000,Levels!$G$5:$G$94)&gt;0))*(LEFT(I53,1)="4")))</f>
        <v/>
      </c>
      <c r="K53" s="26" t="str">
        <f aca="false">IF($A53="","",IF(COUNTIFS(Progress!$B$5:$B$3000,$A53)=0,"",SUMPRODUCT(MAX((Progress!$B$5:$B$3000=$A53)*Progress!$A$5:$A$3000))))</f>
        <v/>
      </c>
      <c r="L53" s="22"/>
    </row>
    <row r="54" customFormat="false" ht="15" hidden="false" customHeight="false" outlineLevel="0" collapsed="false">
      <c r="A54" s="22"/>
      <c r="B54" s="22"/>
      <c r="C54" s="23"/>
      <c r="D54" s="22"/>
      <c r="E54" s="24" t="str">
        <f aca="false">IF(OR($A54="",$B54=""),"",SUMPRODUCT((Levels!$A$5:$A$94=$B54)*(Levels!$B$5:$B$94=1)*(COUNTIFS(Progress!$B$5:$B$3000,$A54,Progress!$G$5:$G$3000,Levels!$G$5:$G$94)&gt;0))&amp;" / "&amp;COUNTIFS(Levels!$A$5:$A$94,$B54,Levels!$B$5:$B$94,1))</f>
        <v/>
      </c>
      <c r="F54" s="24" t="str">
        <f aca="false">IF(OR($A54="",$B54=""),"",SUMPRODUCT((Levels!$A$5:$A$94=$B54)*(Levels!$B$5:$B$94=2)*(COUNTIFS(Progress!$B$5:$B$3000,$A54,Progress!$G$5:$G$3000,Levels!$G$5:$G$94)&gt;0))&amp;" / "&amp;COUNTIFS(Levels!$A$5:$A$94,$B54,Levels!$B$5:$B$94,2))</f>
        <v/>
      </c>
      <c r="G54" s="24" t="str">
        <f aca="false">IF(OR($A54="",$B54=""),"",SUMPRODUCT((Levels!$A$5:$A$94=$B54)*(Levels!$B$5:$B$94=3)*(COUNTIFS(Progress!$B$5:$B$3000,$A54,Progress!$G$5:$G$3000,Levels!$G$5:$G$94)&gt;0))&amp;" / "&amp;COUNTIFS(Levels!$A$5:$A$94,$B54,Levels!$B$5:$B$94,3))</f>
        <v/>
      </c>
      <c r="H54" s="24" t="str">
        <f aca="false">IF(OR($A54="",$B54=""),"",SUMPRODUCT((Levels!$A$5:$A$94=$B54)*(Levels!$B$5:$B$94=4)*(COUNTIFS(Progress!$B$5:$B$3000,$A54,Progress!$G$5:$G$3000,Levels!$G$5:$G$94)&gt;0))&amp;" / "&amp;COUNTIFS(Levels!$A$5:$A$94,$B54,Levels!$B$5:$B$94,4))</f>
        <v/>
      </c>
      <c r="I54" s="24" t="str">
        <f aca="false">IF(OR($A54="",$B54=""),"",IF(SUMPRODUCT((Levels!$A$5:$A$94=$B54)*(Levels!$B$5:$B$94=1)*(COUNTIFS(Progress!$B$5:$B$3000,$A54,Progress!$G$5:$G$3000,Levels!$G$5:$G$94)&gt;0))&lt;COUNTIFS(Levels!$A$5:$A$94,$B54,Levels!$B$5:$B$94,1),"1 Rookie",IF(SUMPRODUCT((Levels!$A$5:$A$94=$B54)*(Levels!$B$5:$B$94=2)*(COUNTIFS(Progress!$B$5:$B$3000,$A54,Progress!$G$5:$G$3000,Levels!$G$5:$G$94)&gt;0))&lt;COUNTIFS(Levels!$A$5:$A$94,$B54,Levels!$B$5:$B$94,2),"2 Contender",IF(SUMPRODUCT((Levels!$A$5:$A$94=$B54)*(Levels!$B$5:$B$94=3)*(COUNTIFS(Progress!$B$5:$B$3000,$A54,Progress!$G$5:$G$3000,Levels!$G$5:$G$94)&gt;0))&lt;COUNTIFS(Levels!$A$5:$A$94,$B54,Levels!$B$5:$B$94,3),"3 Challenger",IF(SUMPRODUCT((Levels!$A$5:$A$94=$B54)*(Levels!$B$5:$B$94=4)*(COUNTIFS(Progress!$B$5:$B$3000,$A54,Progress!$G$5:$G$3000,Levels!$G$5:$G$94)&gt;0))&lt;COUNTIFS(Levels!$A$5:$A$94,$B54,Levels!$B$5:$B$94,4),"4 Champion","All done")))))</f>
        <v/>
      </c>
      <c r="J54" s="25" t="str">
        <f aca="false">IF(OR(I54="",I54="All done"),"",COUNTIFS(Levels!$A$5:$A$94,$B54,Levels!$B$5:$B$94,1)*(LEFT(I54,1)="1")+COUNTIFS(Levels!$A$5:$A$94,$B54,Levels!$B$5:$B$94,2)*(LEFT(I54,1)="2")+COUNTIFS(Levels!$A$5:$A$94,$B54,Levels!$B$5:$B$94,3)*(LEFT(I54,1)="3")+COUNTIFS(Levels!$A$5:$A$94,$B54,Levels!$B$5:$B$94,4)*(LEFT(I54,1)="4")-(SUMPRODUCT((Levels!$A$5:$A$94=$B54)*(Levels!$B$5:$B$94=1)*(COUNTIFS(Progress!$B$5:$B$3000,$A54,Progress!$G$5:$G$3000,Levels!$G$5:$G$94)&gt;0))*(LEFT(I54,1)="1")+SUMPRODUCT((Levels!$A$5:$A$94=$B54)*(Levels!$B$5:$B$94=2)*(COUNTIFS(Progress!$B$5:$B$3000,$A54,Progress!$G$5:$G$3000,Levels!$G$5:$G$94)&gt;0))*(LEFT(I54,1)="2")+SUMPRODUCT((Levels!$A$5:$A$94=$B54)*(Levels!$B$5:$B$94=3)*(COUNTIFS(Progress!$B$5:$B$3000,$A54,Progress!$G$5:$G$3000,Levels!$G$5:$G$94)&gt;0))*(LEFT(I54,1)="3")+SUMPRODUCT((Levels!$A$5:$A$94=$B54)*(Levels!$B$5:$B$94=4)*(COUNTIFS(Progress!$B$5:$B$3000,$A54,Progress!$G$5:$G$3000,Levels!$G$5:$G$94)&gt;0))*(LEFT(I54,1)="4")))</f>
        <v/>
      </c>
      <c r="K54" s="26" t="str">
        <f aca="false">IF($A54="","",IF(COUNTIFS(Progress!$B$5:$B$3000,$A54)=0,"",SUMPRODUCT(MAX((Progress!$B$5:$B$3000=$A54)*Progress!$A$5:$A$3000))))</f>
        <v/>
      </c>
      <c r="L54" s="22"/>
    </row>
    <row r="55" customFormat="false" ht="15" hidden="false" customHeight="false" outlineLevel="0" collapsed="false">
      <c r="A55" s="22"/>
      <c r="B55" s="22"/>
      <c r="C55" s="23"/>
      <c r="D55" s="22"/>
      <c r="E55" s="24" t="str">
        <f aca="false">IF(OR($A55="",$B55=""),"",SUMPRODUCT((Levels!$A$5:$A$94=$B55)*(Levels!$B$5:$B$94=1)*(COUNTIFS(Progress!$B$5:$B$3000,$A55,Progress!$G$5:$G$3000,Levels!$G$5:$G$94)&gt;0))&amp;" / "&amp;COUNTIFS(Levels!$A$5:$A$94,$B55,Levels!$B$5:$B$94,1))</f>
        <v/>
      </c>
      <c r="F55" s="24" t="str">
        <f aca="false">IF(OR($A55="",$B55=""),"",SUMPRODUCT((Levels!$A$5:$A$94=$B55)*(Levels!$B$5:$B$94=2)*(COUNTIFS(Progress!$B$5:$B$3000,$A55,Progress!$G$5:$G$3000,Levels!$G$5:$G$94)&gt;0))&amp;" / "&amp;COUNTIFS(Levels!$A$5:$A$94,$B55,Levels!$B$5:$B$94,2))</f>
        <v/>
      </c>
      <c r="G55" s="24" t="str">
        <f aca="false">IF(OR($A55="",$B55=""),"",SUMPRODUCT((Levels!$A$5:$A$94=$B55)*(Levels!$B$5:$B$94=3)*(COUNTIFS(Progress!$B$5:$B$3000,$A55,Progress!$G$5:$G$3000,Levels!$G$5:$G$94)&gt;0))&amp;" / "&amp;COUNTIFS(Levels!$A$5:$A$94,$B55,Levels!$B$5:$B$94,3))</f>
        <v/>
      </c>
      <c r="H55" s="24" t="str">
        <f aca="false">IF(OR($A55="",$B55=""),"",SUMPRODUCT((Levels!$A$5:$A$94=$B55)*(Levels!$B$5:$B$94=4)*(COUNTIFS(Progress!$B$5:$B$3000,$A55,Progress!$G$5:$G$3000,Levels!$G$5:$G$94)&gt;0))&amp;" / "&amp;COUNTIFS(Levels!$A$5:$A$94,$B55,Levels!$B$5:$B$94,4))</f>
        <v/>
      </c>
      <c r="I55" s="24" t="str">
        <f aca="false">IF(OR($A55="",$B55=""),"",IF(SUMPRODUCT((Levels!$A$5:$A$94=$B55)*(Levels!$B$5:$B$94=1)*(COUNTIFS(Progress!$B$5:$B$3000,$A55,Progress!$G$5:$G$3000,Levels!$G$5:$G$94)&gt;0))&lt;COUNTIFS(Levels!$A$5:$A$94,$B55,Levels!$B$5:$B$94,1),"1 Rookie",IF(SUMPRODUCT((Levels!$A$5:$A$94=$B55)*(Levels!$B$5:$B$94=2)*(COUNTIFS(Progress!$B$5:$B$3000,$A55,Progress!$G$5:$G$3000,Levels!$G$5:$G$94)&gt;0))&lt;COUNTIFS(Levels!$A$5:$A$94,$B55,Levels!$B$5:$B$94,2),"2 Contender",IF(SUMPRODUCT((Levels!$A$5:$A$94=$B55)*(Levels!$B$5:$B$94=3)*(COUNTIFS(Progress!$B$5:$B$3000,$A55,Progress!$G$5:$G$3000,Levels!$G$5:$G$94)&gt;0))&lt;COUNTIFS(Levels!$A$5:$A$94,$B55,Levels!$B$5:$B$94,3),"3 Challenger",IF(SUMPRODUCT((Levels!$A$5:$A$94=$B55)*(Levels!$B$5:$B$94=4)*(COUNTIFS(Progress!$B$5:$B$3000,$A55,Progress!$G$5:$G$3000,Levels!$G$5:$G$94)&gt;0))&lt;COUNTIFS(Levels!$A$5:$A$94,$B55,Levels!$B$5:$B$94,4),"4 Champion","All done")))))</f>
        <v/>
      </c>
      <c r="J55" s="25" t="str">
        <f aca="false">IF(OR(I55="",I55="All done"),"",COUNTIFS(Levels!$A$5:$A$94,$B55,Levels!$B$5:$B$94,1)*(LEFT(I55,1)="1")+COUNTIFS(Levels!$A$5:$A$94,$B55,Levels!$B$5:$B$94,2)*(LEFT(I55,1)="2")+COUNTIFS(Levels!$A$5:$A$94,$B55,Levels!$B$5:$B$94,3)*(LEFT(I55,1)="3")+COUNTIFS(Levels!$A$5:$A$94,$B55,Levels!$B$5:$B$94,4)*(LEFT(I55,1)="4")-(SUMPRODUCT((Levels!$A$5:$A$94=$B55)*(Levels!$B$5:$B$94=1)*(COUNTIFS(Progress!$B$5:$B$3000,$A55,Progress!$G$5:$G$3000,Levels!$G$5:$G$94)&gt;0))*(LEFT(I55,1)="1")+SUMPRODUCT((Levels!$A$5:$A$94=$B55)*(Levels!$B$5:$B$94=2)*(COUNTIFS(Progress!$B$5:$B$3000,$A55,Progress!$G$5:$G$3000,Levels!$G$5:$G$94)&gt;0))*(LEFT(I55,1)="2")+SUMPRODUCT((Levels!$A$5:$A$94=$B55)*(Levels!$B$5:$B$94=3)*(COUNTIFS(Progress!$B$5:$B$3000,$A55,Progress!$G$5:$G$3000,Levels!$G$5:$G$94)&gt;0))*(LEFT(I55,1)="3")+SUMPRODUCT((Levels!$A$5:$A$94=$B55)*(Levels!$B$5:$B$94=4)*(COUNTIFS(Progress!$B$5:$B$3000,$A55,Progress!$G$5:$G$3000,Levels!$G$5:$G$94)&gt;0))*(LEFT(I55,1)="4")))</f>
        <v/>
      </c>
      <c r="K55" s="26" t="str">
        <f aca="false">IF($A55="","",IF(COUNTIFS(Progress!$B$5:$B$3000,$A55)=0,"",SUMPRODUCT(MAX((Progress!$B$5:$B$3000=$A55)*Progress!$A$5:$A$3000))))</f>
        <v/>
      </c>
      <c r="L55" s="22"/>
    </row>
    <row r="56" customFormat="false" ht="15" hidden="false" customHeight="false" outlineLevel="0" collapsed="false">
      <c r="A56" s="22"/>
      <c r="B56" s="22"/>
      <c r="C56" s="23"/>
      <c r="D56" s="22"/>
      <c r="E56" s="24" t="str">
        <f aca="false">IF(OR($A56="",$B56=""),"",SUMPRODUCT((Levels!$A$5:$A$94=$B56)*(Levels!$B$5:$B$94=1)*(COUNTIFS(Progress!$B$5:$B$3000,$A56,Progress!$G$5:$G$3000,Levels!$G$5:$G$94)&gt;0))&amp;" / "&amp;COUNTIFS(Levels!$A$5:$A$94,$B56,Levels!$B$5:$B$94,1))</f>
        <v/>
      </c>
      <c r="F56" s="24" t="str">
        <f aca="false">IF(OR($A56="",$B56=""),"",SUMPRODUCT((Levels!$A$5:$A$94=$B56)*(Levels!$B$5:$B$94=2)*(COUNTIFS(Progress!$B$5:$B$3000,$A56,Progress!$G$5:$G$3000,Levels!$G$5:$G$94)&gt;0))&amp;" / "&amp;COUNTIFS(Levels!$A$5:$A$94,$B56,Levels!$B$5:$B$94,2))</f>
        <v/>
      </c>
      <c r="G56" s="24" t="str">
        <f aca="false">IF(OR($A56="",$B56=""),"",SUMPRODUCT((Levels!$A$5:$A$94=$B56)*(Levels!$B$5:$B$94=3)*(COUNTIFS(Progress!$B$5:$B$3000,$A56,Progress!$G$5:$G$3000,Levels!$G$5:$G$94)&gt;0))&amp;" / "&amp;COUNTIFS(Levels!$A$5:$A$94,$B56,Levels!$B$5:$B$94,3))</f>
        <v/>
      </c>
      <c r="H56" s="24" t="str">
        <f aca="false">IF(OR($A56="",$B56=""),"",SUMPRODUCT((Levels!$A$5:$A$94=$B56)*(Levels!$B$5:$B$94=4)*(COUNTIFS(Progress!$B$5:$B$3000,$A56,Progress!$G$5:$G$3000,Levels!$G$5:$G$94)&gt;0))&amp;" / "&amp;COUNTIFS(Levels!$A$5:$A$94,$B56,Levels!$B$5:$B$94,4))</f>
        <v/>
      </c>
      <c r="I56" s="24" t="str">
        <f aca="false">IF(OR($A56="",$B56=""),"",IF(SUMPRODUCT((Levels!$A$5:$A$94=$B56)*(Levels!$B$5:$B$94=1)*(COUNTIFS(Progress!$B$5:$B$3000,$A56,Progress!$G$5:$G$3000,Levels!$G$5:$G$94)&gt;0))&lt;COUNTIFS(Levels!$A$5:$A$94,$B56,Levels!$B$5:$B$94,1),"1 Rookie",IF(SUMPRODUCT((Levels!$A$5:$A$94=$B56)*(Levels!$B$5:$B$94=2)*(COUNTIFS(Progress!$B$5:$B$3000,$A56,Progress!$G$5:$G$3000,Levels!$G$5:$G$94)&gt;0))&lt;COUNTIFS(Levels!$A$5:$A$94,$B56,Levels!$B$5:$B$94,2),"2 Contender",IF(SUMPRODUCT((Levels!$A$5:$A$94=$B56)*(Levels!$B$5:$B$94=3)*(COUNTIFS(Progress!$B$5:$B$3000,$A56,Progress!$G$5:$G$3000,Levels!$G$5:$G$94)&gt;0))&lt;COUNTIFS(Levels!$A$5:$A$94,$B56,Levels!$B$5:$B$94,3),"3 Challenger",IF(SUMPRODUCT((Levels!$A$5:$A$94=$B56)*(Levels!$B$5:$B$94=4)*(COUNTIFS(Progress!$B$5:$B$3000,$A56,Progress!$G$5:$G$3000,Levels!$G$5:$G$94)&gt;0))&lt;COUNTIFS(Levels!$A$5:$A$94,$B56,Levels!$B$5:$B$94,4),"4 Champion","All done")))))</f>
        <v/>
      </c>
      <c r="J56" s="25" t="str">
        <f aca="false">IF(OR(I56="",I56="All done"),"",COUNTIFS(Levels!$A$5:$A$94,$B56,Levels!$B$5:$B$94,1)*(LEFT(I56,1)="1")+COUNTIFS(Levels!$A$5:$A$94,$B56,Levels!$B$5:$B$94,2)*(LEFT(I56,1)="2")+COUNTIFS(Levels!$A$5:$A$94,$B56,Levels!$B$5:$B$94,3)*(LEFT(I56,1)="3")+COUNTIFS(Levels!$A$5:$A$94,$B56,Levels!$B$5:$B$94,4)*(LEFT(I56,1)="4")-(SUMPRODUCT((Levels!$A$5:$A$94=$B56)*(Levels!$B$5:$B$94=1)*(COUNTIFS(Progress!$B$5:$B$3000,$A56,Progress!$G$5:$G$3000,Levels!$G$5:$G$94)&gt;0))*(LEFT(I56,1)="1")+SUMPRODUCT((Levels!$A$5:$A$94=$B56)*(Levels!$B$5:$B$94=2)*(COUNTIFS(Progress!$B$5:$B$3000,$A56,Progress!$G$5:$G$3000,Levels!$G$5:$G$94)&gt;0))*(LEFT(I56,1)="2")+SUMPRODUCT((Levels!$A$5:$A$94=$B56)*(Levels!$B$5:$B$94=3)*(COUNTIFS(Progress!$B$5:$B$3000,$A56,Progress!$G$5:$G$3000,Levels!$G$5:$G$94)&gt;0))*(LEFT(I56,1)="3")+SUMPRODUCT((Levels!$A$5:$A$94=$B56)*(Levels!$B$5:$B$94=4)*(COUNTIFS(Progress!$B$5:$B$3000,$A56,Progress!$G$5:$G$3000,Levels!$G$5:$G$94)&gt;0))*(LEFT(I56,1)="4")))</f>
        <v/>
      </c>
      <c r="K56" s="26" t="str">
        <f aca="false">IF($A56="","",IF(COUNTIFS(Progress!$B$5:$B$3000,$A56)=0,"",SUMPRODUCT(MAX((Progress!$B$5:$B$3000=$A56)*Progress!$A$5:$A$3000))))</f>
        <v/>
      </c>
      <c r="L56" s="22"/>
    </row>
    <row r="57" customFormat="false" ht="15" hidden="false" customHeight="false" outlineLevel="0" collapsed="false">
      <c r="A57" s="22"/>
      <c r="B57" s="22"/>
      <c r="C57" s="23"/>
      <c r="D57" s="22"/>
      <c r="E57" s="24" t="str">
        <f aca="false">IF(OR($A57="",$B57=""),"",SUMPRODUCT((Levels!$A$5:$A$94=$B57)*(Levels!$B$5:$B$94=1)*(COUNTIFS(Progress!$B$5:$B$3000,$A57,Progress!$G$5:$G$3000,Levels!$G$5:$G$94)&gt;0))&amp;" / "&amp;COUNTIFS(Levels!$A$5:$A$94,$B57,Levels!$B$5:$B$94,1))</f>
        <v/>
      </c>
      <c r="F57" s="24" t="str">
        <f aca="false">IF(OR($A57="",$B57=""),"",SUMPRODUCT((Levels!$A$5:$A$94=$B57)*(Levels!$B$5:$B$94=2)*(COUNTIFS(Progress!$B$5:$B$3000,$A57,Progress!$G$5:$G$3000,Levels!$G$5:$G$94)&gt;0))&amp;" / "&amp;COUNTIFS(Levels!$A$5:$A$94,$B57,Levels!$B$5:$B$94,2))</f>
        <v/>
      </c>
      <c r="G57" s="24" t="str">
        <f aca="false">IF(OR($A57="",$B57=""),"",SUMPRODUCT((Levels!$A$5:$A$94=$B57)*(Levels!$B$5:$B$94=3)*(COUNTIFS(Progress!$B$5:$B$3000,$A57,Progress!$G$5:$G$3000,Levels!$G$5:$G$94)&gt;0))&amp;" / "&amp;COUNTIFS(Levels!$A$5:$A$94,$B57,Levels!$B$5:$B$94,3))</f>
        <v/>
      </c>
      <c r="H57" s="24" t="str">
        <f aca="false">IF(OR($A57="",$B57=""),"",SUMPRODUCT((Levels!$A$5:$A$94=$B57)*(Levels!$B$5:$B$94=4)*(COUNTIFS(Progress!$B$5:$B$3000,$A57,Progress!$G$5:$G$3000,Levels!$G$5:$G$94)&gt;0))&amp;" / "&amp;COUNTIFS(Levels!$A$5:$A$94,$B57,Levels!$B$5:$B$94,4))</f>
        <v/>
      </c>
      <c r="I57" s="24" t="str">
        <f aca="false">IF(OR($A57="",$B57=""),"",IF(SUMPRODUCT((Levels!$A$5:$A$94=$B57)*(Levels!$B$5:$B$94=1)*(COUNTIFS(Progress!$B$5:$B$3000,$A57,Progress!$G$5:$G$3000,Levels!$G$5:$G$94)&gt;0))&lt;COUNTIFS(Levels!$A$5:$A$94,$B57,Levels!$B$5:$B$94,1),"1 Rookie",IF(SUMPRODUCT((Levels!$A$5:$A$94=$B57)*(Levels!$B$5:$B$94=2)*(COUNTIFS(Progress!$B$5:$B$3000,$A57,Progress!$G$5:$G$3000,Levels!$G$5:$G$94)&gt;0))&lt;COUNTIFS(Levels!$A$5:$A$94,$B57,Levels!$B$5:$B$94,2),"2 Contender",IF(SUMPRODUCT((Levels!$A$5:$A$94=$B57)*(Levels!$B$5:$B$94=3)*(COUNTIFS(Progress!$B$5:$B$3000,$A57,Progress!$G$5:$G$3000,Levels!$G$5:$G$94)&gt;0))&lt;COUNTIFS(Levels!$A$5:$A$94,$B57,Levels!$B$5:$B$94,3),"3 Challenger",IF(SUMPRODUCT((Levels!$A$5:$A$94=$B57)*(Levels!$B$5:$B$94=4)*(COUNTIFS(Progress!$B$5:$B$3000,$A57,Progress!$G$5:$G$3000,Levels!$G$5:$G$94)&gt;0))&lt;COUNTIFS(Levels!$A$5:$A$94,$B57,Levels!$B$5:$B$94,4),"4 Champion","All done")))))</f>
        <v/>
      </c>
      <c r="J57" s="25" t="str">
        <f aca="false">IF(OR(I57="",I57="All done"),"",COUNTIFS(Levels!$A$5:$A$94,$B57,Levels!$B$5:$B$94,1)*(LEFT(I57,1)="1")+COUNTIFS(Levels!$A$5:$A$94,$B57,Levels!$B$5:$B$94,2)*(LEFT(I57,1)="2")+COUNTIFS(Levels!$A$5:$A$94,$B57,Levels!$B$5:$B$94,3)*(LEFT(I57,1)="3")+COUNTIFS(Levels!$A$5:$A$94,$B57,Levels!$B$5:$B$94,4)*(LEFT(I57,1)="4")-(SUMPRODUCT((Levels!$A$5:$A$94=$B57)*(Levels!$B$5:$B$94=1)*(COUNTIFS(Progress!$B$5:$B$3000,$A57,Progress!$G$5:$G$3000,Levels!$G$5:$G$94)&gt;0))*(LEFT(I57,1)="1")+SUMPRODUCT((Levels!$A$5:$A$94=$B57)*(Levels!$B$5:$B$94=2)*(COUNTIFS(Progress!$B$5:$B$3000,$A57,Progress!$G$5:$G$3000,Levels!$G$5:$G$94)&gt;0))*(LEFT(I57,1)="2")+SUMPRODUCT((Levels!$A$5:$A$94=$B57)*(Levels!$B$5:$B$94=3)*(COUNTIFS(Progress!$B$5:$B$3000,$A57,Progress!$G$5:$G$3000,Levels!$G$5:$G$94)&gt;0))*(LEFT(I57,1)="3")+SUMPRODUCT((Levels!$A$5:$A$94=$B57)*(Levels!$B$5:$B$94=4)*(COUNTIFS(Progress!$B$5:$B$3000,$A57,Progress!$G$5:$G$3000,Levels!$G$5:$G$94)&gt;0))*(LEFT(I57,1)="4")))</f>
        <v/>
      </c>
      <c r="K57" s="26" t="str">
        <f aca="false">IF($A57="","",IF(COUNTIFS(Progress!$B$5:$B$3000,$A57)=0,"",SUMPRODUCT(MAX((Progress!$B$5:$B$3000=$A57)*Progress!$A$5:$A$3000))))</f>
        <v/>
      </c>
      <c r="L57" s="22"/>
    </row>
    <row r="58" customFormat="false" ht="15" hidden="false" customHeight="false" outlineLevel="0" collapsed="false">
      <c r="A58" s="22"/>
      <c r="B58" s="22"/>
      <c r="C58" s="23"/>
      <c r="D58" s="22"/>
      <c r="E58" s="24" t="str">
        <f aca="false">IF(OR($A58="",$B58=""),"",SUMPRODUCT((Levels!$A$5:$A$94=$B58)*(Levels!$B$5:$B$94=1)*(COUNTIFS(Progress!$B$5:$B$3000,$A58,Progress!$G$5:$G$3000,Levels!$G$5:$G$94)&gt;0))&amp;" / "&amp;COUNTIFS(Levels!$A$5:$A$94,$B58,Levels!$B$5:$B$94,1))</f>
        <v/>
      </c>
      <c r="F58" s="24" t="str">
        <f aca="false">IF(OR($A58="",$B58=""),"",SUMPRODUCT((Levels!$A$5:$A$94=$B58)*(Levels!$B$5:$B$94=2)*(COUNTIFS(Progress!$B$5:$B$3000,$A58,Progress!$G$5:$G$3000,Levels!$G$5:$G$94)&gt;0))&amp;" / "&amp;COUNTIFS(Levels!$A$5:$A$94,$B58,Levels!$B$5:$B$94,2))</f>
        <v/>
      </c>
      <c r="G58" s="24" t="str">
        <f aca="false">IF(OR($A58="",$B58=""),"",SUMPRODUCT((Levels!$A$5:$A$94=$B58)*(Levels!$B$5:$B$94=3)*(COUNTIFS(Progress!$B$5:$B$3000,$A58,Progress!$G$5:$G$3000,Levels!$G$5:$G$94)&gt;0))&amp;" / "&amp;COUNTIFS(Levels!$A$5:$A$94,$B58,Levels!$B$5:$B$94,3))</f>
        <v/>
      </c>
      <c r="H58" s="24" t="str">
        <f aca="false">IF(OR($A58="",$B58=""),"",SUMPRODUCT((Levels!$A$5:$A$94=$B58)*(Levels!$B$5:$B$94=4)*(COUNTIFS(Progress!$B$5:$B$3000,$A58,Progress!$G$5:$G$3000,Levels!$G$5:$G$94)&gt;0))&amp;" / "&amp;COUNTIFS(Levels!$A$5:$A$94,$B58,Levels!$B$5:$B$94,4))</f>
        <v/>
      </c>
      <c r="I58" s="24" t="str">
        <f aca="false">IF(OR($A58="",$B58=""),"",IF(SUMPRODUCT((Levels!$A$5:$A$94=$B58)*(Levels!$B$5:$B$94=1)*(COUNTIFS(Progress!$B$5:$B$3000,$A58,Progress!$G$5:$G$3000,Levels!$G$5:$G$94)&gt;0))&lt;COUNTIFS(Levels!$A$5:$A$94,$B58,Levels!$B$5:$B$94,1),"1 Rookie",IF(SUMPRODUCT((Levels!$A$5:$A$94=$B58)*(Levels!$B$5:$B$94=2)*(COUNTIFS(Progress!$B$5:$B$3000,$A58,Progress!$G$5:$G$3000,Levels!$G$5:$G$94)&gt;0))&lt;COUNTIFS(Levels!$A$5:$A$94,$B58,Levels!$B$5:$B$94,2),"2 Contender",IF(SUMPRODUCT((Levels!$A$5:$A$94=$B58)*(Levels!$B$5:$B$94=3)*(COUNTIFS(Progress!$B$5:$B$3000,$A58,Progress!$G$5:$G$3000,Levels!$G$5:$G$94)&gt;0))&lt;COUNTIFS(Levels!$A$5:$A$94,$B58,Levels!$B$5:$B$94,3),"3 Challenger",IF(SUMPRODUCT((Levels!$A$5:$A$94=$B58)*(Levels!$B$5:$B$94=4)*(COUNTIFS(Progress!$B$5:$B$3000,$A58,Progress!$G$5:$G$3000,Levels!$G$5:$G$94)&gt;0))&lt;COUNTIFS(Levels!$A$5:$A$94,$B58,Levels!$B$5:$B$94,4),"4 Champion","All done")))))</f>
        <v/>
      </c>
      <c r="J58" s="25" t="str">
        <f aca="false">IF(OR(I58="",I58="All done"),"",COUNTIFS(Levels!$A$5:$A$94,$B58,Levels!$B$5:$B$94,1)*(LEFT(I58,1)="1")+COUNTIFS(Levels!$A$5:$A$94,$B58,Levels!$B$5:$B$94,2)*(LEFT(I58,1)="2")+COUNTIFS(Levels!$A$5:$A$94,$B58,Levels!$B$5:$B$94,3)*(LEFT(I58,1)="3")+COUNTIFS(Levels!$A$5:$A$94,$B58,Levels!$B$5:$B$94,4)*(LEFT(I58,1)="4")-(SUMPRODUCT((Levels!$A$5:$A$94=$B58)*(Levels!$B$5:$B$94=1)*(COUNTIFS(Progress!$B$5:$B$3000,$A58,Progress!$G$5:$G$3000,Levels!$G$5:$G$94)&gt;0))*(LEFT(I58,1)="1")+SUMPRODUCT((Levels!$A$5:$A$94=$B58)*(Levels!$B$5:$B$94=2)*(COUNTIFS(Progress!$B$5:$B$3000,$A58,Progress!$G$5:$G$3000,Levels!$G$5:$G$94)&gt;0))*(LEFT(I58,1)="2")+SUMPRODUCT((Levels!$A$5:$A$94=$B58)*(Levels!$B$5:$B$94=3)*(COUNTIFS(Progress!$B$5:$B$3000,$A58,Progress!$G$5:$G$3000,Levels!$G$5:$G$94)&gt;0))*(LEFT(I58,1)="3")+SUMPRODUCT((Levels!$A$5:$A$94=$B58)*(Levels!$B$5:$B$94=4)*(COUNTIFS(Progress!$B$5:$B$3000,$A58,Progress!$G$5:$G$3000,Levels!$G$5:$G$94)&gt;0))*(LEFT(I58,1)="4")))</f>
        <v/>
      </c>
      <c r="K58" s="26" t="str">
        <f aca="false">IF($A58="","",IF(COUNTIFS(Progress!$B$5:$B$3000,$A58)=0,"",SUMPRODUCT(MAX((Progress!$B$5:$B$3000=$A58)*Progress!$A$5:$A$3000))))</f>
        <v/>
      </c>
      <c r="L58" s="22"/>
    </row>
    <row r="59" customFormat="false" ht="15" hidden="false" customHeight="false" outlineLevel="0" collapsed="false">
      <c r="A59" s="22"/>
      <c r="B59" s="22"/>
      <c r="C59" s="23"/>
      <c r="D59" s="22"/>
      <c r="E59" s="24" t="str">
        <f aca="false">IF(OR($A59="",$B59=""),"",SUMPRODUCT((Levels!$A$5:$A$94=$B59)*(Levels!$B$5:$B$94=1)*(COUNTIFS(Progress!$B$5:$B$3000,$A59,Progress!$G$5:$G$3000,Levels!$G$5:$G$94)&gt;0))&amp;" / "&amp;COUNTIFS(Levels!$A$5:$A$94,$B59,Levels!$B$5:$B$94,1))</f>
        <v/>
      </c>
      <c r="F59" s="24" t="str">
        <f aca="false">IF(OR($A59="",$B59=""),"",SUMPRODUCT((Levels!$A$5:$A$94=$B59)*(Levels!$B$5:$B$94=2)*(COUNTIFS(Progress!$B$5:$B$3000,$A59,Progress!$G$5:$G$3000,Levels!$G$5:$G$94)&gt;0))&amp;" / "&amp;COUNTIFS(Levels!$A$5:$A$94,$B59,Levels!$B$5:$B$94,2))</f>
        <v/>
      </c>
      <c r="G59" s="24" t="str">
        <f aca="false">IF(OR($A59="",$B59=""),"",SUMPRODUCT((Levels!$A$5:$A$94=$B59)*(Levels!$B$5:$B$94=3)*(COUNTIFS(Progress!$B$5:$B$3000,$A59,Progress!$G$5:$G$3000,Levels!$G$5:$G$94)&gt;0))&amp;" / "&amp;COUNTIFS(Levels!$A$5:$A$94,$B59,Levels!$B$5:$B$94,3))</f>
        <v/>
      </c>
      <c r="H59" s="24" t="str">
        <f aca="false">IF(OR($A59="",$B59=""),"",SUMPRODUCT((Levels!$A$5:$A$94=$B59)*(Levels!$B$5:$B$94=4)*(COUNTIFS(Progress!$B$5:$B$3000,$A59,Progress!$G$5:$G$3000,Levels!$G$5:$G$94)&gt;0))&amp;" / "&amp;COUNTIFS(Levels!$A$5:$A$94,$B59,Levels!$B$5:$B$94,4))</f>
        <v/>
      </c>
      <c r="I59" s="24" t="str">
        <f aca="false">IF(OR($A59="",$B59=""),"",IF(SUMPRODUCT((Levels!$A$5:$A$94=$B59)*(Levels!$B$5:$B$94=1)*(COUNTIFS(Progress!$B$5:$B$3000,$A59,Progress!$G$5:$G$3000,Levels!$G$5:$G$94)&gt;0))&lt;COUNTIFS(Levels!$A$5:$A$94,$B59,Levels!$B$5:$B$94,1),"1 Rookie",IF(SUMPRODUCT((Levels!$A$5:$A$94=$B59)*(Levels!$B$5:$B$94=2)*(COUNTIFS(Progress!$B$5:$B$3000,$A59,Progress!$G$5:$G$3000,Levels!$G$5:$G$94)&gt;0))&lt;COUNTIFS(Levels!$A$5:$A$94,$B59,Levels!$B$5:$B$94,2),"2 Contender",IF(SUMPRODUCT((Levels!$A$5:$A$94=$B59)*(Levels!$B$5:$B$94=3)*(COUNTIFS(Progress!$B$5:$B$3000,$A59,Progress!$G$5:$G$3000,Levels!$G$5:$G$94)&gt;0))&lt;COUNTIFS(Levels!$A$5:$A$94,$B59,Levels!$B$5:$B$94,3),"3 Challenger",IF(SUMPRODUCT((Levels!$A$5:$A$94=$B59)*(Levels!$B$5:$B$94=4)*(COUNTIFS(Progress!$B$5:$B$3000,$A59,Progress!$G$5:$G$3000,Levels!$G$5:$G$94)&gt;0))&lt;COUNTIFS(Levels!$A$5:$A$94,$B59,Levels!$B$5:$B$94,4),"4 Champion","All done")))))</f>
        <v/>
      </c>
      <c r="J59" s="25" t="str">
        <f aca="false">IF(OR(I59="",I59="All done"),"",COUNTIFS(Levels!$A$5:$A$94,$B59,Levels!$B$5:$B$94,1)*(LEFT(I59,1)="1")+COUNTIFS(Levels!$A$5:$A$94,$B59,Levels!$B$5:$B$94,2)*(LEFT(I59,1)="2")+COUNTIFS(Levels!$A$5:$A$94,$B59,Levels!$B$5:$B$94,3)*(LEFT(I59,1)="3")+COUNTIFS(Levels!$A$5:$A$94,$B59,Levels!$B$5:$B$94,4)*(LEFT(I59,1)="4")-(SUMPRODUCT((Levels!$A$5:$A$94=$B59)*(Levels!$B$5:$B$94=1)*(COUNTIFS(Progress!$B$5:$B$3000,$A59,Progress!$G$5:$G$3000,Levels!$G$5:$G$94)&gt;0))*(LEFT(I59,1)="1")+SUMPRODUCT((Levels!$A$5:$A$94=$B59)*(Levels!$B$5:$B$94=2)*(COUNTIFS(Progress!$B$5:$B$3000,$A59,Progress!$G$5:$G$3000,Levels!$G$5:$G$94)&gt;0))*(LEFT(I59,1)="2")+SUMPRODUCT((Levels!$A$5:$A$94=$B59)*(Levels!$B$5:$B$94=3)*(COUNTIFS(Progress!$B$5:$B$3000,$A59,Progress!$G$5:$G$3000,Levels!$G$5:$G$94)&gt;0))*(LEFT(I59,1)="3")+SUMPRODUCT((Levels!$A$5:$A$94=$B59)*(Levels!$B$5:$B$94=4)*(COUNTIFS(Progress!$B$5:$B$3000,$A59,Progress!$G$5:$G$3000,Levels!$G$5:$G$94)&gt;0))*(LEFT(I59,1)="4")))</f>
        <v/>
      </c>
      <c r="K59" s="26" t="str">
        <f aca="false">IF($A59="","",IF(COUNTIFS(Progress!$B$5:$B$3000,$A59)=0,"",SUMPRODUCT(MAX((Progress!$B$5:$B$3000=$A59)*Progress!$A$5:$A$3000))))</f>
        <v/>
      </c>
      <c r="L59" s="22"/>
    </row>
    <row r="60" customFormat="false" ht="15" hidden="false" customHeight="false" outlineLevel="0" collapsed="false">
      <c r="A60" s="22"/>
      <c r="B60" s="22"/>
      <c r="C60" s="23"/>
      <c r="D60" s="22"/>
      <c r="E60" s="24" t="str">
        <f aca="false">IF(OR($A60="",$B60=""),"",SUMPRODUCT((Levels!$A$5:$A$94=$B60)*(Levels!$B$5:$B$94=1)*(COUNTIFS(Progress!$B$5:$B$3000,$A60,Progress!$G$5:$G$3000,Levels!$G$5:$G$94)&gt;0))&amp;" / "&amp;COUNTIFS(Levels!$A$5:$A$94,$B60,Levels!$B$5:$B$94,1))</f>
        <v/>
      </c>
      <c r="F60" s="24" t="str">
        <f aca="false">IF(OR($A60="",$B60=""),"",SUMPRODUCT((Levels!$A$5:$A$94=$B60)*(Levels!$B$5:$B$94=2)*(COUNTIFS(Progress!$B$5:$B$3000,$A60,Progress!$G$5:$G$3000,Levels!$G$5:$G$94)&gt;0))&amp;" / "&amp;COUNTIFS(Levels!$A$5:$A$94,$B60,Levels!$B$5:$B$94,2))</f>
        <v/>
      </c>
      <c r="G60" s="24" t="str">
        <f aca="false">IF(OR($A60="",$B60=""),"",SUMPRODUCT((Levels!$A$5:$A$94=$B60)*(Levels!$B$5:$B$94=3)*(COUNTIFS(Progress!$B$5:$B$3000,$A60,Progress!$G$5:$G$3000,Levels!$G$5:$G$94)&gt;0))&amp;" / "&amp;COUNTIFS(Levels!$A$5:$A$94,$B60,Levels!$B$5:$B$94,3))</f>
        <v/>
      </c>
      <c r="H60" s="24" t="str">
        <f aca="false">IF(OR($A60="",$B60=""),"",SUMPRODUCT((Levels!$A$5:$A$94=$B60)*(Levels!$B$5:$B$94=4)*(COUNTIFS(Progress!$B$5:$B$3000,$A60,Progress!$G$5:$G$3000,Levels!$G$5:$G$94)&gt;0))&amp;" / "&amp;COUNTIFS(Levels!$A$5:$A$94,$B60,Levels!$B$5:$B$94,4))</f>
        <v/>
      </c>
      <c r="I60" s="24" t="str">
        <f aca="false">IF(OR($A60="",$B60=""),"",IF(SUMPRODUCT((Levels!$A$5:$A$94=$B60)*(Levels!$B$5:$B$94=1)*(COUNTIFS(Progress!$B$5:$B$3000,$A60,Progress!$G$5:$G$3000,Levels!$G$5:$G$94)&gt;0))&lt;COUNTIFS(Levels!$A$5:$A$94,$B60,Levels!$B$5:$B$94,1),"1 Rookie",IF(SUMPRODUCT((Levels!$A$5:$A$94=$B60)*(Levels!$B$5:$B$94=2)*(COUNTIFS(Progress!$B$5:$B$3000,$A60,Progress!$G$5:$G$3000,Levels!$G$5:$G$94)&gt;0))&lt;COUNTIFS(Levels!$A$5:$A$94,$B60,Levels!$B$5:$B$94,2),"2 Contender",IF(SUMPRODUCT((Levels!$A$5:$A$94=$B60)*(Levels!$B$5:$B$94=3)*(COUNTIFS(Progress!$B$5:$B$3000,$A60,Progress!$G$5:$G$3000,Levels!$G$5:$G$94)&gt;0))&lt;COUNTIFS(Levels!$A$5:$A$94,$B60,Levels!$B$5:$B$94,3),"3 Challenger",IF(SUMPRODUCT((Levels!$A$5:$A$94=$B60)*(Levels!$B$5:$B$94=4)*(COUNTIFS(Progress!$B$5:$B$3000,$A60,Progress!$G$5:$G$3000,Levels!$G$5:$G$94)&gt;0))&lt;COUNTIFS(Levels!$A$5:$A$94,$B60,Levels!$B$5:$B$94,4),"4 Champion","All done")))))</f>
        <v/>
      </c>
      <c r="J60" s="25" t="str">
        <f aca="false">IF(OR(I60="",I60="All done"),"",COUNTIFS(Levels!$A$5:$A$94,$B60,Levels!$B$5:$B$94,1)*(LEFT(I60,1)="1")+COUNTIFS(Levels!$A$5:$A$94,$B60,Levels!$B$5:$B$94,2)*(LEFT(I60,1)="2")+COUNTIFS(Levels!$A$5:$A$94,$B60,Levels!$B$5:$B$94,3)*(LEFT(I60,1)="3")+COUNTIFS(Levels!$A$5:$A$94,$B60,Levels!$B$5:$B$94,4)*(LEFT(I60,1)="4")-(SUMPRODUCT((Levels!$A$5:$A$94=$B60)*(Levels!$B$5:$B$94=1)*(COUNTIFS(Progress!$B$5:$B$3000,$A60,Progress!$G$5:$G$3000,Levels!$G$5:$G$94)&gt;0))*(LEFT(I60,1)="1")+SUMPRODUCT((Levels!$A$5:$A$94=$B60)*(Levels!$B$5:$B$94=2)*(COUNTIFS(Progress!$B$5:$B$3000,$A60,Progress!$G$5:$G$3000,Levels!$G$5:$G$94)&gt;0))*(LEFT(I60,1)="2")+SUMPRODUCT((Levels!$A$5:$A$94=$B60)*(Levels!$B$5:$B$94=3)*(COUNTIFS(Progress!$B$5:$B$3000,$A60,Progress!$G$5:$G$3000,Levels!$G$5:$G$94)&gt;0))*(LEFT(I60,1)="3")+SUMPRODUCT((Levels!$A$5:$A$94=$B60)*(Levels!$B$5:$B$94=4)*(COUNTIFS(Progress!$B$5:$B$3000,$A60,Progress!$G$5:$G$3000,Levels!$G$5:$G$94)&gt;0))*(LEFT(I60,1)="4")))</f>
        <v/>
      </c>
      <c r="K60" s="26" t="str">
        <f aca="false">IF($A60="","",IF(COUNTIFS(Progress!$B$5:$B$3000,$A60)=0,"",SUMPRODUCT(MAX((Progress!$B$5:$B$3000=$A60)*Progress!$A$5:$A$3000))))</f>
        <v/>
      </c>
      <c r="L60" s="22"/>
    </row>
    <row r="61" customFormat="false" ht="15" hidden="false" customHeight="false" outlineLevel="0" collapsed="false">
      <c r="A61" s="22"/>
      <c r="B61" s="22"/>
      <c r="C61" s="23"/>
      <c r="D61" s="22"/>
      <c r="E61" s="24" t="str">
        <f aca="false">IF(OR($A61="",$B61=""),"",SUMPRODUCT((Levels!$A$5:$A$94=$B61)*(Levels!$B$5:$B$94=1)*(COUNTIFS(Progress!$B$5:$B$3000,$A61,Progress!$G$5:$G$3000,Levels!$G$5:$G$94)&gt;0))&amp;" / "&amp;COUNTIFS(Levels!$A$5:$A$94,$B61,Levels!$B$5:$B$94,1))</f>
        <v/>
      </c>
      <c r="F61" s="24" t="str">
        <f aca="false">IF(OR($A61="",$B61=""),"",SUMPRODUCT((Levels!$A$5:$A$94=$B61)*(Levels!$B$5:$B$94=2)*(COUNTIFS(Progress!$B$5:$B$3000,$A61,Progress!$G$5:$G$3000,Levels!$G$5:$G$94)&gt;0))&amp;" / "&amp;COUNTIFS(Levels!$A$5:$A$94,$B61,Levels!$B$5:$B$94,2))</f>
        <v/>
      </c>
      <c r="G61" s="24" t="str">
        <f aca="false">IF(OR($A61="",$B61=""),"",SUMPRODUCT((Levels!$A$5:$A$94=$B61)*(Levels!$B$5:$B$94=3)*(COUNTIFS(Progress!$B$5:$B$3000,$A61,Progress!$G$5:$G$3000,Levels!$G$5:$G$94)&gt;0))&amp;" / "&amp;COUNTIFS(Levels!$A$5:$A$94,$B61,Levels!$B$5:$B$94,3))</f>
        <v/>
      </c>
      <c r="H61" s="24" t="str">
        <f aca="false">IF(OR($A61="",$B61=""),"",SUMPRODUCT((Levels!$A$5:$A$94=$B61)*(Levels!$B$5:$B$94=4)*(COUNTIFS(Progress!$B$5:$B$3000,$A61,Progress!$G$5:$G$3000,Levels!$G$5:$G$94)&gt;0))&amp;" / "&amp;COUNTIFS(Levels!$A$5:$A$94,$B61,Levels!$B$5:$B$94,4))</f>
        <v/>
      </c>
      <c r="I61" s="24" t="str">
        <f aca="false">IF(OR($A61="",$B61=""),"",IF(SUMPRODUCT((Levels!$A$5:$A$94=$B61)*(Levels!$B$5:$B$94=1)*(COUNTIFS(Progress!$B$5:$B$3000,$A61,Progress!$G$5:$G$3000,Levels!$G$5:$G$94)&gt;0))&lt;COUNTIFS(Levels!$A$5:$A$94,$B61,Levels!$B$5:$B$94,1),"1 Rookie",IF(SUMPRODUCT((Levels!$A$5:$A$94=$B61)*(Levels!$B$5:$B$94=2)*(COUNTIFS(Progress!$B$5:$B$3000,$A61,Progress!$G$5:$G$3000,Levels!$G$5:$G$94)&gt;0))&lt;COUNTIFS(Levels!$A$5:$A$94,$B61,Levels!$B$5:$B$94,2),"2 Contender",IF(SUMPRODUCT((Levels!$A$5:$A$94=$B61)*(Levels!$B$5:$B$94=3)*(COUNTIFS(Progress!$B$5:$B$3000,$A61,Progress!$G$5:$G$3000,Levels!$G$5:$G$94)&gt;0))&lt;COUNTIFS(Levels!$A$5:$A$94,$B61,Levels!$B$5:$B$94,3),"3 Challenger",IF(SUMPRODUCT((Levels!$A$5:$A$94=$B61)*(Levels!$B$5:$B$94=4)*(COUNTIFS(Progress!$B$5:$B$3000,$A61,Progress!$G$5:$G$3000,Levels!$G$5:$G$94)&gt;0))&lt;COUNTIFS(Levels!$A$5:$A$94,$B61,Levels!$B$5:$B$94,4),"4 Champion","All done")))))</f>
        <v/>
      </c>
      <c r="J61" s="25" t="str">
        <f aca="false">IF(OR(I61="",I61="All done"),"",COUNTIFS(Levels!$A$5:$A$94,$B61,Levels!$B$5:$B$94,1)*(LEFT(I61,1)="1")+COUNTIFS(Levels!$A$5:$A$94,$B61,Levels!$B$5:$B$94,2)*(LEFT(I61,1)="2")+COUNTIFS(Levels!$A$5:$A$94,$B61,Levels!$B$5:$B$94,3)*(LEFT(I61,1)="3")+COUNTIFS(Levels!$A$5:$A$94,$B61,Levels!$B$5:$B$94,4)*(LEFT(I61,1)="4")-(SUMPRODUCT((Levels!$A$5:$A$94=$B61)*(Levels!$B$5:$B$94=1)*(COUNTIFS(Progress!$B$5:$B$3000,$A61,Progress!$G$5:$G$3000,Levels!$G$5:$G$94)&gt;0))*(LEFT(I61,1)="1")+SUMPRODUCT((Levels!$A$5:$A$94=$B61)*(Levels!$B$5:$B$94=2)*(COUNTIFS(Progress!$B$5:$B$3000,$A61,Progress!$G$5:$G$3000,Levels!$G$5:$G$94)&gt;0))*(LEFT(I61,1)="2")+SUMPRODUCT((Levels!$A$5:$A$94=$B61)*(Levels!$B$5:$B$94=3)*(COUNTIFS(Progress!$B$5:$B$3000,$A61,Progress!$G$5:$G$3000,Levels!$G$5:$G$94)&gt;0))*(LEFT(I61,1)="3")+SUMPRODUCT((Levels!$A$5:$A$94=$B61)*(Levels!$B$5:$B$94=4)*(COUNTIFS(Progress!$B$5:$B$3000,$A61,Progress!$G$5:$G$3000,Levels!$G$5:$G$94)&gt;0))*(LEFT(I61,1)="4")))</f>
        <v/>
      </c>
      <c r="K61" s="26" t="str">
        <f aca="false">IF($A61="","",IF(COUNTIFS(Progress!$B$5:$B$3000,$A61)=0,"",SUMPRODUCT(MAX((Progress!$B$5:$B$3000=$A61)*Progress!$A$5:$A$3000))))</f>
        <v/>
      </c>
      <c r="L61" s="22"/>
    </row>
    <row r="62" customFormat="false" ht="15" hidden="false" customHeight="false" outlineLevel="0" collapsed="false">
      <c r="A62" s="22"/>
      <c r="B62" s="22"/>
      <c r="C62" s="23"/>
      <c r="D62" s="22"/>
      <c r="E62" s="24" t="str">
        <f aca="false">IF(OR($A62="",$B62=""),"",SUMPRODUCT((Levels!$A$5:$A$94=$B62)*(Levels!$B$5:$B$94=1)*(COUNTIFS(Progress!$B$5:$B$3000,$A62,Progress!$G$5:$G$3000,Levels!$G$5:$G$94)&gt;0))&amp;" / "&amp;COUNTIFS(Levels!$A$5:$A$94,$B62,Levels!$B$5:$B$94,1))</f>
        <v/>
      </c>
      <c r="F62" s="24" t="str">
        <f aca="false">IF(OR($A62="",$B62=""),"",SUMPRODUCT((Levels!$A$5:$A$94=$B62)*(Levels!$B$5:$B$94=2)*(COUNTIFS(Progress!$B$5:$B$3000,$A62,Progress!$G$5:$G$3000,Levels!$G$5:$G$94)&gt;0))&amp;" / "&amp;COUNTIFS(Levels!$A$5:$A$94,$B62,Levels!$B$5:$B$94,2))</f>
        <v/>
      </c>
      <c r="G62" s="24" t="str">
        <f aca="false">IF(OR($A62="",$B62=""),"",SUMPRODUCT((Levels!$A$5:$A$94=$B62)*(Levels!$B$5:$B$94=3)*(COUNTIFS(Progress!$B$5:$B$3000,$A62,Progress!$G$5:$G$3000,Levels!$G$5:$G$94)&gt;0))&amp;" / "&amp;COUNTIFS(Levels!$A$5:$A$94,$B62,Levels!$B$5:$B$94,3))</f>
        <v/>
      </c>
      <c r="H62" s="24" t="str">
        <f aca="false">IF(OR($A62="",$B62=""),"",SUMPRODUCT((Levels!$A$5:$A$94=$B62)*(Levels!$B$5:$B$94=4)*(COUNTIFS(Progress!$B$5:$B$3000,$A62,Progress!$G$5:$G$3000,Levels!$G$5:$G$94)&gt;0))&amp;" / "&amp;COUNTIFS(Levels!$A$5:$A$94,$B62,Levels!$B$5:$B$94,4))</f>
        <v/>
      </c>
      <c r="I62" s="24" t="str">
        <f aca="false">IF(OR($A62="",$B62=""),"",IF(SUMPRODUCT((Levels!$A$5:$A$94=$B62)*(Levels!$B$5:$B$94=1)*(COUNTIFS(Progress!$B$5:$B$3000,$A62,Progress!$G$5:$G$3000,Levels!$G$5:$G$94)&gt;0))&lt;COUNTIFS(Levels!$A$5:$A$94,$B62,Levels!$B$5:$B$94,1),"1 Rookie",IF(SUMPRODUCT((Levels!$A$5:$A$94=$B62)*(Levels!$B$5:$B$94=2)*(COUNTIFS(Progress!$B$5:$B$3000,$A62,Progress!$G$5:$G$3000,Levels!$G$5:$G$94)&gt;0))&lt;COUNTIFS(Levels!$A$5:$A$94,$B62,Levels!$B$5:$B$94,2),"2 Contender",IF(SUMPRODUCT((Levels!$A$5:$A$94=$B62)*(Levels!$B$5:$B$94=3)*(COUNTIFS(Progress!$B$5:$B$3000,$A62,Progress!$G$5:$G$3000,Levels!$G$5:$G$94)&gt;0))&lt;COUNTIFS(Levels!$A$5:$A$94,$B62,Levels!$B$5:$B$94,3),"3 Challenger",IF(SUMPRODUCT((Levels!$A$5:$A$94=$B62)*(Levels!$B$5:$B$94=4)*(COUNTIFS(Progress!$B$5:$B$3000,$A62,Progress!$G$5:$G$3000,Levels!$G$5:$G$94)&gt;0))&lt;COUNTIFS(Levels!$A$5:$A$94,$B62,Levels!$B$5:$B$94,4),"4 Champion","All done")))))</f>
        <v/>
      </c>
      <c r="J62" s="25" t="str">
        <f aca="false">IF(OR(I62="",I62="All done"),"",COUNTIFS(Levels!$A$5:$A$94,$B62,Levels!$B$5:$B$94,1)*(LEFT(I62,1)="1")+COUNTIFS(Levels!$A$5:$A$94,$B62,Levels!$B$5:$B$94,2)*(LEFT(I62,1)="2")+COUNTIFS(Levels!$A$5:$A$94,$B62,Levels!$B$5:$B$94,3)*(LEFT(I62,1)="3")+COUNTIFS(Levels!$A$5:$A$94,$B62,Levels!$B$5:$B$94,4)*(LEFT(I62,1)="4")-(SUMPRODUCT((Levels!$A$5:$A$94=$B62)*(Levels!$B$5:$B$94=1)*(COUNTIFS(Progress!$B$5:$B$3000,$A62,Progress!$G$5:$G$3000,Levels!$G$5:$G$94)&gt;0))*(LEFT(I62,1)="1")+SUMPRODUCT((Levels!$A$5:$A$94=$B62)*(Levels!$B$5:$B$94=2)*(COUNTIFS(Progress!$B$5:$B$3000,$A62,Progress!$G$5:$G$3000,Levels!$G$5:$G$94)&gt;0))*(LEFT(I62,1)="2")+SUMPRODUCT((Levels!$A$5:$A$94=$B62)*(Levels!$B$5:$B$94=3)*(COUNTIFS(Progress!$B$5:$B$3000,$A62,Progress!$G$5:$G$3000,Levels!$G$5:$G$94)&gt;0))*(LEFT(I62,1)="3")+SUMPRODUCT((Levels!$A$5:$A$94=$B62)*(Levels!$B$5:$B$94=4)*(COUNTIFS(Progress!$B$5:$B$3000,$A62,Progress!$G$5:$G$3000,Levels!$G$5:$G$94)&gt;0))*(LEFT(I62,1)="4")))</f>
        <v/>
      </c>
      <c r="K62" s="26" t="str">
        <f aca="false">IF($A62="","",IF(COUNTIFS(Progress!$B$5:$B$3000,$A62)=0,"",SUMPRODUCT(MAX((Progress!$B$5:$B$3000=$A62)*Progress!$A$5:$A$3000))))</f>
        <v/>
      </c>
      <c r="L62" s="22"/>
    </row>
    <row r="63" customFormat="false" ht="15" hidden="false" customHeight="false" outlineLevel="0" collapsed="false">
      <c r="A63" s="22"/>
      <c r="B63" s="22"/>
      <c r="C63" s="23"/>
      <c r="D63" s="22"/>
      <c r="E63" s="24" t="str">
        <f aca="false">IF(OR($A63="",$B63=""),"",SUMPRODUCT((Levels!$A$5:$A$94=$B63)*(Levels!$B$5:$B$94=1)*(COUNTIFS(Progress!$B$5:$B$3000,$A63,Progress!$G$5:$G$3000,Levels!$G$5:$G$94)&gt;0))&amp;" / "&amp;COUNTIFS(Levels!$A$5:$A$94,$B63,Levels!$B$5:$B$94,1))</f>
        <v/>
      </c>
      <c r="F63" s="24" t="str">
        <f aca="false">IF(OR($A63="",$B63=""),"",SUMPRODUCT((Levels!$A$5:$A$94=$B63)*(Levels!$B$5:$B$94=2)*(COUNTIFS(Progress!$B$5:$B$3000,$A63,Progress!$G$5:$G$3000,Levels!$G$5:$G$94)&gt;0))&amp;" / "&amp;COUNTIFS(Levels!$A$5:$A$94,$B63,Levels!$B$5:$B$94,2))</f>
        <v/>
      </c>
      <c r="G63" s="24" t="str">
        <f aca="false">IF(OR($A63="",$B63=""),"",SUMPRODUCT((Levels!$A$5:$A$94=$B63)*(Levels!$B$5:$B$94=3)*(COUNTIFS(Progress!$B$5:$B$3000,$A63,Progress!$G$5:$G$3000,Levels!$G$5:$G$94)&gt;0))&amp;" / "&amp;COUNTIFS(Levels!$A$5:$A$94,$B63,Levels!$B$5:$B$94,3))</f>
        <v/>
      </c>
      <c r="H63" s="24" t="str">
        <f aca="false">IF(OR($A63="",$B63=""),"",SUMPRODUCT((Levels!$A$5:$A$94=$B63)*(Levels!$B$5:$B$94=4)*(COUNTIFS(Progress!$B$5:$B$3000,$A63,Progress!$G$5:$G$3000,Levels!$G$5:$G$94)&gt;0))&amp;" / "&amp;COUNTIFS(Levels!$A$5:$A$94,$B63,Levels!$B$5:$B$94,4))</f>
        <v/>
      </c>
      <c r="I63" s="24" t="str">
        <f aca="false">IF(OR($A63="",$B63=""),"",IF(SUMPRODUCT((Levels!$A$5:$A$94=$B63)*(Levels!$B$5:$B$94=1)*(COUNTIFS(Progress!$B$5:$B$3000,$A63,Progress!$G$5:$G$3000,Levels!$G$5:$G$94)&gt;0))&lt;COUNTIFS(Levels!$A$5:$A$94,$B63,Levels!$B$5:$B$94,1),"1 Rookie",IF(SUMPRODUCT((Levels!$A$5:$A$94=$B63)*(Levels!$B$5:$B$94=2)*(COUNTIFS(Progress!$B$5:$B$3000,$A63,Progress!$G$5:$G$3000,Levels!$G$5:$G$94)&gt;0))&lt;COUNTIFS(Levels!$A$5:$A$94,$B63,Levels!$B$5:$B$94,2),"2 Contender",IF(SUMPRODUCT((Levels!$A$5:$A$94=$B63)*(Levels!$B$5:$B$94=3)*(COUNTIFS(Progress!$B$5:$B$3000,$A63,Progress!$G$5:$G$3000,Levels!$G$5:$G$94)&gt;0))&lt;COUNTIFS(Levels!$A$5:$A$94,$B63,Levels!$B$5:$B$94,3),"3 Challenger",IF(SUMPRODUCT((Levels!$A$5:$A$94=$B63)*(Levels!$B$5:$B$94=4)*(COUNTIFS(Progress!$B$5:$B$3000,$A63,Progress!$G$5:$G$3000,Levels!$G$5:$G$94)&gt;0))&lt;COUNTIFS(Levels!$A$5:$A$94,$B63,Levels!$B$5:$B$94,4),"4 Champion","All done")))))</f>
        <v/>
      </c>
      <c r="J63" s="25" t="str">
        <f aca="false">IF(OR(I63="",I63="All done"),"",COUNTIFS(Levels!$A$5:$A$94,$B63,Levels!$B$5:$B$94,1)*(LEFT(I63,1)="1")+COUNTIFS(Levels!$A$5:$A$94,$B63,Levels!$B$5:$B$94,2)*(LEFT(I63,1)="2")+COUNTIFS(Levels!$A$5:$A$94,$B63,Levels!$B$5:$B$94,3)*(LEFT(I63,1)="3")+COUNTIFS(Levels!$A$5:$A$94,$B63,Levels!$B$5:$B$94,4)*(LEFT(I63,1)="4")-(SUMPRODUCT((Levels!$A$5:$A$94=$B63)*(Levels!$B$5:$B$94=1)*(COUNTIFS(Progress!$B$5:$B$3000,$A63,Progress!$G$5:$G$3000,Levels!$G$5:$G$94)&gt;0))*(LEFT(I63,1)="1")+SUMPRODUCT((Levels!$A$5:$A$94=$B63)*(Levels!$B$5:$B$94=2)*(COUNTIFS(Progress!$B$5:$B$3000,$A63,Progress!$G$5:$G$3000,Levels!$G$5:$G$94)&gt;0))*(LEFT(I63,1)="2")+SUMPRODUCT((Levels!$A$5:$A$94=$B63)*(Levels!$B$5:$B$94=3)*(COUNTIFS(Progress!$B$5:$B$3000,$A63,Progress!$G$5:$G$3000,Levels!$G$5:$G$94)&gt;0))*(LEFT(I63,1)="3")+SUMPRODUCT((Levels!$A$5:$A$94=$B63)*(Levels!$B$5:$B$94=4)*(COUNTIFS(Progress!$B$5:$B$3000,$A63,Progress!$G$5:$G$3000,Levels!$G$5:$G$94)&gt;0))*(LEFT(I63,1)="4")))</f>
        <v/>
      </c>
      <c r="K63" s="26" t="str">
        <f aca="false">IF($A63="","",IF(COUNTIFS(Progress!$B$5:$B$3000,$A63)=0,"",SUMPRODUCT(MAX((Progress!$B$5:$B$3000=$A63)*Progress!$A$5:$A$3000))))</f>
        <v/>
      </c>
      <c r="L63" s="22"/>
    </row>
    <row r="64" customFormat="false" ht="15" hidden="false" customHeight="false" outlineLevel="0" collapsed="false">
      <c r="A64" s="22"/>
      <c r="B64" s="22"/>
      <c r="C64" s="23"/>
      <c r="D64" s="22"/>
      <c r="E64" s="24" t="str">
        <f aca="false">IF(OR($A64="",$B64=""),"",SUMPRODUCT((Levels!$A$5:$A$94=$B64)*(Levels!$B$5:$B$94=1)*(COUNTIFS(Progress!$B$5:$B$3000,$A64,Progress!$G$5:$G$3000,Levels!$G$5:$G$94)&gt;0))&amp;" / "&amp;COUNTIFS(Levels!$A$5:$A$94,$B64,Levels!$B$5:$B$94,1))</f>
        <v/>
      </c>
      <c r="F64" s="24" t="str">
        <f aca="false">IF(OR($A64="",$B64=""),"",SUMPRODUCT((Levels!$A$5:$A$94=$B64)*(Levels!$B$5:$B$94=2)*(COUNTIFS(Progress!$B$5:$B$3000,$A64,Progress!$G$5:$G$3000,Levels!$G$5:$G$94)&gt;0))&amp;" / "&amp;COUNTIFS(Levels!$A$5:$A$94,$B64,Levels!$B$5:$B$94,2))</f>
        <v/>
      </c>
      <c r="G64" s="24" t="str">
        <f aca="false">IF(OR($A64="",$B64=""),"",SUMPRODUCT((Levels!$A$5:$A$94=$B64)*(Levels!$B$5:$B$94=3)*(COUNTIFS(Progress!$B$5:$B$3000,$A64,Progress!$G$5:$G$3000,Levels!$G$5:$G$94)&gt;0))&amp;" / "&amp;COUNTIFS(Levels!$A$5:$A$94,$B64,Levels!$B$5:$B$94,3))</f>
        <v/>
      </c>
      <c r="H64" s="24" t="str">
        <f aca="false">IF(OR($A64="",$B64=""),"",SUMPRODUCT((Levels!$A$5:$A$94=$B64)*(Levels!$B$5:$B$94=4)*(COUNTIFS(Progress!$B$5:$B$3000,$A64,Progress!$G$5:$G$3000,Levels!$G$5:$G$94)&gt;0))&amp;" / "&amp;COUNTIFS(Levels!$A$5:$A$94,$B64,Levels!$B$5:$B$94,4))</f>
        <v/>
      </c>
      <c r="I64" s="24" t="str">
        <f aca="false">IF(OR($A64="",$B64=""),"",IF(SUMPRODUCT((Levels!$A$5:$A$94=$B64)*(Levels!$B$5:$B$94=1)*(COUNTIFS(Progress!$B$5:$B$3000,$A64,Progress!$G$5:$G$3000,Levels!$G$5:$G$94)&gt;0))&lt;COUNTIFS(Levels!$A$5:$A$94,$B64,Levels!$B$5:$B$94,1),"1 Rookie",IF(SUMPRODUCT((Levels!$A$5:$A$94=$B64)*(Levels!$B$5:$B$94=2)*(COUNTIFS(Progress!$B$5:$B$3000,$A64,Progress!$G$5:$G$3000,Levels!$G$5:$G$94)&gt;0))&lt;COUNTIFS(Levels!$A$5:$A$94,$B64,Levels!$B$5:$B$94,2),"2 Contender",IF(SUMPRODUCT((Levels!$A$5:$A$94=$B64)*(Levels!$B$5:$B$94=3)*(COUNTIFS(Progress!$B$5:$B$3000,$A64,Progress!$G$5:$G$3000,Levels!$G$5:$G$94)&gt;0))&lt;COUNTIFS(Levels!$A$5:$A$94,$B64,Levels!$B$5:$B$94,3),"3 Challenger",IF(SUMPRODUCT((Levels!$A$5:$A$94=$B64)*(Levels!$B$5:$B$94=4)*(COUNTIFS(Progress!$B$5:$B$3000,$A64,Progress!$G$5:$G$3000,Levels!$G$5:$G$94)&gt;0))&lt;COUNTIFS(Levels!$A$5:$A$94,$B64,Levels!$B$5:$B$94,4),"4 Champion","All done")))))</f>
        <v/>
      </c>
      <c r="J64" s="25" t="str">
        <f aca="false">IF(OR(I64="",I64="All done"),"",COUNTIFS(Levels!$A$5:$A$94,$B64,Levels!$B$5:$B$94,1)*(LEFT(I64,1)="1")+COUNTIFS(Levels!$A$5:$A$94,$B64,Levels!$B$5:$B$94,2)*(LEFT(I64,1)="2")+COUNTIFS(Levels!$A$5:$A$94,$B64,Levels!$B$5:$B$94,3)*(LEFT(I64,1)="3")+COUNTIFS(Levels!$A$5:$A$94,$B64,Levels!$B$5:$B$94,4)*(LEFT(I64,1)="4")-(SUMPRODUCT((Levels!$A$5:$A$94=$B64)*(Levels!$B$5:$B$94=1)*(COUNTIFS(Progress!$B$5:$B$3000,$A64,Progress!$G$5:$G$3000,Levels!$G$5:$G$94)&gt;0))*(LEFT(I64,1)="1")+SUMPRODUCT((Levels!$A$5:$A$94=$B64)*(Levels!$B$5:$B$94=2)*(COUNTIFS(Progress!$B$5:$B$3000,$A64,Progress!$G$5:$G$3000,Levels!$G$5:$G$94)&gt;0))*(LEFT(I64,1)="2")+SUMPRODUCT((Levels!$A$5:$A$94=$B64)*(Levels!$B$5:$B$94=3)*(COUNTIFS(Progress!$B$5:$B$3000,$A64,Progress!$G$5:$G$3000,Levels!$G$5:$G$94)&gt;0))*(LEFT(I64,1)="3")+SUMPRODUCT((Levels!$A$5:$A$94=$B64)*(Levels!$B$5:$B$94=4)*(COUNTIFS(Progress!$B$5:$B$3000,$A64,Progress!$G$5:$G$3000,Levels!$G$5:$G$94)&gt;0))*(LEFT(I64,1)="4")))</f>
        <v/>
      </c>
      <c r="K64" s="26" t="str">
        <f aca="false">IF($A64="","",IF(COUNTIFS(Progress!$B$5:$B$3000,$A64)=0,"",SUMPRODUCT(MAX((Progress!$B$5:$B$3000=$A64)*Progress!$A$5:$A$3000))))</f>
        <v/>
      </c>
      <c r="L64" s="22"/>
    </row>
    <row r="65" customFormat="false" ht="15" hidden="false" customHeight="false" outlineLevel="0" collapsed="false">
      <c r="A65" s="22"/>
      <c r="B65" s="22"/>
      <c r="C65" s="23"/>
      <c r="D65" s="22"/>
      <c r="E65" s="24" t="str">
        <f aca="false">IF(OR($A65="",$B65=""),"",SUMPRODUCT((Levels!$A$5:$A$94=$B65)*(Levels!$B$5:$B$94=1)*(COUNTIFS(Progress!$B$5:$B$3000,$A65,Progress!$G$5:$G$3000,Levels!$G$5:$G$94)&gt;0))&amp;" / "&amp;COUNTIFS(Levels!$A$5:$A$94,$B65,Levels!$B$5:$B$94,1))</f>
        <v/>
      </c>
      <c r="F65" s="24" t="str">
        <f aca="false">IF(OR($A65="",$B65=""),"",SUMPRODUCT((Levels!$A$5:$A$94=$B65)*(Levels!$B$5:$B$94=2)*(COUNTIFS(Progress!$B$5:$B$3000,$A65,Progress!$G$5:$G$3000,Levels!$G$5:$G$94)&gt;0))&amp;" / "&amp;COUNTIFS(Levels!$A$5:$A$94,$B65,Levels!$B$5:$B$94,2))</f>
        <v/>
      </c>
      <c r="G65" s="24" t="str">
        <f aca="false">IF(OR($A65="",$B65=""),"",SUMPRODUCT((Levels!$A$5:$A$94=$B65)*(Levels!$B$5:$B$94=3)*(COUNTIFS(Progress!$B$5:$B$3000,$A65,Progress!$G$5:$G$3000,Levels!$G$5:$G$94)&gt;0))&amp;" / "&amp;COUNTIFS(Levels!$A$5:$A$94,$B65,Levels!$B$5:$B$94,3))</f>
        <v/>
      </c>
      <c r="H65" s="24" t="str">
        <f aca="false">IF(OR($A65="",$B65=""),"",SUMPRODUCT((Levels!$A$5:$A$94=$B65)*(Levels!$B$5:$B$94=4)*(COUNTIFS(Progress!$B$5:$B$3000,$A65,Progress!$G$5:$G$3000,Levels!$G$5:$G$94)&gt;0))&amp;" / "&amp;COUNTIFS(Levels!$A$5:$A$94,$B65,Levels!$B$5:$B$94,4))</f>
        <v/>
      </c>
      <c r="I65" s="24" t="str">
        <f aca="false">IF(OR($A65="",$B65=""),"",IF(SUMPRODUCT((Levels!$A$5:$A$94=$B65)*(Levels!$B$5:$B$94=1)*(COUNTIFS(Progress!$B$5:$B$3000,$A65,Progress!$G$5:$G$3000,Levels!$G$5:$G$94)&gt;0))&lt;COUNTIFS(Levels!$A$5:$A$94,$B65,Levels!$B$5:$B$94,1),"1 Rookie",IF(SUMPRODUCT((Levels!$A$5:$A$94=$B65)*(Levels!$B$5:$B$94=2)*(COUNTIFS(Progress!$B$5:$B$3000,$A65,Progress!$G$5:$G$3000,Levels!$G$5:$G$94)&gt;0))&lt;COUNTIFS(Levels!$A$5:$A$94,$B65,Levels!$B$5:$B$94,2),"2 Contender",IF(SUMPRODUCT((Levels!$A$5:$A$94=$B65)*(Levels!$B$5:$B$94=3)*(COUNTIFS(Progress!$B$5:$B$3000,$A65,Progress!$G$5:$G$3000,Levels!$G$5:$G$94)&gt;0))&lt;COUNTIFS(Levels!$A$5:$A$94,$B65,Levels!$B$5:$B$94,3),"3 Challenger",IF(SUMPRODUCT((Levels!$A$5:$A$94=$B65)*(Levels!$B$5:$B$94=4)*(COUNTIFS(Progress!$B$5:$B$3000,$A65,Progress!$G$5:$G$3000,Levels!$G$5:$G$94)&gt;0))&lt;COUNTIFS(Levels!$A$5:$A$94,$B65,Levels!$B$5:$B$94,4),"4 Champion","All done")))))</f>
        <v/>
      </c>
      <c r="J65" s="25" t="str">
        <f aca="false">IF(OR(I65="",I65="All done"),"",COUNTIFS(Levels!$A$5:$A$94,$B65,Levels!$B$5:$B$94,1)*(LEFT(I65,1)="1")+COUNTIFS(Levels!$A$5:$A$94,$B65,Levels!$B$5:$B$94,2)*(LEFT(I65,1)="2")+COUNTIFS(Levels!$A$5:$A$94,$B65,Levels!$B$5:$B$94,3)*(LEFT(I65,1)="3")+COUNTIFS(Levels!$A$5:$A$94,$B65,Levels!$B$5:$B$94,4)*(LEFT(I65,1)="4")-(SUMPRODUCT((Levels!$A$5:$A$94=$B65)*(Levels!$B$5:$B$94=1)*(COUNTIFS(Progress!$B$5:$B$3000,$A65,Progress!$G$5:$G$3000,Levels!$G$5:$G$94)&gt;0))*(LEFT(I65,1)="1")+SUMPRODUCT((Levels!$A$5:$A$94=$B65)*(Levels!$B$5:$B$94=2)*(COUNTIFS(Progress!$B$5:$B$3000,$A65,Progress!$G$5:$G$3000,Levels!$G$5:$G$94)&gt;0))*(LEFT(I65,1)="2")+SUMPRODUCT((Levels!$A$5:$A$94=$B65)*(Levels!$B$5:$B$94=3)*(COUNTIFS(Progress!$B$5:$B$3000,$A65,Progress!$G$5:$G$3000,Levels!$G$5:$G$94)&gt;0))*(LEFT(I65,1)="3")+SUMPRODUCT((Levels!$A$5:$A$94=$B65)*(Levels!$B$5:$B$94=4)*(COUNTIFS(Progress!$B$5:$B$3000,$A65,Progress!$G$5:$G$3000,Levels!$G$5:$G$94)&gt;0))*(LEFT(I65,1)="4")))</f>
        <v/>
      </c>
      <c r="K65" s="26" t="str">
        <f aca="false">IF($A65="","",IF(COUNTIFS(Progress!$B$5:$B$3000,$A65)=0,"",SUMPRODUCT(MAX((Progress!$B$5:$B$3000=$A65)*Progress!$A$5:$A$3000))))</f>
        <v/>
      </c>
      <c r="L65" s="22"/>
    </row>
    <row r="66" customFormat="false" ht="15" hidden="false" customHeight="false" outlineLevel="0" collapsed="false">
      <c r="A66" s="22"/>
      <c r="B66" s="22"/>
      <c r="C66" s="23"/>
      <c r="D66" s="22"/>
      <c r="E66" s="24" t="str">
        <f aca="false">IF(OR($A66="",$B66=""),"",SUMPRODUCT((Levels!$A$5:$A$94=$B66)*(Levels!$B$5:$B$94=1)*(COUNTIFS(Progress!$B$5:$B$3000,$A66,Progress!$G$5:$G$3000,Levels!$G$5:$G$94)&gt;0))&amp;" / "&amp;COUNTIFS(Levels!$A$5:$A$94,$B66,Levels!$B$5:$B$94,1))</f>
        <v/>
      </c>
      <c r="F66" s="24" t="str">
        <f aca="false">IF(OR($A66="",$B66=""),"",SUMPRODUCT((Levels!$A$5:$A$94=$B66)*(Levels!$B$5:$B$94=2)*(COUNTIFS(Progress!$B$5:$B$3000,$A66,Progress!$G$5:$G$3000,Levels!$G$5:$G$94)&gt;0))&amp;" / "&amp;COUNTIFS(Levels!$A$5:$A$94,$B66,Levels!$B$5:$B$94,2))</f>
        <v/>
      </c>
      <c r="G66" s="24" t="str">
        <f aca="false">IF(OR($A66="",$B66=""),"",SUMPRODUCT((Levels!$A$5:$A$94=$B66)*(Levels!$B$5:$B$94=3)*(COUNTIFS(Progress!$B$5:$B$3000,$A66,Progress!$G$5:$G$3000,Levels!$G$5:$G$94)&gt;0))&amp;" / "&amp;COUNTIFS(Levels!$A$5:$A$94,$B66,Levels!$B$5:$B$94,3))</f>
        <v/>
      </c>
      <c r="H66" s="24" t="str">
        <f aca="false">IF(OR($A66="",$B66=""),"",SUMPRODUCT((Levels!$A$5:$A$94=$B66)*(Levels!$B$5:$B$94=4)*(COUNTIFS(Progress!$B$5:$B$3000,$A66,Progress!$G$5:$G$3000,Levels!$G$5:$G$94)&gt;0))&amp;" / "&amp;COUNTIFS(Levels!$A$5:$A$94,$B66,Levels!$B$5:$B$94,4))</f>
        <v/>
      </c>
      <c r="I66" s="24" t="str">
        <f aca="false">IF(OR($A66="",$B66=""),"",IF(SUMPRODUCT((Levels!$A$5:$A$94=$B66)*(Levels!$B$5:$B$94=1)*(COUNTIFS(Progress!$B$5:$B$3000,$A66,Progress!$G$5:$G$3000,Levels!$G$5:$G$94)&gt;0))&lt;COUNTIFS(Levels!$A$5:$A$94,$B66,Levels!$B$5:$B$94,1),"1 Rookie",IF(SUMPRODUCT((Levels!$A$5:$A$94=$B66)*(Levels!$B$5:$B$94=2)*(COUNTIFS(Progress!$B$5:$B$3000,$A66,Progress!$G$5:$G$3000,Levels!$G$5:$G$94)&gt;0))&lt;COUNTIFS(Levels!$A$5:$A$94,$B66,Levels!$B$5:$B$94,2),"2 Contender",IF(SUMPRODUCT((Levels!$A$5:$A$94=$B66)*(Levels!$B$5:$B$94=3)*(COUNTIFS(Progress!$B$5:$B$3000,$A66,Progress!$G$5:$G$3000,Levels!$G$5:$G$94)&gt;0))&lt;COUNTIFS(Levels!$A$5:$A$94,$B66,Levels!$B$5:$B$94,3),"3 Challenger",IF(SUMPRODUCT((Levels!$A$5:$A$94=$B66)*(Levels!$B$5:$B$94=4)*(COUNTIFS(Progress!$B$5:$B$3000,$A66,Progress!$G$5:$G$3000,Levels!$G$5:$G$94)&gt;0))&lt;COUNTIFS(Levels!$A$5:$A$94,$B66,Levels!$B$5:$B$94,4),"4 Champion","All done")))))</f>
        <v/>
      </c>
      <c r="J66" s="25" t="str">
        <f aca="false">IF(OR(I66="",I66="All done"),"",COUNTIFS(Levels!$A$5:$A$94,$B66,Levels!$B$5:$B$94,1)*(LEFT(I66,1)="1")+COUNTIFS(Levels!$A$5:$A$94,$B66,Levels!$B$5:$B$94,2)*(LEFT(I66,1)="2")+COUNTIFS(Levels!$A$5:$A$94,$B66,Levels!$B$5:$B$94,3)*(LEFT(I66,1)="3")+COUNTIFS(Levels!$A$5:$A$94,$B66,Levels!$B$5:$B$94,4)*(LEFT(I66,1)="4")-(SUMPRODUCT((Levels!$A$5:$A$94=$B66)*(Levels!$B$5:$B$94=1)*(COUNTIFS(Progress!$B$5:$B$3000,$A66,Progress!$G$5:$G$3000,Levels!$G$5:$G$94)&gt;0))*(LEFT(I66,1)="1")+SUMPRODUCT((Levels!$A$5:$A$94=$B66)*(Levels!$B$5:$B$94=2)*(COUNTIFS(Progress!$B$5:$B$3000,$A66,Progress!$G$5:$G$3000,Levels!$G$5:$G$94)&gt;0))*(LEFT(I66,1)="2")+SUMPRODUCT((Levels!$A$5:$A$94=$B66)*(Levels!$B$5:$B$94=3)*(COUNTIFS(Progress!$B$5:$B$3000,$A66,Progress!$G$5:$G$3000,Levels!$G$5:$G$94)&gt;0))*(LEFT(I66,1)="3")+SUMPRODUCT((Levels!$A$5:$A$94=$B66)*(Levels!$B$5:$B$94=4)*(COUNTIFS(Progress!$B$5:$B$3000,$A66,Progress!$G$5:$G$3000,Levels!$G$5:$G$94)&gt;0))*(LEFT(I66,1)="4")))</f>
        <v/>
      </c>
      <c r="K66" s="26" t="str">
        <f aca="false">IF($A66="","",IF(COUNTIFS(Progress!$B$5:$B$3000,$A66)=0,"",SUMPRODUCT(MAX((Progress!$B$5:$B$3000=$A66)*Progress!$A$5:$A$3000))))</f>
        <v/>
      </c>
      <c r="L66" s="22"/>
    </row>
    <row r="67" customFormat="false" ht="15" hidden="false" customHeight="false" outlineLevel="0" collapsed="false">
      <c r="A67" s="22"/>
      <c r="B67" s="22"/>
      <c r="C67" s="23"/>
      <c r="D67" s="22"/>
      <c r="E67" s="24" t="str">
        <f aca="false">IF(OR($A67="",$B67=""),"",SUMPRODUCT((Levels!$A$5:$A$94=$B67)*(Levels!$B$5:$B$94=1)*(COUNTIFS(Progress!$B$5:$B$3000,$A67,Progress!$G$5:$G$3000,Levels!$G$5:$G$94)&gt;0))&amp;" / "&amp;COUNTIFS(Levels!$A$5:$A$94,$B67,Levels!$B$5:$B$94,1))</f>
        <v/>
      </c>
      <c r="F67" s="24" t="str">
        <f aca="false">IF(OR($A67="",$B67=""),"",SUMPRODUCT((Levels!$A$5:$A$94=$B67)*(Levels!$B$5:$B$94=2)*(COUNTIFS(Progress!$B$5:$B$3000,$A67,Progress!$G$5:$G$3000,Levels!$G$5:$G$94)&gt;0))&amp;" / "&amp;COUNTIFS(Levels!$A$5:$A$94,$B67,Levels!$B$5:$B$94,2))</f>
        <v/>
      </c>
      <c r="G67" s="24" t="str">
        <f aca="false">IF(OR($A67="",$B67=""),"",SUMPRODUCT((Levels!$A$5:$A$94=$B67)*(Levels!$B$5:$B$94=3)*(COUNTIFS(Progress!$B$5:$B$3000,$A67,Progress!$G$5:$G$3000,Levels!$G$5:$G$94)&gt;0))&amp;" / "&amp;COUNTIFS(Levels!$A$5:$A$94,$B67,Levels!$B$5:$B$94,3))</f>
        <v/>
      </c>
      <c r="H67" s="24" t="str">
        <f aca="false">IF(OR($A67="",$B67=""),"",SUMPRODUCT((Levels!$A$5:$A$94=$B67)*(Levels!$B$5:$B$94=4)*(COUNTIFS(Progress!$B$5:$B$3000,$A67,Progress!$G$5:$G$3000,Levels!$G$5:$G$94)&gt;0))&amp;" / "&amp;COUNTIFS(Levels!$A$5:$A$94,$B67,Levels!$B$5:$B$94,4))</f>
        <v/>
      </c>
      <c r="I67" s="24" t="str">
        <f aca="false">IF(OR($A67="",$B67=""),"",IF(SUMPRODUCT((Levels!$A$5:$A$94=$B67)*(Levels!$B$5:$B$94=1)*(COUNTIFS(Progress!$B$5:$B$3000,$A67,Progress!$G$5:$G$3000,Levels!$G$5:$G$94)&gt;0))&lt;COUNTIFS(Levels!$A$5:$A$94,$B67,Levels!$B$5:$B$94,1),"1 Rookie",IF(SUMPRODUCT((Levels!$A$5:$A$94=$B67)*(Levels!$B$5:$B$94=2)*(COUNTIFS(Progress!$B$5:$B$3000,$A67,Progress!$G$5:$G$3000,Levels!$G$5:$G$94)&gt;0))&lt;COUNTIFS(Levels!$A$5:$A$94,$B67,Levels!$B$5:$B$94,2),"2 Contender",IF(SUMPRODUCT((Levels!$A$5:$A$94=$B67)*(Levels!$B$5:$B$94=3)*(COUNTIFS(Progress!$B$5:$B$3000,$A67,Progress!$G$5:$G$3000,Levels!$G$5:$G$94)&gt;0))&lt;COUNTIFS(Levels!$A$5:$A$94,$B67,Levels!$B$5:$B$94,3),"3 Challenger",IF(SUMPRODUCT((Levels!$A$5:$A$94=$B67)*(Levels!$B$5:$B$94=4)*(COUNTIFS(Progress!$B$5:$B$3000,$A67,Progress!$G$5:$G$3000,Levels!$G$5:$G$94)&gt;0))&lt;COUNTIFS(Levels!$A$5:$A$94,$B67,Levels!$B$5:$B$94,4),"4 Champion","All done")))))</f>
        <v/>
      </c>
      <c r="J67" s="25" t="str">
        <f aca="false">IF(OR(I67="",I67="All done"),"",COUNTIFS(Levels!$A$5:$A$94,$B67,Levels!$B$5:$B$94,1)*(LEFT(I67,1)="1")+COUNTIFS(Levels!$A$5:$A$94,$B67,Levels!$B$5:$B$94,2)*(LEFT(I67,1)="2")+COUNTIFS(Levels!$A$5:$A$94,$B67,Levels!$B$5:$B$94,3)*(LEFT(I67,1)="3")+COUNTIFS(Levels!$A$5:$A$94,$B67,Levels!$B$5:$B$94,4)*(LEFT(I67,1)="4")-(SUMPRODUCT((Levels!$A$5:$A$94=$B67)*(Levels!$B$5:$B$94=1)*(COUNTIFS(Progress!$B$5:$B$3000,$A67,Progress!$G$5:$G$3000,Levels!$G$5:$G$94)&gt;0))*(LEFT(I67,1)="1")+SUMPRODUCT((Levels!$A$5:$A$94=$B67)*(Levels!$B$5:$B$94=2)*(COUNTIFS(Progress!$B$5:$B$3000,$A67,Progress!$G$5:$G$3000,Levels!$G$5:$G$94)&gt;0))*(LEFT(I67,1)="2")+SUMPRODUCT((Levels!$A$5:$A$94=$B67)*(Levels!$B$5:$B$94=3)*(COUNTIFS(Progress!$B$5:$B$3000,$A67,Progress!$G$5:$G$3000,Levels!$G$5:$G$94)&gt;0))*(LEFT(I67,1)="3")+SUMPRODUCT((Levels!$A$5:$A$94=$B67)*(Levels!$B$5:$B$94=4)*(COUNTIFS(Progress!$B$5:$B$3000,$A67,Progress!$G$5:$G$3000,Levels!$G$5:$G$94)&gt;0))*(LEFT(I67,1)="4")))</f>
        <v/>
      </c>
      <c r="K67" s="26" t="str">
        <f aca="false">IF($A67="","",IF(COUNTIFS(Progress!$B$5:$B$3000,$A67)=0,"",SUMPRODUCT(MAX((Progress!$B$5:$B$3000=$A67)*Progress!$A$5:$A$3000))))</f>
        <v/>
      </c>
      <c r="L67" s="22"/>
    </row>
    <row r="68" customFormat="false" ht="15" hidden="false" customHeight="false" outlineLevel="0" collapsed="false">
      <c r="A68" s="22"/>
      <c r="B68" s="22"/>
      <c r="C68" s="23"/>
      <c r="D68" s="22"/>
      <c r="E68" s="24" t="str">
        <f aca="false">IF(OR($A68="",$B68=""),"",SUMPRODUCT((Levels!$A$5:$A$94=$B68)*(Levels!$B$5:$B$94=1)*(COUNTIFS(Progress!$B$5:$B$3000,$A68,Progress!$G$5:$G$3000,Levels!$G$5:$G$94)&gt;0))&amp;" / "&amp;COUNTIFS(Levels!$A$5:$A$94,$B68,Levels!$B$5:$B$94,1))</f>
        <v/>
      </c>
      <c r="F68" s="24" t="str">
        <f aca="false">IF(OR($A68="",$B68=""),"",SUMPRODUCT((Levels!$A$5:$A$94=$B68)*(Levels!$B$5:$B$94=2)*(COUNTIFS(Progress!$B$5:$B$3000,$A68,Progress!$G$5:$G$3000,Levels!$G$5:$G$94)&gt;0))&amp;" / "&amp;COUNTIFS(Levels!$A$5:$A$94,$B68,Levels!$B$5:$B$94,2))</f>
        <v/>
      </c>
      <c r="G68" s="24" t="str">
        <f aca="false">IF(OR($A68="",$B68=""),"",SUMPRODUCT((Levels!$A$5:$A$94=$B68)*(Levels!$B$5:$B$94=3)*(COUNTIFS(Progress!$B$5:$B$3000,$A68,Progress!$G$5:$G$3000,Levels!$G$5:$G$94)&gt;0))&amp;" / "&amp;COUNTIFS(Levels!$A$5:$A$94,$B68,Levels!$B$5:$B$94,3))</f>
        <v/>
      </c>
      <c r="H68" s="24" t="str">
        <f aca="false">IF(OR($A68="",$B68=""),"",SUMPRODUCT((Levels!$A$5:$A$94=$B68)*(Levels!$B$5:$B$94=4)*(COUNTIFS(Progress!$B$5:$B$3000,$A68,Progress!$G$5:$G$3000,Levels!$G$5:$G$94)&gt;0))&amp;" / "&amp;COUNTIFS(Levels!$A$5:$A$94,$B68,Levels!$B$5:$B$94,4))</f>
        <v/>
      </c>
      <c r="I68" s="24" t="str">
        <f aca="false">IF(OR($A68="",$B68=""),"",IF(SUMPRODUCT((Levels!$A$5:$A$94=$B68)*(Levels!$B$5:$B$94=1)*(COUNTIFS(Progress!$B$5:$B$3000,$A68,Progress!$G$5:$G$3000,Levels!$G$5:$G$94)&gt;0))&lt;COUNTIFS(Levels!$A$5:$A$94,$B68,Levels!$B$5:$B$94,1),"1 Rookie",IF(SUMPRODUCT((Levels!$A$5:$A$94=$B68)*(Levels!$B$5:$B$94=2)*(COUNTIFS(Progress!$B$5:$B$3000,$A68,Progress!$G$5:$G$3000,Levels!$G$5:$G$94)&gt;0))&lt;COUNTIFS(Levels!$A$5:$A$94,$B68,Levels!$B$5:$B$94,2),"2 Contender",IF(SUMPRODUCT((Levels!$A$5:$A$94=$B68)*(Levels!$B$5:$B$94=3)*(COUNTIFS(Progress!$B$5:$B$3000,$A68,Progress!$G$5:$G$3000,Levels!$G$5:$G$94)&gt;0))&lt;COUNTIFS(Levels!$A$5:$A$94,$B68,Levels!$B$5:$B$94,3),"3 Challenger",IF(SUMPRODUCT((Levels!$A$5:$A$94=$B68)*(Levels!$B$5:$B$94=4)*(COUNTIFS(Progress!$B$5:$B$3000,$A68,Progress!$G$5:$G$3000,Levels!$G$5:$G$94)&gt;0))&lt;COUNTIFS(Levels!$A$5:$A$94,$B68,Levels!$B$5:$B$94,4),"4 Champion","All done")))))</f>
        <v/>
      </c>
      <c r="J68" s="25" t="str">
        <f aca="false">IF(OR(I68="",I68="All done"),"",COUNTIFS(Levels!$A$5:$A$94,$B68,Levels!$B$5:$B$94,1)*(LEFT(I68,1)="1")+COUNTIFS(Levels!$A$5:$A$94,$B68,Levels!$B$5:$B$94,2)*(LEFT(I68,1)="2")+COUNTIFS(Levels!$A$5:$A$94,$B68,Levels!$B$5:$B$94,3)*(LEFT(I68,1)="3")+COUNTIFS(Levels!$A$5:$A$94,$B68,Levels!$B$5:$B$94,4)*(LEFT(I68,1)="4")-(SUMPRODUCT((Levels!$A$5:$A$94=$B68)*(Levels!$B$5:$B$94=1)*(COUNTIFS(Progress!$B$5:$B$3000,$A68,Progress!$G$5:$G$3000,Levels!$G$5:$G$94)&gt;0))*(LEFT(I68,1)="1")+SUMPRODUCT((Levels!$A$5:$A$94=$B68)*(Levels!$B$5:$B$94=2)*(COUNTIFS(Progress!$B$5:$B$3000,$A68,Progress!$G$5:$G$3000,Levels!$G$5:$G$94)&gt;0))*(LEFT(I68,1)="2")+SUMPRODUCT((Levels!$A$5:$A$94=$B68)*(Levels!$B$5:$B$94=3)*(COUNTIFS(Progress!$B$5:$B$3000,$A68,Progress!$G$5:$G$3000,Levels!$G$5:$G$94)&gt;0))*(LEFT(I68,1)="3")+SUMPRODUCT((Levels!$A$5:$A$94=$B68)*(Levels!$B$5:$B$94=4)*(COUNTIFS(Progress!$B$5:$B$3000,$A68,Progress!$G$5:$G$3000,Levels!$G$5:$G$94)&gt;0))*(LEFT(I68,1)="4")))</f>
        <v/>
      </c>
      <c r="K68" s="26" t="str">
        <f aca="false">IF($A68="","",IF(COUNTIFS(Progress!$B$5:$B$3000,$A68)=0,"",SUMPRODUCT(MAX((Progress!$B$5:$B$3000=$A68)*Progress!$A$5:$A$3000))))</f>
        <v/>
      </c>
      <c r="L68" s="22"/>
    </row>
    <row r="69" customFormat="false" ht="15" hidden="false" customHeight="false" outlineLevel="0" collapsed="false">
      <c r="A69" s="22"/>
      <c r="B69" s="22"/>
      <c r="C69" s="23"/>
      <c r="D69" s="22"/>
      <c r="E69" s="24" t="str">
        <f aca="false">IF(OR($A69="",$B69=""),"",SUMPRODUCT((Levels!$A$5:$A$94=$B69)*(Levels!$B$5:$B$94=1)*(COUNTIFS(Progress!$B$5:$B$3000,$A69,Progress!$G$5:$G$3000,Levels!$G$5:$G$94)&gt;0))&amp;" / "&amp;COUNTIFS(Levels!$A$5:$A$94,$B69,Levels!$B$5:$B$94,1))</f>
        <v/>
      </c>
      <c r="F69" s="24" t="str">
        <f aca="false">IF(OR($A69="",$B69=""),"",SUMPRODUCT((Levels!$A$5:$A$94=$B69)*(Levels!$B$5:$B$94=2)*(COUNTIFS(Progress!$B$5:$B$3000,$A69,Progress!$G$5:$G$3000,Levels!$G$5:$G$94)&gt;0))&amp;" / "&amp;COUNTIFS(Levels!$A$5:$A$94,$B69,Levels!$B$5:$B$94,2))</f>
        <v/>
      </c>
      <c r="G69" s="24" t="str">
        <f aca="false">IF(OR($A69="",$B69=""),"",SUMPRODUCT((Levels!$A$5:$A$94=$B69)*(Levels!$B$5:$B$94=3)*(COUNTIFS(Progress!$B$5:$B$3000,$A69,Progress!$G$5:$G$3000,Levels!$G$5:$G$94)&gt;0))&amp;" / "&amp;COUNTIFS(Levels!$A$5:$A$94,$B69,Levels!$B$5:$B$94,3))</f>
        <v/>
      </c>
      <c r="H69" s="24" t="str">
        <f aca="false">IF(OR($A69="",$B69=""),"",SUMPRODUCT((Levels!$A$5:$A$94=$B69)*(Levels!$B$5:$B$94=4)*(COUNTIFS(Progress!$B$5:$B$3000,$A69,Progress!$G$5:$G$3000,Levels!$G$5:$G$94)&gt;0))&amp;" / "&amp;COUNTIFS(Levels!$A$5:$A$94,$B69,Levels!$B$5:$B$94,4))</f>
        <v/>
      </c>
      <c r="I69" s="24" t="str">
        <f aca="false">IF(OR($A69="",$B69=""),"",IF(SUMPRODUCT((Levels!$A$5:$A$94=$B69)*(Levels!$B$5:$B$94=1)*(COUNTIFS(Progress!$B$5:$B$3000,$A69,Progress!$G$5:$G$3000,Levels!$G$5:$G$94)&gt;0))&lt;COUNTIFS(Levels!$A$5:$A$94,$B69,Levels!$B$5:$B$94,1),"1 Rookie",IF(SUMPRODUCT((Levels!$A$5:$A$94=$B69)*(Levels!$B$5:$B$94=2)*(COUNTIFS(Progress!$B$5:$B$3000,$A69,Progress!$G$5:$G$3000,Levels!$G$5:$G$94)&gt;0))&lt;COUNTIFS(Levels!$A$5:$A$94,$B69,Levels!$B$5:$B$94,2),"2 Contender",IF(SUMPRODUCT((Levels!$A$5:$A$94=$B69)*(Levels!$B$5:$B$94=3)*(COUNTIFS(Progress!$B$5:$B$3000,$A69,Progress!$G$5:$G$3000,Levels!$G$5:$G$94)&gt;0))&lt;COUNTIFS(Levels!$A$5:$A$94,$B69,Levels!$B$5:$B$94,3),"3 Challenger",IF(SUMPRODUCT((Levels!$A$5:$A$94=$B69)*(Levels!$B$5:$B$94=4)*(COUNTIFS(Progress!$B$5:$B$3000,$A69,Progress!$G$5:$G$3000,Levels!$G$5:$G$94)&gt;0))&lt;COUNTIFS(Levels!$A$5:$A$94,$B69,Levels!$B$5:$B$94,4),"4 Champion","All done")))))</f>
        <v/>
      </c>
      <c r="J69" s="25" t="str">
        <f aca="false">IF(OR(I69="",I69="All done"),"",COUNTIFS(Levels!$A$5:$A$94,$B69,Levels!$B$5:$B$94,1)*(LEFT(I69,1)="1")+COUNTIFS(Levels!$A$5:$A$94,$B69,Levels!$B$5:$B$94,2)*(LEFT(I69,1)="2")+COUNTIFS(Levels!$A$5:$A$94,$B69,Levels!$B$5:$B$94,3)*(LEFT(I69,1)="3")+COUNTIFS(Levels!$A$5:$A$94,$B69,Levels!$B$5:$B$94,4)*(LEFT(I69,1)="4")-(SUMPRODUCT((Levels!$A$5:$A$94=$B69)*(Levels!$B$5:$B$94=1)*(COUNTIFS(Progress!$B$5:$B$3000,$A69,Progress!$G$5:$G$3000,Levels!$G$5:$G$94)&gt;0))*(LEFT(I69,1)="1")+SUMPRODUCT((Levels!$A$5:$A$94=$B69)*(Levels!$B$5:$B$94=2)*(COUNTIFS(Progress!$B$5:$B$3000,$A69,Progress!$G$5:$G$3000,Levels!$G$5:$G$94)&gt;0))*(LEFT(I69,1)="2")+SUMPRODUCT((Levels!$A$5:$A$94=$B69)*(Levels!$B$5:$B$94=3)*(COUNTIFS(Progress!$B$5:$B$3000,$A69,Progress!$G$5:$G$3000,Levels!$G$5:$G$94)&gt;0))*(LEFT(I69,1)="3")+SUMPRODUCT((Levels!$A$5:$A$94=$B69)*(Levels!$B$5:$B$94=4)*(COUNTIFS(Progress!$B$5:$B$3000,$A69,Progress!$G$5:$G$3000,Levels!$G$5:$G$94)&gt;0))*(LEFT(I69,1)="4")))</f>
        <v/>
      </c>
      <c r="K69" s="26" t="str">
        <f aca="false">IF($A69="","",IF(COUNTIFS(Progress!$B$5:$B$3000,$A69)=0,"",SUMPRODUCT(MAX((Progress!$B$5:$B$3000=$A69)*Progress!$A$5:$A$3000))))</f>
        <v/>
      </c>
      <c r="L69" s="22"/>
    </row>
    <row r="70" customFormat="false" ht="15" hidden="false" customHeight="false" outlineLevel="0" collapsed="false">
      <c r="A70" s="22"/>
      <c r="B70" s="22"/>
      <c r="C70" s="23"/>
      <c r="D70" s="22"/>
      <c r="E70" s="24" t="str">
        <f aca="false">IF(OR($A70="",$B70=""),"",SUMPRODUCT((Levels!$A$5:$A$94=$B70)*(Levels!$B$5:$B$94=1)*(COUNTIFS(Progress!$B$5:$B$3000,$A70,Progress!$G$5:$G$3000,Levels!$G$5:$G$94)&gt;0))&amp;" / "&amp;COUNTIFS(Levels!$A$5:$A$94,$B70,Levels!$B$5:$B$94,1))</f>
        <v/>
      </c>
      <c r="F70" s="24" t="str">
        <f aca="false">IF(OR($A70="",$B70=""),"",SUMPRODUCT((Levels!$A$5:$A$94=$B70)*(Levels!$B$5:$B$94=2)*(COUNTIFS(Progress!$B$5:$B$3000,$A70,Progress!$G$5:$G$3000,Levels!$G$5:$G$94)&gt;0))&amp;" / "&amp;COUNTIFS(Levels!$A$5:$A$94,$B70,Levels!$B$5:$B$94,2))</f>
        <v/>
      </c>
      <c r="G70" s="24" t="str">
        <f aca="false">IF(OR($A70="",$B70=""),"",SUMPRODUCT((Levels!$A$5:$A$94=$B70)*(Levels!$B$5:$B$94=3)*(COUNTIFS(Progress!$B$5:$B$3000,$A70,Progress!$G$5:$G$3000,Levels!$G$5:$G$94)&gt;0))&amp;" / "&amp;COUNTIFS(Levels!$A$5:$A$94,$B70,Levels!$B$5:$B$94,3))</f>
        <v/>
      </c>
      <c r="H70" s="24" t="str">
        <f aca="false">IF(OR($A70="",$B70=""),"",SUMPRODUCT((Levels!$A$5:$A$94=$B70)*(Levels!$B$5:$B$94=4)*(COUNTIFS(Progress!$B$5:$B$3000,$A70,Progress!$G$5:$G$3000,Levels!$G$5:$G$94)&gt;0))&amp;" / "&amp;COUNTIFS(Levels!$A$5:$A$94,$B70,Levels!$B$5:$B$94,4))</f>
        <v/>
      </c>
      <c r="I70" s="24" t="str">
        <f aca="false">IF(OR($A70="",$B70=""),"",IF(SUMPRODUCT((Levels!$A$5:$A$94=$B70)*(Levels!$B$5:$B$94=1)*(COUNTIFS(Progress!$B$5:$B$3000,$A70,Progress!$G$5:$G$3000,Levels!$G$5:$G$94)&gt;0))&lt;COUNTIFS(Levels!$A$5:$A$94,$B70,Levels!$B$5:$B$94,1),"1 Rookie",IF(SUMPRODUCT((Levels!$A$5:$A$94=$B70)*(Levels!$B$5:$B$94=2)*(COUNTIFS(Progress!$B$5:$B$3000,$A70,Progress!$G$5:$G$3000,Levels!$G$5:$G$94)&gt;0))&lt;COUNTIFS(Levels!$A$5:$A$94,$B70,Levels!$B$5:$B$94,2),"2 Contender",IF(SUMPRODUCT((Levels!$A$5:$A$94=$B70)*(Levels!$B$5:$B$94=3)*(COUNTIFS(Progress!$B$5:$B$3000,$A70,Progress!$G$5:$G$3000,Levels!$G$5:$G$94)&gt;0))&lt;COUNTIFS(Levels!$A$5:$A$94,$B70,Levels!$B$5:$B$94,3),"3 Challenger",IF(SUMPRODUCT((Levels!$A$5:$A$94=$B70)*(Levels!$B$5:$B$94=4)*(COUNTIFS(Progress!$B$5:$B$3000,$A70,Progress!$G$5:$G$3000,Levels!$G$5:$G$94)&gt;0))&lt;COUNTIFS(Levels!$A$5:$A$94,$B70,Levels!$B$5:$B$94,4),"4 Champion","All done")))))</f>
        <v/>
      </c>
      <c r="J70" s="25" t="str">
        <f aca="false">IF(OR(I70="",I70="All done"),"",COUNTIFS(Levels!$A$5:$A$94,$B70,Levels!$B$5:$B$94,1)*(LEFT(I70,1)="1")+COUNTIFS(Levels!$A$5:$A$94,$B70,Levels!$B$5:$B$94,2)*(LEFT(I70,1)="2")+COUNTIFS(Levels!$A$5:$A$94,$B70,Levels!$B$5:$B$94,3)*(LEFT(I70,1)="3")+COUNTIFS(Levels!$A$5:$A$94,$B70,Levels!$B$5:$B$94,4)*(LEFT(I70,1)="4")-(SUMPRODUCT((Levels!$A$5:$A$94=$B70)*(Levels!$B$5:$B$94=1)*(COUNTIFS(Progress!$B$5:$B$3000,$A70,Progress!$G$5:$G$3000,Levels!$G$5:$G$94)&gt;0))*(LEFT(I70,1)="1")+SUMPRODUCT((Levels!$A$5:$A$94=$B70)*(Levels!$B$5:$B$94=2)*(COUNTIFS(Progress!$B$5:$B$3000,$A70,Progress!$G$5:$G$3000,Levels!$G$5:$G$94)&gt;0))*(LEFT(I70,1)="2")+SUMPRODUCT((Levels!$A$5:$A$94=$B70)*(Levels!$B$5:$B$94=3)*(COUNTIFS(Progress!$B$5:$B$3000,$A70,Progress!$G$5:$G$3000,Levels!$G$5:$G$94)&gt;0))*(LEFT(I70,1)="3")+SUMPRODUCT((Levels!$A$5:$A$94=$B70)*(Levels!$B$5:$B$94=4)*(COUNTIFS(Progress!$B$5:$B$3000,$A70,Progress!$G$5:$G$3000,Levels!$G$5:$G$94)&gt;0))*(LEFT(I70,1)="4")))</f>
        <v/>
      </c>
      <c r="K70" s="26" t="str">
        <f aca="false">IF($A70="","",IF(COUNTIFS(Progress!$B$5:$B$3000,$A70)=0,"",SUMPRODUCT(MAX((Progress!$B$5:$B$3000=$A70)*Progress!$A$5:$A$3000))))</f>
        <v/>
      </c>
      <c r="L70" s="22"/>
    </row>
    <row r="71" customFormat="false" ht="15" hidden="false" customHeight="false" outlineLevel="0" collapsed="false">
      <c r="A71" s="22"/>
      <c r="B71" s="22"/>
      <c r="C71" s="23"/>
      <c r="D71" s="22"/>
      <c r="E71" s="24" t="str">
        <f aca="false">IF(OR($A71="",$B71=""),"",SUMPRODUCT((Levels!$A$5:$A$94=$B71)*(Levels!$B$5:$B$94=1)*(COUNTIFS(Progress!$B$5:$B$3000,$A71,Progress!$G$5:$G$3000,Levels!$G$5:$G$94)&gt;0))&amp;" / "&amp;COUNTIFS(Levels!$A$5:$A$94,$B71,Levels!$B$5:$B$94,1))</f>
        <v/>
      </c>
      <c r="F71" s="24" t="str">
        <f aca="false">IF(OR($A71="",$B71=""),"",SUMPRODUCT((Levels!$A$5:$A$94=$B71)*(Levels!$B$5:$B$94=2)*(COUNTIFS(Progress!$B$5:$B$3000,$A71,Progress!$G$5:$G$3000,Levels!$G$5:$G$94)&gt;0))&amp;" / "&amp;COUNTIFS(Levels!$A$5:$A$94,$B71,Levels!$B$5:$B$94,2))</f>
        <v/>
      </c>
      <c r="G71" s="24" t="str">
        <f aca="false">IF(OR($A71="",$B71=""),"",SUMPRODUCT((Levels!$A$5:$A$94=$B71)*(Levels!$B$5:$B$94=3)*(COUNTIFS(Progress!$B$5:$B$3000,$A71,Progress!$G$5:$G$3000,Levels!$G$5:$G$94)&gt;0))&amp;" / "&amp;COUNTIFS(Levels!$A$5:$A$94,$B71,Levels!$B$5:$B$94,3))</f>
        <v/>
      </c>
      <c r="H71" s="24" t="str">
        <f aca="false">IF(OR($A71="",$B71=""),"",SUMPRODUCT((Levels!$A$5:$A$94=$B71)*(Levels!$B$5:$B$94=4)*(COUNTIFS(Progress!$B$5:$B$3000,$A71,Progress!$G$5:$G$3000,Levels!$G$5:$G$94)&gt;0))&amp;" / "&amp;COUNTIFS(Levels!$A$5:$A$94,$B71,Levels!$B$5:$B$94,4))</f>
        <v/>
      </c>
      <c r="I71" s="24" t="str">
        <f aca="false">IF(OR($A71="",$B71=""),"",IF(SUMPRODUCT((Levels!$A$5:$A$94=$B71)*(Levels!$B$5:$B$94=1)*(COUNTIFS(Progress!$B$5:$B$3000,$A71,Progress!$G$5:$G$3000,Levels!$G$5:$G$94)&gt;0))&lt;COUNTIFS(Levels!$A$5:$A$94,$B71,Levels!$B$5:$B$94,1),"1 Rookie",IF(SUMPRODUCT((Levels!$A$5:$A$94=$B71)*(Levels!$B$5:$B$94=2)*(COUNTIFS(Progress!$B$5:$B$3000,$A71,Progress!$G$5:$G$3000,Levels!$G$5:$G$94)&gt;0))&lt;COUNTIFS(Levels!$A$5:$A$94,$B71,Levels!$B$5:$B$94,2),"2 Contender",IF(SUMPRODUCT((Levels!$A$5:$A$94=$B71)*(Levels!$B$5:$B$94=3)*(COUNTIFS(Progress!$B$5:$B$3000,$A71,Progress!$G$5:$G$3000,Levels!$G$5:$G$94)&gt;0))&lt;COUNTIFS(Levels!$A$5:$A$94,$B71,Levels!$B$5:$B$94,3),"3 Challenger",IF(SUMPRODUCT((Levels!$A$5:$A$94=$B71)*(Levels!$B$5:$B$94=4)*(COUNTIFS(Progress!$B$5:$B$3000,$A71,Progress!$G$5:$G$3000,Levels!$G$5:$G$94)&gt;0))&lt;COUNTIFS(Levels!$A$5:$A$94,$B71,Levels!$B$5:$B$94,4),"4 Champion","All done")))))</f>
        <v/>
      </c>
      <c r="J71" s="25" t="str">
        <f aca="false">IF(OR(I71="",I71="All done"),"",COUNTIFS(Levels!$A$5:$A$94,$B71,Levels!$B$5:$B$94,1)*(LEFT(I71,1)="1")+COUNTIFS(Levels!$A$5:$A$94,$B71,Levels!$B$5:$B$94,2)*(LEFT(I71,1)="2")+COUNTIFS(Levels!$A$5:$A$94,$B71,Levels!$B$5:$B$94,3)*(LEFT(I71,1)="3")+COUNTIFS(Levels!$A$5:$A$94,$B71,Levels!$B$5:$B$94,4)*(LEFT(I71,1)="4")-(SUMPRODUCT((Levels!$A$5:$A$94=$B71)*(Levels!$B$5:$B$94=1)*(COUNTIFS(Progress!$B$5:$B$3000,$A71,Progress!$G$5:$G$3000,Levels!$G$5:$G$94)&gt;0))*(LEFT(I71,1)="1")+SUMPRODUCT((Levels!$A$5:$A$94=$B71)*(Levels!$B$5:$B$94=2)*(COUNTIFS(Progress!$B$5:$B$3000,$A71,Progress!$G$5:$G$3000,Levels!$G$5:$G$94)&gt;0))*(LEFT(I71,1)="2")+SUMPRODUCT((Levels!$A$5:$A$94=$B71)*(Levels!$B$5:$B$94=3)*(COUNTIFS(Progress!$B$5:$B$3000,$A71,Progress!$G$5:$G$3000,Levels!$G$5:$G$94)&gt;0))*(LEFT(I71,1)="3")+SUMPRODUCT((Levels!$A$5:$A$94=$B71)*(Levels!$B$5:$B$94=4)*(COUNTIFS(Progress!$B$5:$B$3000,$A71,Progress!$G$5:$G$3000,Levels!$G$5:$G$94)&gt;0))*(LEFT(I71,1)="4")))</f>
        <v/>
      </c>
      <c r="K71" s="26" t="str">
        <f aca="false">IF($A71="","",IF(COUNTIFS(Progress!$B$5:$B$3000,$A71)=0,"",SUMPRODUCT(MAX((Progress!$B$5:$B$3000=$A71)*Progress!$A$5:$A$3000))))</f>
        <v/>
      </c>
      <c r="L71" s="22"/>
    </row>
    <row r="72" customFormat="false" ht="15" hidden="false" customHeight="false" outlineLevel="0" collapsed="false">
      <c r="A72" s="22"/>
      <c r="B72" s="22"/>
      <c r="C72" s="23"/>
      <c r="D72" s="22"/>
      <c r="E72" s="24" t="str">
        <f aca="false">IF(OR($A72="",$B72=""),"",SUMPRODUCT((Levels!$A$5:$A$94=$B72)*(Levels!$B$5:$B$94=1)*(COUNTIFS(Progress!$B$5:$B$3000,$A72,Progress!$G$5:$G$3000,Levels!$G$5:$G$94)&gt;0))&amp;" / "&amp;COUNTIFS(Levels!$A$5:$A$94,$B72,Levels!$B$5:$B$94,1))</f>
        <v/>
      </c>
      <c r="F72" s="24" t="str">
        <f aca="false">IF(OR($A72="",$B72=""),"",SUMPRODUCT((Levels!$A$5:$A$94=$B72)*(Levels!$B$5:$B$94=2)*(COUNTIFS(Progress!$B$5:$B$3000,$A72,Progress!$G$5:$G$3000,Levels!$G$5:$G$94)&gt;0))&amp;" / "&amp;COUNTIFS(Levels!$A$5:$A$94,$B72,Levels!$B$5:$B$94,2))</f>
        <v/>
      </c>
      <c r="G72" s="24" t="str">
        <f aca="false">IF(OR($A72="",$B72=""),"",SUMPRODUCT((Levels!$A$5:$A$94=$B72)*(Levels!$B$5:$B$94=3)*(COUNTIFS(Progress!$B$5:$B$3000,$A72,Progress!$G$5:$G$3000,Levels!$G$5:$G$94)&gt;0))&amp;" / "&amp;COUNTIFS(Levels!$A$5:$A$94,$B72,Levels!$B$5:$B$94,3))</f>
        <v/>
      </c>
      <c r="H72" s="24" t="str">
        <f aca="false">IF(OR($A72="",$B72=""),"",SUMPRODUCT((Levels!$A$5:$A$94=$B72)*(Levels!$B$5:$B$94=4)*(COUNTIFS(Progress!$B$5:$B$3000,$A72,Progress!$G$5:$G$3000,Levels!$G$5:$G$94)&gt;0))&amp;" / "&amp;COUNTIFS(Levels!$A$5:$A$94,$B72,Levels!$B$5:$B$94,4))</f>
        <v/>
      </c>
      <c r="I72" s="24" t="str">
        <f aca="false">IF(OR($A72="",$B72=""),"",IF(SUMPRODUCT((Levels!$A$5:$A$94=$B72)*(Levels!$B$5:$B$94=1)*(COUNTIFS(Progress!$B$5:$B$3000,$A72,Progress!$G$5:$G$3000,Levels!$G$5:$G$94)&gt;0))&lt;COUNTIFS(Levels!$A$5:$A$94,$B72,Levels!$B$5:$B$94,1),"1 Rookie",IF(SUMPRODUCT((Levels!$A$5:$A$94=$B72)*(Levels!$B$5:$B$94=2)*(COUNTIFS(Progress!$B$5:$B$3000,$A72,Progress!$G$5:$G$3000,Levels!$G$5:$G$94)&gt;0))&lt;COUNTIFS(Levels!$A$5:$A$94,$B72,Levels!$B$5:$B$94,2),"2 Contender",IF(SUMPRODUCT((Levels!$A$5:$A$94=$B72)*(Levels!$B$5:$B$94=3)*(COUNTIFS(Progress!$B$5:$B$3000,$A72,Progress!$G$5:$G$3000,Levels!$G$5:$G$94)&gt;0))&lt;COUNTIFS(Levels!$A$5:$A$94,$B72,Levels!$B$5:$B$94,3),"3 Challenger",IF(SUMPRODUCT((Levels!$A$5:$A$94=$B72)*(Levels!$B$5:$B$94=4)*(COUNTIFS(Progress!$B$5:$B$3000,$A72,Progress!$G$5:$G$3000,Levels!$G$5:$G$94)&gt;0))&lt;COUNTIFS(Levels!$A$5:$A$94,$B72,Levels!$B$5:$B$94,4),"4 Champion","All done")))))</f>
        <v/>
      </c>
      <c r="J72" s="25" t="str">
        <f aca="false">IF(OR(I72="",I72="All done"),"",COUNTIFS(Levels!$A$5:$A$94,$B72,Levels!$B$5:$B$94,1)*(LEFT(I72,1)="1")+COUNTIFS(Levels!$A$5:$A$94,$B72,Levels!$B$5:$B$94,2)*(LEFT(I72,1)="2")+COUNTIFS(Levels!$A$5:$A$94,$B72,Levels!$B$5:$B$94,3)*(LEFT(I72,1)="3")+COUNTIFS(Levels!$A$5:$A$94,$B72,Levels!$B$5:$B$94,4)*(LEFT(I72,1)="4")-(SUMPRODUCT((Levels!$A$5:$A$94=$B72)*(Levels!$B$5:$B$94=1)*(COUNTIFS(Progress!$B$5:$B$3000,$A72,Progress!$G$5:$G$3000,Levels!$G$5:$G$94)&gt;0))*(LEFT(I72,1)="1")+SUMPRODUCT((Levels!$A$5:$A$94=$B72)*(Levels!$B$5:$B$94=2)*(COUNTIFS(Progress!$B$5:$B$3000,$A72,Progress!$G$5:$G$3000,Levels!$G$5:$G$94)&gt;0))*(LEFT(I72,1)="2")+SUMPRODUCT((Levels!$A$5:$A$94=$B72)*(Levels!$B$5:$B$94=3)*(COUNTIFS(Progress!$B$5:$B$3000,$A72,Progress!$G$5:$G$3000,Levels!$G$5:$G$94)&gt;0))*(LEFT(I72,1)="3")+SUMPRODUCT((Levels!$A$5:$A$94=$B72)*(Levels!$B$5:$B$94=4)*(COUNTIFS(Progress!$B$5:$B$3000,$A72,Progress!$G$5:$G$3000,Levels!$G$5:$G$94)&gt;0))*(LEFT(I72,1)="4")))</f>
        <v/>
      </c>
      <c r="K72" s="26" t="str">
        <f aca="false">IF($A72="","",IF(COUNTIFS(Progress!$B$5:$B$3000,$A72)=0,"",SUMPRODUCT(MAX((Progress!$B$5:$B$3000=$A72)*Progress!$A$5:$A$3000))))</f>
        <v/>
      </c>
      <c r="L72" s="22"/>
    </row>
    <row r="73" customFormat="false" ht="15" hidden="false" customHeight="false" outlineLevel="0" collapsed="false">
      <c r="A73" s="22"/>
      <c r="B73" s="22"/>
      <c r="C73" s="23"/>
      <c r="D73" s="22"/>
      <c r="E73" s="24" t="str">
        <f aca="false">IF(OR($A73="",$B73=""),"",SUMPRODUCT((Levels!$A$5:$A$94=$B73)*(Levels!$B$5:$B$94=1)*(COUNTIFS(Progress!$B$5:$B$3000,$A73,Progress!$G$5:$G$3000,Levels!$G$5:$G$94)&gt;0))&amp;" / "&amp;COUNTIFS(Levels!$A$5:$A$94,$B73,Levels!$B$5:$B$94,1))</f>
        <v/>
      </c>
      <c r="F73" s="24" t="str">
        <f aca="false">IF(OR($A73="",$B73=""),"",SUMPRODUCT((Levels!$A$5:$A$94=$B73)*(Levels!$B$5:$B$94=2)*(COUNTIFS(Progress!$B$5:$B$3000,$A73,Progress!$G$5:$G$3000,Levels!$G$5:$G$94)&gt;0))&amp;" / "&amp;COUNTIFS(Levels!$A$5:$A$94,$B73,Levels!$B$5:$B$94,2))</f>
        <v/>
      </c>
      <c r="G73" s="24" t="str">
        <f aca="false">IF(OR($A73="",$B73=""),"",SUMPRODUCT((Levels!$A$5:$A$94=$B73)*(Levels!$B$5:$B$94=3)*(COUNTIFS(Progress!$B$5:$B$3000,$A73,Progress!$G$5:$G$3000,Levels!$G$5:$G$94)&gt;0))&amp;" / "&amp;COUNTIFS(Levels!$A$5:$A$94,$B73,Levels!$B$5:$B$94,3))</f>
        <v/>
      </c>
      <c r="H73" s="24" t="str">
        <f aca="false">IF(OR($A73="",$B73=""),"",SUMPRODUCT((Levels!$A$5:$A$94=$B73)*(Levels!$B$5:$B$94=4)*(COUNTIFS(Progress!$B$5:$B$3000,$A73,Progress!$G$5:$G$3000,Levels!$G$5:$G$94)&gt;0))&amp;" / "&amp;COUNTIFS(Levels!$A$5:$A$94,$B73,Levels!$B$5:$B$94,4))</f>
        <v/>
      </c>
      <c r="I73" s="24" t="str">
        <f aca="false">IF(OR($A73="",$B73=""),"",IF(SUMPRODUCT((Levels!$A$5:$A$94=$B73)*(Levels!$B$5:$B$94=1)*(COUNTIFS(Progress!$B$5:$B$3000,$A73,Progress!$G$5:$G$3000,Levels!$G$5:$G$94)&gt;0))&lt;COUNTIFS(Levels!$A$5:$A$94,$B73,Levels!$B$5:$B$94,1),"1 Rookie",IF(SUMPRODUCT((Levels!$A$5:$A$94=$B73)*(Levels!$B$5:$B$94=2)*(COUNTIFS(Progress!$B$5:$B$3000,$A73,Progress!$G$5:$G$3000,Levels!$G$5:$G$94)&gt;0))&lt;COUNTIFS(Levels!$A$5:$A$94,$B73,Levels!$B$5:$B$94,2),"2 Contender",IF(SUMPRODUCT((Levels!$A$5:$A$94=$B73)*(Levels!$B$5:$B$94=3)*(COUNTIFS(Progress!$B$5:$B$3000,$A73,Progress!$G$5:$G$3000,Levels!$G$5:$G$94)&gt;0))&lt;COUNTIFS(Levels!$A$5:$A$94,$B73,Levels!$B$5:$B$94,3),"3 Challenger",IF(SUMPRODUCT((Levels!$A$5:$A$94=$B73)*(Levels!$B$5:$B$94=4)*(COUNTIFS(Progress!$B$5:$B$3000,$A73,Progress!$G$5:$G$3000,Levels!$G$5:$G$94)&gt;0))&lt;COUNTIFS(Levels!$A$5:$A$94,$B73,Levels!$B$5:$B$94,4),"4 Champion","All done")))))</f>
        <v/>
      </c>
      <c r="J73" s="25" t="str">
        <f aca="false">IF(OR(I73="",I73="All done"),"",COUNTIFS(Levels!$A$5:$A$94,$B73,Levels!$B$5:$B$94,1)*(LEFT(I73,1)="1")+COUNTIFS(Levels!$A$5:$A$94,$B73,Levels!$B$5:$B$94,2)*(LEFT(I73,1)="2")+COUNTIFS(Levels!$A$5:$A$94,$B73,Levels!$B$5:$B$94,3)*(LEFT(I73,1)="3")+COUNTIFS(Levels!$A$5:$A$94,$B73,Levels!$B$5:$B$94,4)*(LEFT(I73,1)="4")-(SUMPRODUCT((Levels!$A$5:$A$94=$B73)*(Levels!$B$5:$B$94=1)*(COUNTIFS(Progress!$B$5:$B$3000,$A73,Progress!$G$5:$G$3000,Levels!$G$5:$G$94)&gt;0))*(LEFT(I73,1)="1")+SUMPRODUCT((Levels!$A$5:$A$94=$B73)*(Levels!$B$5:$B$94=2)*(COUNTIFS(Progress!$B$5:$B$3000,$A73,Progress!$G$5:$G$3000,Levels!$G$5:$G$94)&gt;0))*(LEFT(I73,1)="2")+SUMPRODUCT((Levels!$A$5:$A$94=$B73)*(Levels!$B$5:$B$94=3)*(COUNTIFS(Progress!$B$5:$B$3000,$A73,Progress!$G$5:$G$3000,Levels!$G$5:$G$94)&gt;0))*(LEFT(I73,1)="3")+SUMPRODUCT((Levels!$A$5:$A$94=$B73)*(Levels!$B$5:$B$94=4)*(COUNTIFS(Progress!$B$5:$B$3000,$A73,Progress!$G$5:$G$3000,Levels!$G$5:$G$94)&gt;0))*(LEFT(I73,1)="4")))</f>
        <v/>
      </c>
      <c r="K73" s="26" t="str">
        <f aca="false">IF($A73="","",IF(COUNTIFS(Progress!$B$5:$B$3000,$A73)=0,"",SUMPRODUCT(MAX((Progress!$B$5:$B$3000=$A73)*Progress!$A$5:$A$3000))))</f>
        <v/>
      </c>
      <c r="L73" s="22"/>
    </row>
    <row r="74" customFormat="false" ht="15" hidden="false" customHeight="false" outlineLevel="0" collapsed="false">
      <c r="A74" s="22"/>
      <c r="B74" s="22"/>
      <c r="C74" s="23"/>
      <c r="D74" s="22"/>
      <c r="E74" s="24" t="str">
        <f aca="false">IF(OR($A74="",$B74=""),"",SUMPRODUCT((Levels!$A$5:$A$94=$B74)*(Levels!$B$5:$B$94=1)*(COUNTIFS(Progress!$B$5:$B$3000,$A74,Progress!$G$5:$G$3000,Levels!$G$5:$G$94)&gt;0))&amp;" / "&amp;COUNTIFS(Levels!$A$5:$A$94,$B74,Levels!$B$5:$B$94,1))</f>
        <v/>
      </c>
      <c r="F74" s="24" t="str">
        <f aca="false">IF(OR($A74="",$B74=""),"",SUMPRODUCT((Levels!$A$5:$A$94=$B74)*(Levels!$B$5:$B$94=2)*(COUNTIFS(Progress!$B$5:$B$3000,$A74,Progress!$G$5:$G$3000,Levels!$G$5:$G$94)&gt;0))&amp;" / "&amp;COUNTIFS(Levels!$A$5:$A$94,$B74,Levels!$B$5:$B$94,2))</f>
        <v/>
      </c>
      <c r="G74" s="24" t="str">
        <f aca="false">IF(OR($A74="",$B74=""),"",SUMPRODUCT((Levels!$A$5:$A$94=$B74)*(Levels!$B$5:$B$94=3)*(COUNTIFS(Progress!$B$5:$B$3000,$A74,Progress!$G$5:$G$3000,Levels!$G$5:$G$94)&gt;0))&amp;" / "&amp;COUNTIFS(Levels!$A$5:$A$94,$B74,Levels!$B$5:$B$94,3))</f>
        <v/>
      </c>
      <c r="H74" s="24" t="str">
        <f aca="false">IF(OR($A74="",$B74=""),"",SUMPRODUCT((Levels!$A$5:$A$94=$B74)*(Levels!$B$5:$B$94=4)*(COUNTIFS(Progress!$B$5:$B$3000,$A74,Progress!$G$5:$G$3000,Levels!$G$5:$G$94)&gt;0))&amp;" / "&amp;COUNTIFS(Levels!$A$5:$A$94,$B74,Levels!$B$5:$B$94,4))</f>
        <v/>
      </c>
      <c r="I74" s="24" t="str">
        <f aca="false">IF(OR($A74="",$B74=""),"",IF(SUMPRODUCT((Levels!$A$5:$A$94=$B74)*(Levels!$B$5:$B$94=1)*(COUNTIFS(Progress!$B$5:$B$3000,$A74,Progress!$G$5:$G$3000,Levels!$G$5:$G$94)&gt;0))&lt;COUNTIFS(Levels!$A$5:$A$94,$B74,Levels!$B$5:$B$94,1),"1 Rookie",IF(SUMPRODUCT((Levels!$A$5:$A$94=$B74)*(Levels!$B$5:$B$94=2)*(COUNTIFS(Progress!$B$5:$B$3000,$A74,Progress!$G$5:$G$3000,Levels!$G$5:$G$94)&gt;0))&lt;COUNTIFS(Levels!$A$5:$A$94,$B74,Levels!$B$5:$B$94,2),"2 Contender",IF(SUMPRODUCT((Levels!$A$5:$A$94=$B74)*(Levels!$B$5:$B$94=3)*(COUNTIFS(Progress!$B$5:$B$3000,$A74,Progress!$G$5:$G$3000,Levels!$G$5:$G$94)&gt;0))&lt;COUNTIFS(Levels!$A$5:$A$94,$B74,Levels!$B$5:$B$94,3),"3 Challenger",IF(SUMPRODUCT((Levels!$A$5:$A$94=$B74)*(Levels!$B$5:$B$94=4)*(COUNTIFS(Progress!$B$5:$B$3000,$A74,Progress!$G$5:$G$3000,Levels!$G$5:$G$94)&gt;0))&lt;COUNTIFS(Levels!$A$5:$A$94,$B74,Levels!$B$5:$B$94,4),"4 Champion","All done")))))</f>
        <v/>
      </c>
      <c r="J74" s="25" t="str">
        <f aca="false">IF(OR(I74="",I74="All done"),"",COUNTIFS(Levels!$A$5:$A$94,$B74,Levels!$B$5:$B$94,1)*(LEFT(I74,1)="1")+COUNTIFS(Levels!$A$5:$A$94,$B74,Levels!$B$5:$B$94,2)*(LEFT(I74,1)="2")+COUNTIFS(Levels!$A$5:$A$94,$B74,Levels!$B$5:$B$94,3)*(LEFT(I74,1)="3")+COUNTIFS(Levels!$A$5:$A$94,$B74,Levels!$B$5:$B$94,4)*(LEFT(I74,1)="4")-(SUMPRODUCT((Levels!$A$5:$A$94=$B74)*(Levels!$B$5:$B$94=1)*(COUNTIFS(Progress!$B$5:$B$3000,$A74,Progress!$G$5:$G$3000,Levels!$G$5:$G$94)&gt;0))*(LEFT(I74,1)="1")+SUMPRODUCT((Levels!$A$5:$A$94=$B74)*(Levels!$B$5:$B$94=2)*(COUNTIFS(Progress!$B$5:$B$3000,$A74,Progress!$G$5:$G$3000,Levels!$G$5:$G$94)&gt;0))*(LEFT(I74,1)="2")+SUMPRODUCT((Levels!$A$5:$A$94=$B74)*(Levels!$B$5:$B$94=3)*(COUNTIFS(Progress!$B$5:$B$3000,$A74,Progress!$G$5:$G$3000,Levels!$G$5:$G$94)&gt;0))*(LEFT(I74,1)="3")+SUMPRODUCT((Levels!$A$5:$A$94=$B74)*(Levels!$B$5:$B$94=4)*(COUNTIFS(Progress!$B$5:$B$3000,$A74,Progress!$G$5:$G$3000,Levels!$G$5:$G$94)&gt;0))*(LEFT(I74,1)="4")))</f>
        <v/>
      </c>
      <c r="K74" s="26" t="str">
        <f aca="false">IF($A74="","",IF(COUNTIFS(Progress!$B$5:$B$3000,$A74)=0,"",SUMPRODUCT(MAX((Progress!$B$5:$B$3000=$A74)*Progress!$A$5:$A$3000))))</f>
        <v/>
      </c>
      <c r="L74" s="22"/>
    </row>
    <row r="75" customFormat="false" ht="15" hidden="false" customHeight="false" outlineLevel="0" collapsed="false">
      <c r="A75" s="22"/>
      <c r="B75" s="22"/>
      <c r="C75" s="23"/>
      <c r="D75" s="22"/>
      <c r="E75" s="24" t="str">
        <f aca="false">IF(OR($A75="",$B75=""),"",SUMPRODUCT((Levels!$A$5:$A$94=$B75)*(Levels!$B$5:$B$94=1)*(COUNTIFS(Progress!$B$5:$B$3000,$A75,Progress!$G$5:$G$3000,Levels!$G$5:$G$94)&gt;0))&amp;" / "&amp;COUNTIFS(Levels!$A$5:$A$94,$B75,Levels!$B$5:$B$94,1))</f>
        <v/>
      </c>
      <c r="F75" s="24" t="str">
        <f aca="false">IF(OR($A75="",$B75=""),"",SUMPRODUCT((Levels!$A$5:$A$94=$B75)*(Levels!$B$5:$B$94=2)*(COUNTIFS(Progress!$B$5:$B$3000,$A75,Progress!$G$5:$G$3000,Levels!$G$5:$G$94)&gt;0))&amp;" / "&amp;COUNTIFS(Levels!$A$5:$A$94,$B75,Levels!$B$5:$B$94,2))</f>
        <v/>
      </c>
      <c r="G75" s="24" t="str">
        <f aca="false">IF(OR($A75="",$B75=""),"",SUMPRODUCT((Levels!$A$5:$A$94=$B75)*(Levels!$B$5:$B$94=3)*(COUNTIFS(Progress!$B$5:$B$3000,$A75,Progress!$G$5:$G$3000,Levels!$G$5:$G$94)&gt;0))&amp;" / "&amp;COUNTIFS(Levels!$A$5:$A$94,$B75,Levels!$B$5:$B$94,3))</f>
        <v/>
      </c>
      <c r="H75" s="24" t="str">
        <f aca="false">IF(OR($A75="",$B75=""),"",SUMPRODUCT((Levels!$A$5:$A$94=$B75)*(Levels!$B$5:$B$94=4)*(COUNTIFS(Progress!$B$5:$B$3000,$A75,Progress!$G$5:$G$3000,Levels!$G$5:$G$94)&gt;0))&amp;" / "&amp;COUNTIFS(Levels!$A$5:$A$94,$B75,Levels!$B$5:$B$94,4))</f>
        <v/>
      </c>
      <c r="I75" s="24" t="str">
        <f aca="false">IF(OR($A75="",$B75=""),"",IF(SUMPRODUCT((Levels!$A$5:$A$94=$B75)*(Levels!$B$5:$B$94=1)*(COUNTIFS(Progress!$B$5:$B$3000,$A75,Progress!$G$5:$G$3000,Levels!$G$5:$G$94)&gt;0))&lt;COUNTIFS(Levels!$A$5:$A$94,$B75,Levels!$B$5:$B$94,1),"1 Rookie",IF(SUMPRODUCT((Levels!$A$5:$A$94=$B75)*(Levels!$B$5:$B$94=2)*(COUNTIFS(Progress!$B$5:$B$3000,$A75,Progress!$G$5:$G$3000,Levels!$G$5:$G$94)&gt;0))&lt;COUNTIFS(Levels!$A$5:$A$94,$B75,Levels!$B$5:$B$94,2),"2 Contender",IF(SUMPRODUCT((Levels!$A$5:$A$94=$B75)*(Levels!$B$5:$B$94=3)*(COUNTIFS(Progress!$B$5:$B$3000,$A75,Progress!$G$5:$G$3000,Levels!$G$5:$G$94)&gt;0))&lt;COUNTIFS(Levels!$A$5:$A$94,$B75,Levels!$B$5:$B$94,3),"3 Challenger",IF(SUMPRODUCT((Levels!$A$5:$A$94=$B75)*(Levels!$B$5:$B$94=4)*(COUNTIFS(Progress!$B$5:$B$3000,$A75,Progress!$G$5:$G$3000,Levels!$G$5:$G$94)&gt;0))&lt;COUNTIFS(Levels!$A$5:$A$94,$B75,Levels!$B$5:$B$94,4),"4 Champion","All done")))))</f>
        <v/>
      </c>
      <c r="J75" s="25" t="str">
        <f aca="false">IF(OR(I75="",I75="All done"),"",COUNTIFS(Levels!$A$5:$A$94,$B75,Levels!$B$5:$B$94,1)*(LEFT(I75,1)="1")+COUNTIFS(Levels!$A$5:$A$94,$B75,Levels!$B$5:$B$94,2)*(LEFT(I75,1)="2")+COUNTIFS(Levels!$A$5:$A$94,$B75,Levels!$B$5:$B$94,3)*(LEFT(I75,1)="3")+COUNTIFS(Levels!$A$5:$A$94,$B75,Levels!$B$5:$B$94,4)*(LEFT(I75,1)="4")-(SUMPRODUCT((Levels!$A$5:$A$94=$B75)*(Levels!$B$5:$B$94=1)*(COUNTIFS(Progress!$B$5:$B$3000,$A75,Progress!$G$5:$G$3000,Levels!$G$5:$G$94)&gt;0))*(LEFT(I75,1)="1")+SUMPRODUCT((Levels!$A$5:$A$94=$B75)*(Levels!$B$5:$B$94=2)*(COUNTIFS(Progress!$B$5:$B$3000,$A75,Progress!$G$5:$G$3000,Levels!$G$5:$G$94)&gt;0))*(LEFT(I75,1)="2")+SUMPRODUCT((Levels!$A$5:$A$94=$B75)*(Levels!$B$5:$B$94=3)*(COUNTIFS(Progress!$B$5:$B$3000,$A75,Progress!$G$5:$G$3000,Levels!$G$5:$G$94)&gt;0))*(LEFT(I75,1)="3")+SUMPRODUCT((Levels!$A$5:$A$94=$B75)*(Levels!$B$5:$B$94=4)*(COUNTIFS(Progress!$B$5:$B$3000,$A75,Progress!$G$5:$G$3000,Levels!$G$5:$G$94)&gt;0))*(LEFT(I75,1)="4")))</f>
        <v/>
      </c>
      <c r="K75" s="26" t="str">
        <f aca="false">IF($A75="","",IF(COUNTIFS(Progress!$B$5:$B$3000,$A75)=0,"",SUMPRODUCT(MAX((Progress!$B$5:$B$3000=$A75)*Progress!$A$5:$A$3000))))</f>
        <v/>
      </c>
      <c r="L75" s="22"/>
    </row>
    <row r="76" customFormat="false" ht="15" hidden="false" customHeight="false" outlineLevel="0" collapsed="false">
      <c r="A76" s="22"/>
      <c r="B76" s="22"/>
      <c r="C76" s="23"/>
      <c r="D76" s="22"/>
      <c r="E76" s="24" t="str">
        <f aca="false">IF(OR($A76="",$B76=""),"",SUMPRODUCT((Levels!$A$5:$A$94=$B76)*(Levels!$B$5:$B$94=1)*(COUNTIFS(Progress!$B$5:$B$3000,$A76,Progress!$G$5:$G$3000,Levels!$G$5:$G$94)&gt;0))&amp;" / "&amp;COUNTIFS(Levels!$A$5:$A$94,$B76,Levels!$B$5:$B$94,1))</f>
        <v/>
      </c>
      <c r="F76" s="24" t="str">
        <f aca="false">IF(OR($A76="",$B76=""),"",SUMPRODUCT((Levels!$A$5:$A$94=$B76)*(Levels!$B$5:$B$94=2)*(COUNTIFS(Progress!$B$5:$B$3000,$A76,Progress!$G$5:$G$3000,Levels!$G$5:$G$94)&gt;0))&amp;" / "&amp;COUNTIFS(Levels!$A$5:$A$94,$B76,Levels!$B$5:$B$94,2))</f>
        <v/>
      </c>
      <c r="G76" s="24" t="str">
        <f aca="false">IF(OR($A76="",$B76=""),"",SUMPRODUCT((Levels!$A$5:$A$94=$B76)*(Levels!$B$5:$B$94=3)*(COUNTIFS(Progress!$B$5:$B$3000,$A76,Progress!$G$5:$G$3000,Levels!$G$5:$G$94)&gt;0))&amp;" / "&amp;COUNTIFS(Levels!$A$5:$A$94,$B76,Levels!$B$5:$B$94,3))</f>
        <v/>
      </c>
      <c r="H76" s="24" t="str">
        <f aca="false">IF(OR($A76="",$B76=""),"",SUMPRODUCT((Levels!$A$5:$A$94=$B76)*(Levels!$B$5:$B$94=4)*(COUNTIFS(Progress!$B$5:$B$3000,$A76,Progress!$G$5:$G$3000,Levels!$G$5:$G$94)&gt;0))&amp;" / "&amp;COUNTIFS(Levels!$A$5:$A$94,$B76,Levels!$B$5:$B$94,4))</f>
        <v/>
      </c>
      <c r="I76" s="24" t="str">
        <f aca="false">IF(OR($A76="",$B76=""),"",IF(SUMPRODUCT((Levels!$A$5:$A$94=$B76)*(Levels!$B$5:$B$94=1)*(COUNTIFS(Progress!$B$5:$B$3000,$A76,Progress!$G$5:$G$3000,Levels!$G$5:$G$94)&gt;0))&lt;COUNTIFS(Levels!$A$5:$A$94,$B76,Levels!$B$5:$B$94,1),"1 Rookie",IF(SUMPRODUCT((Levels!$A$5:$A$94=$B76)*(Levels!$B$5:$B$94=2)*(COUNTIFS(Progress!$B$5:$B$3000,$A76,Progress!$G$5:$G$3000,Levels!$G$5:$G$94)&gt;0))&lt;COUNTIFS(Levels!$A$5:$A$94,$B76,Levels!$B$5:$B$94,2),"2 Contender",IF(SUMPRODUCT((Levels!$A$5:$A$94=$B76)*(Levels!$B$5:$B$94=3)*(COUNTIFS(Progress!$B$5:$B$3000,$A76,Progress!$G$5:$G$3000,Levels!$G$5:$G$94)&gt;0))&lt;COUNTIFS(Levels!$A$5:$A$94,$B76,Levels!$B$5:$B$94,3),"3 Challenger",IF(SUMPRODUCT((Levels!$A$5:$A$94=$B76)*(Levels!$B$5:$B$94=4)*(COUNTIFS(Progress!$B$5:$B$3000,$A76,Progress!$G$5:$G$3000,Levels!$G$5:$G$94)&gt;0))&lt;COUNTIFS(Levels!$A$5:$A$94,$B76,Levels!$B$5:$B$94,4),"4 Champion","All done")))))</f>
        <v/>
      </c>
      <c r="J76" s="25" t="str">
        <f aca="false">IF(OR(I76="",I76="All done"),"",COUNTIFS(Levels!$A$5:$A$94,$B76,Levels!$B$5:$B$94,1)*(LEFT(I76,1)="1")+COUNTIFS(Levels!$A$5:$A$94,$B76,Levels!$B$5:$B$94,2)*(LEFT(I76,1)="2")+COUNTIFS(Levels!$A$5:$A$94,$B76,Levels!$B$5:$B$94,3)*(LEFT(I76,1)="3")+COUNTIFS(Levels!$A$5:$A$94,$B76,Levels!$B$5:$B$94,4)*(LEFT(I76,1)="4")-(SUMPRODUCT((Levels!$A$5:$A$94=$B76)*(Levels!$B$5:$B$94=1)*(COUNTIFS(Progress!$B$5:$B$3000,$A76,Progress!$G$5:$G$3000,Levels!$G$5:$G$94)&gt;0))*(LEFT(I76,1)="1")+SUMPRODUCT((Levels!$A$5:$A$94=$B76)*(Levels!$B$5:$B$94=2)*(COUNTIFS(Progress!$B$5:$B$3000,$A76,Progress!$G$5:$G$3000,Levels!$G$5:$G$94)&gt;0))*(LEFT(I76,1)="2")+SUMPRODUCT((Levels!$A$5:$A$94=$B76)*(Levels!$B$5:$B$94=3)*(COUNTIFS(Progress!$B$5:$B$3000,$A76,Progress!$G$5:$G$3000,Levels!$G$5:$G$94)&gt;0))*(LEFT(I76,1)="3")+SUMPRODUCT((Levels!$A$5:$A$94=$B76)*(Levels!$B$5:$B$94=4)*(COUNTIFS(Progress!$B$5:$B$3000,$A76,Progress!$G$5:$G$3000,Levels!$G$5:$G$94)&gt;0))*(LEFT(I76,1)="4")))</f>
        <v/>
      </c>
      <c r="K76" s="26" t="str">
        <f aca="false">IF($A76="","",IF(COUNTIFS(Progress!$B$5:$B$3000,$A76)=0,"",SUMPRODUCT(MAX((Progress!$B$5:$B$3000=$A76)*Progress!$A$5:$A$3000))))</f>
        <v/>
      </c>
      <c r="L76" s="22"/>
    </row>
    <row r="77" customFormat="false" ht="15" hidden="false" customHeight="false" outlineLevel="0" collapsed="false">
      <c r="A77" s="22"/>
      <c r="B77" s="22"/>
      <c r="C77" s="23"/>
      <c r="D77" s="22"/>
      <c r="E77" s="24" t="str">
        <f aca="false">IF(OR($A77="",$B77=""),"",SUMPRODUCT((Levels!$A$5:$A$94=$B77)*(Levels!$B$5:$B$94=1)*(COUNTIFS(Progress!$B$5:$B$3000,$A77,Progress!$G$5:$G$3000,Levels!$G$5:$G$94)&gt;0))&amp;" / "&amp;COUNTIFS(Levels!$A$5:$A$94,$B77,Levels!$B$5:$B$94,1))</f>
        <v/>
      </c>
      <c r="F77" s="24" t="str">
        <f aca="false">IF(OR($A77="",$B77=""),"",SUMPRODUCT((Levels!$A$5:$A$94=$B77)*(Levels!$B$5:$B$94=2)*(COUNTIFS(Progress!$B$5:$B$3000,$A77,Progress!$G$5:$G$3000,Levels!$G$5:$G$94)&gt;0))&amp;" / "&amp;COUNTIFS(Levels!$A$5:$A$94,$B77,Levels!$B$5:$B$94,2))</f>
        <v/>
      </c>
      <c r="G77" s="24" t="str">
        <f aca="false">IF(OR($A77="",$B77=""),"",SUMPRODUCT((Levels!$A$5:$A$94=$B77)*(Levels!$B$5:$B$94=3)*(COUNTIFS(Progress!$B$5:$B$3000,$A77,Progress!$G$5:$G$3000,Levels!$G$5:$G$94)&gt;0))&amp;" / "&amp;COUNTIFS(Levels!$A$5:$A$94,$B77,Levels!$B$5:$B$94,3))</f>
        <v/>
      </c>
      <c r="H77" s="24" t="str">
        <f aca="false">IF(OR($A77="",$B77=""),"",SUMPRODUCT((Levels!$A$5:$A$94=$B77)*(Levels!$B$5:$B$94=4)*(COUNTIFS(Progress!$B$5:$B$3000,$A77,Progress!$G$5:$G$3000,Levels!$G$5:$G$94)&gt;0))&amp;" / "&amp;COUNTIFS(Levels!$A$5:$A$94,$B77,Levels!$B$5:$B$94,4))</f>
        <v/>
      </c>
      <c r="I77" s="24" t="str">
        <f aca="false">IF(OR($A77="",$B77=""),"",IF(SUMPRODUCT((Levels!$A$5:$A$94=$B77)*(Levels!$B$5:$B$94=1)*(COUNTIFS(Progress!$B$5:$B$3000,$A77,Progress!$G$5:$G$3000,Levels!$G$5:$G$94)&gt;0))&lt;COUNTIFS(Levels!$A$5:$A$94,$B77,Levels!$B$5:$B$94,1),"1 Rookie",IF(SUMPRODUCT((Levels!$A$5:$A$94=$B77)*(Levels!$B$5:$B$94=2)*(COUNTIFS(Progress!$B$5:$B$3000,$A77,Progress!$G$5:$G$3000,Levels!$G$5:$G$94)&gt;0))&lt;COUNTIFS(Levels!$A$5:$A$94,$B77,Levels!$B$5:$B$94,2),"2 Contender",IF(SUMPRODUCT((Levels!$A$5:$A$94=$B77)*(Levels!$B$5:$B$94=3)*(COUNTIFS(Progress!$B$5:$B$3000,$A77,Progress!$G$5:$G$3000,Levels!$G$5:$G$94)&gt;0))&lt;COUNTIFS(Levels!$A$5:$A$94,$B77,Levels!$B$5:$B$94,3),"3 Challenger",IF(SUMPRODUCT((Levels!$A$5:$A$94=$B77)*(Levels!$B$5:$B$94=4)*(COUNTIFS(Progress!$B$5:$B$3000,$A77,Progress!$G$5:$G$3000,Levels!$G$5:$G$94)&gt;0))&lt;COUNTIFS(Levels!$A$5:$A$94,$B77,Levels!$B$5:$B$94,4),"4 Champion","All done")))))</f>
        <v/>
      </c>
      <c r="J77" s="25" t="str">
        <f aca="false">IF(OR(I77="",I77="All done"),"",COUNTIFS(Levels!$A$5:$A$94,$B77,Levels!$B$5:$B$94,1)*(LEFT(I77,1)="1")+COUNTIFS(Levels!$A$5:$A$94,$B77,Levels!$B$5:$B$94,2)*(LEFT(I77,1)="2")+COUNTIFS(Levels!$A$5:$A$94,$B77,Levels!$B$5:$B$94,3)*(LEFT(I77,1)="3")+COUNTIFS(Levels!$A$5:$A$94,$B77,Levels!$B$5:$B$94,4)*(LEFT(I77,1)="4")-(SUMPRODUCT((Levels!$A$5:$A$94=$B77)*(Levels!$B$5:$B$94=1)*(COUNTIFS(Progress!$B$5:$B$3000,$A77,Progress!$G$5:$G$3000,Levels!$G$5:$G$94)&gt;0))*(LEFT(I77,1)="1")+SUMPRODUCT((Levels!$A$5:$A$94=$B77)*(Levels!$B$5:$B$94=2)*(COUNTIFS(Progress!$B$5:$B$3000,$A77,Progress!$G$5:$G$3000,Levels!$G$5:$G$94)&gt;0))*(LEFT(I77,1)="2")+SUMPRODUCT((Levels!$A$5:$A$94=$B77)*(Levels!$B$5:$B$94=3)*(COUNTIFS(Progress!$B$5:$B$3000,$A77,Progress!$G$5:$G$3000,Levels!$G$5:$G$94)&gt;0))*(LEFT(I77,1)="3")+SUMPRODUCT((Levels!$A$5:$A$94=$B77)*(Levels!$B$5:$B$94=4)*(COUNTIFS(Progress!$B$5:$B$3000,$A77,Progress!$G$5:$G$3000,Levels!$G$5:$G$94)&gt;0))*(LEFT(I77,1)="4")))</f>
        <v/>
      </c>
      <c r="K77" s="26" t="str">
        <f aca="false">IF($A77="","",IF(COUNTIFS(Progress!$B$5:$B$3000,$A77)=0,"",SUMPRODUCT(MAX((Progress!$B$5:$B$3000=$A77)*Progress!$A$5:$A$3000))))</f>
        <v/>
      </c>
      <c r="L77" s="22"/>
    </row>
    <row r="78" customFormat="false" ht="15" hidden="false" customHeight="false" outlineLevel="0" collapsed="false">
      <c r="A78" s="22"/>
      <c r="B78" s="22"/>
      <c r="C78" s="23"/>
      <c r="D78" s="22"/>
      <c r="E78" s="24" t="str">
        <f aca="false">IF(OR($A78="",$B78=""),"",SUMPRODUCT((Levels!$A$5:$A$94=$B78)*(Levels!$B$5:$B$94=1)*(COUNTIFS(Progress!$B$5:$B$3000,$A78,Progress!$G$5:$G$3000,Levels!$G$5:$G$94)&gt;0))&amp;" / "&amp;COUNTIFS(Levels!$A$5:$A$94,$B78,Levels!$B$5:$B$94,1))</f>
        <v/>
      </c>
      <c r="F78" s="24" t="str">
        <f aca="false">IF(OR($A78="",$B78=""),"",SUMPRODUCT((Levels!$A$5:$A$94=$B78)*(Levels!$B$5:$B$94=2)*(COUNTIFS(Progress!$B$5:$B$3000,$A78,Progress!$G$5:$G$3000,Levels!$G$5:$G$94)&gt;0))&amp;" / "&amp;COUNTIFS(Levels!$A$5:$A$94,$B78,Levels!$B$5:$B$94,2))</f>
        <v/>
      </c>
      <c r="G78" s="24" t="str">
        <f aca="false">IF(OR($A78="",$B78=""),"",SUMPRODUCT((Levels!$A$5:$A$94=$B78)*(Levels!$B$5:$B$94=3)*(COUNTIFS(Progress!$B$5:$B$3000,$A78,Progress!$G$5:$G$3000,Levels!$G$5:$G$94)&gt;0))&amp;" / "&amp;COUNTIFS(Levels!$A$5:$A$94,$B78,Levels!$B$5:$B$94,3))</f>
        <v/>
      </c>
      <c r="H78" s="24" t="str">
        <f aca="false">IF(OR($A78="",$B78=""),"",SUMPRODUCT((Levels!$A$5:$A$94=$B78)*(Levels!$B$5:$B$94=4)*(COUNTIFS(Progress!$B$5:$B$3000,$A78,Progress!$G$5:$G$3000,Levels!$G$5:$G$94)&gt;0))&amp;" / "&amp;COUNTIFS(Levels!$A$5:$A$94,$B78,Levels!$B$5:$B$94,4))</f>
        <v/>
      </c>
      <c r="I78" s="24" t="str">
        <f aca="false">IF(OR($A78="",$B78=""),"",IF(SUMPRODUCT((Levels!$A$5:$A$94=$B78)*(Levels!$B$5:$B$94=1)*(COUNTIFS(Progress!$B$5:$B$3000,$A78,Progress!$G$5:$G$3000,Levels!$G$5:$G$94)&gt;0))&lt;COUNTIFS(Levels!$A$5:$A$94,$B78,Levels!$B$5:$B$94,1),"1 Rookie",IF(SUMPRODUCT((Levels!$A$5:$A$94=$B78)*(Levels!$B$5:$B$94=2)*(COUNTIFS(Progress!$B$5:$B$3000,$A78,Progress!$G$5:$G$3000,Levels!$G$5:$G$94)&gt;0))&lt;COUNTIFS(Levels!$A$5:$A$94,$B78,Levels!$B$5:$B$94,2),"2 Contender",IF(SUMPRODUCT((Levels!$A$5:$A$94=$B78)*(Levels!$B$5:$B$94=3)*(COUNTIFS(Progress!$B$5:$B$3000,$A78,Progress!$G$5:$G$3000,Levels!$G$5:$G$94)&gt;0))&lt;COUNTIFS(Levels!$A$5:$A$94,$B78,Levels!$B$5:$B$94,3),"3 Challenger",IF(SUMPRODUCT((Levels!$A$5:$A$94=$B78)*(Levels!$B$5:$B$94=4)*(COUNTIFS(Progress!$B$5:$B$3000,$A78,Progress!$G$5:$G$3000,Levels!$G$5:$G$94)&gt;0))&lt;COUNTIFS(Levels!$A$5:$A$94,$B78,Levels!$B$5:$B$94,4),"4 Champion","All done")))))</f>
        <v/>
      </c>
      <c r="J78" s="25" t="str">
        <f aca="false">IF(OR(I78="",I78="All done"),"",COUNTIFS(Levels!$A$5:$A$94,$B78,Levels!$B$5:$B$94,1)*(LEFT(I78,1)="1")+COUNTIFS(Levels!$A$5:$A$94,$B78,Levels!$B$5:$B$94,2)*(LEFT(I78,1)="2")+COUNTIFS(Levels!$A$5:$A$94,$B78,Levels!$B$5:$B$94,3)*(LEFT(I78,1)="3")+COUNTIFS(Levels!$A$5:$A$94,$B78,Levels!$B$5:$B$94,4)*(LEFT(I78,1)="4")-(SUMPRODUCT((Levels!$A$5:$A$94=$B78)*(Levels!$B$5:$B$94=1)*(COUNTIFS(Progress!$B$5:$B$3000,$A78,Progress!$G$5:$G$3000,Levels!$G$5:$G$94)&gt;0))*(LEFT(I78,1)="1")+SUMPRODUCT((Levels!$A$5:$A$94=$B78)*(Levels!$B$5:$B$94=2)*(COUNTIFS(Progress!$B$5:$B$3000,$A78,Progress!$G$5:$G$3000,Levels!$G$5:$G$94)&gt;0))*(LEFT(I78,1)="2")+SUMPRODUCT((Levels!$A$5:$A$94=$B78)*(Levels!$B$5:$B$94=3)*(COUNTIFS(Progress!$B$5:$B$3000,$A78,Progress!$G$5:$G$3000,Levels!$G$5:$G$94)&gt;0))*(LEFT(I78,1)="3")+SUMPRODUCT((Levels!$A$5:$A$94=$B78)*(Levels!$B$5:$B$94=4)*(COUNTIFS(Progress!$B$5:$B$3000,$A78,Progress!$G$5:$G$3000,Levels!$G$5:$G$94)&gt;0))*(LEFT(I78,1)="4")))</f>
        <v/>
      </c>
      <c r="K78" s="26" t="str">
        <f aca="false">IF($A78="","",IF(COUNTIFS(Progress!$B$5:$B$3000,$A78)=0,"",SUMPRODUCT(MAX((Progress!$B$5:$B$3000=$A78)*Progress!$A$5:$A$3000))))</f>
        <v/>
      </c>
      <c r="L78" s="22"/>
    </row>
    <row r="79" customFormat="false" ht="15" hidden="false" customHeight="false" outlineLevel="0" collapsed="false">
      <c r="A79" s="22"/>
      <c r="B79" s="22"/>
      <c r="C79" s="23"/>
      <c r="D79" s="22"/>
      <c r="E79" s="24" t="str">
        <f aca="false">IF(OR($A79="",$B79=""),"",SUMPRODUCT((Levels!$A$5:$A$94=$B79)*(Levels!$B$5:$B$94=1)*(COUNTIFS(Progress!$B$5:$B$3000,$A79,Progress!$G$5:$G$3000,Levels!$G$5:$G$94)&gt;0))&amp;" / "&amp;COUNTIFS(Levels!$A$5:$A$94,$B79,Levels!$B$5:$B$94,1))</f>
        <v/>
      </c>
      <c r="F79" s="24" t="str">
        <f aca="false">IF(OR($A79="",$B79=""),"",SUMPRODUCT((Levels!$A$5:$A$94=$B79)*(Levels!$B$5:$B$94=2)*(COUNTIFS(Progress!$B$5:$B$3000,$A79,Progress!$G$5:$G$3000,Levels!$G$5:$G$94)&gt;0))&amp;" / "&amp;COUNTIFS(Levels!$A$5:$A$94,$B79,Levels!$B$5:$B$94,2))</f>
        <v/>
      </c>
      <c r="G79" s="24" t="str">
        <f aca="false">IF(OR($A79="",$B79=""),"",SUMPRODUCT((Levels!$A$5:$A$94=$B79)*(Levels!$B$5:$B$94=3)*(COUNTIFS(Progress!$B$5:$B$3000,$A79,Progress!$G$5:$G$3000,Levels!$G$5:$G$94)&gt;0))&amp;" / "&amp;COUNTIFS(Levels!$A$5:$A$94,$B79,Levels!$B$5:$B$94,3))</f>
        <v/>
      </c>
      <c r="H79" s="24" t="str">
        <f aca="false">IF(OR($A79="",$B79=""),"",SUMPRODUCT((Levels!$A$5:$A$94=$B79)*(Levels!$B$5:$B$94=4)*(COUNTIFS(Progress!$B$5:$B$3000,$A79,Progress!$G$5:$G$3000,Levels!$G$5:$G$94)&gt;0))&amp;" / "&amp;COUNTIFS(Levels!$A$5:$A$94,$B79,Levels!$B$5:$B$94,4))</f>
        <v/>
      </c>
      <c r="I79" s="24" t="str">
        <f aca="false">IF(OR($A79="",$B79=""),"",IF(SUMPRODUCT((Levels!$A$5:$A$94=$B79)*(Levels!$B$5:$B$94=1)*(COUNTIFS(Progress!$B$5:$B$3000,$A79,Progress!$G$5:$G$3000,Levels!$G$5:$G$94)&gt;0))&lt;COUNTIFS(Levels!$A$5:$A$94,$B79,Levels!$B$5:$B$94,1),"1 Rookie",IF(SUMPRODUCT((Levels!$A$5:$A$94=$B79)*(Levels!$B$5:$B$94=2)*(COUNTIFS(Progress!$B$5:$B$3000,$A79,Progress!$G$5:$G$3000,Levels!$G$5:$G$94)&gt;0))&lt;COUNTIFS(Levels!$A$5:$A$94,$B79,Levels!$B$5:$B$94,2),"2 Contender",IF(SUMPRODUCT((Levels!$A$5:$A$94=$B79)*(Levels!$B$5:$B$94=3)*(COUNTIFS(Progress!$B$5:$B$3000,$A79,Progress!$G$5:$G$3000,Levels!$G$5:$G$94)&gt;0))&lt;COUNTIFS(Levels!$A$5:$A$94,$B79,Levels!$B$5:$B$94,3),"3 Challenger",IF(SUMPRODUCT((Levels!$A$5:$A$94=$B79)*(Levels!$B$5:$B$94=4)*(COUNTIFS(Progress!$B$5:$B$3000,$A79,Progress!$G$5:$G$3000,Levels!$G$5:$G$94)&gt;0))&lt;COUNTIFS(Levels!$A$5:$A$94,$B79,Levels!$B$5:$B$94,4),"4 Champion","All done")))))</f>
        <v/>
      </c>
      <c r="J79" s="25" t="str">
        <f aca="false">IF(OR(I79="",I79="All done"),"",COUNTIFS(Levels!$A$5:$A$94,$B79,Levels!$B$5:$B$94,1)*(LEFT(I79,1)="1")+COUNTIFS(Levels!$A$5:$A$94,$B79,Levels!$B$5:$B$94,2)*(LEFT(I79,1)="2")+COUNTIFS(Levels!$A$5:$A$94,$B79,Levels!$B$5:$B$94,3)*(LEFT(I79,1)="3")+COUNTIFS(Levels!$A$5:$A$94,$B79,Levels!$B$5:$B$94,4)*(LEFT(I79,1)="4")-(SUMPRODUCT((Levels!$A$5:$A$94=$B79)*(Levels!$B$5:$B$94=1)*(COUNTIFS(Progress!$B$5:$B$3000,$A79,Progress!$G$5:$G$3000,Levels!$G$5:$G$94)&gt;0))*(LEFT(I79,1)="1")+SUMPRODUCT((Levels!$A$5:$A$94=$B79)*(Levels!$B$5:$B$94=2)*(COUNTIFS(Progress!$B$5:$B$3000,$A79,Progress!$G$5:$G$3000,Levels!$G$5:$G$94)&gt;0))*(LEFT(I79,1)="2")+SUMPRODUCT((Levels!$A$5:$A$94=$B79)*(Levels!$B$5:$B$94=3)*(COUNTIFS(Progress!$B$5:$B$3000,$A79,Progress!$G$5:$G$3000,Levels!$G$5:$G$94)&gt;0))*(LEFT(I79,1)="3")+SUMPRODUCT((Levels!$A$5:$A$94=$B79)*(Levels!$B$5:$B$94=4)*(COUNTIFS(Progress!$B$5:$B$3000,$A79,Progress!$G$5:$G$3000,Levels!$G$5:$G$94)&gt;0))*(LEFT(I79,1)="4")))</f>
        <v/>
      </c>
      <c r="K79" s="26" t="str">
        <f aca="false">IF($A79="","",IF(COUNTIFS(Progress!$B$5:$B$3000,$A79)=0,"",SUMPRODUCT(MAX((Progress!$B$5:$B$3000=$A79)*Progress!$A$5:$A$3000))))</f>
        <v/>
      </c>
      <c r="L79" s="22"/>
    </row>
    <row r="80" customFormat="false" ht="15" hidden="false" customHeight="false" outlineLevel="0" collapsed="false">
      <c r="A80" s="22"/>
      <c r="B80" s="22"/>
      <c r="C80" s="23"/>
      <c r="D80" s="22"/>
      <c r="E80" s="24" t="str">
        <f aca="false">IF(OR($A80="",$B80=""),"",SUMPRODUCT((Levels!$A$5:$A$94=$B80)*(Levels!$B$5:$B$94=1)*(COUNTIFS(Progress!$B$5:$B$3000,$A80,Progress!$G$5:$G$3000,Levels!$G$5:$G$94)&gt;0))&amp;" / "&amp;COUNTIFS(Levels!$A$5:$A$94,$B80,Levels!$B$5:$B$94,1))</f>
        <v/>
      </c>
      <c r="F80" s="24" t="str">
        <f aca="false">IF(OR($A80="",$B80=""),"",SUMPRODUCT((Levels!$A$5:$A$94=$B80)*(Levels!$B$5:$B$94=2)*(COUNTIFS(Progress!$B$5:$B$3000,$A80,Progress!$G$5:$G$3000,Levels!$G$5:$G$94)&gt;0))&amp;" / "&amp;COUNTIFS(Levels!$A$5:$A$94,$B80,Levels!$B$5:$B$94,2))</f>
        <v/>
      </c>
      <c r="G80" s="24" t="str">
        <f aca="false">IF(OR($A80="",$B80=""),"",SUMPRODUCT((Levels!$A$5:$A$94=$B80)*(Levels!$B$5:$B$94=3)*(COUNTIFS(Progress!$B$5:$B$3000,$A80,Progress!$G$5:$G$3000,Levels!$G$5:$G$94)&gt;0))&amp;" / "&amp;COUNTIFS(Levels!$A$5:$A$94,$B80,Levels!$B$5:$B$94,3))</f>
        <v/>
      </c>
      <c r="H80" s="24" t="str">
        <f aca="false">IF(OR($A80="",$B80=""),"",SUMPRODUCT((Levels!$A$5:$A$94=$B80)*(Levels!$B$5:$B$94=4)*(COUNTIFS(Progress!$B$5:$B$3000,$A80,Progress!$G$5:$G$3000,Levels!$G$5:$G$94)&gt;0))&amp;" / "&amp;COUNTIFS(Levels!$A$5:$A$94,$B80,Levels!$B$5:$B$94,4))</f>
        <v/>
      </c>
      <c r="I80" s="24" t="str">
        <f aca="false">IF(OR($A80="",$B80=""),"",IF(SUMPRODUCT((Levels!$A$5:$A$94=$B80)*(Levels!$B$5:$B$94=1)*(COUNTIFS(Progress!$B$5:$B$3000,$A80,Progress!$G$5:$G$3000,Levels!$G$5:$G$94)&gt;0))&lt;COUNTIFS(Levels!$A$5:$A$94,$B80,Levels!$B$5:$B$94,1),"1 Rookie",IF(SUMPRODUCT((Levels!$A$5:$A$94=$B80)*(Levels!$B$5:$B$94=2)*(COUNTIFS(Progress!$B$5:$B$3000,$A80,Progress!$G$5:$G$3000,Levels!$G$5:$G$94)&gt;0))&lt;COUNTIFS(Levels!$A$5:$A$94,$B80,Levels!$B$5:$B$94,2),"2 Contender",IF(SUMPRODUCT((Levels!$A$5:$A$94=$B80)*(Levels!$B$5:$B$94=3)*(COUNTIFS(Progress!$B$5:$B$3000,$A80,Progress!$G$5:$G$3000,Levels!$G$5:$G$94)&gt;0))&lt;COUNTIFS(Levels!$A$5:$A$94,$B80,Levels!$B$5:$B$94,3),"3 Challenger",IF(SUMPRODUCT((Levels!$A$5:$A$94=$B80)*(Levels!$B$5:$B$94=4)*(COUNTIFS(Progress!$B$5:$B$3000,$A80,Progress!$G$5:$G$3000,Levels!$G$5:$G$94)&gt;0))&lt;COUNTIFS(Levels!$A$5:$A$94,$B80,Levels!$B$5:$B$94,4),"4 Champion","All done")))))</f>
        <v/>
      </c>
      <c r="J80" s="25" t="str">
        <f aca="false">IF(OR(I80="",I80="All done"),"",COUNTIFS(Levels!$A$5:$A$94,$B80,Levels!$B$5:$B$94,1)*(LEFT(I80,1)="1")+COUNTIFS(Levels!$A$5:$A$94,$B80,Levels!$B$5:$B$94,2)*(LEFT(I80,1)="2")+COUNTIFS(Levels!$A$5:$A$94,$B80,Levels!$B$5:$B$94,3)*(LEFT(I80,1)="3")+COUNTIFS(Levels!$A$5:$A$94,$B80,Levels!$B$5:$B$94,4)*(LEFT(I80,1)="4")-(SUMPRODUCT((Levels!$A$5:$A$94=$B80)*(Levels!$B$5:$B$94=1)*(COUNTIFS(Progress!$B$5:$B$3000,$A80,Progress!$G$5:$G$3000,Levels!$G$5:$G$94)&gt;0))*(LEFT(I80,1)="1")+SUMPRODUCT((Levels!$A$5:$A$94=$B80)*(Levels!$B$5:$B$94=2)*(COUNTIFS(Progress!$B$5:$B$3000,$A80,Progress!$G$5:$G$3000,Levels!$G$5:$G$94)&gt;0))*(LEFT(I80,1)="2")+SUMPRODUCT((Levels!$A$5:$A$94=$B80)*(Levels!$B$5:$B$94=3)*(COUNTIFS(Progress!$B$5:$B$3000,$A80,Progress!$G$5:$G$3000,Levels!$G$5:$G$94)&gt;0))*(LEFT(I80,1)="3")+SUMPRODUCT((Levels!$A$5:$A$94=$B80)*(Levels!$B$5:$B$94=4)*(COUNTIFS(Progress!$B$5:$B$3000,$A80,Progress!$G$5:$G$3000,Levels!$G$5:$G$94)&gt;0))*(LEFT(I80,1)="4")))</f>
        <v/>
      </c>
      <c r="K80" s="26" t="str">
        <f aca="false">IF($A80="","",IF(COUNTIFS(Progress!$B$5:$B$3000,$A80)=0,"",SUMPRODUCT(MAX((Progress!$B$5:$B$3000=$A80)*Progress!$A$5:$A$3000))))</f>
        <v/>
      </c>
      <c r="L80" s="22"/>
    </row>
    <row r="81" customFormat="false" ht="15" hidden="false" customHeight="false" outlineLevel="0" collapsed="false">
      <c r="A81" s="22"/>
      <c r="B81" s="22"/>
      <c r="C81" s="23"/>
      <c r="D81" s="22"/>
      <c r="E81" s="24" t="str">
        <f aca="false">IF(OR($A81="",$B81=""),"",SUMPRODUCT((Levels!$A$5:$A$94=$B81)*(Levels!$B$5:$B$94=1)*(COUNTIFS(Progress!$B$5:$B$3000,$A81,Progress!$G$5:$G$3000,Levels!$G$5:$G$94)&gt;0))&amp;" / "&amp;COUNTIFS(Levels!$A$5:$A$94,$B81,Levels!$B$5:$B$94,1))</f>
        <v/>
      </c>
      <c r="F81" s="24" t="str">
        <f aca="false">IF(OR($A81="",$B81=""),"",SUMPRODUCT((Levels!$A$5:$A$94=$B81)*(Levels!$B$5:$B$94=2)*(COUNTIFS(Progress!$B$5:$B$3000,$A81,Progress!$G$5:$G$3000,Levels!$G$5:$G$94)&gt;0))&amp;" / "&amp;COUNTIFS(Levels!$A$5:$A$94,$B81,Levels!$B$5:$B$94,2))</f>
        <v/>
      </c>
      <c r="G81" s="24" t="str">
        <f aca="false">IF(OR($A81="",$B81=""),"",SUMPRODUCT((Levels!$A$5:$A$94=$B81)*(Levels!$B$5:$B$94=3)*(COUNTIFS(Progress!$B$5:$B$3000,$A81,Progress!$G$5:$G$3000,Levels!$G$5:$G$94)&gt;0))&amp;" / "&amp;COUNTIFS(Levels!$A$5:$A$94,$B81,Levels!$B$5:$B$94,3))</f>
        <v/>
      </c>
      <c r="H81" s="24" t="str">
        <f aca="false">IF(OR($A81="",$B81=""),"",SUMPRODUCT((Levels!$A$5:$A$94=$B81)*(Levels!$B$5:$B$94=4)*(COUNTIFS(Progress!$B$5:$B$3000,$A81,Progress!$G$5:$G$3000,Levels!$G$5:$G$94)&gt;0))&amp;" / "&amp;COUNTIFS(Levels!$A$5:$A$94,$B81,Levels!$B$5:$B$94,4))</f>
        <v/>
      </c>
      <c r="I81" s="24" t="str">
        <f aca="false">IF(OR($A81="",$B81=""),"",IF(SUMPRODUCT((Levels!$A$5:$A$94=$B81)*(Levels!$B$5:$B$94=1)*(COUNTIFS(Progress!$B$5:$B$3000,$A81,Progress!$G$5:$G$3000,Levels!$G$5:$G$94)&gt;0))&lt;COUNTIFS(Levels!$A$5:$A$94,$B81,Levels!$B$5:$B$94,1),"1 Rookie",IF(SUMPRODUCT((Levels!$A$5:$A$94=$B81)*(Levels!$B$5:$B$94=2)*(COUNTIFS(Progress!$B$5:$B$3000,$A81,Progress!$G$5:$G$3000,Levels!$G$5:$G$94)&gt;0))&lt;COUNTIFS(Levels!$A$5:$A$94,$B81,Levels!$B$5:$B$94,2),"2 Contender",IF(SUMPRODUCT((Levels!$A$5:$A$94=$B81)*(Levels!$B$5:$B$94=3)*(COUNTIFS(Progress!$B$5:$B$3000,$A81,Progress!$G$5:$G$3000,Levels!$G$5:$G$94)&gt;0))&lt;COUNTIFS(Levels!$A$5:$A$94,$B81,Levels!$B$5:$B$94,3),"3 Challenger",IF(SUMPRODUCT((Levels!$A$5:$A$94=$B81)*(Levels!$B$5:$B$94=4)*(COUNTIFS(Progress!$B$5:$B$3000,$A81,Progress!$G$5:$G$3000,Levels!$G$5:$G$94)&gt;0))&lt;COUNTIFS(Levels!$A$5:$A$94,$B81,Levels!$B$5:$B$94,4),"4 Champion","All done")))))</f>
        <v/>
      </c>
      <c r="J81" s="25" t="str">
        <f aca="false">IF(OR(I81="",I81="All done"),"",COUNTIFS(Levels!$A$5:$A$94,$B81,Levels!$B$5:$B$94,1)*(LEFT(I81,1)="1")+COUNTIFS(Levels!$A$5:$A$94,$B81,Levels!$B$5:$B$94,2)*(LEFT(I81,1)="2")+COUNTIFS(Levels!$A$5:$A$94,$B81,Levels!$B$5:$B$94,3)*(LEFT(I81,1)="3")+COUNTIFS(Levels!$A$5:$A$94,$B81,Levels!$B$5:$B$94,4)*(LEFT(I81,1)="4")-(SUMPRODUCT((Levels!$A$5:$A$94=$B81)*(Levels!$B$5:$B$94=1)*(COUNTIFS(Progress!$B$5:$B$3000,$A81,Progress!$G$5:$G$3000,Levels!$G$5:$G$94)&gt;0))*(LEFT(I81,1)="1")+SUMPRODUCT((Levels!$A$5:$A$94=$B81)*(Levels!$B$5:$B$94=2)*(COUNTIFS(Progress!$B$5:$B$3000,$A81,Progress!$G$5:$G$3000,Levels!$G$5:$G$94)&gt;0))*(LEFT(I81,1)="2")+SUMPRODUCT((Levels!$A$5:$A$94=$B81)*(Levels!$B$5:$B$94=3)*(COUNTIFS(Progress!$B$5:$B$3000,$A81,Progress!$G$5:$G$3000,Levels!$G$5:$G$94)&gt;0))*(LEFT(I81,1)="3")+SUMPRODUCT((Levels!$A$5:$A$94=$B81)*(Levels!$B$5:$B$94=4)*(COUNTIFS(Progress!$B$5:$B$3000,$A81,Progress!$G$5:$G$3000,Levels!$G$5:$G$94)&gt;0))*(LEFT(I81,1)="4")))</f>
        <v/>
      </c>
      <c r="K81" s="26" t="str">
        <f aca="false">IF($A81="","",IF(COUNTIFS(Progress!$B$5:$B$3000,$A81)=0,"",SUMPRODUCT(MAX((Progress!$B$5:$B$3000=$A81)*Progress!$A$5:$A$3000))))</f>
        <v/>
      </c>
      <c r="L81" s="22"/>
    </row>
    <row r="82" customFormat="false" ht="15" hidden="false" customHeight="false" outlineLevel="0" collapsed="false">
      <c r="A82" s="22"/>
      <c r="B82" s="22"/>
      <c r="C82" s="23"/>
      <c r="D82" s="22"/>
      <c r="E82" s="24" t="str">
        <f aca="false">IF(OR($A82="",$B82=""),"",SUMPRODUCT((Levels!$A$5:$A$94=$B82)*(Levels!$B$5:$B$94=1)*(COUNTIFS(Progress!$B$5:$B$3000,$A82,Progress!$G$5:$G$3000,Levels!$G$5:$G$94)&gt;0))&amp;" / "&amp;COUNTIFS(Levels!$A$5:$A$94,$B82,Levels!$B$5:$B$94,1))</f>
        <v/>
      </c>
      <c r="F82" s="24" t="str">
        <f aca="false">IF(OR($A82="",$B82=""),"",SUMPRODUCT((Levels!$A$5:$A$94=$B82)*(Levels!$B$5:$B$94=2)*(COUNTIFS(Progress!$B$5:$B$3000,$A82,Progress!$G$5:$G$3000,Levels!$G$5:$G$94)&gt;0))&amp;" / "&amp;COUNTIFS(Levels!$A$5:$A$94,$B82,Levels!$B$5:$B$94,2))</f>
        <v/>
      </c>
      <c r="G82" s="24" t="str">
        <f aca="false">IF(OR($A82="",$B82=""),"",SUMPRODUCT((Levels!$A$5:$A$94=$B82)*(Levels!$B$5:$B$94=3)*(COUNTIFS(Progress!$B$5:$B$3000,$A82,Progress!$G$5:$G$3000,Levels!$G$5:$G$94)&gt;0))&amp;" / "&amp;COUNTIFS(Levels!$A$5:$A$94,$B82,Levels!$B$5:$B$94,3))</f>
        <v/>
      </c>
      <c r="H82" s="24" t="str">
        <f aca="false">IF(OR($A82="",$B82=""),"",SUMPRODUCT((Levels!$A$5:$A$94=$B82)*(Levels!$B$5:$B$94=4)*(COUNTIFS(Progress!$B$5:$B$3000,$A82,Progress!$G$5:$G$3000,Levels!$G$5:$G$94)&gt;0))&amp;" / "&amp;COUNTIFS(Levels!$A$5:$A$94,$B82,Levels!$B$5:$B$94,4))</f>
        <v/>
      </c>
      <c r="I82" s="24" t="str">
        <f aca="false">IF(OR($A82="",$B82=""),"",IF(SUMPRODUCT((Levels!$A$5:$A$94=$B82)*(Levels!$B$5:$B$94=1)*(COUNTIFS(Progress!$B$5:$B$3000,$A82,Progress!$G$5:$G$3000,Levels!$G$5:$G$94)&gt;0))&lt;COUNTIFS(Levels!$A$5:$A$94,$B82,Levels!$B$5:$B$94,1),"1 Rookie",IF(SUMPRODUCT((Levels!$A$5:$A$94=$B82)*(Levels!$B$5:$B$94=2)*(COUNTIFS(Progress!$B$5:$B$3000,$A82,Progress!$G$5:$G$3000,Levels!$G$5:$G$94)&gt;0))&lt;COUNTIFS(Levels!$A$5:$A$94,$B82,Levels!$B$5:$B$94,2),"2 Contender",IF(SUMPRODUCT((Levels!$A$5:$A$94=$B82)*(Levels!$B$5:$B$94=3)*(COUNTIFS(Progress!$B$5:$B$3000,$A82,Progress!$G$5:$G$3000,Levels!$G$5:$G$94)&gt;0))&lt;COUNTIFS(Levels!$A$5:$A$94,$B82,Levels!$B$5:$B$94,3),"3 Challenger",IF(SUMPRODUCT((Levels!$A$5:$A$94=$B82)*(Levels!$B$5:$B$94=4)*(COUNTIFS(Progress!$B$5:$B$3000,$A82,Progress!$G$5:$G$3000,Levels!$G$5:$G$94)&gt;0))&lt;COUNTIFS(Levels!$A$5:$A$94,$B82,Levels!$B$5:$B$94,4),"4 Champion","All done")))))</f>
        <v/>
      </c>
      <c r="J82" s="25" t="str">
        <f aca="false">IF(OR(I82="",I82="All done"),"",COUNTIFS(Levels!$A$5:$A$94,$B82,Levels!$B$5:$B$94,1)*(LEFT(I82,1)="1")+COUNTIFS(Levels!$A$5:$A$94,$B82,Levels!$B$5:$B$94,2)*(LEFT(I82,1)="2")+COUNTIFS(Levels!$A$5:$A$94,$B82,Levels!$B$5:$B$94,3)*(LEFT(I82,1)="3")+COUNTIFS(Levels!$A$5:$A$94,$B82,Levels!$B$5:$B$94,4)*(LEFT(I82,1)="4")-(SUMPRODUCT((Levels!$A$5:$A$94=$B82)*(Levels!$B$5:$B$94=1)*(COUNTIFS(Progress!$B$5:$B$3000,$A82,Progress!$G$5:$G$3000,Levels!$G$5:$G$94)&gt;0))*(LEFT(I82,1)="1")+SUMPRODUCT((Levels!$A$5:$A$94=$B82)*(Levels!$B$5:$B$94=2)*(COUNTIFS(Progress!$B$5:$B$3000,$A82,Progress!$G$5:$G$3000,Levels!$G$5:$G$94)&gt;0))*(LEFT(I82,1)="2")+SUMPRODUCT((Levels!$A$5:$A$94=$B82)*(Levels!$B$5:$B$94=3)*(COUNTIFS(Progress!$B$5:$B$3000,$A82,Progress!$G$5:$G$3000,Levels!$G$5:$G$94)&gt;0))*(LEFT(I82,1)="3")+SUMPRODUCT((Levels!$A$5:$A$94=$B82)*(Levels!$B$5:$B$94=4)*(COUNTIFS(Progress!$B$5:$B$3000,$A82,Progress!$G$5:$G$3000,Levels!$G$5:$G$94)&gt;0))*(LEFT(I82,1)="4")))</f>
        <v/>
      </c>
      <c r="K82" s="26" t="str">
        <f aca="false">IF($A82="","",IF(COUNTIFS(Progress!$B$5:$B$3000,$A82)=0,"",SUMPRODUCT(MAX((Progress!$B$5:$B$3000=$A82)*Progress!$A$5:$A$3000))))</f>
        <v/>
      </c>
      <c r="L82" s="22"/>
    </row>
    <row r="83" customFormat="false" ht="15" hidden="false" customHeight="false" outlineLevel="0" collapsed="false">
      <c r="A83" s="22"/>
      <c r="B83" s="22"/>
      <c r="C83" s="23"/>
      <c r="D83" s="22"/>
      <c r="E83" s="24" t="str">
        <f aca="false">IF(OR($A83="",$B83=""),"",SUMPRODUCT((Levels!$A$5:$A$94=$B83)*(Levels!$B$5:$B$94=1)*(COUNTIFS(Progress!$B$5:$B$3000,$A83,Progress!$G$5:$G$3000,Levels!$G$5:$G$94)&gt;0))&amp;" / "&amp;COUNTIFS(Levels!$A$5:$A$94,$B83,Levels!$B$5:$B$94,1))</f>
        <v/>
      </c>
      <c r="F83" s="24" t="str">
        <f aca="false">IF(OR($A83="",$B83=""),"",SUMPRODUCT((Levels!$A$5:$A$94=$B83)*(Levels!$B$5:$B$94=2)*(COUNTIFS(Progress!$B$5:$B$3000,$A83,Progress!$G$5:$G$3000,Levels!$G$5:$G$94)&gt;0))&amp;" / "&amp;COUNTIFS(Levels!$A$5:$A$94,$B83,Levels!$B$5:$B$94,2))</f>
        <v/>
      </c>
      <c r="G83" s="24" t="str">
        <f aca="false">IF(OR($A83="",$B83=""),"",SUMPRODUCT((Levels!$A$5:$A$94=$B83)*(Levels!$B$5:$B$94=3)*(COUNTIFS(Progress!$B$5:$B$3000,$A83,Progress!$G$5:$G$3000,Levels!$G$5:$G$94)&gt;0))&amp;" / "&amp;COUNTIFS(Levels!$A$5:$A$94,$B83,Levels!$B$5:$B$94,3))</f>
        <v/>
      </c>
      <c r="H83" s="24" t="str">
        <f aca="false">IF(OR($A83="",$B83=""),"",SUMPRODUCT((Levels!$A$5:$A$94=$B83)*(Levels!$B$5:$B$94=4)*(COUNTIFS(Progress!$B$5:$B$3000,$A83,Progress!$G$5:$G$3000,Levels!$G$5:$G$94)&gt;0))&amp;" / "&amp;COUNTIFS(Levels!$A$5:$A$94,$B83,Levels!$B$5:$B$94,4))</f>
        <v/>
      </c>
      <c r="I83" s="24" t="str">
        <f aca="false">IF(OR($A83="",$B83=""),"",IF(SUMPRODUCT((Levels!$A$5:$A$94=$B83)*(Levels!$B$5:$B$94=1)*(COUNTIFS(Progress!$B$5:$B$3000,$A83,Progress!$G$5:$G$3000,Levels!$G$5:$G$94)&gt;0))&lt;COUNTIFS(Levels!$A$5:$A$94,$B83,Levels!$B$5:$B$94,1),"1 Rookie",IF(SUMPRODUCT((Levels!$A$5:$A$94=$B83)*(Levels!$B$5:$B$94=2)*(COUNTIFS(Progress!$B$5:$B$3000,$A83,Progress!$G$5:$G$3000,Levels!$G$5:$G$94)&gt;0))&lt;COUNTIFS(Levels!$A$5:$A$94,$B83,Levels!$B$5:$B$94,2),"2 Contender",IF(SUMPRODUCT((Levels!$A$5:$A$94=$B83)*(Levels!$B$5:$B$94=3)*(COUNTIFS(Progress!$B$5:$B$3000,$A83,Progress!$G$5:$G$3000,Levels!$G$5:$G$94)&gt;0))&lt;COUNTIFS(Levels!$A$5:$A$94,$B83,Levels!$B$5:$B$94,3),"3 Challenger",IF(SUMPRODUCT((Levels!$A$5:$A$94=$B83)*(Levels!$B$5:$B$94=4)*(COUNTIFS(Progress!$B$5:$B$3000,$A83,Progress!$G$5:$G$3000,Levels!$G$5:$G$94)&gt;0))&lt;COUNTIFS(Levels!$A$5:$A$94,$B83,Levels!$B$5:$B$94,4),"4 Champion","All done")))))</f>
        <v/>
      </c>
      <c r="J83" s="25" t="str">
        <f aca="false">IF(OR(I83="",I83="All done"),"",COUNTIFS(Levels!$A$5:$A$94,$B83,Levels!$B$5:$B$94,1)*(LEFT(I83,1)="1")+COUNTIFS(Levels!$A$5:$A$94,$B83,Levels!$B$5:$B$94,2)*(LEFT(I83,1)="2")+COUNTIFS(Levels!$A$5:$A$94,$B83,Levels!$B$5:$B$94,3)*(LEFT(I83,1)="3")+COUNTIFS(Levels!$A$5:$A$94,$B83,Levels!$B$5:$B$94,4)*(LEFT(I83,1)="4")-(SUMPRODUCT((Levels!$A$5:$A$94=$B83)*(Levels!$B$5:$B$94=1)*(COUNTIFS(Progress!$B$5:$B$3000,$A83,Progress!$G$5:$G$3000,Levels!$G$5:$G$94)&gt;0))*(LEFT(I83,1)="1")+SUMPRODUCT((Levels!$A$5:$A$94=$B83)*(Levels!$B$5:$B$94=2)*(COUNTIFS(Progress!$B$5:$B$3000,$A83,Progress!$G$5:$G$3000,Levels!$G$5:$G$94)&gt;0))*(LEFT(I83,1)="2")+SUMPRODUCT((Levels!$A$5:$A$94=$B83)*(Levels!$B$5:$B$94=3)*(COUNTIFS(Progress!$B$5:$B$3000,$A83,Progress!$G$5:$G$3000,Levels!$G$5:$G$94)&gt;0))*(LEFT(I83,1)="3")+SUMPRODUCT((Levels!$A$5:$A$94=$B83)*(Levels!$B$5:$B$94=4)*(COUNTIFS(Progress!$B$5:$B$3000,$A83,Progress!$G$5:$G$3000,Levels!$G$5:$G$94)&gt;0))*(LEFT(I83,1)="4")))</f>
        <v/>
      </c>
      <c r="K83" s="26" t="str">
        <f aca="false">IF($A83="","",IF(COUNTIFS(Progress!$B$5:$B$3000,$A83)=0,"",SUMPRODUCT(MAX((Progress!$B$5:$B$3000=$A83)*Progress!$A$5:$A$3000))))</f>
        <v/>
      </c>
      <c r="L83" s="22"/>
    </row>
    <row r="84" customFormat="false" ht="15" hidden="false" customHeight="false" outlineLevel="0" collapsed="false">
      <c r="A84" s="22"/>
      <c r="B84" s="22"/>
      <c r="C84" s="23"/>
      <c r="D84" s="22"/>
      <c r="E84" s="24" t="str">
        <f aca="false">IF(OR($A84="",$B84=""),"",SUMPRODUCT((Levels!$A$5:$A$94=$B84)*(Levels!$B$5:$B$94=1)*(COUNTIFS(Progress!$B$5:$B$3000,$A84,Progress!$G$5:$G$3000,Levels!$G$5:$G$94)&gt;0))&amp;" / "&amp;COUNTIFS(Levels!$A$5:$A$94,$B84,Levels!$B$5:$B$94,1))</f>
        <v/>
      </c>
      <c r="F84" s="24" t="str">
        <f aca="false">IF(OR($A84="",$B84=""),"",SUMPRODUCT((Levels!$A$5:$A$94=$B84)*(Levels!$B$5:$B$94=2)*(COUNTIFS(Progress!$B$5:$B$3000,$A84,Progress!$G$5:$G$3000,Levels!$G$5:$G$94)&gt;0))&amp;" / "&amp;COUNTIFS(Levels!$A$5:$A$94,$B84,Levels!$B$5:$B$94,2))</f>
        <v/>
      </c>
      <c r="G84" s="24" t="str">
        <f aca="false">IF(OR($A84="",$B84=""),"",SUMPRODUCT((Levels!$A$5:$A$94=$B84)*(Levels!$B$5:$B$94=3)*(COUNTIFS(Progress!$B$5:$B$3000,$A84,Progress!$G$5:$G$3000,Levels!$G$5:$G$94)&gt;0))&amp;" / "&amp;COUNTIFS(Levels!$A$5:$A$94,$B84,Levels!$B$5:$B$94,3))</f>
        <v/>
      </c>
      <c r="H84" s="24" t="str">
        <f aca="false">IF(OR($A84="",$B84=""),"",SUMPRODUCT((Levels!$A$5:$A$94=$B84)*(Levels!$B$5:$B$94=4)*(COUNTIFS(Progress!$B$5:$B$3000,$A84,Progress!$G$5:$G$3000,Levels!$G$5:$G$94)&gt;0))&amp;" / "&amp;COUNTIFS(Levels!$A$5:$A$94,$B84,Levels!$B$5:$B$94,4))</f>
        <v/>
      </c>
      <c r="I84" s="24" t="str">
        <f aca="false">IF(OR($A84="",$B84=""),"",IF(SUMPRODUCT((Levels!$A$5:$A$94=$B84)*(Levels!$B$5:$B$94=1)*(COUNTIFS(Progress!$B$5:$B$3000,$A84,Progress!$G$5:$G$3000,Levels!$G$5:$G$94)&gt;0))&lt;COUNTIFS(Levels!$A$5:$A$94,$B84,Levels!$B$5:$B$94,1),"1 Rookie",IF(SUMPRODUCT((Levels!$A$5:$A$94=$B84)*(Levels!$B$5:$B$94=2)*(COUNTIFS(Progress!$B$5:$B$3000,$A84,Progress!$G$5:$G$3000,Levels!$G$5:$G$94)&gt;0))&lt;COUNTIFS(Levels!$A$5:$A$94,$B84,Levels!$B$5:$B$94,2),"2 Contender",IF(SUMPRODUCT((Levels!$A$5:$A$94=$B84)*(Levels!$B$5:$B$94=3)*(COUNTIFS(Progress!$B$5:$B$3000,$A84,Progress!$G$5:$G$3000,Levels!$G$5:$G$94)&gt;0))&lt;COUNTIFS(Levels!$A$5:$A$94,$B84,Levels!$B$5:$B$94,3),"3 Challenger",IF(SUMPRODUCT((Levels!$A$5:$A$94=$B84)*(Levels!$B$5:$B$94=4)*(COUNTIFS(Progress!$B$5:$B$3000,$A84,Progress!$G$5:$G$3000,Levels!$G$5:$G$94)&gt;0))&lt;COUNTIFS(Levels!$A$5:$A$94,$B84,Levels!$B$5:$B$94,4),"4 Champion","All done")))))</f>
        <v/>
      </c>
      <c r="J84" s="25" t="str">
        <f aca="false">IF(OR(I84="",I84="All done"),"",COUNTIFS(Levels!$A$5:$A$94,$B84,Levels!$B$5:$B$94,1)*(LEFT(I84,1)="1")+COUNTIFS(Levels!$A$5:$A$94,$B84,Levels!$B$5:$B$94,2)*(LEFT(I84,1)="2")+COUNTIFS(Levels!$A$5:$A$94,$B84,Levels!$B$5:$B$94,3)*(LEFT(I84,1)="3")+COUNTIFS(Levels!$A$5:$A$94,$B84,Levels!$B$5:$B$94,4)*(LEFT(I84,1)="4")-(SUMPRODUCT((Levels!$A$5:$A$94=$B84)*(Levels!$B$5:$B$94=1)*(COUNTIFS(Progress!$B$5:$B$3000,$A84,Progress!$G$5:$G$3000,Levels!$G$5:$G$94)&gt;0))*(LEFT(I84,1)="1")+SUMPRODUCT((Levels!$A$5:$A$94=$B84)*(Levels!$B$5:$B$94=2)*(COUNTIFS(Progress!$B$5:$B$3000,$A84,Progress!$G$5:$G$3000,Levels!$G$5:$G$94)&gt;0))*(LEFT(I84,1)="2")+SUMPRODUCT((Levels!$A$5:$A$94=$B84)*(Levels!$B$5:$B$94=3)*(COUNTIFS(Progress!$B$5:$B$3000,$A84,Progress!$G$5:$G$3000,Levels!$G$5:$G$94)&gt;0))*(LEFT(I84,1)="3")+SUMPRODUCT((Levels!$A$5:$A$94=$B84)*(Levels!$B$5:$B$94=4)*(COUNTIFS(Progress!$B$5:$B$3000,$A84,Progress!$G$5:$G$3000,Levels!$G$5:$G$94)&gt;0))*(LEFT(I84,1)="4")))</f>
        <v/>
      </c>
      <c r="K84" s="26" t="str">
        <f aca="false">IF($A84="","",IF(COUNTIFS(Progress!$B$5:$B$3000,$A84)=0,"",SUMPRODUCT(MAX((Progress!$B$5:$B$3000=$A84)*Progress!$A$5:$A$3000))))</f>
        <v/>
      </c>
      <c r="L84" s="22"/>
    </row>
    <row r="85" customFormat="false" ht="15" hidden="false" customHeight="false" outlineLevel="0" collapsed="false">
      <c r="A85" s="22"/>
      <c r="B85" s="22"/>
      <c r="C85" s="23"/>
      <c r="D85" s="22"/>
      <c r="E85" s="24" t="str">
        <f aca="false">IF(OR($A85="",$B85=""),"",SUMPRODUCT((Levels!$A$5:$A$94=$B85)*(Levels!$B$5:$B$94=1)*(COUNTIFS(Progress!$B$5:$B$3000,$A85,Progress!$G$5:$G$3000,Levels!$G$5:$G$94)&gt;0))&amp;" / "&amp;COUNTIFS(Levels!$A$5:$A$94,$B85,Levels!$B$5:$B$94,1))</f>
        <v/>
      </c>
      <c r="F85" s="24" t="str">
        <f aca="false">IF(OR($A85="",$B85=""),"",SUMPRODUCT((Levels!$A$5:$A$94=$B85)*(Levels!$B$5:$B$94=2)*(COUNTIFS(Progress!$B$5:$B$3000,$A85,Progress!$G$5:$G$3000,Levels!$G$5:$G$94)&gt;0))&amp;" / "&amp;COUNTIFS(Levels!$A$5:$A$94,$B85,Levels!$B$5:$B$94,2))</f>
        <v/>
      </c>
      <c r="G85" s="24" t="str">
        <f aca="false">IF(OR($A85="",$B85=""),"",SUMPRODUCT((Levels!$A$5:$A$94=$B85)*(Levels!$B$5:$B$94=3)*(COUNTIFS(Progress!$B$5:$B$3000,$A85,Progress!$G$5:$G$3000,Levels!$G$5:$G$94)&gt;0))&amp;" / "&amp;COUNTIFS(Levels!$A$5:$A$94,$B85,Levels!$B$5:$B$94,3))</f>
        <v/>
      </c>
      <c r="H85" s="24" t="str">
        <f aca="false">IF(OR($A85="",$B85=""),"",SUMPRODUCT((Levels!$A$5:$A$94=$B85)*(Levels!$B$5:$B$94=4)*(COUNTIFS(Progress!$B$5:$B$3000,$A85,Progress!$G$5:$G$3000,Levels!$G$5:$G$94)&gt;0))&amp;" / "&amp;COUNTIFS(Levels!$A$5:$A$94,$B85,Levels!$B$5:$B$94,4))</f>
        <v/>
      </c>
      <c r="I85" s="24" t="str">
        <f aca="false">IF(OR($A85="",$B85=""),"",IF(SUMPRODUCT((Levels!$A$5:$A$94=$B85)*(Levels!$B$5:$B$94=1)*(COUNTIFS(Progress!$B$5:$B$3000,$A85,Progress!$G$5:$G$3000,Levels!$G$5:$G$94)&gt;0))&lt;COUNTIFS(Levels!$A$5:$A$94,$B85,Levels!$B$5:$B$94,1),"1 Rookie",IF(SUMPRODUCT((Levels!$A$5:$A$94=$B85)*(Levels!$B$5:$B$94=2)*(COUNTIFS(Progress!$B$5:$B$3000,$A85,Progress!$G$5:$G$3000,Levels!$G$5:$G$94)&gt;0))&lt;COUNTIFS(Levels!$A$5:$A$94,$B85,Levels!$B$5:$B$94,2),"2 Contender",IF(SUMPRODUCT((Levels!$A$5:$A$94=$B85)*(Levels!$B$5:$B$94=3)*(COUNTIFS(Progress!$B$5:$B$3000,$A85,Progress!$G$5:$G$3000,Levels!$G$5:$G$94)&gt;0))&lt;COUNTIFS(Levels!$A$5:$A$94,$B85,Levels!$B$5:$B$94,3),"3 Challenger",IF(SUMPRODUCT((Levels!$A$5:$A$94=$B85)*(Levels!$B$5:$B$94=4)*(COUNTIFS(Progress!$B$5:$B$3000,$A85,Progress!$G$5:$G$3000,Levels!$G$5:$G$94)&gt;0))&lt;COUNTIFS(Levels!$A$5:$A$94,$B85,Levels!$B$5:$B$94,4),"4 Champion","All done")))))</f>
        <v/>
      </c>
      <c r="J85" s="25" t="str">
        <f aca="false">IF(OR(I85="",I85="All done"),"",COUNTIFS(Levels!$A$5:$A$94,$B85,Levels!$B$5:$B$94,1)*(LEFT(I85,1)="1")+COUNTIFS(Levels!$A$5:$A$94,$B85,Levels!$B$5:$B$94,2)*(LEFT(I85,1)="2")+COUNTIFS(Levels!$A$5:$A$94,$B85,Levels!$B$5:$B$94,3)*(LEFT(I85,1)="3")+COUNTIFS(Levels!$A$5:$A$94,$B85,Levels!$B$5:$B$94,4)*(LEFT(I85,1)="4")-(SUMPRODUCT((Levels!$A$5:$A$94=$B85)*(Levels!$B$5:$B$94=1)*(COUNTIFS(Progress!$B$5:$B$3000,$A85,Progress!$G$5:$G$3000,Levels!$G$5:$G$94)&gt;0))*(LEFT(I85,1)="1")+SUMPRODUCT((Levels!$A$5:$A$94=$B85)*(Levels!$B$5:$B$94=2)*(COUNTIFS(Progress!$B$5:$B$3000,$A85,Progress!$G$5:$G$3000,Levels!$G$5:$G$94)&gt;0))*(LEFT(I85,1)="2")+SUMPRODUCT((Levels!$A$5:$A$94=$B85)*(Levels!$B$5:$B$94=3)*(COUNTIFS(Progress!$B$5:$B$3000,$A85,Progress!$G$5:$G$3000,Levels!$G$5:$G$94)&gt;0))*(LEFT(I85,1)="3")+SUMPRODUCT((Levels!$A$5:$A$94=$B85)*(Levels!$B$5:$B$94=4)*(COUNTIFS(Progress!$B$5:$B$3000,$A85,Progress!$G$5:$G$3000,Levels!$G$5:$G$94)&gt;0))*(LEFT(I85,1)="4")))</f>
        <v/>
      </c>
      <c r="K85" s="26" t="str">
        <f aca="false">IF($A85="","",IF(COUNTIFS(Progress!$B$5:$B$3000,$A85)=0,"",SUMPRODUCT(MAX((Progress!$B$5:$B$3000=$A85)*Progress!$A$5:$A$3000))))</f>
        <v/>
      </c>
      <c r="L85" s="22"/>
    </row>
    <row r="86" customFormat="false" ht="15" hidden="false" customHeight="false" outlineLevel="0" collapsed="false">
      <c r="A86" s="22"/>
      <c r="B86" s="22"/>
      <c r="C86" s="23"/>
      <c r="D86" s="22"/>
      <c r="E86" s="24" t="str">
        <f aca="false">IF(OR($A86="",$B86=""),"",SUMPRODUCT((Levels!$A$5:$A$94=$B86)*(Levels!$B$5:$B$94=1)*(COUNTIFS(Progress!$B$5:$B$3000,$A86,Progress!$G$5:$G$3000,Levels!$G$5:$G$94)&gt;0))&amp;" / "&amp;COUNTIFS(Levels!$A$5:$A$94,$B86,Levels!$B$5:$B$94,1))</f>
        <v/>
      </c>
      <c r="F86" s="24" t="str">
        <f aca="false">IF(OR($A86="",$B86=""),"",SUMPRODUCT((Levels!$A$5:$A$94=$B86)*(Levels!$B$5:$B$94=2)*(COUNTIFS(Progress!$B$5:$B$3000,$A86,Progress!$G$5:$G$3000,Levels!$G$5:$G$94)&gt;0))&amp;" / "&amp;COUNTIFS(Levels!$A$5:$A$94,$B86,Levels!$B$5:$B$94,2))</f>
        <v/>
      </c>
      <c r="G86" s="24" t="str">
        <f aca="false">IF(OR($A86="",$B86=""),"",SUMPRODUCT((Levels!$A$5:$A$94=$B86)*(Levels!$B$5:$B$94=3)*(COUNTIFS(Progress!$B$5:$B$3000,$A86,Progress!$G$5:$G$3000,Levels!$G$5:$G$94)&gt;0))&amp;" / "&amp;COUNTIFS(Levels!$A$5:$A$94,$B86,Levels!$B$5:$B$94,3))</f>
        <v/>
      </c>
      <c r="H86" s="24" t="str">
        <f aca="false">IF(OR($A86="",$B86=""),"",SUMPRODUCT((Levels!$A$5:$A$94=$B86)*(Levels!$B$5:$B$94=4)*(COUNTIFS(Progress!$B$5:$B$3000,$A86,Progress!$G$5:$G$3000,Levels!$G$5:$G$94)&gt;0))&amp;" / "&amp;COUNTIFS(Levels!$A$5:$A$94,$B86,Levels!$B$5:$B$94,4))</f>
        <v/>
      </c>
      <c r="I86" s="24" t="str">
        <f aca="false">IF(OR($A86="",$B86=""),"",IF(SUMPRODUCT((Levels!$A$5:$A$94=$B86)*(Levels!$B$5:$B$94=1)*(COUNTIFS(Progress!$B$5:$B$3000,$A86,Progress!$G$5:$G$3000,Levels!$G$5:$G$94)&gt;0))&lt;COUNTIFS(Levels!$A$5:$A$94,$B86,Levels!$B$5:$B$94,1),"1 Rookie",IF(SUMPRODUCT((Levels!$A$5:$A$94=$B86)*(Levels!$B$5:$B$94=2)*(COUNTIFS(Progress!$B$5:$B$3000,$A86,Progress!$G$5:$G$3000,Levels!$G$5:$G$94)&gt;0))&lt;COUNTIFS(Levels!$A$5:$A$94,$B86,Levels!$B$5:$B$94,2),"2 Contender",IF(SUMPRODUCT((Levels!$A$5:$A$94=$B86)*(Levels!$B$5:$B$94=3)*(COUNTIFS(Progress!$B$5:$B$3000,$A86,Progress!$G$5:$G$3000,Levels!$G$5:$G$94)&gt;0))&lt;COUNTIFS(Levels!$A$5:$A$94,$B86,Levels!$B$5:$B$94,3),"3 Challenger",IF(SUMPRODUCT((Levels!$A$5:$A$94=$B86)*(Levels!$B$5:$B$94=4)*(COUNTIFS(Progress!$B$5:$B$3000,$A86,Progress!$G$5:$G$3000,Levels!$G$5:$G$94)&gt;0))&lt;COUNTIFS(Levels!$A$5:$A$94,$B86,Levels!$B$5:$B$94,4),"4 Champion","All done")))))</f>
        <v/>
      </c>
      <c r="J86" s="25" t="str">
        <f aca="false">IF(OR(I86="",I86="All done"),"",COUNTIFS(Levels!$A$5:$A$94,$B86,Levels!$B$5:$B$94,1)*(LEFT(I86,1)="1")+COUNTIFS(Levels!$A$5:$A$94,$B86,Levels!$B$5:$B$94,2)*(LEFT(I86,1)="2")+COUNTIFS(Levels!$A$5:$A$94,$B86,Levels!$B$5:$B$94,3)*(LEFT(I86,1)="3")+COUNTIFS(Levels!$A$5:$A$94,$B86,Levels!$B$5:$B$94,4)*(LEFT(I86,1)="4")-(SUMPRODUCT((Levels!$A$5:$A$94=$B86)*(Levels!$B$5:$B$94=1)*(COUNTIFS(Progress!$B$5:$B$3000,$A86,Progress!$G$5:$G$3000,Levels!$G$5:$G$94)&gt;0))*(LEFT(I86,1)="1")+SUMPRODUCT((Levels!$A$5:$A$94=$B86)*(Levels!$B$5:$B$94=2)*(COUNTIFS(Progress!$B$5:$B$3000,$A86,Progress!$G$5:$G$3000,Levels!$G$5:$G$94)&gt;0))*(LEFT(I86,1)="2")+SUMPRODUCT((Levels!$A$5:$A$94=$B86)*(Levels!$B$5:$B$94=3)*(COUNTIFS(Progress!$B$5:$B$3000,$A86,Progress!$G$5:$G$3000,Levels!$G$5:$G$94)&gt;0))*(LEFT(I86,1)="3")+SUMPRODUCT((Levels!$A$5:$A$94=$B86)*(Levels!$B$5:$B$94=4)*(COUNTIFS(Progress!$B$5:$B$3000,$A86,Progress!$G$5:$G$3000,Levels!$G$5:$G$94)&gt;0))*(LEFT(I86,1)="4")))</f>
        <v/>
      </c>
      <c r="K86" s="26" t="str">
        <f aca="false">IF($A86="","",IF(COUNTIFS(Progress!$B$5:$B$3000,$A86)=0,"",SUMPRODUCT(MAX((Progress!$B$5:$B$3000=$A86)*Progress!$A$5:$A$3000))))</f>
        <v/>
      </c>
      <c r="L86" s="22"/>
    </row>
    <row r="87" customFormat="false" ht="15" hidden="false" customHeight="false" outlineLevel="0" collapsed="false">
      <c r="A87" s="22"/>
      <c r="B87" s="22"/>
      <c r="C87" s="23"/>
      <c r="D87" s="22"/>
      <c r="E87" s="24" t="str">
        <f aca="false">IF(OR($A87="",$B87=""),"",SUMPRODUCT((Levels!$A$5:$A$94=$B87)*(Levels!$B$5:$B$94=1)*(COUNTIFS(Progress!$B$5:$B$3000,$A87,Progress!$G$5:$G$3000,Levels!$G$5:$G$94)&gt;0))&amp;" / "&amp;COUNTIFS(Levels!$A$5:$A$94,$B87,Levels!$B$5:$B$94,1))</f>
        <v/>
      </c>
      <c r="F87" s="24" t="str">
        <f aca="false">IF(OR($A87="",$B87=""),"",SUMPRODUCT((Levels!$A$5:$A$94=$B87)*(Levels!$B$5:$B$94=2)*(COUNTIFS(Progress!$B$5:$B$3000,$A87,Progress!$G$5:$G$3000,Levels!$G$5:$G$94)&gt;0))&amp;" / "&amp;COUNTIFS(Levels!$A$5:$A$94,$B87,Levels!$B$5:$B$94,2))</f>
        <v/>
      </c>
      <c r="G87" s="24" t="str">
        <f aca="false">IF(OR($A87="",$B87=""),"",SUMPRODUCT((Levels!$A$5:$A$94=$B87)*(Levels!$B$5:$B$94=3)*(COUNTIFS(Progress!$B$5:$B$3000,$A87,Progress!$G$5:$G$3000,Levels!$G$5:$G$94)&gt;0))&amp;" / "&amp;COUNTIFS(Levels!$A$5:$A$94,$B87,Levels!$B$5:$B$94,3))</f>
        <v/>
      </c>
      <c r="H87" s="24" t="str">
        <f aca="false">IF(OR($A87="",$B87=""),"",SUMPRODUCT((Levels!$A$5:$A$94=$B87)*(Levels!$B$5:$B$94=4)*(COUNTIFS(Progress!$B$5:$B$3000,$A87,Progress!$G$5:$G$3000,Levels!$G$5:$G$94)&gt;0))&amp;" / "&amp;COUNTIFS(Levels!$A$5:$A$94,$B87,Levels!$B$5:$B$94,4))</f>
        <v/>
      </c>
      <c r="I87" s="24" t="str">
        <f aca="false">IF(OR($A87="",$B87=""),"",IF(SUMPRODUCT((Levels!$A$5:$A$94=$B87)*(Levels!$B$5:$B$94=1)*(COUNTIFS(Progress!$B$5:$B$3000,$A87,Progress!$G$5:$G$3000,Levels!$G$5:$G$94)&gt;0))&lt;COUNTIFS(Levels!$A$5:$A$94,$B87,Levels!$B$5:$B$94,1),"1 Rookie",IF(SUMPRODUCT((Levels!$A$5:$A$94=$B87)*(Levels!$B$5:$B$94=2)*(COUNTIFS(Progress!$B$5:$B$3000,$A87,Progress!$G$5:$G$3000,Levels!$G$5:$G$94)&gt;0))&lt;COUNTIFS(Levels!$A$5:$A$94,$B87,Levels!$B$5:$B$94,2),"2 Contender",IF(SUMPRODUCT((Levels!$A$5:$A$94=$B87)*(Levels!$B$5:$B$94=3)*(COUNTIFS(Progress!$B$5:$B$3000,$A87,Progress!$G$5:$G$3000,Levels!$G$5:$G$94)&gt;0))&lt;COUNTIFS(Levels!$A$5:$A$94,$B87,Levels!$B$5:$B$94,3),"3 Challenger",IF(SUMPRODUCT((Levels!$A$5:$A$94=$B87)*(Levels!$B$5:$B$94=4)*(COUNTIFS(Progress!$B$5:$B$3000,$A87,Progress!$G$5:$G$3000,Levels!$G$5:$G$94)&gt;0))&lt;COUNTIFS(Levels!$A$5:$A$94,$B87,Levels!$B$5:$B$94,4),"4 Champion","All done")))))</f>
        <v/>
      </c>
      <c r="J87" s="25" t="str">
        <f aca="false">IF(OR(I87="",I87="All done"),"",COUNTIFS(Levels!$A$5:$A$94,$B87,Levels!$B$5:$B$94,1)*(LEFT(I87,1)="1")+COUNTIFS(Levels!$A$5:$A$94,$B87,Levels!$B$5:$B$94,2)*(LEFT(I87,1)="2")+COUNTIFS(Levels!$A$5:$A$94,$B87,Levels!$B$5:$B$94,3)*(LEFT(I87,1)="3")+COUNTIFS(Levels!$A$5:$A$94,$B87,Levels!$B$5:$B$94,4)*(LEFT(I87,1)="4")-(SUMPRODUCT((Levels!$A$5:$A$94=$B87)*(Levels!$B$5:$B$94=1)*(COUNTIFS(Progress!$B$5:$B$3000,$A87,Progress!$G$5:$G$3000,Levels!$G$5:$G$94)&gt;0))*(LEFT(I87,1)="1")+SUMPRODUCT((Levels!$A$5:$A$94=$B87)*(Levels!$B$5:$B$94=2)*(COUNTIFS(Progress!$B$5:$B$3000,$A87,Progress!$G$5:$G$3000,Levels!$G$5:$G$94)&gt;0))*(LEFT(I87,1)="2")+SUMPRODUCT((Levels!$A$5:$A$94=$B87)*(Levels!$B$5:$B$94=3)*(COUNTIFS(Progress!$B$5:$B$3000,$A87,Progress!$G$5:$G$3000,Levels!$G$5:$G$94)&gt;0))*(LEFT(I87,1)="3")+SUMPRODUCT((Levels!$A$5:$A$94=$B87)*(Levels!$B$5:$B$94=4)*(COUNTIFS(Progress!$B$5:$B$3000,$A87,Progress!$G$5:$G$3000,Levels!$G$5:$G$94)&gt;0))*(LEFT(I87,1)="4")))</f>
        <v/>
      </c>
      <c r="K87" s="26" t="str">
        <f aca="false">IF($A87="","",IF(COUNTIFS(Progress!$B$5:$B$3000,$A87)=0,"",SUMPRODUCT(MAX((Progress!$B$5:$B$3000=$A87)*Progress!$A$5:$A$3000))))</f>
        <v/>
      </c>
      <c r="L87" s="22"/>
    </row>
    <row r="88" customFormat="false" ht="15" hidden="false" customHeight="false" outlineLevel="0" collapsed="false">
      <c r="A88" s="22"/>
      <c r="B88" s="22"/>
      <c r="C88" s="23"/>
      <c r="D88" s="22"/>
      <c r="E88" s="24" t="str">
        <f aca="false">IF(OR($A88="",$B88=""),"",SUMPRODUCT((Levels!$A$5:$A$94=$B88)*(Levels!$B$5:$B$94=1)*(COUNTIFS(Progress!$B$5:$B$3000,$A88,Progress!$G$5:$G$3000,Levels!$G$5:$G$94)&gt;0))&amp;" / "&amp;COUNTIFS(Levels!$A$5:$A$94,$B88,Levels!$B$5:$B$94,1))</f>
        <v/>
      </c>
      <c r="F88" s="24" t="str">
        <f aca="false">IF(OR($A88="",$B88=""),"",SUMPRODUCT((Levels!$A$5:$A$94=$B88)*(Levels!$B$5:$B$94=2)*(COUNTIFS(Progress!$B$5:$B$3000,$A88,Progress!$G$5:$G$3000,Levels!$G$5:$G$94)&gt;0))&amp;" / "&amp;COUNTIFS(Levels!$A$5:$A$94,$B88,Levels!$B$5:$B$94,2))</f>
        <v/>
      </c>
      <c r="G88" s="24" t="str">
        <f aca="false">IF(OR($A88="",$B88=""),"",SUMPRODUCT((Levels!$A$5:$A$94=$B88)*(Levels!$B$5:$B$94=3)*(COUNTIFS(Progress!$B$5:$B$3000,$A88,Progress!$G$5:$G$3000,Levels!$G$5:$G$94)&gt;0))&amp;" / "&amp;COUNTIFS(Levels!$A$5:$A$94,$B88,Levels!$B$5:$B$94,3))</f>
        <v/>
      </c>
      <c r="H88" s="24" t="str">
        <f aca="false">IF(OR($A88="",$B88=""),"",SUMPRODUCT((Levels!$A$5:$A$94=$B88)*(Levels!$B$5:$B$94=4)*(COUNTIFS(Progress!$B$5:$B$3000,$A88,Progress!$G$5:$G$3000,Levels!$G$5:$G$94)&gt;0))&amp;" / "&amp;COUNTIFS(Levels!$A$5:$A$94,$B88,Levels!$B$5:$B$94,4))</f>
        <v/>
      </c>
      <c r="I88" s="24" t="str">
        <f aca="false">IF(OR($A88="",$B88=""),"",IF(SUMPRODUCT((Levels!$A$5:$A$94=$B88)*(Levels!$B$5:$B$94=1)*(COUNTIFS(Progress!$B$5:$B$3000,$A88,Progress!$G$5:$G$3000,Levels!$G$5:$G$94)&gt;0))&lt;COUNTIFS(Levels!$A$5:$A$94,$B88,Levels!$B$5:$B$94,1),"1 Rookie",IF(SUMPRODUCT((Levels!$A$5:$A$94=$B88)*(Levels!$B$5:$B$94=2)*(COUNTIFS(Progress!$B$5:$B$3000,$A88,Progress!$G$5:$G$3000,Levels!$G$5:$G$94)&gt;0))&lt;COUNTIFS(Levels!$A$5:$A$94,$B88,Levels!$B$5:$B$94,2),"2 Contender",IF(SUMPRODUCT((Levels!$A$5:$A$94=$B88)*(Levels!$B$5:$B$94=3)*(COUNTIFS(Progress!$B$5:$B$3000,$A88,Progress!$G$5:$G$3000,Levels!$G$5:$G$94)&gt;0))&lt;COUNTIFS(Levels!$A$5:$A$94,$B88,Levels!$B$5:$B$94,3),"3 Challenger",IF(SUMPRODUCT((Levels!$A$5:$A$94=$B88)*(Levels!$B$5:$B$94=4)*(COUNTIFS(Progress!$B$5:$B$3000,$A88,Progress!$G$5:$G$3000,Levels!$G$5:$G$94)&gt;0))&lt;COUNTIFS(Levels!$A$5:$A$94,$B88,Levels!$B$5:$B$94,4),"4 Champion","All done")))))</f>
        <v/>
      </c>
      <c r="J88" s="25" t="str">
        <f aca="false">IF(OR(I88="",I88="All done"),"",COUNTIFS(Levels!$A$5:$A$94,$B88,Levels!$B$5:$B$94,1)*(LEFT(I88,1)="1")+COUNTIFS(Levels!$A$5:$A$94,$B88,Levels!$B$5:$B$94,2)*(LEFT(I88,1)="2")+COUNTIFS(Levels!$A$5:$A$94,$B88,Levels!$B$5:$B$94,3)*(LEFT(I88,1)="3")+COUNTIFS(Levels!$A$5:$A$94,$B88,Levels!$B$5:$B$94,4)*(LEFT(I88,1)="4")-(SUMPRODUCT((Levels!$A$5:$A$94=$B88)*(Levels!$B$5:$B$94=1)*(COUNTIFS(Progress!$B$5:$B$3000,$A88,Progress!$G$5:$G$3000,Levels!$G$5:$G$94)&gt;0))*(LEFT(I88,1)="1")+SUMPRODUCT((Levels!$A$5:$A$94=$B88)*(Levels!$B$5:$B$94=2)*(COUNTIFS(Progress!$B$5:$B$3000,$A88,Progress!$G$5:$G$3000,Levels!$G$5:$G$94)&gt;0))*(LEFT(I88,1)="2")+SUMPRODUCT((Levels!$A$5:$A$94=$B88)*(Levels!$B$5:$B$94=3)*(COUNTIFS(Progress!$B$5:$B$3000,$A88,Progress!$G$5:$G$3000,Levels!$G$5:$G$94)&gt;0))*(LEFT(I88,1)="3")+SUMPRODUCT((Levels!$A$5:$A$94=$B88)*(Levels!$B$5:$B$94=4)*(COUNTIFS(Progress!$B$5:$B$3000,$A88,Progress!$G$5:$G$3000,Levels!$G$5:$G$94)&gt;0))*(LEFT(I88,1)="4")))</f>
        <v/>
      </c>
      <c r="K88" s="26" t="str">
        <f aca="false">IF($A88="","",IF(COUNTIFS(Progress!$B$5:$B$3000,$A88)=0,"",SUMPRODUCT(MAX((Progress!$B$5:$B$3000=$A88)*Progress!$A$5:$A$3000))))</f>
        <v/>
      </c>
      <c r="L88" s="22"/>
    </row>
    <row r="89" customFormat="false" ht="15" hidden="false" customHeight="false" outlineLevel="0" collapsed="false">
      <c r="A89" s="22"/>
      <c r="B89" s="22"/>
      <c r="C89" s="23"/>
      <c r="D89" s="22"/>
      <c r="E89" s="24" t="str">
        <f aca="false">IF(OR($A89="",$B89=""),"",SUMPRODUCT((Levels!$A$5:$A$94=$B89)*(Levels!$B$5:$B$94=1)*(COUNTIFS(Progress!$B$5:$B$3000,$A89,Progress!$G$5:$G$3000,Levels!$G$5:$G$94)&gt;0))&amp;" / "&amp;COUNTIFS(Levels!$A$5:$A$94,$B89,Levels!$B$5:$B$94,1))</f>
        <v/>
      </c>
      <c r="F89" s="24" t="str">
        <f aca="false">IF(OR($A89="",$B89=""),"",SUMPRODUCT((Levels!$A$5:$A$94=$B89)*(Levels!$B$5:$B$94=2)*(COUNTIFS(Progress!$B$5:$B$3000,$A89,Progress!$G$5:$G$3000,Levels!$G$5:$G$94)&gt;0))&amp;" / "&amp;COUNTIFS(Levels!$A$5:$A$94,$B89,Levels!$B$5:$B$94,2))</f>
        <v/>
      </c>
      <c r="G89" s="24" t="str">
        <f aca="false">IF(OR($A89="",$B89=""),"",SUMPRODUCT((Levels!$A$5:$A$94=$B89)*(Levels!$B$5:$B$94=3)*(COUNTIFS(Progress!$B$5:$B$3000,$A89,Progress!$G$5:$G$3000,Levels!$G$5:$G$94)&gt;0))&amp;" / "&amp;COUNTIFS(Levels!$A$5:$A$94,$B89,Levels!$B$5:$B$94,3))</f>
        <v/>
      </c>
      <c r="H89" s="24" t="str">
        <f aca="false">IF(OR($A89="",$B89=""),"",SUMPRODUCT((Levels!$A$5:$A$94=$B89)*(Levels!$B$5:$B$94=4)*(COUNTIFS(Progress!$B$5:$B$3000,$A89,Progress!$G$5:$G$3000,Levels!$G$5:$G$94)&gt;0))&amp;" / "&amp;COUNTIFS(Levels!$A$5:$A$94,$B89,Levels!$B$5:$B$94,4))</f>
        <v/>
      </c>
      <c r="I89" s="24" t="str">
        <f aca="false">IF(OR($A89="",$B89=""),"",IF(SUMPRODUCT((Levels!$A$5:$A$94=$B89)*(Levels!$B$5:$B$94=1)*(COUNTIFS(Progress!$B$5:$B$3000,$A89,Progress!$G$5:$G$3000,Levels!$G$5:$G$94)&gt;0))&lt;COUNTIFS(Levels!$A$5:$A$94,$B89,Levels!$B$5:$B$94,1),"1 Rookie",IF(SUMPRODUCT((Levels!$A$5:$A$94=$B89)*(Levels!$B$5:$B$94=2)*(COUNTIFS(Progress!$B$5:$B$3000,$A89,Progress!$G$5:$G$3000,Levels!$G$5:$G$94)&gt;0))&lt;COUNTIFS(Levels!$A$5:$A$94,$B89,Levels!$B$5:$B$94,2),"2 Contender",IF(SUMPRODUCT((Levels!$A$5:$A$94=$B89)*(Levels!$B$5:$B$94=3)*(COUNTIFS(Progress!$B$5:$B$3000,$A89,Progress!$G$5:$G$3000,Levels!$G$5:$G$94)&gt;0))&lt;COUNTIFS(Levels!$A$5:$A$94,$B89,Levels!$B$5:$B$94,3),"3 Challenger",IF(SUMPRODUCT((Levels!$A$5:$A$94=$B89)*(Levels!$B$5:$B$94=4)*(COUNTIFS(Progress!$B$5:$B$3000,$A89,Progress!$G$5:$G$3000,Levels!$G$5:$G$94)&gt;0))&lt;COUNTIFS(Levels!$A$5:$A$94,$B89,Levels!$B$5:$B$94,4),"4 Champion","All done")))))</f>
        <v/>
      </c>
      <c r="J89" s="25" t="str">
        <f aca="false">IF(OR(I89="",I89="All done"),"",COUNTIFS(Levels!$A$5:$A$94,$B89,Levels!$B$5:$B$94,1)*(LEFT(I89,1)="1")+COUNTIFS(Levels!$A$5:$A$94,$B89,Levels!$B$5:$B$94,2)*(LEFT(I89,1)="2")+COUNTIFS(Levels!$A$5:$A$94,$B89,Levels!$B$5:$B$94,3)*(LEFT(I89,1)="3")+COUNTIFS(Levels!$A$5:$A$94,$B89,Levels!$B$5:$B$94,4)*(LEFT(I89,1)="4")-(SUMPRODUCT((Levels!$A$5:$A$94=$B89)*(Levels!$B$5:$B$94=1)*(COUNTIFS(Progress!$B$5:$B$3000,$A89,Progress!$G$5:$G$3000,Levels!$G$5:$G$94)&gt;0))*(LEFT(I89,1)="1")+SUMPRODUCT((Levels!$A$5:$A$94=$B89)*(Levels!$B$5:$B$94=2)*(COUNTIFS(Progress!$B$5:$B$3000,$A89,Progress!$G$5:$G$3000,Levels!$G$5:$G$94)&gt;0))*(LEFT(I89,1)="2")+SUMPRODUCT((Levels!$A$5:$A$94=$B89)*(Levels!$B$5:$B$94=3)*(COUNTIFS(Progress!$B$5:$B$3000,$A89,Progress!$G$5:$G$3000,Levels!$G$5:$G$94)&gt;0))*(LEFT(I89,1)="3")+SUMPRODUCT((Levels!$A$5:$A$94=$B89)*(Levels!$B$5:$B$94=4)*(COUNTIFS(Progress!$B$5:$B$3000,$A89,Progress!$G$5:$G$3000,Levels!$G$5:$G$94)&gt;0))*(LEFT(I89,1)="4")))</f>
        <v/>
      </c>
      <c r="K89" s="26" t="str">
        <f aca="false">IF($A89="","",IF(COUNTIFS(Progress!$B$5:$B$3000,$A89)=0,"",SUMPRODUCT(MAX((Progress!$B$5:$B$3000=$A89)*Progress!$A$5:$A$3000))))</f>
        <v/>
      </c>
      <c r="L89" s="22"/>
    </row>
    <row r="90" customFormat="false" ht="15" hidden="false" customHeight="false" outlineLevel="0" collapsed="false">
      <c r="A90" s="22"/>
      <c r="B90" s="22"/>
      <c r="C90" s="23"/>
      <c r="D90" s="22"/>
      <c r="E90" s="24" t="str">
        <f aca="false">IF(OR($A90="",$B90=""),"",SUMPRODUCT((Levels!$A$5:$A$94=$B90)*(Levels!$B$5:$B$94=1)*(COUNTIFS(Progress!$B$5:$B$3000,$A90,Progress!$G$5:$G$3000,Levels!$G$5:$G$94)&gt;0))&amp;" / "&amp;COUNTIFS(Levels!$A$5:$A$94,$B90,Levels!$B$5:$B$94,1))</f>
        <v/>
      </c>
      <c r="F90" s="24" t="str">
        <f aca="false">IF(OR($A90="",$B90=""),"",SUMPRODUCT((Levels!$A$5:$A$94=$B90)*(Levels!$B$5:$B$94=2)*(COUNTIFS(Progress!$B$5:$B$3000,$A90,Progress!$G$5:$G$3000,Levels!$G$5:$G$94)&gt;0))&amp;" / "&amp;COUNTIFS(Levels!$A$5:$A$94,$B90,Levels!$B$5:$B$94,2))</f>
        <v/>
      </c>
      <c r="G90" s="24" t="str">
        <f aca="false">IF(OR($A90="",$B90=""),"",SUMPRODUCT((Levels!$A$5:$A$94=$B90)*(Levels!$B$5:$B$94=3)*(COUNTIFS(Progress!$B$5:$B$3000,$A90,Progress!$G$5:$G$3000,Levels!$G$5:$G$94)&gt;0))&amp;" / "&amp;COUNTIFS(Levels!$A$5:$A$94,$B90,Levels!$B$5:$B$94,3))</f>
        <v/>
      </c>
      <c r="H90" s="24" t="str">
        <f aca="false">IF(OR($A90="",$B90=""),"",SUMPRODUCT((Levels!$A$5:$A$94=$B90)*(Levels!$B$5:$B$94=4)*(COUNTIFS(Progress!$B$5:$B$3000,$A90,Progress!$G$5:$G$3000,Levels!$G$5:$G$94)&gt;0))&amp;" / "&amp;COUNTIFS(Levels!$A$5:$A$94,$B90,Levels!$B$5:$B$94,4))</f>
        <v/>
      </c>
      <c r="I90" s="24" t="str">
        <f aca="false">IF(OR($A90="",$B90=""),"",IF(SUMPRODUCT((Levels!$A$5:$A$94=$B90)*(Levels!$B$5:$B$94=1)*(COUNTIFS(Progress!$B$5:$B$3000,$A90,Progress!$G$5:$G$3000,Levels!$G$5:$G$94)&gt;0))&lt;COUNTIFS(Levels!$A$5:$A$94,$B90,Levels!$B$5:$B$94,1),"1 Rookie",IF(SUMPRODUCT((Levels!$A$5:$A$94=$B90)*(Levels!$B$5:$B$94=2)*(COUNTIFS(Progress!$B$5:$B$3000,$A90,Progress!$G$5:$G$3000,Levels!$G$5:$G$94)&gt;0))&lt;COUNTIFS(Levels!$A$5:$A$94,$B90,Levels!$B$5:$B$94,2),"2 Contender",IF(SUMPRODUCT((Levels!$A$5:$A$94=$B90)*(Levels!$B$5:$B$94=3)*(COUNTIFS(Progress!$B$5:$B$3000,$A90,Progress!$G$5:$G$3000,Levels!$G$5:$G$94)&gt;0))&lt;COUNTIFS(Levels!$A$5:$A$94,$B90,Levels!$B$5:$B$94,3),"3 Challenger",IF(SUMPRODUCT((Levels!$A$5:$A$94=$B90)*(Levels!$B$5:$B$94=4)*(COUNTIFS(Progress!$B$5:$B$3000,$A90,Progress!$G$5:$G$3000,Levels!$G$5:$G$94)&gt;0))&lt;COUNTIFS(Levels!$A$5:$A$94,$B90,Levels!$B$5:$B$94,4),"4 Champion","All done")))))</f>
        <v/>
      </c>
      <c r="J90" s="25" t="str">
        <f aca="false">IF(OR(I90="",I90="All done"),"",COUNTIFS(Levels!$A$5:$A$94,$B90,Levels!$B$5:$B$94,1)*(LEFT(I90,1)="1")+COUNTIFS(Levels!$A$5:$A$94,$B90,Levels!$B$5:$B$94,2)*(LEFT(I90,1)="2")+COUNTIFS(Levels!$A$5:$A$94,$B90,Levels!$B$5:$B$94,3)*(LEFT(I90,1)="3")+COUNTIFS(Levels!$A$5:$A$94,$B90,Levels!$B$5:$B$94,4)*(LEFT(I90,1)="4")-(SUMPRODUCT((Levels!$A$5:$A$94=$B90)*(Levels!$B$5:$B$94=1)*(COUNTIFS(Progress!$B$5:$B$3000,$A90,Progress!$G$5:$G$3000,Levels!$G$5:$G$94)&gt;0))*(LEFT(I90,1)="1")+SUMPRODUCT((Levels!$A$5:$A$94=$B90)*(Levels!$B$5:$B$94=2)*(COUNTIFS(Progress!$B$5:$B$3000,$A90,Progress!$G$5:$G$3000,Levels!$G$5:$G$94)&gt;0))*(LEFT(I90,1)="2")+SUMPRODUCT((Levels!$A$5:$A$94=$B90)*(Levels!$B$5:$B$94=3)*(COUNTIFS(Progress!$B$5:$B$3000,$A90,Progress!$G$5:$G$3000,Levels!$G$5:$G$94)&gt;0))*(LEFT(I90,1)="3")+SUMPRODUCT((Levels!$A$5:$A$94=$B90)*(Levels!$B$5:$B$94=4)*(COUNTIFS(Progress!$B$5:$B$3000,$A90,Progress!$G$5:$G$3000,Levels!$G$5:$G$94)&gt;0))*(LEFT(I90,1)="4")))</f>
        <v/>
      </c>
      <c r="K90" s="26" t="str">
        <f aca="false">IF($A90="","",IF(COUNTIFS(Progress!$B$5:$B$3000,$A90)=0,"",SUMPRODUCT(MAX((Progress!$B$5:$B$3000=$A90)*Progress!$A$5:$A$3000))))</f>
        <v/>
      </c>
      <c r="L90" s="22"/>
    </row>
    <row r="91" customFormat="false" ht="15" hidden="false" customHeight="false" outlineLevel="0" collapsed="false">
      <c r="A91" s="22"/>
      <c r="B91" s="22"/>
      <c r="C91" s="23"/>
      <c r="D91" s="22"/>
      <c r="E91" s="24" t="str">
        <f aca="false">IF(OR($A91="",$B91=""),"",SUMPRODUCT((Levels!$A$5:$A$94=$B91)*(Levels!$B$5:$B$94=1)*(COUNTIFS(Progress!$B$5:$B$3000,$A91,Progress!$G$5:$G$3000,Levels!$G$5:$G$94)&gt;0))&amp;" / "&amp;COUNTIFS(Levels!$A$5:$A$94,$B91,Levels!$B$5:$B$94,1))</f>
        <v/>
      </c>
      <c r="F91" s="24" t="str">
        <f aca="false">IF(OR($A91="",$B91=""),"",SUMPRODUCT((Levels!$A$5:$A$94=$B91)*(Levels!$B$5:$B$94=2)*(COUNTIFS(Progress!$B$5:$B$3000,$A91,Progress!$G$5:$G$3000,Levels!$G$5:$G$94)&gt;0))&amp;" / "&amp;COUNTIFS(Levels!$A$5:$A$94,$B91,Levels!$B$5:$B$94,2))</f>
        <v/>
      </c>
      <c r="G91" s="24" t="str">
        <f aca="false">IF(OR($A91="",$B91=""),"",SUMPRODUCT((Levels!$A$5:$A$94=$B91)*(Levels!$B$5:$B$94=3)*(COUNTIFS(Progress!$B$5:$B$3000,$A91,Progress!$G$5:$G$3000,Levels!$G$5:$G$94)&gt;0))&amp;" / "&amp;COUNTIFS(Levels!$A$5:$A$94,$B91,Levels!$B$5:$B$94,3))</f>
        <v/>
      </c>
      <c r="H91" s="24" t="str">
        <f aca="false">IF(OR($A91="",$B91=""),"",SUMPRODUCT((Levels!$A$5:$A$94=$B91)*(Levels!$B$5:$B$94=4)*(COUNTIFS(Progress!$B$5:$B$3000,$A91,Progress!$G$5:$G$3000,Levels!$G$5:$G$94)&gt;0))&amp;" / "&amp;COUNTIFS(Levels!$A$5:$A$94,$B91,Levels!$B$5:$B$94,4))</f>
        <v/>
      </c>
      <c r="I91" s="24" t="str">
        <f aca="false">IF(OR($A91="",$B91=""),"",IF(SUMPRODUCT((Levels!$A$5:$A$94=$B91)*(Levels!$B$5:$B$94=1)*(COUNTIFS(Progress!$B$5:$B$3000,$A91,Progress!$G$5:$G$3000,Levels!$G$5:$G$94)&gt;0))&lt;COUNTIFS(Levels!$A$5:$A$94,$B91,Levels!$B$5:$B$94,1),"1 Rookie",IF(SUMPRODUCT((Levels!$A$5:$A$94=$B91)*(Levels!$B$5:$B$94=2)*(COUNTIFS(Progress!$B$5:$B$3000,$A91,Progress!$G$5:$G$3000,Levels!$G$5:$G$94)&gt;0))&lt;COUNTIFS(Levels!$A$5:$A$94,$B91,Levels!$B$5:$B$94,2),"2 Contender",IF(SUMPRODUCT((Levels!$A$5:$A$94=$B91)*(Levels!$B$5:$B$94=3)*(COUNTIFS(Progress!$B$5:$B$3000,$A91,Progress!$G$5:$G$3000,Levels!$G$5:$G$94)&gt;0))&lt;COUNTIFS(Levels!$A$5:$A$94,$B91,Levels!$B$5:$B$94,3),"3 Challenger",IF(SUMPRODUCT((Levels!$A$5:$A$94=$B91)*(Levels!$B$5:$B$94=4)*(COUNTIFS(Progress!$B$5:$B$3000,$A91,Progress!$G$5:$G$3000,Levels!$G$5:$G$94)&gt;0))&lt;COUNTIFS(Levels!$A$5:$A$94,$B91,Levels!$B$5:$B$94,4),"4 Champion","All done")))))</f>
        <v/>
      </c>
      <c r="J91" s="25" t="str">
        <f aca="false">IF(OR(I91="",I91="All done"),"",COUNTIFS(Levels!$A$5:$A$94,$B91,Levels!$B$5:$B$94,1)*(LEFT(I91,1)="1")+COUNTIFS(Levels!$A$5:$A$94,$B91,Levels!$B$5:$B$94,2)*(LEFT(I91,1)="2")+COUNTIFS(Levels!$A$5:$A$94,$B91,Levels!$B$5:$B$94,3)*(LEFT(I91,1)="3")+COUNTIFS(Levels!$A$5:$A$94,$B91,Levels!$B$5:$B$94,4)*(LEFT(I91,1)="4")-(SUMPRODUCT((Levels!$A$5:$A$94=$B91)*(Levels!$B$5:$B$94=1)*(COUNTIFS(Progress!$B$5:$B$3000,$A91,Progress!$G$5:$G$3000,Levels!$G$5:$G$94)&gt;0))*(LEFT(I91,1)="1")+SUMPRODUCT((Levels!$A$5:$A$94=$B91)*(Levels!$B$5:$B$94=2)*(COUNTIFS(Progress!$B$5:$B$3000,$A91,Progress!$G$5:$G$3000,Levels!$G$5:$G$94)&gt;0))*(LEFT(I91,1)="2")+SUMPRODUCT((Levels!$A$5:$A$94=$B91)*(Levels!$B$5:$B$94=3)*(COUNTIFS(Progress!$B$5:$B$3000,$A91,Progress!$G$5:$G$3000,Levels!$G$5:$G$94)&gt;0))*(LEFT(I91,1)="3")+SUMPRODUCT((Levels!$A$5:$A$94=$B91)*(Levels!$B$5:$B$94=4)*(COUNTIFS(Progress!$B$5:$B$3000,$A91,Progress!$G$5:$G$3000,Levels!$G$5:$G$94)&gt;0))*(LEFT(I91,1)="4")))</f>
        <v/>
      </c>
      <c r="K91" s="26" t="str">
        <f aca="false">IF($A91="","",IF(COUNTIFS(Progress!$B$5:$B$3000,$A91)=0,"",SUMPRODUCT(MAX((Progress!$B$5:$B$3000=$A91)*Progress!$A$5:$A$3000))))</f>
        <v/>
      </c>
      <c r="L91" s="22"/>
    </row>
    <row r="92" customFormat="false" ht="15" hidden="false" customHeight="false" outlineLevel="0" collapsed="false">
      <c r="A92" s="22"/>
      <c r="B92" s="22"/>
      <c r="C92" s="23"/>
      <c r="D92" s="22"/>
      <c r="E92" s="24" t="str">
        <f aca="false">IF(OR($A92="",$B92=""),"",SUMPRODUCT((Levels!$A$5:$A$94=$B92)*(Levels!$B$5:$B$94=1)*(COUNTIFS(Progress!$B$5:$B$3000,$A92,Progress!$G$5:$G$3000,Levels!$G$5:$G$94)&gt;0))&amp;" / "&amp;COUNTIFS(Levels!$A$5:$A$94,$B92,Levels!$B$5:$B$94,1))</f>
        <v/>
      </c>
      <c r="F92" s="24" t="str">
        <f aca="false">IF(OR($A92="",$B92=""),"",SUMPRODUCT((Levels!$A$5:$A$94=$B92)*(Levels!$B$5:$B$94=2)*(COUNTIFS(Progress!$B$5:$B$3000,$A92,Progress!$G$5:$G$3000,Levels!$G$5:$G$94)&gt;0))&amp;" / "&amp;COUNTIFS(Levels!$A$5:$A$94,$B92,Levels!$B$5:$B$94,2))</f>
        <v/>
      </c>
      <c r="G92" s="24" t="str">
        <f aca="false">IF(OR($A92="",$B92=""),"",SUMPRODUCT((Levels!$A$5:$A$94=$B92)*(Levels!$B$5:$B$94=3)*(COUNTIFS(Progress!$B$5:$B$3000,$A92,Progress!$G$5:$G$3000,Levels!$G$5:$G$94)&gt;0))&amp;" / "&amp;COUNTIFS(Levels!$A$5:$A$94,$B92,Levels!$B$5:$B$94,3))</f>
        <v/>
      </c>
      <c r="H92" s="24" t="str">
        <f aca="false">IF(OR($A92="",$B92=""),"",SUMPRODUCT((Levels!$A$5:$A$94=$B92)*(Levels!$B$5:$B$94=4)*(COUNTIFS(Progress!$B$5:$B$3000,$A92,Progress!$G$5:$G$3000,Levels!$G$5:$G$94)&gt;0))&amp;" / "&amp;COUNTIFS(Levels!$A$5:$A$94,$B92,Levels!$B$5:$B$94,4))</f>
        <v/>
      </c>
      <c r="I92" s="24" t="str">
        <f aca="false">IF(OR($A92="",$B92=""),"",IF(SUMPRODUCT((Levels!$A$5:$A$94=$B92)*(Levels!$B$5:$B$94=1)*(COUNTIFS(Progress!$B$5:$B$3000,$A92,Progress!$G$5:$G$3000,Levels!$G$5:$G$94)&gt;0))&lt;COUNTIFS(Levels!$A$5:$A$94,$B92,Levels!$B$5:$B$94,1),"1 Rookie",IF(SUMPRODUCT((Levels!$A$5:$A$94=$B92)*(Levels!$B$5:$B$94=2)*(COUNTIFS(Progress!$B$5:$B$3000,$A92,Progress!$G$5:$G$3000,Levels!$G$5:$G$94)&gt;0))&lt;COUNTIFS(Levels!$A$5:$A$94,$B92,Levels!$B$5:$B$94,2),"2 Contender",IF(SUMPRODUCT((Levels!$A$5:$A$94=$B92)*(Levels!$B$5:$B$94=3)*(COUNTIFS(Progress!$B$5:$B$3000,$A92,Progress!$G$5:$G$3000,Levels!$G$5:$G$94)&gt;0))&lt;COUNTIFS(Levels!$A$5:$A$94,$B92,Levels!$B$5:$B$94,3),"3 Challenger",IF(SUMPRODUCT((Levels!$A$5:$A$94=$B92)*(Levels!$B$5:$B$94=4)*(COUNTIFS(Progress!$B$5:$B$3000,$A92,Progress!$G$5:$G$3000,Levels!$G$5:$G$94)&gt;0))&lt;COUNTIFS(Levels!$A$5:$A$94,$B92,Levels!$B$5:$B$94,4),"4 Champion","All done")))))</f>
        <v/>
      </c>
      <c r="J92" s="25" t="str">
        <f aca="false">IF(OR(I92="",I92="All done"),"",COUNTIFS(Levels!$A$5:$A$94,$B92,Levels!$B$5:$B$94,1)*(LEFT(I92,1)="1")+COUNTIFS(Levels!$A$5:$A$94,$B92,Levels!$B$5:$B$94,2)*(LEFT(I92,1)="2")+COUNTIFS(Levels!$A$5:$A$94,$B92,Levels!$B$5:$B$94,3)*(LEFT(I92,1)="3")+COUNTIFS(Levels!$A$5:$A$94,$B92,Levels!$B$5:$B$94,4)*(LEFT(I92,1)="4")-(SUMPRODUCT((Levels!$A$5:$A$94=$B92)*(Levels!$B$5:$B$94=1)*(COUNTIFS(Progress!$B$5:$B$3000,$A92,Progress!$G$5:$G$3000,Levels!$G$5:$G$94)&gt;0))*(LEFT(I92,1)="1")+SUMPRODUCT((Levels!$A$5:$A$94=$B92)*(Levels!$B$5:$B$94=2)*(COUNTIFS(Progress!$B$5:$B$3000,$A92,Progress!$G$5:$G$3000,Levels!$G$5:$G$94)&gt;0))*(LEFT(I92,1)="2")+SUMPRODUCT((Levels!$A$5:$A$94=$B92)*(Levels!$B$5:$B$94=3)*(COUNTIFS(Progress!$B$5:$B$3000,$A92,Progress!$G$5:$G$3000,Levels!$G$5:$G$94)&gt;0))*(LEFT(I92,1)="3")+SUMPRODUCT((Levels!$A$5:$A$94=$B92)*(Levels!$B$5:$B$94=4)*(COUNTIFS(Progress!$B$5:$B$3000,$A92,Progress!$G$5:$G$3000,Levels!$G$5:$G$94)&gt;0))*(LEFT(I92,1)="4")))</f>
        <v/>
      </c>
      <c r="K92" s="26" t="str">
        <f aca="false">IF($A92="","",IF(COUNTIFS(Progress!$B$5:$B$3000,$A92)=0,"",SUMPRODUCT(MAX((Progress!$B$5:$B$3000=$A92)*Progress!$A$5:$A$3000))))</f>
        <v/>
      </c>
      <c r="L92" s="22"/>
    </row>
    <row r="93" customFormat="false" ht="15" hidden="false" customHeight="false" outlineLevel="0" collapsed="false">
      <c r="A93" s="22"/>
      <c r="B93" s="22"/>
      <c r="C93" s="23"/>
      <c r="D93" s="22"/>
      <c r="E93" s="24" t="str">
        <f aca="false">IF(OR($A93="",$B93=""),"",SUMPRODUCT((Levels!$A$5:$A$94=$B93)*(Levels!$B$5:$B$94=1)*(COUNTIFS(Progress!$B$5:$B$3000,$A93,Progress!$G$5:$G$3000,Levels!$G$5:$G$94)&gt;0))&amp;" / "&amp;COUNTIFS(Levels!$A$5:$A$94,$B93,Levels!$B$5:$B$94,1))</f>
        <v/>
      </c>
      <c r="F93" s="24" t="str">
        <f aca="false">IF(OR($A93="",$B93=""),"",SUMPRODUCT((Levels!$A$5:$A$94=$B93)*(Levels!$B$5:$B$94=2)*(COUNTIFS(Progress!$B$5:$B$3000,$A93,Progress!$G$5:$G$3000,Levels!$G$5:$G$94)&gt;0))&amp;" / "&amp;COUNTIFS(Levels!$A$5:$A$94,$B93,Levels!$B$5:$B$94,2))</f>
        <v/>
      </c>
      <c r="G93" s="24" t="str">
        <f aca="false">IF(OR($A93="",$B93=""),"",SUMPRODUCT((Levels!$A$5:$A$94=$B93)*(Levels!$B$5:$B$94=3)*(COUNTIFS(Progress!$B$5:$B$3000,$A93,Progress!$G$5:$G$3000,Levels!$G$5:$G$94)&gt;0))&amp;" / "&amp;COUNTIFS(Levels!$A$5:$A$94,$B93,Levels!$B$5:$B$94,3))</f>
        <v/>
      </c>
      <c r="H93" s="24" t="str">
        <f aca="false">IF(OR($A93="",$B93=""),"",SUMPRODUCT((Levels!$A$5:$A$94=$B93)*(Levels!$B$5:$B$94=4)*(COUNTIFS(Progress!$B$5:$B$3000,$A93,Progress!$G$5:$G$3000,Levels!$G$5:$G$94)&gt;0))&amp;" / "&amp;COUNTIFS(Levels!$A$5:$A$94,$B93,Levels!$B$5:$B$94,4))</f>
        <v/>
      </c>
      <c r="I93" s="24" t="str">
        <f aca="false">IF(OR($A93="",$B93=""),"",IF(SUMPRODUCT((Levels!$A$5:$A$94=$B93)*(Levels!$B$5:$B$94=1)*(COUNTIFS(Progress!$B$5:$B$3000,$A93,Progress!$G$5:$G$3000,Levels!$G$5:$G$94)&gt;0))&lt;COUNTIFS(Levels!$A$5:$A$94,$B93,Levels!$B$5:$B$94,1),"1 Rookie",IF(SUMPRODUCT((Levels!$A$5:$A$94=$B93)*(Levels!$B$5:$B$94=2)*(COUNTIFS(Progress!$B$5:$B$3000,$A93,Progress!$G$5:$G$3000,Levels!$G$5:$G$94)&gt;0))&lt;COUNTIFS(Levels!$A$5:$A$94,$B93,Levels!$B$5:$B$94,2),"2 Contender",IF(SUMPRODUCT((Levels!$A$5:$A$94=$B93)*(Levels!$B$5:$B$94=3)*(COUNTIFS(Progress!$B$5:$B$3000,$A93,Progress!$G$5:$G$3000,Levels!$G$5:$G$94)&gt;0))&lt;COUNTIFS(Levels!$A$5:$A$94,$B93,Levels!$B$5:$B$94,3),"3 Challenger",IF(SUMPRODUCT((Levels!$A$5:$A$94=$B93)*(Levels!$B$5:$B$94=4)*(COUNTIFS(Progress!$B$5:$B$3000,$A93,Progress!$G$5:$G$3000,Levels!$G$5:$G$94)&gt;0))&lt;COUNTIFS(Levels!$A$5:$A$94,$B93,Levels!$B$5:$B$94,4),"4 Champion","All done")))))</f>
        <v/>
      </c>
      <c r="J93" s="25" t="str">
        <f aca="false">IF(OR(I93="",I93="All done"),"",COUNTIFS(Levels!$A$5:$A$94,$B93,Levels!$B$5:$B$94,1)*(LEFT(I93,1)="1")+COUNTIFS(Levels!$A$5:$A$94,$B93,Levels!$B$5:$B$94,2)*(LEFT(I93,1)="2")+COUNTIFS(Levels!$A$5:$A$94,$B93,Levels!$B$5:$B$94,3)*(LEFT(I93,1)="3")+COUNTIFS(Levels!$A$5:$A$94,$B93,Levels!$B$5:$B$94,4)*(LEFT(I93,1)="4")-(SUMPRODUCT((Levels!$A$5:$A$94=$B93)*(Levels!$B$5:$B$94=1)*(COUNTIFS(Progress!$B$5:$B$3000,$A93,Progress!$G$5:$G$3000,Levels!$G$5:$G$94)&gt;0))*(LEFT(I93,1)="1")+SUMPRODUCT((Levels!$A$5:$A$94=$B93)*(Levels!$B$5:$B$94=2)*(COUNTIFS(Progress!$B$5:$B$3000,$A93,Progress!$G$5:$G$3000,Levels!$G$5:$G$94)&gt;0))*(LEFT(I93,1)="2")+SUMPRODUCT((Levels!$A$5:$A$94=$B93)*(Levels!$B$5:$B$94=3)*(COUNTIFS(Progress!$B$5:$B$3000,$A93,Progress!$G$5:$G$3000,Levels!$G$5:$G$94)&gt;0))*(LEFT(I93,1)="3")+SUMPRODUCT((Levels!$A$5:$A$94=$B93)*(Levels!$B$5:$B$94=4)*(COUNTIFS(Progress!$B$5:$B$3000,$A93,Progress!$G$5:$G$3000,Levels!$G$5:$G$94)&gt;0))*(LEFT(I93,1)="4")))</f>
        <v/>
      </c>
      <c r="K93" s="26" t="str">
        <f aca="false">IF($A93="","",IF(COUNTIFS(Progress!$B$5:$B$3000,$A93)=0,"",SUMPRODUCT(MAX((Progress!$B$5:$B$3000=$A93)*Progress!$A$5:$A$3000))))</f>
        <v/>
      </c>
      <c r="L93" s="22"/>
    </row>
    <row r="94" customFormat="false" ht="15" hidden="false" customHeight="false" outlineLevel="0" collapsed="false">
      <c r="A94" s="22"/>
      <c r="B94" s="22"/>
      <c r="C94" s="23"/>
      <c r="D94" s="22"/>
      <c r="E94" s="24" t="str">
        <f aca="false">IF(OR($A94="",$B94=""),"",SUMPRODUCT((Levels!$A$5:$A$94=$B94)*(Levels!$B$5:$B$94=1)*(COUNTIFS(Progress!$B$5:$B$3000,$A94,Progress!$G$5:$G$3000,Levels!$G$5:$G$94)&gt;0))&amp;" / "&amp;COUNTIFS(Levels!$A$5:$A$94,$B94,Levels!$B$5:$B$94,1))</f>
        <v/>
      </c>
      <c r="F94" s="24" t="str">
        <f aca="false">IF(OR($A94="",$B94=""),"",SUMPRODUCT((Levels!$A$5:$A$94=$B94)*(Levels!$B$5:$B$94=2)*(COUNTIFS(Progress!$B$5:$B$3000,$A94,Progress!$G$5:$G$3000,Levels!$G$5:$G$94)&gt;0))&amp;" / "&amp;COUNTIFS(Levels!$A$5:$A$94,$B94,Levels!$B$5:$B$94,2))</f>
        <v/>
      </c>
      <c r="G94" s="24" t="str">
        <f aca="false">IF(OR($A94="",$B94=""),"",SUMPRODUCT((Levels!$A$5:$A$94=$B94)*(Levels!$B$5:$B$94=3)*(COUNTIFS(Progress!$B$5:$B$3000,$A94,Progress!$G$5:$G$3000,Levels!$G$5:$G$94)&gt;0))&amp;" / "&amp;COUNTIFS(Levels!$A$5:$A$94,$B94,Levels!$B$5:$B$94,3))</f>
        <v/>
      </c>
      <c r="H94" s="24" t="str">
        <f aca="false">IF(OR($A94="",$B94=""),"",SUMPRODUCT((Levels!$A$5:$A$94=$B94)*(Levels!$B$5:$B$94=4)*(COUNTIFS(Progress!$B$5:$B$3000,$A94,Progress!$G$5:$G$3000,Levels!$G$5:$G$94)&gt;0))&amp;" / "&amp;COUNTIFS(Levels!$A$5:$A$94,$B94,Levels!$B$5:$B$94,4))</f>
        <v/>
      </c>
      <c r="I94" s="24" t="str">
        <f aca="false">IF(OR($A94="",$B94=""),"",IF(SUMPRODUCT((Levels!$A$5:$A$94=$B94)*(Levels!$B$5:$B$94=1)*(COUNTIFS(Progress!$B$5:$B$3000,$A94,Progress!$G$5:$G$3000,Levels!$G$5:$G$94)&gt;0))&lt;COUNTIFS(Levels!$A$5:$A$94,$B94,Levels!$B$5:$B$94,1),"1 Rookie",IF(SUMPRODUCT((Levels!$A$5:$A$94=$B94)*(Levels!$B$5:$B$94=2)*(COUNTIFS(Progress!$B$5:$B$3000,$A94,Progress!$G$5:$G$3000,Levels!$G$5:$G$94)&gt;0))&lt;COUNTIFS(Levels!$A$5:$A$94,$B94,Levels!$B$5:$B$94,2),"2 Contender",IF(SUMPRODUCT((Levels!$A$5:$A$94=$B94)*(Levels!$B$5:$B$94=3)*(COUNTIFS(Progress!$B$5:$B$3000,$A94,Progress!$G$5:$G$3000,Levels!$G$5:$G$94)&gt;0))&lt;COUNTIFS(Levels!$A$5:$A$94,$B94,Levels!$B$5:$B$94,3),"3 Challenger",IF(SUMPRODUCT((Levels!$A$5:$A$94=$B94)*(Levels!$B$5:$B$94=4)*(COUNTIFS(Progress!$B$5:$B$3000,$A94,Progress!$G$5:$G$3000,Levels!$G$5:$G$94)&gt;0))&lt;COUNTIFS(Levels!$A$5:$A$94,$B94,Levels!$B$5:$B$94,4),"4 Champion","All done")))))</f>
        <v/>
      </c>
      <c r="J94" s="25" t="str">
        <f aca="false">IF(OR(I94="",I94="All done"),"",COUNTIFS(Levels!$A$5:$A$94,$B94,Levels!$B$5:$B$94,1)*(LEFT(I94,1)="1")+COUNTIFS(Levels!$A$5:$A$94,$B94,Levels!$B$5:$B$94,2)*(LEFT(I94,1)="2")+COUNTIFS(Levels!$A$5:$A$94,$B94,Levels!$B$5:$B$94,3)*(LEFT(I94,1)="3")+COUNTIFS(Levels!$A$5:$A$94,$B94,Levels!$B$5:$B$94,4)*(LEFT(I94,1)="4")-(SUMPRODUCT((Levels!$A$5:$A$94=$B94)*(Levels!$B$5:$B$94=1)*(COUNTIFS(Progress!$B$5:$B$3000,$A94,Progress!$G$5:$G$3000,Levels!$G$5:$G$94)&gt;0))*(LEFT(I94,1)="1")+SUMPRODUCT((Levels!$A$5:$A$94=$B94)*(Levels!$B$5:$B$94=2)*(COUNTIFS(Progress!$B$5:$B$3000,$A94,Progress!$G$5:$G$3000,Levels!$G$5:$G$94)&gt;0))*(LEFT(I94,1)="2")+SUMPRODUCT((Levels!$A$5:$A$94=$B94)*(Levels!$B$5:$B$94=3)*(COUNTIFS(Progress!$B$5:$B$3000,$A94,Progress!$G$5:$G$3000,Levels!$G$5:$G$94)&gt;0))*(LEFT(I94,1)="3")+SUMPRODUCT((Levels!$A$5:$A$94=$B94)*(Levels!$B$5:$B$94=4)*(COUNTIFS(Progress!$B$5:$B$3000,$A94,Progress!$G$5:$G$3000,Levels!$G$5:$G$94)&gt;0))*(LEFT(I94,1)="4")))</f>
        <v/>
      </c>
      <c r="K94" s="26" t="str">
        <f aca="false">IF($A94="","",IF(COUNTIFS(Progress!$B$5:$B$3000,$A94)=0,"",SUMPRODUCT(MAX((Progress!$B$5:$B$3000=$A94)*Progress!$A$5:$A$3000))))</f>
        <v/>
      </c>
      <c r="L94" s="22"/>
    </row>
    <row r="95" customFormat="false" ht="15" hidden="false" customHeight="false" outlineLevel="0" collapsed="false">
      <c r="A95" s="22"/>
      <c r="B95" s="22"/>
      <c r="C95" s="23"/>
      <c r="D95" s="22"/>
      <c r="E95" s="24" t="str">
        <f aca="false">IF(OR($A95="",$B95=""),"",SUMPRODUCT((Levels!$A$5:$A$94=$B95)*(Levels!$B$5:$B$94=1)*(COUNTIFS(Progress!$B$5:$B$3000,$A95,Progress!$G$5:$G$3000,Levels!$G$5:$G$94)&gt;0))&amp;" / "&amp;COUNTIFS(Levels!$A$5:$A$94,$B95,Levels!$B$5:$B$94,1))</f>
        <v/>
      </c>
      <c r="F95" s="24" t="str">
        <f aca="false">IF(OR($A95="",$B95=""),"",SUMPRODUCT((Levels!$A$5:$A$94=$B95)*(Levels!$B$5:$B$94=2)*(COUNTIFS(Progress!$B$5:$B$3000,$A95,Progress!$G$5:$G$3000,Levels!$G$5:$G$94)&gt;0))&amp;" / "&amp;COUNTIFS(Levels!$A$5:$A$94,$B95,Levels!$B$5:$B$94,2))</f>
        <v/>
      </c>
      <c r="G95" s="24" t="str">
        <f aca="false">IF(OR($A95="",$B95=""),"",SUMPRODUCT((Levels!$A$5:$A$94=$B95)*(Levels!$B$5:$B$94=3)*(COUNTIFS(Progress!$B$5:$B$3000,$A95,Progress!$G$5:$G$3000,Levels!$G$5:$G$94)&gt;0))&amp;" / "&amp;COUNTIFS(Levels!$A$5:$A$94,$B95,Levels!$B$5:$B$94,3))</f>
        <v/>
      </c>
      <c r="H95" s="24" t="str">
        <f aca="false">IF(OR($A95="",$B95=""),"",SUMPRODUCT((Levels!$A$5:$A$94=$B95)*(Levels!$B$5:$B$94=4)*(COUNTIFS(Progress!$B$5:$B$3000,$A95,Progress!$G$5:$G$3000,Levels!$G$5:$G$94)&gt;0))&amp;" / "&amp;COUNTIFS(Levels!$A$5:$A$94,$B95,Levels!$B$5:$B$94,4))</f>
        <v/>
      </c>
      <c r="I95" s="24" t="str">
        <f aca="false">IF(OR($A95="",$B95=""),"",IF(SUMPRODUCT((Levels!$A$5:$A$94=$B95)*(Levels!$B$5:$B$94=1)*(COUNTIFS(Progress!$B$5:$B$3000,$A95,Progress!$G$5:$G$3000,Levels!$G$5:$G$94)&gt;0))&lt;COUNTIFS(Levels!$A$5:$A$94,$B95,Levels!$B$5:$B$94,1),"1 Rookie",IF(SUMPRODUCT((Levels!$A$5:$A$94=$B95)*(Levels!$B$5:$B$94=2)*(COUNTIFS(Progress!$B$5:$B$3000,$A95,Progress!$G$5:$G$3000,Levels!$G$5:$G$94)&gt;0))&lt;COUNTIFS(Levels!$A$5:$A$94,$B95,Levels!$B$5:$B$94,2),"2 Contender",IF(SUMPRODUCT((Levels!$A$5:$A$94=$B95)*(Levels!$B$5:$B$94=3)*(COUNTIFS(Progress!$B$5:$B$3000,$A95,Progress!$G$5:$G$3000,Levels!$G$5:$G$94)&gt;0))&lt;COUNTIFS(Levels!$A$5:$A$94,$B95,Levels!$B$5:$B$94,3),"3 Challenger",IF(SUMPRODUCT((Levels!$A$5:$A$94=$B95)*(Levels!$B$5:$B$94=4)*(COUNTIFS(Progress!$B$5:$B$3000,$A95,Progress!$G$5:$G$3000,Levels!$G$5:$G$94)&gt;0))&lt;COUNTIFS(Levels!$A$5:$A$94,$B95,Levels!$B$5:$B$94,4),"4 Champion","All done")))))</f>
        <v/>
      </c>
      <c r="J95" s="25" t="str">
        <f aca="false">IF(OR(I95="",I95="All done"),"",COUNTIFS(Levels!$A$5:$A$94,$B95,Levels!$B$5:$B$94,1)*(LEFT(I95,1)="1")+COUNTIFS(Levels!$A$5:$A$94,$B95,Levels!$B$5:$B$94,2)*(LEFT(I95,1)="2")+COUNTIFS(Levels!$A$5:$A$94,$B95,Levels!$B$5:$B$94,3)*(LEFT(I95,1)="3")+COUNTIFS(Levels!$A$5:$A$94,$B95,Levels!$B$5:$B$94,4)*(LEFT(I95,1)="4")-(SUMPRODUCT((Levels!$A$5:$A$94=$B95)*(Levels!$B$5:$B$94=1)*(COUNTIFS(Progress!$B$5:$B$3000,$A95,Progress!$G$5:$G$3000,Levels!$G$5:$G$94)&gt;0))*(LEFT(I95,1)="1")+SUMPRODUCT((Levels!$A$5:$A$94=$B95)*(Levels!$B$5:$B$94=2)*(COUNTIFS(Progress!$B$5:$B$3000,$A95,Progress!$G$5:$G$3000,Levels!$G$5:$G$94)&gt;0))*(LEFT(I95,1)="2")+SUMPRODUCT((Levels!$A$5:$A$94=$B95)*(Levels!$B$5:$B$94=3)*(COUNTIFS(Progress!$B$5:$B$3000,$A95,Progress!$G$5:$G$3000,Levels!$G$5:$G$94)&gt;0))*(LEFT(I95,1)="3")+SUMPRODUCT((Levels!$A$5:$A$94=$B95)*(Levels!$B$5:$B$94=4)*(COUNTIFS(Progress!$B$5:$B$3000,$A95,Progress!$G$5:$G$3000,Levels!$G$5:$G$94)&gt;0))*(LEFT(I95,1)="4")))</f>
        <v/>
      </c>
      <c r="K95" s="26" t="str">
        <f aca="false">IF($A95="","",IF(COUNTIFS(Progress!$B$5:$B$3000,$A95)=0,"",SUMPRODUCT(MAX((Progress!$B$5:$B$3000=$A95)*Progress!$A$5:$A$3000))))</f>
        <v/>
      </c>
      <c r="L95" s="22"/>
    </row>
    <row r="96" customFormat="false" ht="15" hidden="false" customHeight="false" outlineLevel="0" collapsed="false">
      <c r="A96" s="22"/>
      <c r="B96" s="22"/>
      <c r="C96" s="23"/>
      <c r="D96" s="22"/>
      <c r="E96" s="24" t="str">
        <f aca="false">IF(OR($A96="",$B96=""),"",SUMPRODUCT((Levels!$A$5:$A$94=$B96)*(Levels!$B$5:$B$94=1)*(COUNTIFS(Progress!$B$5:$B$3000,$A96,Progress!$G$5:$G$3000,Levels!$G$5:$G$94)&gt;0))&amp;" / "&amp;COUNTIFS(Levels!$A$5:$A$94,$B96,Levels!$B$5:$B$94,1))</f>
        <v/>
      </c>
      <c r="F96" s="24" t="str">
        <f aca="false">IF(OR($A96="",$B96=""),"",SUMPRODUCT((Levels!$A$5:$A$94=$B96)*(Levels!$B$5:$B$94=2)*(COUNTIFS(Progress!$B$5:$B$3000,$A96,Progress!$G$5:$G$3000,Levels!$G$5:$G$94)&gt;0))&amp;" / "&amp;COUNTIFS(Levels!$A$5:$A$94,$B96,Levels!$B$5:$B$94,2))</f>
        <v/>
      </c>
      <c r="G96" s="24" t="str">
        <f aca="false">IF(OR($A96="",$B96=""),"",SUMPRODUCT((Levels!$A$5:$A$94=$B96)*(Levels!$B$5:$B$94=3)*(COUNTIFS(Progress!$B$5:$B$3000,$A96,Progress!$G$5:$G$3000,Levels!$G$5:$G$94)&gt;0))&amp;" / "&amp;COUNTIFS(Levels!$A$5:$A$94,$B96,Levels!$B$5:$B$94,3))</f>
        <v/>
      </c>
      <c r="H96" s="24" t="str">
        <f aca="false">IF(OR($A96="",$B96=""),"",SUMPRODUCT((Levels!$A$5:$A$94=$B96)*(Levels!$B$5:$B$94=4)*(COUNTIFS(Progress!$B$5:$B$3000,$A96,Progress!$G$5:$G$3000,Levels!$G$5:$G$94)&gt;0))&amp;" / "&amp;COUNTIFS(Levels!$A$5:$A$94,$B96,Levels!$B$5:$B$94,4))</f>
        <v/>
      </c>
      <c r="I96" s="24" t="str">
        <f aca="false">IF(OR($A96="",$B96=""),"",IF(SUMPRODUCT((Levels!$A$5:$A$94=$B96)*(Levels!$B$5:$B$94=1)*(COUNTIFS(Progress!$B$5:$B$3000,$A96,Progress!$G$5:$G$3000,Levels!$G$5:$G$94)&gt;0))&lt;COUNTIFS(Levels!$A$5:$A$94,$B96,Levels!$B$5:$B$94,1),"1 Rookie",IF(SUMPRODUCT((Levels!$A$5:$A$94=$B96)*(Levels!$B$5:$B$94=2)*(COUNTIFS(Progress!$B$5:$B$3000,$A96,Progress!$G$5:$G$3000,Levels!$G$5:$G$94)&gt;0))&lt;COUNTIFS(Levels!$A$5:$A$94,$B96,Levels!$B$5:$B$94,2),"2 Contender",IF(SUMPRODUCT((Levels!$A$5:$A$94=$B96)*(Levels!$B$5:$B$94=3)*(COUNTIFS(Progress!$B$5:$B$3000,$A96,Progress!$G$5:$G$3000,Levels!$G$5:$G$94)&gt;0))&lt;COUNTIFS(Levels!$A$5:$A$94,$B96,Levels!$B$5:$B$94,3),"3 Challenger",IF(SUMPRODUCT((Levels!$A$5:$A$94=$B96)*(Levels!$B$5:$B$94=4)*(COUNTIFS(Progress!$B$5:$B$3000,$A96,Progress!$G$5:$G$3000,Levels!$G$5:$G$94)&gt;0))&lt;COUNTIFS(Levels!$A$5:$A$94,$B96,Levels!$B$5:$B$94,4),"4 Champion","All done")))))</f>
        <v/>
      </c>
      <c r="J96" s="25" t="str">
        <f aca="false">IF(OR(I96="",I96="All done"),"",COUNTIFS(Levels!$A$5:$A$94,$B96,Levels!$B$5:$B$94,1)*(LEFT(I96,1)="1")+COUNTIFS(Levels!$A$5:$A$94,$B96,Levels!$B$5:$B$94,2)*(LEFT(I96,1)="2")+COUNTIFS(Levels!$A$5:$A$94,$B96,Levels!$B$5:$B$94,3)*(LEFT(I96,1)="3")+COUNTIFS(Levels!$A$5:$A$94,$B96,Levels!$B$5:$B$94,4)*(LEFT(I96,1)="4")-(SUMPRODUCT((Levels!$A$5:$A$94=$B96)*(Levels!$B$5:$B$94=1)*(COUNTIFS(Progress!$B$5:$B$3000,$A96,Progress!$G$5:$G$3000,Levels!$G$5:$G$94)&gt;0))*(LEFT(I96,1)="1")+SUMPRODUCT((Levels!$A$5:$A$94=$B96)*(Levels!$B$5:$B$94=2)*(COUNTIFS(Progress!$B$5:$B$3000,$A96,Progress!$G$5:$G$3000,Levels!$G$5:$G$94)&gt;0))*(LEFT(I96,1)="2")+SUMPRODUCT((Levels!$A$5:$A$94=$B96)*(Levels!$B$5:$B$94=3)*(COUNTIFS(Progress!$B$5:$B$3000,$A96,Progress!$G$5:$G$3000,Levels!$G$5:$G$94)&gt;0))*(LEFT(I96,1)="3")+SUMPRODUCT((Levels!$A$5:$A$94=$B96)*(Levels!$B$5:$B$94=4)*(COUNTIFS(Progress!$B$5:$B$3000,$A96,Progress!$G$5:$G$3000,Levels!$G$5:$G$94)&gt;0))*(LEFT(I96,1)="4")))</f>
        <v/>
      </c>
      <c r="K96" s="26" t="str">
        <f aca="false">IF($A96="","",IF(COUNTIFS(Progress!$B$5:$B$3000,$A96)=0,"",SUMPRODUCT(MAX((Progress!$B$5:$B$3000=$A96)*Progress!$A$5:$A$3000))))</f>
        <v/>
      </c>
      <c r="L96" s="22"/>
    </row>
    <row r="97" customFormat="false" ht="15" hidden="false" customHeight="false" outlineLevel="0" collapsed="false">
      <c r="A97" s="22"/>
      <c r="B97" s="22"/>
      <c r="C97" s="23"/>
      <c r="D97" s="22"/>
      <c r="E97" s="24" t="str">
        <f aca="false">IF(OR($A97="",$B97=""),"",SUMPRODUCT((Levels!$A$5:$A$94=$B97)*(Levels!$B$5:$B$94=1)*(COUNTIFS(Progress!$B$5:$B$3000,$A97,Progress!$G$5:$G$3000,Levels!$G$5:$G$94)&gt;0))&amp;" / "&amp;COUNTIFS(Levels!$A$5:$A$94,$B97,Levels!$B$5:$B$94,1))</f>
        <v/>
      </c>
      <c r="F97" s="24" t="str">
        <f aca="false">IF(OR($A97="",$B97=""),"",SUMPRODUCT((Levels!$A$5:$A$94=$B97)*(Levels!$B$5:$B$94=2)*(COUNTIFS(Progress!$B$5:$B$3000,$A97,Progress!$G$5:$G$3000,Levels!$G$5:$G$94)&gt;0))&amp;" / "&amp;COUNTIFS(Levels!$A$5:$A$94,$B97,Levels!$B$5:$B$94,2))</f>
        <v/>
      </c>
      <c r="G97" s="24" t="str">
        <f aca="false">IF(OR($A97="",$B97=""),"",SUMPRODUCT((Levels!$A$5:$A$94=$B97)*(Levels!$B$5:$B$94=3)*(COUNTIFS(Progress!$B$5:$B$3000,$A97,Progress!$G$5:$G$3000,Levels!$G$5:$G$94)&gt;0))&amp;" / "&amp;COUNTIFS(Levels!$A$5:$A$94,$B97,Levels!$B$5:$B$94,3))</f>
        <v/>
      </c>
      <c r="H97" s="24" t="str">
        <f aca="false">IF(OR($A97="",$B97=""),"",SUMPRODUCT((Levels!$A$5:$A$94=$B97)*(Levels!$B$5:$B$94=4)*(COUNTIFS(Progress!$B$5:$B$3000,$A97,Progress!$G$5:$G$3000,Levels!$G$5:$G$94)&gt;0))&amp;" / "&amp;COUNTIFS(Levels!$A$5:$A$94,$B97,Levels!$B$5:$B$94,4))</f>
        <v/>
      </c>
      <c r="I97" s="24" t="str">
        <f aca="false">IF(OR($A97="",$B97=""),"",IF(SUMPRODUCT((Levels!$A$5:$A$94=$B97)*(Levels!$B$5:$B$94=1)*(COUNTIFS(Progress!$B$5:$B$3000,$A97,Progress!$G$5:$G$3000,Levels!$G$5:$G$94)&gt;0))&lt;COUNTIFS(Levels!$A$5:$A$94,$B97,Levels!$B$5:$B$94,1),"1 Rookie",IF(SUMPRODUCT((Levels!$A$5:$A$94=$B97)*(Levels!$B$5:$B$94=2)*(COUNTIFS(Progress!$B$5:$B$3000,$A97,Progress!$G$5:$G$3000,Levels!$G$5:$G$94)&gt;0))&lt;COUNTIFS(Levels!$A$5:$A$94,$B97,Levels!$B$5:$B$94,2),"2 Contender",IF(SUMPRODUCT((Levels!$A$5:$A$94=$B97)*(Levels!$B$5:$B$94=3)*(COUNTIFS(Progress!$B$5:$B$3000,$A97,Progress!$G$5:$G$3000,Levels!$G$5:$G$94)&gt;0))&lt;COUNTIFS(Levels!$A$5:$A$94,$B97,Levels!$B$5:$B$94,3),"3 Challenger",IF(SUMPRODUCT((Levels!$A$5:$A$94=$B97)*(Levels!$B$5:$B$94=4)*(COUNTIFS(Progress!$B$5:$B$3000,$A97,Progress!$G$5:$G$3000,Levels!$G$5:$G$94)&gt;0))&lt;COUNTIFS(Levels!$A$5:$A$94,$B97,Levels!$B$5:$B$94,4),"4 Champion","All done")))))</f>
        <v/>
      </c>
      <c r="J97" s="25" t="str">
        <f aca="false">IF(OR(I97="",I97="All done"),"",COUNTIFS(Levels!$A$5:$A$94,$B97,Levels!$B$5:$B$94,1)*(LEFT(I97,1)="1")+COUNTIFS(Levels!$A$5:$A$94,$B97,Levels!$B$5:$B$94,2)*(LEFT(I97,1)="2")+COUNTIFS(Levels!$A$5:$A$94,$B97,Levels!$B$5:$B$94,3)*(LEFT(I97,1)="3")+COUNTIFS(Levels!$A$5:$A$94,$B97,Levels!$B$5:$B$94,4)*(LEFT(I97,1)="4")-(SUMPRODUCT((Levels!$A$5:$A$94=$B97)*(Levels!$B$5:$B$94=1)*(COUNTIFS(Progress!$B$5:$B$3000,$A97,Progress!$G$5:$G$3000,Levels!$G$5:$G$94)&gt;0))*(LEFT(I97,1)="1")+SUMPRODUCT((Levels!$A$5:$A$94=$B97)*(Levels!$B$5:$B$94=2)*(COUNTIFS(Progress!$B$5:$B$3000,$A97,Progress!$G$5:$G$3000,Levels!$G$5:$G$94)&gt;0))*(LEFT(I97,1)="2")+SUMPRODUCT((Levels!$A$5:$A$94=$B97)*(Levels!$B$5:$B$94=3)*(COUNTIFS(Progress!$B$5:$B$3000,$A97,Progress!$G$5:$G$3000,Levels!$G$5:$G$94)&gt;0))*(LEFT(I97,1)="3")+SUMPRODUCT((Levels!$A$5:$A$94=$B97)*(Levels!$B$5:$B$94=4)*(COUNTIFS(Progress!$B$5:$B$3000,$A97,Progress!$G$5:$G$3000,Levels!$G$5:$G$94)&gt;0))*(LEFT(I97,1)="4")))</f>
        <v/>
      </c>
      <c r="K97" s="26" t="str">
        <f aca="false">IF($A97="","",IF(COUNTIFS(Progress!$B$5:$B$3000,$A97)=0,"",SUMPRODUCT(MAX((Progress!$B$5:$B$3000=$A97)*Progress!$A$5:$A$3000))))</f>
        <v/>
      </c>
      <c r="L97" s="22"/>
    </row>
    <row r="98" customFormat="false" ht="15" hidden="false" customHeight="false" outlineLevel="0" collapsed="false">
      <c r="A98" s="22"/>
      <c r="B98" s="22"/>
      <c r="C98" s="23"/>
      <c r="D98" s="22"/>
      <c r="E98" s="24" t="str">
        <f aca="false">IF(OR($A98="",$B98=""),"",SUMPRODUCT((Levels!$A$5:$A$94=$B98)*(Levels!$B$5:$B$94=1)*(COUNTIFS(Progress!$B$5:$B$3000,$A98,Progress!$G$5:$G$3000,Levels!$G$5:$G$94)&gt;0))&amp;" / "&amp;COUNTIFS(Levels!$A$5:$A$94,$B98,Levels!$B$5:$B$94,1))</f>
        <v/>
      </c>
      <c r="F98" s="24" t="str">
        <f aca="false">IF(OR($A98="",$B98=""),"",SUMPRODUCT((Levels!$A$5:$A$94=$B98)*(Levels!$B$5:$B$94=2)*(COUNTIFS(Progress!$B$5:$B$3000,$A98,Progress!$G$5:$G$3000,Levels!$G$5:$G$94)&gt;0))&amp;" / "&amp;COUNTIFS(Levels!$A$5:$A$94,$B98,Levels!$B$5:$B$94,2))</f>
        <v/>
      </c>
      <c r="G98" s="24" t="str">
        <f aca="false">IF(OR($A98="",$B98=""),"",SUMPRODUCT((Levels!$A$5:$A$94=$B98)*(Levels!$B$5:$B$94=3)*(COUNTIFS(Progress!$B$5:$B$3000,$A98,Progress!$G$5:$G$3000,Levels!$G$5:$G$94)&gt;0))&amp;" / "&amp;COUNTIFS(Levels!$A$5:$A$94,$B98,Levels!$B$5:$B$94,3))</f>
        <v/>
      </c>
      <c r="H98" s="24" t="str">
        <f aca="false">IF(OR($A98="",$B98=""),"",SUMPRODUCT((Levels!$A$5:$A$94=$B98)*(Levels!$B$5:$B$94=4)*(COUNTIFS(Progress!$B$5:$B$3000,$A98,Progress!$G$5:$G$3000,Levels!$G$5:$G$94)&gt;0))&amp;" / "&amp;COUNTIFS(Levels!$A$5:$A$94,$B98,Levels!$B$5:$B$94,4))</f>
        <v/>
      </c>
      <c r="I98" s="24" t="str">
        <f aca="false">IF(OR($A98="",$B98=""),"",IF(SUMPRODUCT((Levels!$A$5:$A$94=$B98)*(Levels!$B$5:$B$94=1)*(COUNTIFS(Progress!$B$5:$B$3000,$A98,Progress!$G$5:$G$3000,Levels!$G$5:$G$94)&gt;0))&lt;COUNTIFS(Levels!$A$5:$A$94,$B98,Levels!$B$5:$B$94,1),"1 Rookie",IF(SUMPRODUCT((Levels!$A$5:$A$94=$B98)*(Levels!$B$5:$B$94=2)*(COUNTIFS(Progress!$B$5:$B$3000,$A98,Progress!$G$5:$G$3000,Levels!$G$5:$G$94)&gt;0))&lt;COUNTIFS(Levels!$A$5:$A$94,$B98,Levels!$B$5:$B$94,2),"2 Contender",IF(SUMPRODUCT((Levels!$A$5:$A$94=$B98)*(Levels!$B$5:$B$94=3)*(COUNTIFS(Progress!$B$5:$B$3000,$A98,Progress!$G$5:$G$3000,Levels!$G$5:$G$94)&gt;0))&lt;COUNTIFS(Levels!$A$5:$A$94,$B98,Levels!$B$5:$B$94,3),"3 Challenger",IF(SUMPRODUCT((Levels!$A$5:$A$94=$B98)*(Levels!$B$5:$B$94=4)*(COUNTIFS(Progress!$B$5:$B$3000,$A98,Progress!$G$5:$G$3000,Levels!$G$5:$G$94)&gt;0))&lt;COUNTIFS(Levels!$A$5:$A$94,$B98,Levels!$B$5:$B$94,4),"4 Champion","All done")))))</f>
        <v/>
      </c>
      <c r="J98" s="25" t="str">
        <f aca="false">IF(OR(I98="",I98="All done"),"",COUNTIFS(Levels!$A$5:$A$94,$B98,Levels!$B$5:$B$94,1)*(LEFT(I98,1)="1")+COUNTIFS(Levels!$A$5:$A$94,$B98,Levels!$B$5:$B$94,2)*(LEFT(I98,1)="2")+COUNTIFS(Levels!$A$5:$A$94,$B98,Levels!$B$5:$B$94,3)*(LEFT(I98,1)="3")+COUNTIFS(Levels!$A$5:$A$94,$B98,Levels!$B$5:$B$94,4)*(LEFT(I98,1)="4")-(SUMPRODUCT((Levels!$A$5:$A$94=$B98)*(Levels!$B$5:$B$94=1)*(COUNTIFS(Progress!$B$5:$B$3000,$A98,Progress!$G$5:$G$3000,Levels!$G$5:$G$94)&gt;0))*(LEFT(I98,1)="1")+SUMPRODUCT((Levels!$A$5:$A$94=$B98)*(Levels!$B$5:$B$94=2)*(COUNTIFS(Progress!$B$5:$B$3000,$A98,Progress!$G$5:$G$3000,Levels!$G$5:$G$94)&gt;0))*(LEFT(I98,1)="2")+SUMPRODUCT((Levels!$A$5:$A$94=$B98)*(Levels!$B$5:$B$94=3)*(COUNTIFS(Progress!$B$5:$B$3000,$A98,Progress!$G$5:$G$3000,Levels!$G$5:$G$94)&gt;0))*(LEFT(I98,1)="3")+SUMPRODUCT((Levels!$A$5:$A$94=$B98)*(Levels!$B$5:$B$94=4)*(COUNTIFS(Progress!$B$5:$B$3000,$A98,Progress!$G$5:$G$3000,Levels!$G$5:$G$94)&gt;0))*(LEFT(I98,1)="4")))</f>
        <v/>
      </c>
      <c r="K98" s="26" t="str">
        <f aca="false">IF($A98="","",IF(COUNTIFS(Progress!$B$5:$B$3000,$A98)=0,"",SUMPRODUCT(MAX((Progress!$B$5:$B$3000=$A98)*Progress!$A$5:$A$3000))))</f>
        <v/>
      </c>
      <c r="L98" s="22"/>
    </row>
    <row r="99" customFormat="false" ht="15" hidden="false" customHeight="false" outlineLevel="0" collapsed="false">
      <c r="A99" s="22"/>
      <c r="B99" s="22"/>
      <c r="C99" s="23"/>
      <c r="D99" s="22"/>
      <c r="E99" s="24" t="str">
        <f aca="false">IF(OR($A99="",$B99=""),"",SUMPRODUCT((Levels!$A$5:$A$94=$B99)*(Levels!$B$5:$B$94=1)*(COUNTIFS(Progress!$B$5:$B$3000,$A99,Progress!$G$5:$G$3000,Levels!$G$5:$G$94)&gt;0))&amp;" / "&amp;COUNTIFS(Levels!$A$5:$A$94,$B99,Levels!$B$5:$B$94,1))</f>
        <v/>
      </c>
      <c r="F99" s="24" t="str">
        <f aca="false">IF(OR($A99="",$B99=""),"",SUMPRODUCT((Levels!$A$5:$A$94=$B99)*(Levels!$B$5:$B$94=2)*(COUNTIFS(Progress!$B$5:$B$3000,$A99,Progress!$G$5:$G$3000,Levels!$G$5:$G$94)&gt;0))&amp;" / "&amp;COUNTIFS(Levels!$A$5:$A$94,$B99,Levels!$B$5:$B$94,2))</f>
        <v/>
      </c>
      <c r="G99" s="24" t="str">
        <f aca="false">IF(OR($A99="",$B99=""),"",SUMPRODUCT((Levels!$A$5:$A$94=$B99)*(Levels!$B$5:$B$94=3)*(COUNTIFS(Progress!$B$5:$B$3000,$A99,Progress!$G$5:$G$3000,Levels!$G$5:$G$94)&gt;0))&amp;" / "&amp;COUNTIFS(Levels!$A$5:$A$94,$B99,Levels!$B$5:$B$94,3))</f>
        <v/>
      </c>
      <c r="H99" s="24" t="str">
        <f aca="false">IF(OR($A99="",$B99=""),"",SUMPRODUCT((Levels!$A$5:$A$94=$B99)*(Levels!$B$5:$B$94=4)*(COUNTIFS(Progress!$B$5:$B$3000,$A99,Progress!$G$5:$G$3000,Levels!$G$5:$G$94)&gt;0))&amp;" / "&amp;COUNTIFS(Levels!$A$5:$A$94,$B99,Levels!$B$5:$B$94,4))</f>
        <v/>
      </c>
      <c r="I99" s="24" t="str">
        <f aca="false">IF(OR($A99="",$B99=""),"",IF(SUMPRODUCT((Levels!$A$5:$A$94=$B99)*(Levels!$B$5:$B$94=1)*(COUNTIFS(Progress!$B$5:$B$3000,$A99,Progress!$G$5:$G$3000,Levels!$G$5:$G$94)&gt;0))&lt;COUNTIFS(Levels!$A$5:$A$94,$B99,Levels!$B$5:$B$94,1),"1 Rookie",IF(SUMPRODUCT((Levels!$A$5:$A$94=$B99)*(Levels!$B$5:$B$94=2)*(COUNTIFS(Progress!$B$5:$B$3000,$A99,Progress!$G$5:$G$3000,Levels!$G$5:$G$94)&gt;0))&lt;COUNTIFS(Levels!$A$5:$A$94,$B99,Levels!$B$5:$B$94,2),"2 Contender",IF(SUMPRODUCT((Levels!$A$5:$A$94=$B99)*(Levels!$B$5:$B$94=3)*(COUNTIFS(Progress!$B$5:$B$3000,$A99,Progress!$G$5:$G$3000,Levels!$G$5:$G$94)&gt;0))&lt;COUNTIFS(Levels!$A$5:$A$94,$B99,Levels!$B$5:$B$94,3),"3 Challenger",IF(SUMPRODUCT((Levels!$A$5:$A$94=$B99)*(Levels!$B$5:$B$94=4)*(COUNTIFS(Progress!$B$5:$B$3000,$A99,Progress!$G$5:$G$3000,Levels!$G$5:$G$94)&gt;0))&lt;COUNTIFS(Levels!$A$5:$A$94,$B99,Levels!$B$5:$B$94,4),"4 Champion","All done")))))</f>
        <v/>
      </c>
      <c r="J99" s="25" t="str">
        <f aca="false">IF(OR(I99="",I99="All done"),"",COUNTIFS(Levels!$A$5:$A$94,$B99,Levels!$B$5:$B$94,1)*(LEFT(I99,1)="1")+COUNTIFS(Levels!$A$5:$A$94,$B99,Levels!$B$5:$B$94,2)*(LEFT(I99,1)="2")+COUNTIFS(Levels!$A$5:$A$94,$B99,Levels!$B$5:$B$94,3)*(LEFT(I99,1)="3")+COUNTIFS(Levels!$A$5:$A$94,$B99,Levels!$B$5:$B$94,4)*(LEFT(I99,1)="4")-(SUMPRODUCT((Levels!$A$5:$A$94=$B99)*(Levels!$B$5:$B$94=1)*(COUNTIFS(Progress!$B$5:$B$3000,$A99,Progress!$G$5:$G$3000,Levels!$G$5:$G$94)&gt;0))*(LEFT(I99,1)="1")+SUMPRODUCT((Levels!$A$5:$A$94=$B99)*(Levels!$B$5:$B$94=2)*(COUNTIFS(Progress!$B$5:$B$3000,$A99,Progress!$G$5:$G$3000,Levels!$G$5:$G$94)&gt;0))*(LEFT(I99,1)="2")+SUMPRODUCT((Levels!$A$5:$A$94=$B99)*(Levels!$B$5:$B$94=3)*(COUNTIFS(Progress!$B$5:$B$3000,$A99,Progress!$G$5:$G$3000,Levels!$G$5:$G$94)&gt;0))*(LEFT(I99,1)="3")+SUMPRODUCT((Levels!$A$5:$A$94=$B99)*(Levels!$B$5:$B$94=4)*(COUNTIFS(Progress!$B$5:$B$3000,$A99,Progress!$G$5:$G$3000,Levels!$G$5:$G$94)&gt;0))*(LEFT(I99,1)="4")))</f>
        <v/>
      </c>
      <c r="K99" s="26" t="str">
        <f aca="false">IF($A99="","",IF(COUNTIFS(Progress!$B$5:$B$3000,$A99)=0,"",SUMPRODUCT(MAX((Progress!$B$5:$B$3000=$A99)*Progress!$A$5:$A$3000))))</f>
        <v/>
      </c>
      <c r="L99" s="22"/>
    </row>
    <row r="100" customFormat="false" ht="15" hidden="false" customHeight="false" outlineLevel="0" collapsed="false">
      <c r="A100" s="22"/>
      <c r="B100" s="22"/>
      <c r="C100" s="23"/>
      <c r="D100" s="22"/>
      <c r="E100" s="24" t="str">
        <f aca="false">IF(OR($A100="",$B100=""),"",SUMPRODUCT((Levels!$A$5:$A$94=$B100)*(Levels!$B$5:$B$94=1)*(COUNTIFS(Progress!$B$5:$B$3000,$A100,Progress!$G$5:$G$3000,Levels!$G$5:$G$94)&gt;0))&amp;" / "&amp;COUNTIFS(Levels!$A$5:$A$94,$B100,Levels!$B$5:$B$94,1))</f>
        <v/>
      </c>
      <c r="F100" s="24" t="str">
        <f aca="false">IF(OR($A100="",$B100=""),"",SUMPRODUCT((Levels!$A$5:$A$94=$B100)*(Levels!$B$5:$B$94=2)*(COUNTIFS(Progress!$B$5:$B$3000,$A100,Progress!$G$5:$G$3000,Levels!$G$5:$G$94)&gt;0))&amp;" / "&amp;COUNTIFS(Levels!$A$5:$A$94,$B100,Levels!$B$5:$B$94,2))</f>
        <v/>
      </c>
      <c r="G100" s="24" t="str">
        <f aca="false">IF(OR($A100="",$B100=""),"",SUMPRODUCT((Levels!$A$5:$A$94=$B100)*(Levels!$B$5:$B$94=3)*(COUNTIFS(Progress!$B$5:$B$3000,$A100,Progress!$G$5:$G$3000,Levels!$G$5:$G$94)&gt;0))&amp;" / "&amp;COUNTIFS(Levels!$A$5:$A$94,$B100,Levels!$B$5:$B$94,3))</f>
        <v/>
      </c>
      <c r="H100" s="24" t="str">
        <f aca="false">IF(OR($A100="",$B100=""),"",SUMPRODUCT((Levels!$A$5:$A$94=$B100)*(Levels!$B$5:$B$94=4)*(COUNTIFS(Progress!$B$5:$B$3000,$A100,Progress!$G$5:$G$3000,Levels!$G$5:$G$94)&gt;0))&amp;" / "&amp;COUNTIFS(Levels!$A$5:$A$94,$B100,Levels!$B$5:$B$94,4))</f>
        <v/>
      </c>
      <c r="I100" s="24" t="str">
        <f aca="false">IF(OR($A100="",$B100=""),"",IF(SUMPRODUCT((Levels!$A$5:$A$94=$B100)*(Levels!$B$5:$B$94=1)*(COUNTIFS(Progress!$B$5:$B$3000,$A100,Progress!$G$5:$G$3000,Levels!$G$5:$G$94)&gt;0))&lt;COUNTIFS(Levels!$A$5:$A$94,$B100,Levels!$B$5:$B$94,1),"1 Rookie",IF(SUMPRODUCT((Levels!$A$5:$A$94=$B100)*(Levels!$B$5:$B$94=2)*(COUNTIFS(Progress!$B$5:$B$3000,$A100,Progress!$G$5:$G$3000,Levels!$G$5:$G$94)&gt;0))&lt;COUNTIFS(Levels!$A$5:$A$94,$B100,Levels!$B$5:$B$94,2),"2 Contender",IF(SUMPRODUCT((Levels!$A$5:$A$94=$B100)*(Levels!$B$5:$B$94=3)*(COUNTIFS(Progress!$B$5:$B$3000,$A100,Progress!$G$5:$G$3000,Levels!$G$5:$G$94)&gt;0))&lt;COUNTIFS(Levels!$A$5:$A$94,$B100,Levels!$B$5:$B$94,3),"3 Challenger",IF(SUMPRODUCT((Levels!$A$5:$A$94=$B100)*(Levels!$B$5:$B$94=4)*(COUNTIFS(Progress!$B$5:$B$3000,$A100,Progress!$G$5:$G$3000,Levels!$G$5:$G$94)&gt;0))&lt;COUNTIFS(Levels!$A$5:$A$94,$B100,Levels!$B$5:$B$94,4),"4 Champion","All done")))))</f>
        <v/>
      </c>
      <c r="J100" s="25" t="str">
        <f aca="false">IF(OR(I100="",I100="All done"),"",COUNTIFS(Levels!$A$5:$A$94,$B100,Levels!$B$5:$B$94,1)*(LEFT(I100,1)="1")+COUNTIFS(Levels!$A$5:$A$94,$B100,Levels!$B$5:$B$94,2)*(LEFT(I100,1)="2")+COUNTIFS(Levels!$A$5:$A$94,$B100,Levels!$B$5:$B$94,3)*(LEFT(I100,1)="3")+COUNTIFS(Levels!$A$5:$A$94,$B100,Levels!$B$5:$B$94,4)*(LEFT(I100,1)="4")-(SUMPRODUCT((Levels!$A$5:$A$94=$B100)*(Levels!$B$5:$B$94=1)*(COUNTIFS(Progress!$B$5:$B$3000,$A100,Progress!$G$5:$G$3000,Levels!$G$5:$G$94)&gt;0))*(LEFT(I100,1)="1")+SUMPRODUCT((Levels!$A$5:$A$94=$B100)*(Levels!$B$5:$B$94=2)*(COUNTIFS(Progress!$B$5:$B$3000,$A100,Progress!$G$5:$G$3000,Levels!$G$5:$G$94)&gt;0))*(LEFT(I100,1)="2")+SUMPRODUCT((Levels!$A$5:$A$94=$B100)*(Levels!$B$5:$B$94=3)*(COUNTIFS(Progress!$B$5:$B$3000,$A100,Progress!$G$5:$G$3000,Levels!$G$5:$G$94)&gt;0))*(LEFT(I100,1)="3")+SUMPRODUCT((Levels!$A$5:$A$94=$B100)*(Levels!$B$5:$B$94=4)*(COUNTIFS(Progress!$B$5:$B$3000,$A100,Progress!$G$5:$G$3000,Levels!$G$5:$G$94)&gt;0))*(LEFT(I100,1)="4")))</f>
        <v/>
      </c>
      <c r="K100" s="26" t="str">
        <f aca="false">IF($A100="","",IF(COUNTIFS(Progress!$B$5:$B$3000,$A100)=0,"",SUMPRODUCT(MAX((Progress!$B$5:$B$3000=$A100)*Progress!$A$5:$A$3000))))</f>
        <v/>
      </c>
      <c r="L100" s="22"/>
    </row>
    <row r="101" customFormat="false" ht="15" hidden="false" customHeight="false" outlineLevel="0" collapsed="false">
      <c r="A101" s="22"/>
      <c r="B101" s="22"/>
      <c r="C101" s="23"/>
      <c r="D101" s="22"/>
      <c r="E101" s="24" t="str">
        <f aca="false">IF(OR($A101="",$B101=""),"",SUMPRODUCT((Levels!$A$5:$A$94=$B101)*(Levels!$B$5:$B$94=1)*(COUNTIFS(Progress!$B$5:$B$3000,$A101,Progress!$G$5:$G$3000,Levels!$G$5:$G$94)&gt;0))&amp;" / "&amp;COUNTIFS(Levels!$A$5:$A$94,$B101,Levels!$B$5:$B$94,1))</f>
        <v/>
      </c>
      <c r="F101" s="24" t="str">
        <f aca="false">IF(OR($A101="",$B101=""),"",SUMPRODUCT((Levels!$A$5:$A$94=$B101)*(Levels!$B$5:$B$94=2)*(COUNTIFS(Progress!$B$5:$B$3000,$A101,Progress!$G$5:$G$3000,Levels!$G$5:$G$94)&gt;0))&amp;" / "&amp;COUNTIFS(Levels!$A$5:$A$94,$B101,Levels!$B$5:$B$94,2))</f>
        <v/>
      </c>
      <c r="G101" s="24" t="str">
        <f aca="false">IF(OR($A101="",$B101=""),"",SUMPRODUCT((Levels!$A$5:$A$94=$B101)*(Levels!$B$5:$B$94=3)*(COUNTIFS(Progress!$B$5:$B$3000,$A101,Progress!$G$5:$G$3000,Levels!$G$5:$G$94)&gt;0))&amp;" / "&amp;COUNTIFS(Levels!$A$5:$A$94,$B101,Levels!$B$5:$B$94,3))</f>
        <v/>
      </c>
      <c r="H101" s="24" t="str">
        <f aca="false">IF(OR($A101="",$B101=""),"",SUMPRODUCT((Levels!$A$5:$A$94=$B101)*(Levels!$B$5:$B$94=4)*(COUNTIFS(Progress!$B$5:$B$3000,$A101,Progress!$G$5:$G$3000,Levels!$G$5:$G$94)&gt;0))&amp;" / "&amp;COUNTIFS(Levels!$A$5:$A$94,$B101,Levels!$B$5:$B$94,4))</f>
        <v/>
      </c>
      <c r="I101" s="24" t="str">
        <f aca="false">IF(OR($A101="",$B101=""),"",IF(SUMPRODUCT((Levels!$A$5:$A$94=$B101)*(Levels!$B$5:$B$94=1)*(COUNTIFS(Progress!$B$5:$B$3000,$A101,Progress!$G$5:$G$3000,Levels!$G$5:$G$94)&gt;0))&lt;COUNTIFS(Levels!$A$5:$A$94,$B101,Levels!$B$5:$B$94,1),"1 Rookie",IF(SUMPRODUCT((Levels!$A$5:$A$94=$B101)*(Levels!$B$5:$B$94=2)*(COUNTIFS(Progress!$B$5:$B$3000,$A101,Progress!$G$5:$G$3000,Levels!$G$5:$G$94)&gt;0))&lt;COUNTIFS(Levels!$A$5:$A$94,$B101,Levels!$B$5:$B$94,2),"2 Contender",IF(SUMPRODUCT((Levels!$A$5:$A$94=$B101)*(Levels!$B$5:$B$94=3)*(COUNTIFS(Progress!$B$5:$B$3000,$A101,Progress!$G$5:$G$3000,Levels!$G$5:$G$94)&gt;0))&lt;COUNTIFS(Levels!$A$5:$A$94,$B101,Levels!$B$5:$B$94,3),"3 Challenger",IF(SUMPRODUCT((Levels!$A$5:$A$94=$B101)*(Levels!$B$5:$B$94=4)*(COUNTIFS(Progress!$B$5:$B$3000,$A101,Progress!$G$5:$G$3000,Levels!$G$5:$G$94)&gt;0))&lt;COUNTIFS(Levels!$A$5:$A$94,$B101,Levels!$B$5:$B$94,4),"4 Champion","All done")))))</f>
        <v/>
      </c>
      <c r="J101" s="25" t="str">
        <f aca="false">IF(OR(I101="",I101="All done"),"",COUNTIFS(Levels!$A$5:$A$94,$B101,Levels!$B$5:$B$94,1)*(LEFT(I101,1)="1")+COUNTIFS(Levels!$A$5:$A$94,$B101,Levels!$B$5:$B$94,2)*(LEFT(I101,1)="2")+COUNTIFS(Levels!$A$5:$A$94,$B101,Levels!$B$5:$B$94,3)*(LEFT(I101,1)="3")+COUNTIFS(Levels!$A$5:$A$94,$B101,Levels!$B$5:$B$94,4)*(LEFT(I101,1)="4")-(SUMPRODUCT((Levels!$A$5:$A$94=$B101)*(Levels!$B$5:$B$94=1)*(COUNTIFS(Progress!$B$5:$B$3000,$A101,Progress!$G$5:$G$3000,Levels!$G$5:$G$94)&gt;0))*(LEFT(I101,1)="1")+SUMPRODUCT((Levels!$A$5:$A$94=$B101)*(Levels!$B$5:$B$94=2)*(COUNTIFS(Progress!$B$5:$B$3000,$A101,Progress!$G$5:$G$3000,Levels!$G$5:$G$94)&gt;0))*(LEFT(I101,1)="2")+SUMPRODUCT((Levels!$A$5:$A$94=$B101)*(Levels!$B$5:$B$94=3)*(COUNTIFS(Progress!$B$5:$B$3000,$A101,Progress!$G$5:$G$3000,Levels!$G$5:$G$94)&gt;0))*(LEFT(I101,1)="3")+SUMPRODUCT((Levels!$A$5:$A$94=$B101)*(Levels!$B$5:$B$94=4)*(COUNTIFS(Progress!$B$5:$B$3000,$A101,Progress!$G$5:$G$3000,Levels!$G$5:$G$94)&gt;0))*(LEFT(I101,1)="4")))</f>
        <v/>
      </c>
      <c r="K101" s="26" t="str">
        <f aca="false">IF($A101="","",IF(COUNTIFS(Progress!$B$5:$B$3000,$A101)=0,"",SUMPRODUCT(MAX((Progress!$B$5:$B$3000=$A101)*Progress!$A$5:$A$3000))))</f>
        <v/>
      </c>
      <c r="L101" s="22"/>
    </row>
    <row r="102" customFormat="false" ht="15" hidden="false" customHeight="false" outlineLevel="0" collapsed="false">
      <c r="A102" s="22"/>
      <c r="B102" s="22"/>
      <c r="C102" s="23"/>
      <c r="D102" s="22"/>
      <c r="E102" s="24" t="str">
        <f aca="false">IF(OR($A102="",$B102=""),"",SUMPRODUCT((Levels!$A$5:$A$94=$B102)*(Levels!$B$5:$B$94=1)*(COUNTIFS(Progress!$B$5:$B$3000,$A102,Progress!$G$5:$G$3000,Levels!$G$5:$G$94)&gt;0))&amp;" / "&amp;COUNTIFS(Levels!$A$5:$A$94,$B102,Levels!$B$5:$B$94,1))</f>
        <v/>
      </c>
      <c r="F102" s="24" t="str">
        <f aca="false">IF(OR($A102="",$B102=""),"",SUMPRODUCT((Levels!$A$5:$A$94=$B102)*(Levels!$B$5:$B$94=2)*(COUNTIFS(Progress!$B$5:$B$3000,$A102,Progress!$G$5:$G$3000,Levels!$G$5:$G$94)&gt;0))&amp;" / "&amp;COUNTIFS(Levels!$A$5:$A$94,$B102,Levels!$B$5:$B$94,2))</f>
        <v/>
      </c>
      <c r="G102" s="24" t="str">
        <f aca="false">IF(OR($A102="",$B102=""),"",SUMPRODUCT((Levels!$A$5:$A$94=$B102)*(Levels!$B$5:$B$94=3)*(COUNTIFS(Progress!$B$5:$B$3000,$A102,Progress!$G$5:$G$3000,Levels!$G$5:$G$94)&gt;0))&amp;" / "&amp;COUNTIFS(Levels!$A$5:$A$94,$B102,Levels!$B$5:$B$94,3))</f>
        <v/>
      </c>
      <c r="H102" s="24" t="str">
        <f aca="false">IF(OR($A102="",$B102=""),"",SUMPRODUCT((Levels!$A$5:$A$94=$B102)*(Levels!$B$5:$B$94=4)*(COUNTIFS(Progress!$B$5:$B$3000,$A102,Progress!$G$5:$G$3000,Levels!$G$5:$G$94)&gt;0))&amp;" / "&amp;COUNTIFS(Levels!$A$5:$A$94,$B102,Levels!$B$5:$B$94,4))</f>
        <v/>
      </c>
      <c r="I102" s="24" t="str">
        <f aca="false">IF(OR($A102="",$B102=""),"",IF(SUMPRODUCT((Levels!$A$5:$A$94=$B102)*(Levels!$B$5:$B$94=1)*(COUNTIFS(Progress!$B$5:$B$3000,$A102,Progress!$G$5:$G$3000,Levels!$G$5:$G$94)&gt;0))&lt;COUNTIFS(Levels!$A$5:$A$94,$B102,Levels!$B$5:$B$94,1),"1 Rookie",IF(SUMPRODUCT((Levels!$A$5:$A$94=$B102)*(Levels!$B$5:$B$94=2)*(COUNTIFS(Progress!$B$5:$B$3000,$A102,Progress!$G$5:$G$3000,Levels!$G$5:$G$94)&gt;0))&lt;COUNTIFS(Levels!$A$5:$A$94,$B102,Levels!$B$5:$B$94,2),"2 Contender",IF(SUMPRODUCT((Levels!$A$5:$A$94=$B102)*(Levels!$B$5:$B$94=3)*(COUNTIFS(Progress!$B$5:$B$3000,$A102,Progress!$G$5:$G$3000,Levels!$G$5:$G$94)&gt;0))&lt;COUNTIFS(Levels!$A$5:$A$94,$B102,Levels!$B$5:$B$94,3),"3 Challenger",IF(SUMPRODUCT((Levels!$A$5:$A$94=$B102)*(Levels!$B$5:$B$94=4)*(COUNTIFS(Progress!$B$5:$B$3000,$A102,Progress!$G$5:$G$3000,Levels!$G$5:$G$94)&gt;0))&lt;COUNTIFS(Levels!$A$5:$A$94,$B102,Levels!$B$5:$B$94,4),"4 Champion","All done")))))</f>
        <v/>
      </c>
      <c r="J102" s="25" t="str">
        <f aca="false">IF(OR(I102="",I102="All done"),"",COUNTIFS(Levels!$A$5:$A$94,$B102,Levels!$B$5:$B$94,1)*(LEFT(I102,1)="1")+COUNTIFS(Levels!$A$5:$A$94,$B102,Levels!$B$5:$B$94,2)*(LEFT(I102,1)="2")+COUNTIFS(Levels!$A$5:$A$94,$B102,Levels!$B$5:$B$94,3)*(LEFT(I102,1)="3")+COUNTIFS(Levels!$A$5:$A$94,$B102,Levels!$B$5:$B$94,4)*(LEFT(I102,1)="4")-(SUMPRODUCT((Levels!$A$5:$A$94=$B102)*(Levels!$B$5:$B$94=1)*(COUNTIFS(Progress!$B$5:$B$3000,$A102,Progress!$G$5:$G$3000,Levels!$G$5:$G$94)&gt;0))*(LEFT(I102,1)="1")+SUMPRODUCT((Levels!$A$5:$A$94=$B102)*(Levels!$B$5:$B$94=2)*(COUNTIFS(Progress!$B$5:$B$3000,$A102,Progress!$G$5:$G$3000,Levels!$G$5:$G$94)&gt;0))*(LEFT(I102,1)="2")+SUMPRODUCT((Levels!$A$5:$A$94=$B102)*(Levels!$B$5:$B$94=3)*(COUNTIFS(Progress!$B$5:$B$3000,$A102,Progress!$G$5:$G$3000,Levels!$G$5:$G$94)&gt;0))*(LEFT(I102,1)="3")+SUMPRODUCT((Levels!$A$5:$A$94=$B102)*(Levels!$B$5:$B$94=4)*(COUNTIFS(Progress!$B$5:$B$3000,$A102,Progress!$G$5:$G$3000,Levels!$G$5:$G$94)&gt;0))*(LEFT(I102,1)="4")))</f>
        <v/>
      </c>
      <c r="K102" s="26" t="str">
        <f aca="false">IF($A102="","",IF(COUNTIFS(Progress!$B$5:$B$3000,$A102)=0,"",SUMPRODUCT(MAX((Progress!$B$5:$B$3000=$A102)*Progress!$A$5:$A$3000))))</f>
        <v/>
      </c>
      <c r="L102" s="22"/>
    </row>
    <row r="103" customFormat="false" ht="15" hidden="false" customHeight="false" outlineLevel="0" collapsed="false">
      <c r="A103" s="22"/>
      <c r="B103" s="22"/>
      <c r="C103" s="23"/>
      <c r="D103" s="22"/>
      <c r="E103" s="24" t="str">
        <f aca="false">IF(OR($A103="",$B103=""),"",SUMPRODUCT((Levels!$A$5:$A$94=$B103)*(Levels!$B$5:$B$94=1)*(COUNTIFS(Progress!$B$5:$B$3000,$A103,Progress!$G$5:$G$3000,Levels!$G$5:$G$94)&gt;0))&amp;" / "&amp;COUNTIFS(Levels!$A$5:$A$94,$B103,Levels!$B$5:$B$94,1))</f>
        <v/>
      </c>
      <c r="F103" s="24" t="str">
        <f aca="false">IF(OR($A103="",$B103=""),"",SUMPRODUCT((Levels!$A$5:$A$94=$B103)*(Levels!$B$5:$B$94=2)*(COUNTIFS(Progress!$B$5:$B$3000,$A103,Progress!$G$5:$G$3000,Levels!$G$5:$G$94)&gt;0))&amp;" / "&amp;COUNTIFS(Levels!$A$5:$A$94,$B103,Levels!$B$5:$B$94,2))</f>
        <v/>
      </c>
      <c r="G103" s="24" t="str">
        <f aca="false">IF(OR($A103="",$B103=""),"",SUMPRODUCT((Levels!$A$5:$A$94=$B103)*(Levels!$B$5:$B$94=3)*(COUNTIFS(Progress!$B$5:$B$3000,$A103,Progress!$G$5:$G$3000,Levels!$G$5:$G$94)&gt;0))&amp;" / "&amp;COUNTIFS(Levels!$A$5:$A$94,$B103,Levels!$B$5:$B$94,3))</f>
        <v/>
      </c>
      <c r="H103" s="24" t="str">
        <f aca="false">IF(OR($A103="",$B103=""),"",SUMPRODUCT((Levels!$A$5:$A$94=$B103)*(Levels!$B$5:$B$94=4)*(COUNTIFS(Progress!$B$5:$B$3000,$A103,Progress!$G$5:$G$3000,Levels!$G$5:$G$94)&gt;0))&amp;" / "&amp;COUNTIFS(Levels!$A$5:$A$94,$B103,Levels!$B$5:$B$94,4))</f>
        <v/>
      </c>
      <c r="I103" s="24" t="str">
        <f aca="false">IF(OR($A103="",$B103=""),"",IF(SUMPRODUCT((Levels!$A$5:$A$94=$B103)*(Levels!$B$5:$B$94=1)*(COUNTIFS(Progress!$B$5:$B$3000,$A103,Progress!$G$5:$G$3000,Levels!$G$5:$G$94)&gt;0))&lt;COUNTIFS(Levels!$A$5:$A$94,$B103,Levels!$B$5:$B$94,1),"1 Rookie",IF(SUMPRODUCT((Levels!$A$5:$A$94=$B103)*(Levels!$B$5:$B$94=2)*(COUNTIFS(Progress!$B$5:$B$3000,$A103,Progress!$G$5:$G$3000,Levels!$G$5:$G$94)&gt;0))&lt;COUNTIFS(Levels!$A$5:$A$94,$B103,Levels!$B$5:$B$94,2),"2 Contender",IF(SUMPRODUCT((Levels!$A$5:$A$94=$B103)*(Levels!$B$5:$B$94=3)*(COUNTIFS(Progress!$B$5:$B$3000,$A103,Progress!$G$5:$G$3000,Levels!$G$5:$G$94)&gt;0))&lt;COUNTIFS(Levels!$A$5:$A$94,$B103,Levels!$B$5:$B$94,3),"3 Challenger",IF(SUMPRODUCT((Levels!$A$5:$A$94=$B103)*(Levels!$B$5:$B$94=4)*(COUNTIFS(Progress!$B$5:$B$3000,$A103,Progress!$G$5:$G$3000,Levels!$G$5:$G$94)&gt;0))&lt;COUNTIFS(Levels!$A$5:$A$94,$B103,Levels!$B$5:$B$94,4),"4 Champion","All done")))))</f>
        <v/>
      </c>
      <c r="J103" s="25" t="str">
        <f aca="false">IF(OR(I103="",I103="All done"),"",COUNTIFS(Levels!$A$5:$A$94,$B103,Levels!$B$5:$B$94,1)*(LEFT(I103,1)="1")+COUNTIFS(Levels!$A$5:$A$94,$B103,Levels!$B$5:$B$94,2)*(LEFT(I103,1)="2")+COUNTIFS(Levels!$A$5:$A$94,$B103,Levels!$B$5:$B$94,3)*(LEFT(I103,1)="3")+COUNTIFS(Levels!$A$5:$A$94,$B103,Levels!$B$5:$B$94,4)*(LEFT(I103,1)="4")-(SUMPRODUCT((Levels!$A$5:$A$94=$B103)*(Levels!$B$5:$B$94=1)*(COUNTIFS(Progress!$B$5:$B$3000,$A103,Progress!$G$5:$G$3000,Levels!$G$5:$G$94)&gt;0))*(LEFT(I103,1)="1")+SUMPRODUCT((Levels!$A$5:$A$94=$B103)*(Levels!$B$5:$B$94=2)*(COUNTIFS(Progress!$B$5:$B$3000,$A103,Progress!$G$5:$G$3000,Levels!$G$5:$G$94)&gt;0))*(LEFT(I103,1)="2")+SUMPRODUCT((Levels!$A$5:$A$94=$B103)*(Levels!$B$5:$B$94=3)*(COUNTIFS(Progress!$B$5:$B$3000,$A103,Progress!$G$5:$G$3000,Levels!$G$5:$G$94)&gt;0))*(LEFT(I103,1)="3")+SUMPRODUCT((Levels!$A$5:$A$94=$B103)*(Levels!$B$5:$B$94=4)*(COUNTIFS(Progress!$B$5:$B$3000,$A103,Progress!$G$5:$G$3000,Levels!$G$5:$G$94)&gt;0))*(LEFT(I103,1)="4")))</f>
        <v/>
      </c>
      <c r="K103" s="26" t="str">
        <f aca="false">IF($A103="","",IF(COUNTIFS(Progress!$B$5:$B$3000,$A103)=0,"",SUMPRODUCT(MAX((Progress!$B$5:$B$3000=$A103)*Progress!$A$5:$A$3000))))</f>
        <v/>
      </c>
      <c r="L103" s="22"/>
    </row>
    <row r="104" customFormat="false" ht="15" hidden="false" customHeight="false" outlineLevel="0" collapsed="false">
      <c r="A104" s="22"/>
      <c r="B104" s="22"/>
      <c r="C104" s="23"/>
      <c r="D104" s="22"/>
      <c r="E104" s="24" t="str">
        <f aca="false">IF(OR($A104="",$B104=""),"",SUMPRODUCT((Levels!$A$5:$A$94=$B104)*(Levels!$B$5:$B$94=1)*(COUNTIFS(Progress!$B$5:$B$3000,$A104,Progress!$G$5:$G$3000,Levels!$G$5:$G$94)&gt;0))&amp;" / "&amp;COUNTIFS(Levels!$A$5:$A$94,$B104,Levels!$B$5:$B$94,1))</f>
        <v/>
      </c>
      <c r="F104" s="24" t="str">
        <f aca="false">IF(OR($A104="",$B104=""),"",SUMPRODUCT((Levels!$A$5:$A$94=$B104)*(Levels!$B$5:$B$94=2)*(COUNTIFS(Progress!$B$5:$B$3000,$A104,Progress!$G$5:$G$3000,Levels!$G$5:$G$94)&gt;0))&amp;" / "&amp;COUNTIFS(Levels!$A$5:$A$94,$B104,Levels!$B$5:$B$94,2))</f>
        <v/>
      </c>
      <c r="G104" s="24" t="str">
        <f aca="false">IF(OR($A104="",$B104=""),"",SUMPRODUCT((Levels!$A$5:$A$94=$B104)*(Levels!$B$5:$B$94=3)*(COUNTIFS(Progress!$B$5:$B$3000,$A104,Progress!$G$5:$G$3000,Levels!$G$5:$G$94)&gt;0))&amp;" / "&amp;COUNTIFS(Levels!$A$5:$A$94,$B104,Levels!$B$5:$B$94,3))</f>
        <v/>
      </c>
      <c r="H104" s="24" t="str">
        <f aca="false">IF(OR($A104="",$B104=""),"",SUMPRODUCT((Levels!$A$5:$A$94=$B104)*(Levels!$B$5:$B$94=4)*(COUNTIFS(Progress!$B$5:$B$3000,$A104,Progress!$G$5:$G$3000,Levels!$G$5:$G$94)&gt;0))&amp;" / "&amp;COUNTIFS(Levels!$A$5:$A$94,$B104,Levels!$B$5:$B$94,4))</f>
        <v/>
      </c>
      <c r="I104" s="24" t="str">
        <f aca="false">IF(OR($A104="",$B104=""),"",IF(SUMPRODUCT((Levels!$A$5:$A$94=$B104)*(Levels!$B$5:$B$94=1)*(COUNTIFS(Progress!$B$5:$B$3000,$A104,Progress!$G$5:$G$3000,Levels!$G$5:$G$94)&gt;0))&lt;COUNTIFS(Levels!$A$5:$A$94,$B104,Levels!$B$5:$B$94,1),"1 Rookie",IF(SUMPRODUCT((Levels!$A$5:$A$94=$B104)*(Levels!$B$5:$B$94=2)*(COUNTIFS(Progress!$B$5:$B$3000,$A104,Progress!$G$5:$G$3000,Levels!$G$5:$G$94)&gt;0))&lt;COUNTIFS(Levels!$A$5:$A$94,$B104,Levels!$B$5:$B$94,2),"2 Contender",IF(SUMPRODUCT((Levels!$A$5:$A$94=$B104)*(Levels!$B$5:$B$94=3)*(COUNTIFS(Progress!$B$5:$B$3000,$A104,Progress!$G$5:$G$3000,Levels!$G$5:$G$94)&gt;0))&lt;COUNTIFS(Levels!$A$5:$A$94,$B104,Levels!$B$5:$B$94,3),"3 Challenger",IF(SUMPRODUCT((Levels!$A$5:$A$94=$B104)*(Levels!$B$5:$B$94=4)*(COUNTIFS(Progress!$B$5:$B$3000,$A104,Progress!$G$5:$G$3000,Levels!$G$5:$G$94)&gt;0))&lt;COUNTIFS(Levels!$A$5:$A$94,$B104,Levels!$B$5:$B$94,4),"4 Champion","All done")))))</f>
        <v/>
      </c>
      <c r="J104" s="25" t="str">
        <f aca="false">IF(OR(I104="",I104="All done"),"",COUNTIFS(Levels!$A$5:$A$94,$B104,Levels!$B$5:$B$94,1)*(LEFT(I104,1)="1")+COUNTIFS(Levels!$A$5:$A$94,$B104,Levels!$B$5:$B$94,2)*(LEFT(I104,1)="2")+COUNTIFS(Levels!$A$5:$A$94,$B104,Levels!$B$5:$B$94,3)*(LEFT(I104,1)="3")+COUNTIFS(Levels!$A$5:$A$94,$B104,Levels!$B$5:$B$94,4)*(LEFT(I104,1)="4")-(SUMPRODUCT((Levels!$A$5:$A$94=$B104)*(Levels!$B$5:$B$94=1)*(COUNTIFS(Progress!$B$5:$B$3000,$A104,Progress!$G$5:$G$3000,Levels!$G$5:$G$94)&gt;0))*(LEFT(I104,1)="1")+SUMPRODUCT((Levels!$A$5:$A$94=$B104)*(Levels!$B$5:$B$94=2)*(COUNTIFS(Progress!$B$5:$B$3000,$A104,Progress!$G$5:$G$3000,Levels!$G$5:$G$94)&gt;0))*(LEFT(I104,1)="2")+SUMPRODUCT((Levels!$A$5:$A$94=$B104)*(Levels!$B$5:$B$94=3)*(COUNTIFS(Progress!$B$5:$B$3000,$A104,Progress!$G$5:$G$3000,Levels!$G$5:$G$94)&gt;0))*(LEFT(I104,1)="3")+SUMPRODUCT((Levels!$A$5:$A$94=$B104)*(Levels!$B$5:$B$94=4)*(COUNTIFS(Progress!$B$5:$B$3000,$A104,Progress!$G$5:$G$3000,Levels!$G$5:$G$94)&gt;0))*(LEFT(I104,1)="4")))</f>
        <v/>
      </c>
      <c r="K104" s="26" t="str">
        <f aca="false">IF($A104="","",IF(COUNTIFS(Progress!$B$5:$B$3000,$A104)=0,"",SUMPRODUCT(MAX((Progress!$B$5:$B$3000=$A104)*Progress!$A$5:$A$3000))))</f>
        <v/>
      </c>
      <c r="L104" s="22"/>
    </row>
    <row r="105" customFormat="false" ht="15" hidden="false" customHeight="false" outlineLevel="0" collapsed="false">
      <c r="A105" s="22"/>
      <c r="B105" s="22"/>
      <c r="C105" s="23"/>
      <c r="D105" s="22"/>
      <c r="E105" s="24" t="str">
        <f aca="false">IF(OR($A105="",$B105=""),"",SUMPRODUCT((Levels!$A$5:$A$94=$B105)*(Levels!$B$5:$B$94=1)*(COUNTIFS(Progress!$B$5:$B$3000,$A105,Progress!$G$5:$G$3000,Levels!$G$5:$G$94)&gt;0))&amp;" / "&amp;COUNTIFS(Levels!$A$5:$A$94,$B105,Levels!$B$5:$B$94,1))</f>
        <v/>
      </c>
      <c r="F105" s="24" t="str">
        <f aca="false">IF(OR($A105="",$B105=""),"",SUMPRODUCT((Levels!$A$5:$A$94=$B105)*(Levels!$B$5:$B$94=2)*(COUNTIFS(Progress!$B$5:$B$3000,$A105,Progress!$G$5:$G$3000,Levels!$G$5:$G$94)&gt;0))&amp;" / "&amp;COUNTIFS(Levels!$A$5:$A$94,$B105,Levels!$B$5:$B$94,2))</f>
        <v/>
      </c>
      <c r="G105" s="24" t="str">
        <f aca="false">IF(OR($A105="",$B105=""),"",SUMPRODUCT((Levels!$A$5:$A$94=$B105)*(Levels!$B$5:$B$94=3)*(COUNTIFS(Progress!$B$5:$B$3000,$A105,Progress!$G$5:$G$3000,Levels!$G$5:$G$94)&gt;0))&amp;" / "&amp;COUNTIFS(Levels!$A$5:$A$94,$B105,Levels!$B$5:$B$94,3))</f>
        <v/>
      </c>
      <c r="H105" s="24" t="str">
        <f aca="false">IF(OR($A105="",$B105=""),"",SUMPRODUCT((Levels!$A$5:$A$94=$B105)*(Levels!$B$5:$B$94=4)*(COUNTIFS(Progress!$B$5:$B$3000,$A105,Progress!$G$5:$G$3000,Levels!$G$5:$G$94)&gt;0))&amp;" / "&amp;COUNTIFS(Levels!$A$5:$A$94,$B105,Levels!$B$5:$B$94,4))</f>
        <v/>
      </c>
      <c r="I105" s="24" t="str">
        <f aca="false">IF(OR($A105="",$B105=""),"",IF(SUMPRODUCT((Levels!$A$5:$A$94=$B105)*(Levels!$B$5:$B$94=1)*(COUNTIFS(Progress!$B$5:$B$3000,$A105,Progress!$G$5:$G$3000,Levels!$G$5:$G$94)&gt;0))&lt;COUNTIFS(Levels!$A$5:$A$94,$B105,Levels!$B$5:$B$94,1),"1 Rookie",IF(SUMPRODUCT((Levels!$A$5:$A$94=$B105)*(Levels!$B$5:$B$94=2)*(COUNTIFS(Progress!$B$5:$B$3000,$A105,Progress!$G$5:$G$3000,Levels!$G$5:$G$94)&gt;0))&lt;COUNTIFS(Levels!$A$5:$A$94,$B105,Levels!$B$5:$B$94,2),"2 Contender",IF(SUMPRODUCT((Levels!$A$5:$A$94=$B105)*(Levels!$B$5:$B$94=3)*(COUNTIFS(Progress!$B$5:$B$3000,$A105,Progress!$G$5:$G$3000,Levels!$G$5:$G$94)&gt;0))&lt;COUNTIFS(Levels!$A$5:$A$94,$B105,Levels!$B$5:$B$94,3),"3 Challenger",IF(SUMPRODUCT((Levels!$A$5:$A$94=$B105)*(Levels!$B$5:$B$94=4)*(COUNTIFS(Progress!$B$5:$B$3000,$A105,Progress!$G$5:$G$3000,Levels!$G$5:$G$94)&gt;0))&lt;COUNTIFS(Levels!$A$5:$A$94,$B105,Levels!$B$5:$B$94,4),"4 Champion","All done")))))</f>
        <v/>
      </c>
      <c r="J105" s="25" t="str">
        <f aca="false">IF(OR(I105="",I105="All done"),"",COUNTIFS(Levels!$A$5:$A$94,$B105,Levels!$B$5:$B$94,1)*(LEFT(I105,1)="1")+COUNTIFS(Levels!$A$5:$A$94,$B105,Levels!$B$5:$B$94,2)*(LEFT(I105,1)="2")+COUNTIFS(Levels!$A$5:$A$94,$B105,Levels!$B$5:$B$94,3)*(LEFT(I105,1)="3")+COUNTIFS(Levels!$A$5:$A$94,$B105,Levels!$B$5:$B$94,4)*(LEFT(I105,1)="4")-(SUMPRODUCT((Levels!$A$5:$A$94=$B105)*(Levels!$B$5:$B$94=1)*(COUNTIFS(Progress!$B$5:$B$3000,$A105,Progress!$G$5:$G$3000,Levels!$G$5:$G$94)&gt;0))*(LEFT(I105,1)="1")+SUMPRODUCT((Levels!$A$5:$A$94=$B105)*(Levels!$B$5:$B$94=2)*(COUNTIFS(Progress!$B$5:$B$3000,$A105,Progress!$G$5:$G$3000,Levels!$G$5:$G$94)&gt;0))*(LEFT(I105,1)="2")+SUMPRODUCT((Levels!$A$5:$A$94=$B105)*(Levels!$B$5:$B$94=3)*(COUNTIFS(Progress!$B$5:$B$3000,$A105,Progress!$G$5:$G$3000,Levels!$G$5:$G$94)&gt;0))*(LEFT(I105,1)="3")+SUMPRODUCT((Levels!$A$5:$A$94=$B105)*(Levels!$B$5:$B$94=4)*(COUNTIFS(Progress!$B$5:$B$3000,$A105,Progress!$G$5:$G$3000,Levels!$G$5:$G$94)&gt;0))*(LEFT(I105,1)="4")))</f>
        <v/>
      </c>
      <c r="K105" s="26" t="str">
        <f aca="false">IF($A105="","",IF(COUNTIFS(Progress!$B$5:$B$3000,$A105)=0,"",SUMPRODUCT(MAX((Progress!$B$5:$B$3000=$A105)*Progress!$A$5:$A$3000))))</f>
        <v/>
      </c>
      <c r="L105" s="22"/>
    </row>
    <row r="106" customFormat="false" ht="15" hidden="false" customHeight="false" outlineLevel="0" collapsed="false">
      <c r="A106" s="22"/>
      <c r="B106" s="22"/>
      <c r="C106" s="23"/>
      <c r="D106" s="22"/>
      <c r="E106" s="24" t="str">
        <f aca="false">IF(OR($A106="",$B106=""),"",SUMPRODUCT((Levels!$A$5:$A$94=$B106)*(Levels!$B$5:$B$94=1)*(COUNTIFS(Progress!$B$5:$B$3000,$A106,Progress!$G$5:$G$3000,Levels!$G$5:$G$94)&gt;0))&amp;" / "&amp;COUNTIFS(Levels!$A$5:$A$94,$B106,Levels!$B$5:$B$94,1))</f>
        <v/>
      </c>
      <c r="F106" s="24" t="str">
        <f aca="false">IF(OR($A106="",$B106=""),"",SUMPRODUCT((Levels!$A$5:$A$94=$B106)*(Levels!$B$5:$B$94=2)*(COUNTIFS(Progress!$B$5:$B$3000,$A106,Progress!$G$5:$G$3000,Levels!$G$5:$G$94)&gt;0))&amp;" / "&amp;COUNTIFS(Levels!$A$5:$A$94,$B106,Levels!$B$5:$B$94,2))</f>
        <v/>
      </c>
      <c r="G106" s="24" t="str">
        <f aca="false">IF(OR($A106="",$B106=""),"",SUMPRODUCT((Levels!$A$5:$A$94=$B106)*(Levels!$B$5:$B$94=3)*(COUNTIFS(Progress!$B$5:$B$3000,$A106,Progress!$G$5:$G$3000,Levels!$G$5:$G$94)&gt;0))&amp;" / "&amp;COUNTIFS(Levels!$A$5:$A$94,$B106,Levels!$B$5:$B$94,3))</f>
        <v/>
      </c>
      <c r="H106" s="24" t="str">
        <f aca="false">IF(OR($A106="",$B106=""),"",SUMPRODUCT((Levels!$A$5:$A$94=$B106)*(Levels!$B$5:$B$94=4)*(COUNTIFS(Progress!$B$5:$B$3000,$A106,Progress!$G$5:$G$3000,Levels!$G$5:$G$94)&gt;0))&amp;" / "&amp;COUNTIFS(Levels!$A$5:$A$94,$B106,Levels!$B$5:$B$94,4))</f>
        <v/>
      </c>
      <c r="I106" s="24" t="str">
        <f aca="false">IF(OR($A106="",$B106=""),"",IF(SUMPRODUCT((Levels!$A$5:$A$94=$B106)*(Levels!$B$5:$B$94=1)*(COUNTIFS(Progress!$B$5:$B$3000,$A106,Progress!$G$5:$G$3000,Levels!$G$5:$G$94)&gt;0))&lt;COUNTIFS(Levels!$A$5:$A$94,$B106,Levels!$B$5:$B$94,1),"1 Rookie",IF(SUMPRODUCT((Levels!$A$5:$A$94=$B106)*(Levels!$B$5:$B$94=2)*(COUNTIFS(Progress!$B$5:$B$3000,$A106,Progress!$G$5:$G$3000,Levels!$G$5:$G$94)&gt;0))&lt;COUNTIFS(Levels!$A$5:$A$94,$B106,Levels!$B$5:$B$94,2),"2 Contender",IF(SUMPRODUCT((Levels!$A$5:$A$94=$B106)*(Levels!$B$5:$B$94=3)*(COUNTIFS(Progress!$B$5:$B$3000,$A106,Progress!$G$5:$G$3000,Levels!$G$5:$G$94)&gt;0))&lt;COUNTIFS(Levels!$A$5:$A$94,$B106,Levels!$B$5:$B$94,3),"3 Challenger",IF(SUMPRODUCT((Levels!$A$5:$A$94=$B106)*(Levels!$B$5:$B$94=4)*(COUNTIFS(Progress!$B$5:$B$3000,$A106,Progress!$G$5:$G$3000,Levels!$G$5:$G$94)&gt;0))&lt;COUNTIFS(Levels!$A$5:$A$94,$B106,Levels!$B$5:$B$94,4),"4 Champion","All done")))))</f>
        <v/>
      </c>
      <c r="J106" s="25" t="str">
        <f aca="false">IF(OR(I106="",I106="All done"),"",COUNTIFS(Levels!$A$5:$A$94,$B106,Levels!$B$5:$B$94,1)*(LEFT(I106,1)="1")+COUNTIFS(Levels!$A$5:$A$94,$B106,Levels!$B$5:$B$94,2)*(LEFT(I106,1)="2")+COUNTIFS(Levels!$A$5:$A$94,$B106,Levels!$B$5:$B$94,3)*(LEFT(I106,1)="3")+COUNTIFS(Levels!$A$5:$A$94,$B106,Levels!$B$5:$B$94,4)*(LEFT(I106,1)="4")-(SUMPRODUCT((Levels!$A$5:$A$94=$B106)*(Levels!$B$5:$B$94=1)*(COUNTIFS(Progress!$B$5:$B$3000,$A106,Progress!$G$5:$G$3000,Levels!$G$5:$G$94)&gt;0))*(LEFT(I106,1)="1")+SUMPRODUCT((Levels!$A$5:$A$94=$B106)*(Levels!$B$5:$B$94=2)*(COUNTIFS(Progress!$B$5:$B$3000,$A106,Progress!$G$5:$G$3000,Levels!$G$5:$G$94)&gt;0))*(LEFT(I106,1)="2")+SUMPRODUCT((Levels!$A$5:$A$94=$B106)*(Levels!$B$5:$B$94=3)*(COUNTIFS(Progress!$B$5:$B$3000,$A106,Progress!$G$5:$G$3000,Levels!$G$5:$G$94)&gt;0))*(LEFT(I106,1)="3")+SUMPRODUCT((Levels!$A$5:$A$94=$B106)*(Levels!$B$5:$B$94=4)*(COUNTIFS(Progress!$B$5:$B$3000,$A106,Progress!$G$5:$G$3000,Levels!$G$5:$G$94)&gt;0))*(LEFT(I106,1)="4")))</f>
        <v/>
      </c>
      <c r="K106" s="26" t="str">
        <f aca="false">IF($A106="","",IF(COUNTIFS(Progress!$B$5:$B$3000,$A106)=0,"",SUMPRODUCT(MAX((Progress!$B$5:$B$3000=$A106)*Progress!$A$5:$A$3000))))</f>
        <v/>
      </c>
      <c r="L106" s="22"/>
    </row>
    <row r="107" customFormat="false" ht="15" hidden="false" customHeight="false" outlineLevel="0" collapsed="false">
      <c r="A107" s="22"/>
      <c r="B107" s="22"/>
      <c r="C107" s="23"/>
      <c r="D107" s="22"/>
      <c r="E107" s="24" t="str">
        <f aca="false">IF(OR($A107="",$B107=""),"",SUMPRODUCT((Levels!$A$5:$A$94=$B107)*(Levels!$B$5:$B$94=1)*(COUNTIFS(Progress!$B$5:$B$3000,$A107,Progress!$G$5:$G$3000,Levels!$G$5:$G$94)&gt;0))&amp;" / "&amp;COUNTIFS(Levels!$A$5:$A$94,$B107,Levels!$B$5:$B$94,1))</f>
        <v/>
      </c>
      <c r="F107" s="24" t="str">
        <f aca="false">IF(OR($A107="",$B107=""),"",SUMPRODUCT((Levels!$A$5:$A$94=$B107)*(Levels!$B$5:$B$94=2)*(COUNTIFS(Progress!$B$5:$B$3000,$A107,Progress!$G$5:$G$3000,Levels!$G$5:$G$94)&gt;0))&amp;" / "&amp;COUNTIFS(Levels!$A$5:$A$94,$B107,Levels!$B$5:$B$94,2))</f>
        <v/>
      </c>
      <c r="G107" s="24" t="str">
        <f aca="false">IF(OR($A107="",$B107=""),"",SUMPRODUCT((Levels!$A$5:$A$94=$B107)*(Levels!$B$5:$B$94=3)*(COUNTIFS(Progress!$B$5:$B$3000,$A107,Progress!$G$5:$G$3000,Levels!$G$5:$G$94)&gt;0))&amp;" / "&amp;COUNTIFS(Levels!$A$5:$A$94,$B107,Levels!$B$5:$B$94,3))</f>
        <v/>
      </c>
      <c r="H107" s="24" t="str">
        <f aca="false">IF(OR($A107="",$B107=""),"",SUMPRODUCT((Levels!$A$5:$A$94=$B107)*(Levels!$B$5:$B$94=4)*(COUNTIFS(Progress!$B$5:$B$3000,$A107,Progress!$G$5:$G$3000,Levels!$G$5:$G$94)&gt;0))&amp;" / "&amp;COUNTIFS(Levels!$A$5:$A$94,$B107,Levels!$B$5:$B$94,4))</f>
        <v/>
      </c>
      <c r="I107" s="24" t="str">
        <f aca="false">IF(OR($A107="",$B107=""),"",IF(SUMPRODUCT((Levels!$A$5:$A$94=$B107)*(Levels!$B$5:$B$94=1)*(COUNTIFS(Progress!$B$5:$B$3000,$A107,Progress!$G$5:$G$3000,Levels!$G$5:$G$94)&gt;0))&lt;COUNTIFS(Levels!$A$5:$A$94,$B107,Levels!$B$5:$B$94,1),"1 Rookie",IF(SUMPRODUCT((Levels!$A$5:$A$94=$B107)*(Levels!$B$5:$B$94=2)*(COUNTIFS(Progress!$B$5:$B$3000,$A107,Progress!$G$5:$G$3000,Levels!$G$5:$G$94)&gt;0))&lt;COUNTIFS(Levels!$A$5:$A$94,$B107,Levels!$B$5:$B$94,2),"2 Contender",IF(SUMPRODUCT((Levels!$A$5:$A$94=$B107)*(Levels!$B$5:$B$94=3)*(COUNTIFS(Progress!$B$5:$B$3000,$A107,Progress!$G$5:$G$3000,Levels!$G$5:$G$94)&gt;0))&lt;COUNTIFS(Levels!$A$5:$A$94,$B107,Levels!$B$5:$B$94,3),"3 Challenger",IF(SUMPRODUCT((Levels!$A$5:$A$94=$B107)*(Levels!$B$5:$B$94=4)*(COUNTIFS(Progress!$B$5:$B$3000,$A107,Progress!$G$5:$G$3000,Levels!$G$5:$G$94)&gt;0))&lt;COUNTIFS(Levels!$A$5:$A$94,$B107,Levels!$B$5:$B$94,4),"4 Champion","All done")))))</f>
        <v/>
      </c>
      <c r="J107" s="25" t="str">
        <f aca="false">IF(OR(I107="",I107="All done"),"",COUNTIFS(Levels!$A$5:$A$94,$B107,Levels!$B$5:$B$94,1)*(LEFT(I107,1)="1")+COUNTIFS(Levels!$A$5:$A$94,$B107,Levels!$B$5:$B$94,2)*(LEFT(I107,1)="2")+COUNTIFS(Levels!$A$5:$A$94,$B107,Levels!$B$5:$B$94,3)*(LEFT(I107,1)="3")+COUNTIFS(Levels!$A$5:$A$94,$B107,Levels!$B$5:$B$94,4)*(LEFT(I107,1)="4")-(SUMPRODUCT((Levels!$A$5:$A$94=$B107)*(Levels!$B$5:$B$94=1)*(COUNTIFS(Progress!$B$5:$B$3000,$A107,Progress!$G$5:$G$3000,Levels!$G$5:$G$94)&gt;0))*(LEFT(I107,1)="1")+SUMPRODUCT((Levels!$A$5:$A$94=$B107)*(Levels!$B$5:$B$94=2)*(COUNTIFS(Progress!$B$5:$B$3000,$A107,Progress!$G$5:$G$3000,Levels!$G$5:$G$94)&gt;0))*(LEFT(I107,1)="2")+SUMPRODUCT((Levels!$A$5:$A$94=$B107)*(Levels!$B$5:$B$94=3)*(COUNTIFS(Progress!$B$5:$B$3000,$A107,Progress!$G$5:$G$3000,Levels!$G$5:$G$94)&gt;0))*(LEFT(I107,1)="3")+SUMPRODUCT((Levels!$A$5:$A$94=$B107)*(Levels!$B$5:$B$94=4)*(COUNTIFS(Progress!$B$5:$B$3000,$A107,Progress!$G$5:$G$3000,Levels!$G$5:$G$94)&gt;0))*(LEFT(I107,1)="4")))</f>
        <v/>
      </c>
      <c r="K107" s="26" t="str">
        <f aca="false">IF($A107="","",IF(COUNTIFS(Progress!$B$5:$B$3000,$A107)=0,"",SUMPRODUCT(MAX((Progress!$B$5:$B$3000=$A107)*Progress!$A$5:$A$3000))))</f>
        <v/>
      </c>
      <c r="L107" s="22"/>
    </row>
    <row r="108" customFormat="false" ht="15" hidden="false" customHeight="false" outlineLevel="0" collapsed="false">
      <c r="A108" s="22"/>
      <c r="B108" s="22"/>
      <c r="C108" s="23"/>
      <c r="D108" s="22"/>
      <c r="E108" s="24" t="str">
        <f aca="false">IF(OR($A108="",$B108=""),"",SUMPRODUCT((Levels!$A$5:$A$94=$B108)*(Levels!$B$5:$B$94=1)*(COUNTIFS(Progress!$B$5:$B$3000,$A108,Progress!$G$5:$G$3000,Levels!$G$5:$G$94)&gt;0))&amp;" / "&amp;COUNTIFS(Levels!$A$5:$A$94,$B108,Levels!$B$5:$B$94,1))</f>
        <v/>
      </c>
      <c r="F108" s="24" t="str">
        <f aca="false">IF(OR($A108="",$B108=""),"",SUMPRODUCT((Levels!$A$5:$A$94=$B108)*(Levels!$B$5:$B$94=2)*(COUNTIFS(Progress!$B$5:$B$3000,$A108,Progress!$G$5:$G$3000,Levels!$G$5:$G$94)&gt;0))&amp;" / "&amp;COUNTIFS(Levels!$A$5:$A$94,$B108,Levels!$B$5:$B$94,2))</f>
        <v/>
      </c>
      <c r="G108" s="24" t="str">
        <f aca="false">IF(OR($A108="",$B108=""),"",SUMPRODUCT((Levels!$A$5:$A$94=$B108)*(Levels!$B$5:$B$94=3)*(COUNTIFS(Progress!$B$5:$B$3000,$A108,Progress!$G$5:$G$3000,Levels!$G$5:$G$94)&gt;0))&amp;" / "&amp;COUNTIFS(Levels!$A$5:$A$94,$B108,Levels!$B$5:$B$94,3))</f>
        <v/>
      </c>
      <c r="H108" s="24" t="str">
        <f aca="false">IF(OR($A108="",$B108=""),"",SUMPRODUCT((Levels!$A$5:$A$94=$B108)*(Levels!$B$5:$B$94=4)*(COUNTIFS(Progress!$B$5:$B$3000,$A108,Progress!$G$5:$G$3000,Levels!$G$5:$G$94)&gt;0))&amp;" / "&amp;COUNTIFS(Levels!$A$5:$A$94,$B108,Levels!$B$5:$B$94,4))</f>
        <v/>
      </c>
      <c r="I108" s="24" t="str">
        <f aca="false">IF(OR($A108="",$B108=""),"",IF(SUMPRODUCT((Levels!$A$5:$A$94=$B108)*(Levels!$B$5:$B$94=1)*(COUNTIFS(Progress!$B$5:$B$3000,$A108,Progress!$G$5:$G$3000,Levels!$G$5:$G$94)&gt;0))&lt;COUNTIFS(Levels!$A$5:$A$94,$B108,Levels!$B$5:$B$94,1),"1 Rookie",IF(SUMPRODUCT((Levels!$A$5:$A$94=$B108)*(Levels!$B$5:$B$94=2)*(COUNTIFS(Progress!$B$5:$B$3000,$A108,Progress!$G$5:$G$3000,Levels!$G$5:$G$94)&gt;0))&lt;COUNTIFS(Levels!$A$5:$A$94,$B108,Levels!$B$5:$B$94,2),"2 Contender",IF(SUMPRODUCT((Levels!$A$5:$A$94=$B108)*(Levels!$B$5:$B$94=3)*(COUNTIFS(Progress!$B$5:$B$3000,$A108,Progress!$G$5:$G$3000,Levels!$G$5:$G$94)&gt;0))&lt;COUNTIFS(Levels!$A$5:$A$94,$B108,Levels!$B$5:$B$94,3),"3 Challenger",IF(SUMPRODUCT((Levels!$A$5:$A$94=$B108)*(Levels!$B$5:$B$94=4)*(COUNTIFS(Progress!$B$5:$B$3000,$A108,Progress!$G$5:$G$3000,Levels!$G$5:$G$94)&gt;0))&lt;COUNTIFS(Levels!$A$5:$A$94,$B108,Levels!$B$5:$B$94,4),"4 Champion","All done")))))</f>
        <v/>
      </c>
      <c r="J108" s="25" t="str">
        <f aca="false">IF(OR(I108="",I108="All done"),"",COUNTIFS(Levels!$A$5:$A$94,$B108,Levels!$B$5:$B$94,1)*(LEFT(I108,1)="1")+COUNTIFS(Levels!$A$5:$A$94,$B108,Levels!$B$5:$B$94,2)*(LEFT(I108,1)="2")+COUNTIFS(Levels!$A$5:$A$94,$B108,Levels!$B$5:$B$94,3)*(LEFT(I108,1)="3")+COUNTIFS(Levels!$A$5:$A$94,$B108,Levels!$B$5:$B$94,4)*(LEFT(I108,1)="4")-(SUMPRODUCT((Levels!$A$5:$A$94=$B108)*(Levels!$B$5:$B$94=1)*(COUNTIFS(Progress!$B$5:$B$3000,$A108,Progress!$G$5:$G$3000,Levels!$G$5:$G$94)&gt;0))*(LEFT(I108,1)="1")+SUMPRODUCT((Levels!$A$5:$A$94=$B108)*(Levels!$B$5:$B$94=2)*(COUNTIFS(Progress!$B$5:$B$3000,$A108,Progress!$G$5:$G$3000,Levels!$G$5:$G$94)&gt;0))*(LEFT(I108,1)="2")+SUMPRODUCT((Levels!$A$5:$A$94=$B108)*(Levels!$B$5:$B$94=3)*(COUNTIFS(Progress!$B$5:$B$3000,$A108,Progress!$G$5:$G$3000,Levels!$G$5:$G$94)&gt;0))*(LEFT(I108,1)="3")+SUMPRODUCT((Levels!$A$5:$A$94=$B108)*(Levels!$B$5:$B$94=4)*(COUNTIFS(Progress!$B$5:$B$3000,$A108,Progress!$G$5:$G$3000,Levels!$G$5:$G$94)&gt;0))*(LEFT(I108,1)="4")))</f>
        <v/>
      </c>
      <c r="K108" s="26" t="str">
        <f aca="false">IF($A108="","",IF(COUNTIFS(Progress!$B$5:$B$3000,$A108)=0,"",SUMPRODUCT(MAX((Progress!$B$5:$B$3000=$A108)*Progress!$A$5:$A$3000))))</f>
        <v/>
      </c>
      <c r="L108" s="22"/>
    </row>
    <row r="109" customFormat="false" ht="15" hidden="false" customHeight="false" outlineLevel="0" collapsed="false">
      <c r="A109" s="22"/>
      <c r="B109" s="22"/>
      <c r="C109" s="23"/>
      <c r="D109" s="22"/>
      <c r="E109" s="24" t="str">
        <f aca="false">IF(OR($A109="",$B109=""),"",SUMPRODUCT((Levels!$A$5:$A$94=$B109)*(Levels!$B$5:$B$94=1)*(COUNTIFS(Progress!$B$5:$B$3000,$A109,Progress!$G$5:$G$3000,Levels!$G$5:$G$94)&gt;0))&amp;" / "&amp;COUNTIFS(Levels!$A$5:$A$94,$B109,Levels!$B$5:$B$94,1))</f>
        <v/>
      </c>
      <c r="F109" s="24" t="str">
        <f aca="false">IF(OR($A109="",$B109=""),"",SUMPRODUCT((Levels!$A$5:$A$94=$B109)*(Levels!$B$5:$B$94=2)*(COUNTIFS(Progress!$B$5:$B$3000,$A109,Progress!$G$5:$G$3000,Levels!$G$5:$G$94)&gt;0))&amp;" / "&amp;COUNTIFS(Levels!$A$5:$A$94,$B109,Levels!$B$5:$B$94,2))</f>
        <v/>
      </c>
      <c r="G109" s="24" t="str">
        <f aca="false">IF(OR($A109="",$B109=""),"",SUMPRODUCT((Levels!$A$5:$A$94=$B109)*(Levels!$B$5:$B$94=3)*(COUNTIFS(Progress!$B$5:$B$3000,$A109,Progress!$G$5:$G$3000,Levels!$G$5:$G$94)&gt;0))&amp;" / "&amp;COUNTIFS(Levels!$A$5:$A$94,$B109,Levels!$B$5:$B$94,3))</f>
        <v/>
      </c>
      <c r="H109" s="24" t="str">
        <f aca="false">IF(OR($A109="",$B109=""),"",SUMPRODUCT((Levels!$A$5:$A$94=$B109)*(Levels!$B$5:$B$94=4)*(COUNTIFS(Progress!$B$5:$B$3000,$A109,Progress!$G$5:$G$3000,Levels!$G$5:$G$94)&gt;0))&amp;" / "&amp;COUNTIFS(Levels!$A$5:$A$94,$B109,Levels!$B$5:$B$94,4))</f>
        <v/>
      </c>
      <c r="I109" s="24" t="str">
        <f aca="false">IF(OR($A109="",$B109=""),"",IF(SUMPRODUCT((Levels!$A$5:$A$94=$B109)*(Levels!$B$5:$B$94=1)*(COUNTIFS(Progress!$B$5:$B$3000,$A109,Progress!$G$5:$G$3000,Levels!$G$5:$G$94)&gt;0))&lt;COUNTIFS(Levels!$A$5:$A$94,$B109,Levels!$B$5:$B$94,1),"1 Rookie",IF(SUMPRODUCT((Levels!$A$5:$A$94=$B109)*(Levels!$B$5:$B$94=2)*(COUNTIFS(Progress!$B$5:$B$3000,$A109,Progress!$G$5:$G$3000,Levels!$G$5:$G$94)&gt;0))&lt;COUNTIFS(Levels!$A$5:$A$94,$B109,Levels!$B$5:$B$94,2),"2 Contender",IF(SUMPRODUCT((Levels!$A$5:$A$94=$B109)*(Levels!$B$5:$B$94=3)*(COUNTIFS(Progress!$B$5:$B$3000,$A109,Progress!$G$5:$G$3000,Levels!$G$5:$G$94)&gt;0))&lt;COUNTIFS(Levels!$A$5:$A$94,$B109,Levels!$B$5:$B$94,3),"3 Challenger",IF(SUMPRODUCT((Levels!$A$5:$A$94=$B109)*(Levels!$B$5:$B$94=4)*(COUNTIFS(Progress!$B$5:$B$3000,$A109,Progress!$G$5:$G$3000,Levels!$G$5:$G$94)&gt;0))&lt;COUNTIFS(Levels!$A$5:$A$94,$B109,Levels!$B$5:$B$94,4),"4 Champion","All done")))))</f>
        <v/>
      </c>
      <c r="J109" s="25" t="str">
        <f aca="false">IF(OR(I109="",I109="All done"),"",COUNTIFS(Levels!$A$5:$A$94,$B109,Levels!$B$5:$B$94,1)*(LEFT(I109,1)="1")+COUNTIFS(Levels!$A$5:$A$94,$B109,Levels!$B$5:$B$94,2)*(LEFT(I109,1)="2")+COUNTIFS(Levels!$A$5:$A$94,$B109,Levels!$B$5:$B$94,3)*(LEFT(I109,1)="3")+COUNTIFS(Levels!$A$5:$A$94,$B109,Levels!$B$5:$B$94,4)*(LEFT(I109,1)="4")-(SUMPRODUCT((Levels!$A$5:$A$94=$B109)*(Levels!$B$5:$B$94=1)*(COUNTIFS(Progress!$B$5:$B$3000,$A109,Progress!$G$5:$G$3000,Levels!$G$5:$G$94)&gt;0))*(LEFT(I109,1)="1")+SUMPRODUCT((Levels!$A$5:$A$94=$B109)*(Levels!$B$5:$B$94=2)*(COUNTIFS(Progress!$B$5:$B$3000,$A109,Progress!$G$5:$G$3000,Levels!$G$5:$G$94)&gt;0))*(LEFT(I109,1)="2")+SUMPRODUCT((Levels!$A$5:$A$94=$B109)*(Levels!$B$5:$B$94=3)*(COUNTIFS(Progress!$B$5:$B$3000,$A109,Progress!$G$5:$G$3000,Levels!$G$5:$G$94)&gt;0))*(LEFT(I109,1)="3")+SUMPRODUCT((Levels!$A$5:$A$94=$B109)*(Levels!$B$5:$B$94=4)*(COUNTIFS(Progress!$B$5:$B$3000,$A109,Progress!$G$5:$G$3000,Levels!$G$5:$G$94)&gt;0))*(LEFT(I109,1)="4")))</f>
        <v/>
      </c>
      <c r="K109" s="26" t="str">
        <f aca="false">IF($A109="","",IF(COUNTIFS(Progress!$B$5:$B$3000,$A109)=0,"",SUMPRODUCT(MAX((Progress!$B$5:$B$3000=$A109)*Progress!$A$5:$A$3000))))</f>
        <v/>
      </c>
      <c r="L109" s="22"/>
    </row>
    <row r="110" customFormat="false" ht="15" hidden="false" customHeight="false" outlineLevel="0" collapsed="false">
      <c r="A110" s="22"/>
      <c r="B110" s="22"/>
      <c r="C110" s="23"/>
      <c r="D110" s="22"/>
      <c r="E110" s="24" t="str">
        <f aca="false">IF(OR($A110="",$B110=""),"",SUMPRODUCT((Levels!$A$5:$A$94=$B110)*(Levels!$B$5:$B$94=1)*(COUNTIFS(Progress!$B$5:$B$3000,$A110,Progress!$G$5:$G$3000,Levels!$G$5:$G$94)&gt;0))&amp;" / "&amp;COUNTIFS(Levels!$A$5:$A$94,$B110,Levels!$B$5:$B$94,1))</f>
        <v/>
      </c>
      <c r="F110" s="24" t="str">
        <f aca="false">IF(OR($A110="",$B110=""),"",SUMPRODUCT((Levels!$A$5:$A$94=$B110)*(Levels!$B$5:$B$94=2)*(COUNTIFS(Progress!$B$5:$B$3000,$A110,Progress!$G$5:$G$3000,Levels!$G$5:$G$94)&gt;0))&amp;" / "&amp;COUNTIFS(Levels!$A$5:$A$94,$B110,Levels!$B$5:$B$94,2))</f>
        <v/>
      </c>
      <c r="G110" s="24" t="str">
        <f aca="false">IF(OR($A110="",$B110=""),"",SUMPRODUCT((Levels!$A$5:$A$94=$B110)*(Levels!$B$5:$B$94=3)*(COUNTIFS(Progress!$B$5:$B$3000,$A110,Progress!$G$5:$G$3000,Levels!$G$5:$G$94)&gt;0))&amp;" / "&amp;COUNTIFS(Levels!$A$5:$A$94,$B110,Levels!$B$5:$B$94,3))</f>
        <v/>
      </c>
      <c r="H110" s="24" t="str">
        <f aca="false">IF(OR($A110="",$B110=""),"",SUMPRODUCT((Levels!$A$5:$A$94=$B110)*(Levels!$B$5:$B$94=4)*(COUNTIFS(Progress!$B$5:$B$3000,$A110,Progress!$G$5:$G$3000,Levels!$G$5:$G$94)&gt;0))&amp;" / "&amp;COUNTIFS(Levels!$A$5:$A$94,$B110,Levels!$B$5:$B$94,4))</f>
        <v/>
      </c>
      <c r="I110" s="24" t="str">
        <f aca="false">IF(OR($A110="",$B110=""),"",IF(SUMPRODUCT((Levels!$A$5:$A$94=$B110)*(Levels!$B$5:$B$94=1)*(COUNTIFS(Progress!$B$5:$B$3000,$A110,Progress!$G$5:$G$3000,Levels!$G$5:$G$94)&gt;0))&lt;COUNTIFS(Levels!$A$5:$A$94,$B110,Levels!$B$5:$B$94,1),"1 Rookie",IF(SUMPRODUCT((Levels!$A$5:$A$94=$B110)*(Levels!$B$5:$B$94=2)*(COUNTIFS(Progress!$B$5:$B$3000,$A110,Progress!$G$5:$G$3000,Levels!$G$5:$G$94)&gt;0))&lt;COUNTIFS(Levels!$A$5:$A$94,$B110,Levels!$B$5:$B$94,2),"2 Contender",IF(SUMPRODUCT((Levels!$A$5:$A$94=$B110)*(Levels!$B$5:$B$94=3)*(COUNTIFS(Progress!$B$5:$B$3000,$A110,Progress!$G$5:$G$3000,Levels!$G$5:$G$94)&gt;0))&lt;COUNTIFS(Levels!$A$5:$A$94,$B110,Levels!$B$5:$B$94,3),"3 Challenger",IF(SUMPRODUCT((Levels!$A$5:$A$94=$B110)*(Levels!$B$5:$B$94=4)*(COUNTIFS(Progress!$B$5:$B$3000,$A110,Progress!$G$5:$G$3000,Levels!$G$5:$G$94)&gt;0))&lt;COUNTIFS(Levels!$A$5:$A$94,$B110,Levels!$B$5:$B$94,4),"4 Champion","All done")))))</f>
        <v/>
      </c>
      <c r="J110" s="25" t="str">
        <f aca="false">IF(OR(I110="",I110="All done"),"",COUNTIFS(Levels!$A$5:$A$94,$B110,Levels!$B$5:$B$94,1)*(LEFT(I110,1)="1")+COUNTIFS(Levels!$A$5:$A$94,$B110,Levels!$B$5:$B$94,2)*(LEFT(I110,1)="2")+COUNTIFS(Levels!$A$5:$A$94,$B110,Levels!$B$5:$B$94,3)*(LEFT(I110,1)="3")+COUNTIFS(Levels!$A$5:$A$94,$B110,Levels!$B$5:$B$94,4)*(LEFT(I110,1)="4")-(SUMPRODUCT((Levels!$A$5:$A$94=$B110)*(Levels!$B$5:$B$94=1)*(COUNTIFS(Progress!$B$5:$B$3000,$A110,Progress!$G$5:$G$3000,Levels!$G$5:$G$94)&gt;0))*(LEFT(I110,1)="1")+SUMPRODUCT((Levels!$A$5:$A$94=$B110)*(Levels!$B$5:$B$94=2)*(COUNTIFS(Progress!$B$5:$B$3000,$A110,Progress!$G$5:$G$3000,Levels!$G$5:$G$94)&gt;0))*(LEFT(I110,1)="2")+SUMPRODUCT((Levels!$A$5:$A$94=$B110)*(Levels!$B$5:$B$94=3)*(COUNTIFS(Progress!$B$5:$B$3000,$A110,Progress!$G$5:$G$3000,Levels!$G$5:$G$94)&gt;0))*(LEFT(I110,1)="3")+SUMPRODUCT((Levels!$A$5:$A$94=$B110)*(Levels!$B$5:$B$94=4)*(COUNTIFS(Progress!$B$5:$B$3000,$A110,Progress!$G$5:$G$3000,Levels!$G$5:$G$94)&gt;0))*(LEFT(I110,1)="4")))</f>
        <v/>
      </c>
      <c r="K110" s="26" t="str">
        <f aca="false">IF($A110="","",IF(COUNTIFS(Progress!$B$5:$B$3000,$A110)=0,"",SUMPRODUCT(MAX((Progress!$B$5:$B$3000=$A110)*Progress!$A$5:$A$3000))))</f>
        <v/>
      </c>
      <c r="L110" s="22"/>
    </row>
    <row r="111" customFormat="false" ht="15" hidden="false" customHeight="false" outlineLevel="0" collapsed="false">
      <c r="A111" s="22"/>
      <c r="B111" s="22"/>
      <c r="C111" s="23"/>
      <c r="D111" s="22"/>
      <c r="E111" s="24" t="str">
        <f aca="false">IF(OR($A111="",$B111=""),"",SUMPRODUCT((Levels!$A$5:$A$94=$B111)*(Levels!$B$5:$B$94=1)*(COUNTIFS(Progress!$B$5:$B$3000,$A111,Progress!$G$5:$G$3000,Levels!$G$5:$G$94)&gt;0))&amp;" / "&amp;COUNTIFS(Levels!$A$5:$A$94,$B111,Levels!$B$5:$B$94,1))</f>
        <v/>
      </c>
      <c r="F111" s="24" t="str">
        <f aca="false">IF(OR($A111="",$B111=""),"",SUMPRODUCT((Levels!$A$5:$A$94=$B111)*(Levels!$B$5:$B$94=2)*(COUNTIFS(Progress!$B$5:$B$3000,$A111,Progress!$G$5:$G$3000,Levels!$G$5:$G$94)&gt;0))&amp;" / "&amp;COUNTIFS(Levels!$A$5:$A$94,$B111,Levels!$B$5:$B$94,2))</f>
        <v/>
      </c>
      <c r="G111" s="24" t="str">
        <f aca="false">IF(OR($A111="",$B111=""),"",SUMPRODUCT((Levels!$A$5:$A$94=$B111)*(Levels!$B$5:$B$94=3)*(COUNTIFS(Progress!$B$5:$B$3000,$A111,Progress!$G$5:$G$3000,Levels!$G$5:$G$94)&gt;0))&amp;" / "&amp;COUNTIFS(Levels!$A$5:$A$94,$B111,Levels!$B$5:$B$94,3))</f>
        <v/>
      </c>
      <c r="H111" s="24" t="str">
        <f aca="false">IF(OR($A111="",$B111=""),"",SUMPRODUCT((Levels!$A$5:$A$94=$B111)*(Levels!$B$5:$B$94=4)*(COUNTIFS(Progress!$B$5:$B$3000,$A111,Progress!$G$5:$G$3000,Levels!$G$5:$G$94)&gt;0))&amp;" / "&amp;COUNTIFS(Levels!$A$5:$A$94,$B111,Levels!$B$5:$B$94,4))</f>
        <v/>
      </c>
      <c r="I111" s="24" t="str">
        <f aca="false">IF(OR($A111="",$B111=""),"",IF(SUMPRODUCT((Levels!$A$5:$A$94=$B111)*(Levels!$B$5:$B$94=1)*(COUNTIFS(Progress!$B$5:$B$3000,$A111,Progress!$G$5:$G$3000,Levels!$G$5:$G$94)&gt;0))&lt;COUNTIFS(Levels!$A$5:$A$94,$B111,Levels!$B$5:$B$94,1),"1 Rookie",IF(SUMPRODUCT((Levels!$A$5:$A$94=$B111)*(Levels!$B$5:$B$94=2)*(COUNTIFS(Progress!$B$5:$B$3000,$A111,Progress!$G$5:$G$3000,Levels!$G$5:$G$94)&gt;0))&lt;COUNTIFS(Levels!$A$5:$A$94,$B111,Levels!$B$5:$B$94,2),"2 Contender",IF(SUMPRODUCT((Levels!$A$5:$A$94=$B111)*(Levels!$B$5:$B$94=3)*(COUNTIFS(Progress!$B$5:$B$3000,$A111,Progress!$G$5:$G$3000,Levels!$G$5:$G$94)&gt;0))&lt;COUNTIFS(Levels!$A$5:$A$94,$B111,Levels!$B$5:$B$94,3),"3 Challenger",IF(SUMPRODUCT((Levels!$A$5:$A$94=$B111)*(Levels!$B$5:$B$94=4)*(COUNTIFS(Progress!$B$5:$B$3000,$A111,Progress!$G$5:$G$3000,Levels!$G$5:$G$94)&gt;0))&lt;COUNTIFS(Levels!$A$5:$A$94,$B111,Levels!$B$5:$B$94,4),"4 Champion","All done")))))</f>
        <v/>
      </c>
      <c r="J111" s="25" t="str">
        <f aca="false">IF(OR(I111="",I111="All done"),"",COUNTIFS(Levels!$A$5:$A$94,$B111,Levels!$B$5:$B$94,1)*(LEFT(I111,1)="1")+COUNTIFS(Levels!$A$5:$A$94,$B111,Levels!$B$5:$B$94,2)*(LEFT(I111,1)="2")+COUNTIFS(Levels!$A$5:$A$94,$B111,Levels!$B$5:$B$94,3)*(LEFT(I111,1)="3")+COUNTIFS(Levels!$A$5:$A$94,$B111,Levels!$B$5:$B$94,4)*(LEFT(I111,1)="4")-(SUMPRODUCT((Levels!$A$5:$A$94=$B111)*(Levels!$B$5:$B$94=1)*(COUNTIFS(Progress!$B$5:$B$3000,$A111,Progress!$G$5:$G$3000,Levels!$G$5:$G$94)&gt;0))*(LEFT(I111,1)="1")+SUMPRODUCT((Levels!$A$5:$A$94=$B111)*(Levels!$B$5:$B$94=2)*(COUNTIFS(Progress!$B$5:$B$3000,$A111,Progress!$G$5:$G$3000,Levels!$G$5:$G$94)&gt;0))*(LEFT(I111,1)="2")+SUMPRODUCT((Levels!$A$5:$A$94=$B111)*(Levels!$B$5:$B$94=3)*(COUNTIFS(Progress!$B$5:$B$3000,$A111,Progress!$G$5:$G$3000,Levels!$G$5:$G$94)&gt;0))*(LEFT(I111,1)="3")+SUMPRODUCT((Levels!$A$5:$A$94=$B111)*(Levels!$B$5:$B$94=4)*(COUNTIFS(Progress!$B$5:$B$3000,$A111,Progress!$G$5:$G$3000,Levels!$G$5:$G$94)&gt;0))*(LEFT(I111,1)="4")))</f>
        <v/>
      </c>
      <c r="K111" s="26" t="str">
        <f aca="false">IF($A111="","",IF(COUNTIFS(Progress!$B$5:$B$3000,$A111)=0,"",SUMPRODUCT(MAX((Progress!$B$5:$B$3000=$A111)*Progress!$A$5:$A$3000))))</f>
        <v/>
      </c>
      <c r="L111" s="22"/>
    </row>
    <row r="112" customFormat="false" ht="15" hidden="false" customHeight="false" outlineLevel="0" collapsed="false">
      <c r="A112" s="22"/>
      <c r="B112" s="22"/>
      <c r="C112" s="23"/>
      <c r="D112" s="22"/>
      <c r="E112" s="24" t="str">
        <f aca="false">IF(OR($A112="",$B112=""),"",SUMPRODUCT((Levels!$A$5:$A$94=$B112)*(Levels!$B$5:$B$94=1)*(COUNTIFS(Progress!$B$5:$B$3000,$A112,Progress!$G$5:$G$3000,Levels!$G$5:$G$94)&gt;0))&amp;" / "&amp;COUNTIFS(Levels!$A$5:$A$94,$B112,Levels!$B$5:$B$94,1))</f>
        <v/>
      </c>
      <c r="F112" s="24" t="str">
        <f aca="false">IF(OR($A112="",$B112=""),"",SUMPRODUCT((Levels!$A$5:$A$94=$B112)*(Levels!$B$5:$B$94=2)*(COUNTIFS(Progress!$B$5:$B$3000,$A112,Progress!$G$5:$G$3000,Levels!$G$5:$G$94)&gt;0))&amp;" / "&amp;COUNTIFS(Levels!$A$5:$A$94,$B112,Levels!$B$5:$B$94,2))</f>
        <v/>
      </c>
      <c r="G112" s="24" t="str">
        <f aca="false">IF(OR($A112="",$B112=""),"",SUMPRODUCT((Levels!$A$5:$A$94=$B112)*(Levels!$B$5:$B$94=3)*(COUNTIFS(Progress!$B$5:$B$3000,$A112,Progress!$G$5:$G$3000,Levels!$G$5:$G$94)&gt;0))&amp;" / "&amp;COUNTIFS(Levels!$A$5:$A$94,$B112,Levels!$B$5:$B$94,3))</f>
        <v/>
      </c>
      <c r="H112" s="24" t="str">
        <f aca="false">IF(OR($A112="",$B112=""),"",SUMPRODUCT((Levels!$A$5:$A$94=$B112)*(Levels!$B$5:$B$94=4)*(COUNTIFS(Progress!$B$5:$B$3000,$A112,Progress!$G$5:$G$3000,Levels!$G$5:$G$94)&gt;0))&amp;" / "&amp;COUNTIFS(Levels!$A$5:$A$94,$B112,Levels!$B$5:$B$94,4))</f>
        <v/>
      </c>
      <c r="I112" s="24" t="str">
        <f aca="false">IF(OR($A112="",$B112=""),"",IF(SUMPRODUCT((Levels!$A$5:$A$94=$B112)*(Levels!$B$5:$B$94=1)*(COUNTIFS(Progress!$B$5:$B$3000,$A112,Progress!$G$5:$G$3000,Levels!$G$5:$G$94)&gt;0))&lt;COUNTIFS(Levels!$A$5:$A$94,$B112,Levels!$B$5:$B$94,1),"1 Rookie",IF(SUMPRODUCT((Levels!$A$5:$A$94=$B112)*(Levels!$B$5:$B$94=2)*(COUNTIFS(Progress!$B$5:$B$3000,$A112,Progress!$G$5:$G$3000,Levels!$G$5:$G$94)&gt;0))&lt;COUNTIFS(Levels!$A$5:$A$94,$B112,Levels!$B$5:$B$94,2),"2 Contender",IF(SUMPRODUCT((Levels!$A$5:$A$94=$B112)*(Levels!$B$5:$B$94=3)*(COUNTIFS(Progress!$B$5:$B$3000,$A112,Progress!$G$5:$G$3000,Levels!$G$5:$G$94)&gt;0))&lt;COUNTIFS(Levels!$A$5:$A$94,$B112,Levels!$B$5:$B$94,3),"3 Challenger",IF(SUMPRODUCT((Levels!$A$5:$A$94=$B112)*(Levels!$B$5:$B$94=4)*(COUNTIFS(Progress!$B$5:$B$3000,$A112,Progress!$G$5:$G$3000,Levels!$G$5:$G$94)&gt;0))&lt;COUNTIFS(Levels!$A$5:$A$94,$B112,Levels!$B$5:$B$94,4),"4 Champion","All done")))))</f>
        <v/>
      </c>
      <c r="J112" s="25" t="str">
        <f aca="false">IF(OR(I112="",I112="All done"),"",COUNTIFS(Levels!$A$5:$A$94,$B112,Levels!$B$5:$B$94,1)*(LEFT(I112,1)="1")+COUNTIFS(Levels!$A$5:$A$94,$B112,Levels!$B$5:$B$94,2)*(LEFT(I112,1)="2")+COUNTIFS(Levels!$A$5:$A$94,$B112,Levels!$B$5:$B$94,3)*(LEFT(I112,1)="3")+COUNTIFS(Levels!$A$5:$A$94,$B112,Levels!$B$5:$B$94,4)*(LEFT(I112,1)="4")-(SUMPRODUCT((Levels!$A$5:$A$94=$B112)*(Levels!$B$5:$B$94=1)*(COUNTIFS(Progress!$B$5:$B$3000,$A112,Progress!$G$5:$G$3000,Levels!$G$5:$G$94)&gt;0))*(LEFT(I112,1)="1")+SUMPRODUCT((Levels!$A$5:$A$94=$B112)*(Levels!$B$5:$B$94=2)*(COUNTIFS(Progress!$B$5:$B$3000,$A112,Progress!$G$5:$G$3000,Levels!$G$5:$G$94)&gt;0))*(LEFT(I112,1)="2")+SUMPRODUCT((Levels!$A$5:$A$94=$B112)*(Levels!$B$5:$B$94=3)*(COUNTIFS(Progress!$B$5:$B$3000,$A112,Progress!$G$5:$G$3000,Levels!$G$5:$G$94)&gt;0))*(LEFT(I112,1)="3")+SUMPRODUCT((Levels!$A$5:$A$94=$B112)*(Levels!$B$5:$B$94=4)*(COUNTIFS(Progress!$B$5:$B$3000,$A112,Progress!$G$5:$G$3000,Levels!$G$5:$G$94)&gt;0))*(LEFT(I112,1)="4")))</f>
        <v/>
      </c>
      <c r="K112" s="26" t="str">
        <f aca="false">IF($A112="","",IF(COUNTIFS(Progress!$B$5:$B$3000,$A112)=0,"",SUMPRODUCT(MAX((Progress!$B$5:$B$3000=$A112)*Progress!$A$5:$A$3000))))</f>
        <v/>
      </c>
      <c r="L112" s="22"/>
    </row>
    <row r="113" customFormat="false" ht="15" hidden="false" customHeight="false" outlineLevel="0" collapsed="false">
      <c r="A113" s="22"/>
      <c r="B113" s="22"/>
      <c r="C113" s="23"/>
      <c r="D113" s="22"/>
      <c r="E113" s="24" t="str">
        <f aca="false">IF(OR($A113="",$B113=""),"",SUMPRODUCT((Levels!$A$5:$A$94=$B113)*(Levels!$B$5:$B$94=1)*(COUNTIFS(Progress!$B$5:$B$3000,$A113,Progress!$G$5:$G$3000,Levels!$G$5:$G$94)&gt;0))&amp;" / "&amp;COUNTIFS(Levels!$A$5:$A$94,$B113,Levels!$B$5:$B$94,1))</f>
        <v/>
      </c>
      <c r="F113" s="24" t="str">
        <f aca="false">IF(OR($A113="",$B113=""),"",SUMPRODUCT((Levels!$A$5:$A$94=$B113)*(Levels!$B$5:$B$94=2)*(COUNTIFS(Progress!$B$5:$B$3000,$A113,Progress!$G$5:$G$3000,Levels!$G$5:$G$94)&gt;0))&amp;" / "&amp;COUNTIFS(Levels!$A$5:$A$94,$B113,Levels!$B$5:$B$94,2))</f>
        <v/>
      </c>
      <c r="G113" s="24" t="str">
        <f aca="false">IF(OR($A113="",$B113=""),"",SUMPRODUCT((Levels!$A$5:$A$94=$B113)*(Levels!$B$5:$B$94=3)*(COUNTIFS(Progress!$B$5:$B$3000,$A113,Progress!$G$5:$G$3000,Levels!$G$5:$G$94)&gt;0))&amp;" / "&amp;COUNTIFS(Levels!$A$5:$A$94,$B113,Levels!$B$5:$B$94,3))</f>
        <v/>
      </c>
      <c r="H113" s="24" t="str">
        <f aca="false">IF(OR($A113="",$B113=""),"",SUMPRODUCT((Levels!$A$5:$A$94=$B113)*(Levels!$B$5:$B$94=4)*(COUNTIFS(Progress!$B$5:$B$3000,$A113,Progress!$G$5:$G$3000,Levels!$G$5:$G$94)&gt;0))&amp;" / "&amp;COUNTIFS(Levels!$A$5:$A$94,$B113,Levels!$B$5:$B$94,4))</f>
        <v/>
      </c>
      <c r="I113" s="24" t="str">
        <f aca="false">IF(OR($A113="",$B113=""),"",IF(SUMPRODUCT((Levels!$A$5:$A$94=$B113)*(Levels!$B$5:$B$94=1)*(COUNTIFS(Progress!$B$5:$B$3000,$A113,Progress!$G$5:$G$3000,Levels!$G$5:$G$94)&gt;0))&lt;COUNTIFS(Levels!$A$5:$A$94,$B113,Levels!$B$5:$B$94,1),"1 Rookie",IF(SUMPRODUCT((Levels!$A$5:$A$94=$B113)*(Levels!$B$5:$B$94=2)*(COUNTIFS(Progress!$B$5:$B$3000,$A113,Progress!$G$5:$G$3000,Levels!$G$5:$G$94)&gt;0))&lt;COUNTIFS(Levels!$A$5:$A$94,$B113,Levels!$B$5:$B$94,2),"2 Contender",IF(SUMPRODUCT((Levels!$A$5:$A$94=$B113)*(Levels!$B$5:$B$94=3)*(COUNTIFS(Progress!$B$5:$B$3000,$A113,Progress!$G$5:$G$3000,Levels!$G$5:$G$94)&gt;0))&lt;COUNTIFS(Levels!$A$5:$A$94,$B113,Levels!$B$5:$B$94,3),"3 Challenger",IF(SUMPRODUCT((Levels!$A$5:$A$94=$B113)*(Levels!$B$5:$B$94=4)*(COUNTIFS(Progress!$B$5:$B$3000,$A113,Progress!$G$5:$G$3000,Levels!$G$5:$G$94)&gt;0))&lt;COUNTIFS(Levels!$A$5:$A$94,$B113,Levels!$B$5:$B$94,4),"4 Champion","All done")))))</f>
        <v/>
      </c>
      <c r="J113" s="25" t="str">
        <f aca="false">IF(OR(I113="",I113="All done"),"",COUNTIFS(Levels!$A$5:$A$94,$B113,Levels!$B$5:$B$94,1)*(LEFT(I113,1)="1")+COUNTIFS(Levels!$A$5:$A$94,$B113,Levels!$B$5:$B$94,2)*(LEFT(I113,1)="2")+COUNTIFS(Levels!$A$5:$A$94,$B113,Levels!$B$5:$B$94,3)*(LEFT(I113,1)="3")+COUNTIFS(Levels!$A$5:$A$94,$B113,Levels!$B$5:$B$94,4)*(LEFT(I113,1)="4")-(SUMPRODUCT((Levels!$A$5:$A$94=$B113)*(Levels!$B$5:$B$94=1)*(COUNTIFS(Progress!$B$5:$B$3000,$A113,Progress!$G$5:$G$3000,Levels!$G$5:$G$94)&gt;0))*(LEFT(I113,1)="1")+SUMPRODUCT((Levels!$A$5:$A$94=$B113)*(Levels!$B$5:$B$94=2)*(COUNTIFS(Progress!$B$5:$B$3000,$A113,Progress!$G$5:$G$3000,Levels!$G$5:$G$94)&gt;0))*(LEFT(I113,1)="2")+SUMPRODUCT((Levels!$A$5:$A$94=$B113)*(Levels!$B$5:$B$94=3)*(COUNTIFS(Progress!$B$5:$B$3000,$A113,Progress!$G$5:$G$3000,Levels!$G$5:$G$94)&gt;0))*(LEFT(I113,1)="3")+SUMPRODUCT((Levels!$A$5:$A$94=$B113)*(Levels!$B$5:$B$94=4)*(COUNTIFS(Progress!$B$5:$B$3000,$A113,Progress!$G$5:$G$3000,Levels!$G$5:$G$94)&gt;0))*(LEFT(I113,1)="4")))</f>
        <v/>
      </c>
      <c r="K113" s="26" t="str">
        <f aca="false">IF($A113="","",IF(COUNTIFS(Progress!$B$5:$B$3000,$A113)=0,"",SUMPRODUCT(MAX((Progress!$B$5:$B$3000=$A113)*Progress!$A$5:$A$3000))))</f>
        <v/>
      </c>
      <c r="L113" s="22"/>
    </row>
    <row r="114" customFormat="false" ht="15" hidden="false" customHeight="false" outlineLevel="0" collapsed="false">
      <c r="A114" s="22"/>
      <c r="B114" s="22"/>
      <c r="C114" s="23"/>
      <c r="D114" s="22"/>
      <c r="E114" s="24" t="str">
        <f aca="false">IF(OR($A114="",$B114=""),"",SUMPRODUCT((Levels!$A$5:$A$94=$B114)*(Levels!$B$5:$B$94=1)*(COUNTIFS(Progress!$B$5:$B$3000,$A114,Progress!$G$5:$G$3000,Levels!$G$5:$G$94)&gt;0))&amp;" / "&amp;COUNTIFS(Levels!$A$5:$A$94,$B114,Levels!$B$5:$B$94,1))</f>
        <v/>
      </c>
      <c r="F114" s="24" t="str">
        <f aca="false">IF(OR($A114="",$B114=""),"",SUMPRODUCT((Levels!$A$5:$A$94=$B114)*(Levels!$B$5:$B$94=2)*(COUNTIFS(Progress!$B$5:$B$3000,$A114,Progress!$G$5:$G$3000,Levels!$G$5:$G$94)&gt;0))&amp;" / "&amp;COUNTIFS(Levels!$A$5:$A$94,$B114,Levels!$B$5:$B$94,2))</f>
        <v/>
      </c>
      <c r="G114" s="24" t="str">
        <f aca="false">IF(OR($A114="",$B114=""),"",SUMPRODUCT((Levels!$A$5:$A$94=$B114)*(Levels!$B$5:$B$94=3)*(COUNTIFS(Progress!$B$5:$B$3000,$A114,Progress!$G$5:$G$3000,Levels!$G$5:$G$94)&gt;0))&amp;" / "&amp;COUNTIFS(Levels!$A$5:$A$94,$B114,Levels!$B$5:$B$94,3))</f>
        <v/>
      </c>
      <c r="H114" s="24" t="str">
        <f aca="false">IF(OR($A114="",$B114=""),"",SUMPRODUCT((Levels!$A$5:$A$94=$B114)*(Levels!$B$5:$B$94=4)*(COUNTIFS(Progress!$B$5:$B$3000,$A114,Progress!$G$5:$G$3000,Levels!$G$5:$G$94)&gt;0))&amp;" / "&amp;COUNTIFS(Levels!$A$5:$A$94,$B114,Levels!$B$5:$B$94,4))</f>
        <v/>
      </c>
      <c r="I114" s="24" t="str">
        <f aca="false">IF(OR($A114="",$B114=""),"",IF(SUMPRODUCT((Levels!$A$5:$A$94=$B114)*(Levels!$B$5:$B$94=1)*(COUNTIFS(Progress!$B$5:$B$3000,$A114,Progress!$G$5:$G$3000,Levels!$G$5:$G$94)&gt;0))&lt;COUNTIFS(Levels!$A$5:$A$94,$B114,Levels!$B$5:$B$94,1),"1 Rookie",IF(SUMPRODUCT((Levels!$A$5:$A$94=$B114)*(Levels!$B$5:$B$94=2)*(COUNTIFS(Progress!$B$5:$B$3000,$A114,Progress!$G$5:$G$3000,Levels!$G$5:$G$94)&gt;0))&lt;COUNTIFS(Levels!$A$5:$A$94,$B114,Levels!$B$5:$B$94,2),"2 Contender",IF(SUMPRODUCT((Levels!$A$5:$A$94=$B114)*(Levels!$B$5:$B$94=3)*(COUNTIFS(Progress!$B$5:$B$3000,$A114,Progress!$G$5:$G$3000,Levels!$G$5:$G$94)&gt;0))&lt;COUNTIFS(Levels!$A$5:$A$94,$B114,Levels!$B$5:$B$94,3),"3 Challenger",IF(SUMPRODUCT((Levels!$A$5:$A$94=$B114)*(Levels!$B$5:$B$94=4)*(COUNTIFS(Progress!$B$5:$B$3000,$A114,Progress!$G$5:$G$3000,Levels!$G$5:$G$94)&gt;0))&lt;COUNTIFS(Levels!$A$5:$A$94,$B114,Levels!$B$5:$B$94,4),"4 Champion","All done")))))</f>
        <v/>
      </c>
      <c r="J114" s="25" t="str">
        <f aca="false">IF(OR(I114="",I114="All done"),"",COUNTIFS(Levels!$A$5:$A$94,$B114,Levels!$B$5:$B$94,1)*(LEFT(I114,1)="1")+COUNTIFS(Levels!$A$5:$A$94,$B114,Levels!$B$5:$B$94,2)*(LEFT(I114,1)="2")+COUNTIFS(Levels!$A$5:$A$94,$B114,Levels!$B$5:$B$94,3)*(LEFT(I114,1)="3")+COUNTIFS(Levels!$A$5:$A$94,$B114,Levels!$B$5:$B$94,4)*(LEFT(I114,1)="4")-(SUMPRODUCT((Levels!$A$5:$A$94=$B114)*(Levels!$B$5:$B$94=1)*(COUNTIFS(Progress!$B$5:$B$3000,$A114,Progress!$G$5:$G$3000,Levels!$G$5:$G$94)&gt;0))*(LEFT(I114,1)="1")+SUMPRODUCT((Levels!$A$5:$A$94=$B114)*(Levels!$B$5:$B$94=2)*(COUNTIFS(Progress!$B$5:$B$3000,$A114,Progress!$G$5:$G$3000,Levels!$G$5:$G$94)&gt;0))*(LEFT(I114,1)="2")+SUMPRODUCT((Levels!$A$5:$A$94=$B114)*(Levels!$B$5:$B$94=3)*(COUNTIFS(Progress!$B$5:$B$3000,$A114,Progress!$G$5:$G$3000,Levels!$G$5:$G$94)&gt;0))*(LEFT(I114,1)="3")+SUMPRODUCT((Levels!$A$5:$A$94=$B114)*(Levels!$B$5:$B$94=4)*(COUNTIFS(Progress!$B$5:$B$3000,$A114,Progress!$G$5:$G$3000,Levels!$G$5:$G$94)&gt;0))*(LEFT(I114,1)="4")))</f>
        <v/>
      </c>
      <c r="K114" s="26" t="str">
        <f aca="false">IF($A114="","",IF(COUNTIFS(Progress!$B$5:$B$3000,$A114)=0,"",SUMPRODUCT(MAX((Progress!$B$5:$B$3000=$A114)*Progress!$A$5:$A$3000))))</f>
        <v/>
      </c>
      <c r="L114" s="22"/>
    </row>
    <row r="115" customFormat="false" ht="15" hidden="false" customHeight="false" outlineLevel="0" collapsed="false">
      <c r="A115" s="22"/>
      <c r="B115" s="22"/>
      <c r="C115" s="23"/>
      <c r="D115" s="22"/>
      <c r="E115" s="24" t="str">
        <f aca="false">IF(OR($A115="",$B115=""),"",SUMPRODUCT((Levels!$A$5:$A$94=$B115)*(Levels!$B$5:$B$94=1)*(COUNTIFS(Progress!$B$5:$B$3000,$A115,Progress!$G$5:$G$3000,Levels!$G$5:$G$94)&gt;0))&amp;" / "&amp;COUNTIFS(Levels!$A$5:$A$94,$B115,Levels!$B$5:$B$94,1))</f>
        <v/>
      </c>
      <c r="F115" s="24" t="str">
        <f aca="false">IF(OR($A115="",$B115=""),"",SUMPRODUCT((Levels!$A$5:$A$94=$B115)*(Levels!$B$5:$B$94=2)*(COUNTIFS(Progress!$B$5:$B$3000,$A115,Progress!$G$5:$G$3000,Levels!$G$5:$G$94)&gt;0))&amp;" / "&amp;COUNTIFS(Levels!$A$5:$A$94,$B115,Levels!$B$5:$B$94,2))</f>
        <v/>
      </c>
      <c r="G115" s="24" t="str">
        <f aca="false">IF(OR($A115="",$B115=""),"",SUMPRODUCT((Levels!$A$5:$A$94=$B115)*(Levels!$B$5:$B$94=3)*(COUNTIFS(Progress!$B$5:$B$3000,$A115,Progress!$G$5:$G$3000,Levels!$G$5:$G$94)&gt;0))&amp;" / "&amp;COUNTIFS(Levels!$A$5:$A$94,$B115,Levels!$B$5:$B$94,3))</f>
        <v/>
      </c>
      <c r="H115" s="24" t="str">
        <f aca="false">IF(OR($A115="",$B115=""),"",SUMPRODUCT((Levels!$A$5:$A$94=$B115)*(Levels!$B$5:$B$94=4)*(COUNTIFS(Progress!$B$5:$B$3000,$A115,Progress!$G$5:$G$3000,Levels!$G$5:$G$94)&gt;0))&amp;" / "&amp;COUNTIFS(Levels!$A$5:$A$94,$B115,Levels!$B$5:$B$94,4))</f>
        <v/>
      </c>
      <c r="I115" s="24" t="str">
        <f aca="false">IF(OR($A115="",$B115=""),"",IF(SUMPRODUCT((Levels!$A$5:$A$94=$B115)*(Levels!$B$5:$B$94=1)*(COUNTIFS(Progress!$B$5:$B$3000,$A115,Progress!$G$5:$G$3000,Levels!$G$5:$G$94)&gt;0))&lt;COUNTIFS(Levels!$A$5:$A$94,$B115,Levels!$B$5:$B$94,1),"1 Rookie",IF(SUMPRODUCT((Levels!$A$5:$A$94=$B115)*(Levels!$B$5:$B$94=2)*(COUNTIFS(Progress!$B$5:$B$3000,$A115,Progress!$G$5:$G$3000,Levels!$G$5:$G$94)&gt;0))&lt;COUNTIFS(Levels!$A$5:$A$94,$B115,Levels!$B$5:$B$94,2),"2 Contender",IF(SUMPRODUCT((Levels!$A$5:$A$94=$B115)*(Levels!$B$5:$B$94=3)*(COUNTIFS(Progress!$B$5:$B$3000,$A115,Progress!$G$5:$G$3000,Levels!$G$5:$G$94)&gt;0))&lt;COUNTIFS(Levels!$A$5:$A$94,$B115,Levels!$B$5:$B$94,3),"3 Challenger",IF(SUMPRODUCT((Levels!$A$5:$A$94=$B115)*(Levels!$B$5:$B$94=4)*(COUNTIFS(Progress!$B$5:$B$3000,$A115,Progress!$G$5:$G$3000,Levels!$G$5:$G$94)&gt;0))&lt;COUNTIFS(Levels!$A$5:$A$94,$B115,Levels!$B$5:$B$94,4),"4 Champion","All done")))))</f>
        <v/>
      </c>
      <c r="J115" s="25" t="str">
        <f aca="false">IF(OR(I115="",I115="All done"),"",COUNTIFS(Levels!$A$5:$A$94,$B115,Levels!$B$5:$B$94,1)*(LEFT(I115,1)="1")+COUNTIFS(Levels!$A$5:$A$94,$B115,Levels!$B$5:$B$94,2)*(LEFT(I115,1)="2")+COUNTIFS(Levels!$A$5:$A$94,$B115,Levels!$B$5:$B$94,3)*(LEFT(I115,1)="3")+COUNTIFS(Levels!$A$5:$A$94,$B115,Levels!$B$5:$B$94,4)*(LEFT(I115,1)="4")-(SUMPRODUCT((Levels!$A$5:$A$94=$B115)*(Levels!$B$5:$B$94=1)*(COUNTIFS(Progress!$B$5:$B$3000,$A115,Progress!$G$5:$G$3000,Levels!$G$5:$G$94)&gt;0))*(LEFT(I115,1)="1")+SUMPRODUCT((Levels!$A$5:$A$94=$B115)*(Levels!$B$5:$B$94=2)*(COUNTIFS(Progress!$B$5:$B$3000,$A115,Progress!$G$5:$G$3000,Levels!$G$5:$G$94)&gt;0))*(LEFT(I115,1)="2")+SUMPRODUCT((Levels!$A$5:$A$94=$B115)*(Levels!$B$5:$B$94=3)*(COUNTIFS(Progress!$B$5:$B$3000,$A115,Progress!$G$5:$G$3000,Levels!$G$5:$G$94)&gt;0))*(LEFT(I115,1)="3")+SUMPRODUCT((Levels!$A$5:$A$94=$B115)*(Levels!$B$5:$B$94=4)*(COUNTIFS(Progress!$B$5:$B$3000,$A115,Progress!$G$5:$G$3000,Levels!$G$5:$G$94)&gt;0))*(LEFT(I115,1)="4")))</f>
        <v/>
      </c>
      <c r="K115" s="26" t="str">
        <f aca="false">IF($A115="","",IF(COUNTIFS(Progress!$B$5:$B$3000,$A115)=0,"",SUMPRODUCT(MAX((Progress!$B$5:$B$3000=$A115)*Progress!$A$5:$A$3000))))</f>
        <v/>
      </c>
      <c r="L115" s="22"/>
    </row>
    <row r="116" customFormat="false" ht="15" hidden="false" customHeight="false" outlineLevel="0" collapsed="false">
      <c r="A116" s="22"/>
      <c r="B116" s="22"/>
      <c r="C116" s="23"/>
      <c r="D116" s="22"/>
      <c r="E116" s="24" t="str">
        <f aca="false">IF(OR($A116="",$B116=""),"",SUMPRODUCT((Levels!$A$5:$A$94=$B116)*(Levels!$B$5:$B$94=1)*(COUNTIFS(Progress!$B$5:$B$3000,$A116,Progress!$G$5:$G$3000,Levels!$G$5:$G$94)&gt;0))&amp;" / "&amp;COUNTIFS(Levels!$A$5:$A$94,$B116,Levels!$B$5:$B$94,1))</f>
        <v/>
      </c>
      <c r="F116" s="24" t="str">
        <f aca="false">IF(OR($A116="",$B116=""),"",SUMPRODUCT((Levels!$A$5:$A$94=$B116)*(Levels!$B$5:$B$94=2)*(COUNTIFS(Progress!$B$5:$B$3000,$A116,Progress!$G$5:$G$3000,Levels!$G$5:$G$94)&gt;0))&amp;" / "&amp;COUNTIFS(Levels!$A$5:$A$94,$B116,Levels!$B$5:$B$94,2))</f>
        <v/>
      </c>
      <c r="G116" s="24" t="str">
        <f aca="false">IF(OR($A116="",$B116=""),"",SUMPRODUCT((Levels!$A$5:$A$94=$B116)*(Levels!$B$5:$B$94=3)*(COUNTIFS(Progress!$B$5:$B$3000,$A116,Progress!$G$5:$G$3000,Levels!$G$5:$G$94)&gt;0))&amp;" / "&amp;COUNTIFS(Levels!$A$5:$A$94,$B116,Levels!$B$5:$B$94,3))</f>
        <v/>
      </c>
      <c r="H116" s="24" t="str">
        <f aca="false">IF(OR($A116="",$B116=""),"",SUMPRODUCT((Levels!$A$5:$A$94=$B116)*(Levels!$B$5:$B$94=4)*(COUNTIFS(Progress!$B$5:$B$3000,$A116,Progress!$G$5:$G$3000,Levels!$G$5:$G$94)&gt;0))&amp;" / "&amp;COUNTIFS(Levels!$A$5:$A$94,$B116,Levels!$B$5:$B$94,4))</f>
        <v/>
      </c>
      <c r="I116" s="24" t="str">
        <f aca="false">IF(OR($A116="",$B116=""),"",IF(SUMPRODUCT((Levels!$A$5:$A$94=$B116)*(Levels!$B$5:$B$94=1)*(COUNTIFS(Progress!$B$5:$B$3000,$A116,Progress!$G$5:$G$3000,Levels!$G$5:$G$94)&gt;0))&lt;COUNTIFS(Levels!$A$5:$A$94,$B116,Levels!$B$5:$B$94,1),"1 Rookie",IF(SUMPRODUCT((Levels!$A$5:$A$94=$B116)*(Levels!$B$5:$B$94=2)*(COUNTIFS(Progress!$B$5:$B$3000,$A116,Progress!$G$5:$G$3000,Levels!$G$5:$G$94)&gt;0))&lt;COUNTIFS(Levels!$A$5:$A$94,$B116,Levels!$B$5:$B$94,2),"2 Contender",IF(SUMPRODUCT((Levels!$A$5:$A$94=$B116)*(Levels!$B$5:$B$94=3)*(COUNTIFS(Progress!$B$5:$B$3000,$A116,Progress!$G$5:$G$3000,Levels!$G$5:$G$94)&gt;0))&lt;COUNTIFS(Levels!$A$5:$A$94,$B116,Levels!$B$5:$B$94,3),"3 Challenger",IF(SUMPRODUCT((Levels!$A$5:$A$94=$B116)*(Levels!$B$5:$B$94=4)*(COUNTIFS(Progress!$B$5:$B$3000,$A116,Progress!$G$5:$G$3000,Levels!$G$5:$G$94)&gt;0))&lt;COUNTIFS(Levels!$A$5:$A$94,$B116,Levels!$B$5:$B$94,4),"4 Champion","All done")))))</f>
        <v/>
      </c>
      <c r="J116" s="25" t="str">
        <f aca="false">IF(OR(I116="",I116="All done"),"",COUNTIFS(Levels!$A$5:$A$94,$B116,Levels!$B$5:$B$94,1)*(LEFT(I116,1)="1")+COUNTIFS(Levels!$A$5:$A$94,$B116,Levels!$B$5:$B$94,2)*(LEFT(I116,1)="2")+COUNTIFS(Levels!$A$5:$A$94,$B116,Levels!$B$5:$B$94,3)*(LEFT(I116,1)="3")+COUNTIFS(Levels!$A$5:$A$94,$B116,Levels!$B$5:$B$94,4)*(LEFT(I116,1)="4")-(SUMPRODUCT((Levels!$A$5:$A$94=$B116)*(Levels!$B$5:$B$94=1)*(COUNTIFS(Progress!$B$5:$B$3000,$A116,Progress!$G$5:$G$3000,Levels!$G$5:$G$94)&gt;0))*(LEFT(I116,1)="1")+SUMPRODUCT((Levels!$A$5:$A$94=$B116)*(Levels!$B$5:$B$94=2)*(COUNTIFS(Progress!$B$5:$B$3000,$A116,Progress!$G$5:$G$3000,Levels!$G$5:$G$94)&gt;0))*(LEFT(I116,1)="2")+SUMPRODUCT((Levels!$A$5:$A$94=$B116)*(Levels!$B$5:$B$94=3)*(COUNTIFS(Progress!$B$5:$B$3000,$A116,Progress!$G$5:$G$3000,Levels!$G$5:$G$94)&gt;0))*(LEFT(I116,1)="3")+SUMPRODUCT((Levels!$A$5:$A$94=$B116)*(Levels!$B$5:$B$94=4)*(COUNTIFS(Progress!$B$5:$B$3000,$A116,Progress!$G$5:$G$3000,Levels!$G$5:$G$94)&gt;0))*(LEFT(I116,1)="4")))</f>
        <v/>
      </c>
      <c r="K116" s="26" t="str">
        <f aca="false">IF($A116="","",IF(COUNTIFS(Progress!$B$5:$B$3000,$A116)=0,"",SUMPRODUCT(MAX((Progress!$B$5:$B$3000=$A116)*Progress!$A$5:$A$3000))))</f>
        <v/>
      </c>
      <c r="L116" s="22"/>
    </row>
    <row r="117" customFormat="false" ht="15" hidden="false" customHeight="false" outlineLevel="0" collapsed="false">
      <c r="A117" s="22"/>
      <c r="B117" s="22"/>
      <c r="C117" s="23"/>
      <c r="D117" s="22"/>
      <c r="E117" s="24" t="str">
        <f aca="false">IF(OR($A117="",$B117=""),"",SUMPRODUCT((Levels!$A$5:$A$94=$B117)*(Levels!$B$5:$B$94=1)*(COUNTIFS(Progress!$B$5:$B$3000,$A117,Progress!$G$5:$G$3000,Levels!$G$5:$G$94)&gt;0))&amp;" / "&amp;COUNTIFS(Levels!$A$5:$A$94,$B117,Levels!$B$5:$B$94,1))</f>
        <v/>
      </c>
      <c r="F117" s="24" t="str">
        <f aca="false">IF(OR($A117="",$B117=""),"",SUMPRODUCT((Levels!$A$5:$A$94=$B117)*(Levels!$B$5:$B$94=2)*(COUNTIFS(Progress!$B$5:$B$3000,$A117,Progress!$G$5:$G$3000,Levels!$G$5:$G$94)&gt;0))&amp;" / "&amp;COUNTIFS(Levels!$A$5:$A$94,$B117,Levels!$B$5:$B$94,2))</f>
        <v/>
      </c>
      <c r="G117" s="24" t="str">
        <f aca="false">IF(OR($A117="",$B117=""),"",SUMPRODUCT((Levels!$A$5:$A$94=$B117)*(Levels!$B$5:$B$94=3)*(COUNTIFS(Progress!$B$5:$B$3000,$A117,Progress!$G$5:$G$3000,Levels!$G$5:$G$94)&gt;0))&amp;" / "&amp;COUNTIFS(Levels!$A$5:$A$94,$B117,Levels!$B$5:$B$94,3))</f>
        <v/>
      </c>
      <c r="H117" s="24" t="str">
        <f aca="false">IF(OR($A117="",$B117=""),"",SUMPRODUCT((Levels!$A$5:$A$94=$B117)*(Levels!$B$5:$B$94=4)*(COUNTIFS(Progress!$B$5:$B$3000,$A117,Progress!$G$5:$G$3000,Levels!$G$5:$G$94)&gt;0))&amp;" / "&amp;COUNTIFS(Levels!$A$5:$A$94,$B117,Levels!$B$5:$B$94,4))</f>
        <v/>
      </c>
      <c r="I117" s="24" t="str">
        <f aca="false">IF(OR($A117="",$B117=""),"",IF(SUMPRODUCT((Levels!$A$5:$A$94=$B117)*(Levels!$B$5:$B$94=1)*(COUNTIFS(Progress!$B$5:$B$3000,$A117,Progress!$G$5:$G$3000,Levels!$G$5:$G$94)&gt;0))&lt;COUNTIFS(Levels!$A$5:$A$94,$B117,Levels!$B$5:$B$94,1),"1 Rookie",IF(SUMPRODUCT((Levels!$A$5:$A$94=$B117)*(Levels!$B$5:$B$94=2)*(COUNTIFS(Progress!$B$5:$B$3000,$A117,Progress!$G$5:$G$3000,Levels!$G$5:$G$94)&gt;0))&lt;COUNTIFS(Levels!$A$5:$A$94,$B117,Levels!$B$5:$B$94,2),"2 Contender",IF(SUMPRODUCT((Levels!$A$5:$A$94=$B117)*(Levels!$B$5:$B$94=3)*(COUNTIFS(Progress!$B$5:$B$3000,$A117,Progress!$G$5:$G$3000,Levels!$G$5:$G$94)&gt;0))&lt;COUNTIFS(Levels!$A$5:$A$94,$B117,Levels!$B$5:$B$94,3),"3 Challenger",IF(SUMPRODUCT((Levels!$A$5:$A$94=$B117)*(Levels!$B$5:$B$94=4)*(COUNTIFS(Progress!$B$5:$B$3000,$A117,Progress!$G$5:$G$3000,Levels!$G$5:$G$94)&gt;0))&lt;COUNTIFS(Levels!$A$5:$A$94,$B117,Levels!$B$5:$B$94,4),"4 Champion","All done")))))</f>
        <v/>
      </c>
      <c r="J117" s="25" t="str">
        <f aca="false">IF(OR(I117="",I117="All done"),"",COUNTIFS(Levels!$A$5:$A$94,$B117,Levels!$B$5:$B$94,1)*(LEFT(I117,1)="1")+COUNTIFS(Levels!$A$5:$A$94,$B117,Levels!$B$5:$B$94,2)*(LEFT(I117,1)="2")+COUNTIFS(Levels!$A$5:$A$94,$B117,Levels!$B$5:$B$94,3)*(LEFT(I117,1)="3")+COUNTIFS(Levels!$A$5:$A$94,$B117,Levels!$B$5:$B$94,4)*(LEFT(I117,1)="4")-(SUMPRODUCT((Levels!$A$5:$A$94=$B117)*(Levels!$B$5:$B$94=1)*(COUNTIFS(Progress!$B$5:$B$3000,$A117,Progress!$G$5:$G$3000,Levels!$G$5:$G$94)&gt;0))*(LEFT(I117,1)="1")+SUMPRODUCT((Levels!$A$5:$A$94=$B117)*(Levels!$B$5:$B$94=2)*(COUNTIFS(Progress!$B$5:$B$3000,$A117,Progress!$G$5:$G$3000,Levels!$G$5:$G$94)&gt;0))*(LEFT(I117,1)="2")+SUMPRODUCT((Levels!$A$5:$A$94=$B117)*(Levels!$B$5:$B$94=3)*(COUNTIFS(Progress!$B$5:$B$3000,$A117,Progress!$G$5:$G$3000,Levels!$G$5:$G$94)&gt;0))*(LEFT(I117,1)="3")+SUMPRODUCT((Levels!$A$5:$A$94=$B117)*(Levels!$B$5:$B$94=4)*(COUNTIFS(Progress!$B$5:$B$3000,$A117,Progress!$G$5:$G$3000,Levels!$G$5:$G$94)&gt;0))*(LEFT(I117,1)="4")))</f>
        <v/>
      </c>
      <c r="K117" s="26" t="str">
        <f aca="false">IF($A117="","",IF(COUNTIFS(Progress!$B$5:$B$3000,$A117)=0,"",SUMPRODUCT(MAX((Progress!$B$5:$B$3000=$A117)*Progress!$A$5:$A$3000))))</f>
        <v/>
      </c>
      <c r="L117" s="22"/>
    </row>
    <row r="118" customFormat="false" ht="15" hidden="false" customHeight="false" outlineLevel="0" collapsed="false">
      <c r="A118" s="22"/>
      <c r="B118" s="22"/>
      <c r="C118" s="23"/>
      <c r="D118" s="22"/>
      <c r="E118" s="24" t="str">
        <f aca="false">IF(OR($A118="",$B118=""),"",SUMPRODUCT((Levels!$A$5:$A$94=$B118)*(Levels!$B$5:$B$94=1)*(COUNTIFS(Progress!$B$5:$B$3000,$A118,Progress!$G$5:$G$3000,Levels!$G$5:$G$94)&gt;0))&amp;" / "&amp;COUNTIFS(Levels!$A$5:$A$94,$B118,Levels!$B$5:$B$94,1))</f>
        <v/>
      </c>
      <c r="F118" s="24" t="str">
        <f aca="false">IF(OR($A118="",$B118=""),"",SUMPRODUCT((Levels!$A$5:$A$94=$B118)*(Levels!$B$5:$B$94=2)*(COUNTIFS(Progress!$B$5:$B$3000,$A118,Progress!$G$5:$G$3000,Levels!$G$5:$G$94)&gt;0))&amp;" / "&amp;COUNTIFS(Levels!$A$5:$A$94,$B118,Levels!$B$5:$B$94,2))</f>
        <v/>
      </c>
      <c r="G118" s="24" t="str">
        <f aca="false">IF(OR($A118="",$B118=""),"",SUMPRODUCT((Levels!$A$5:$A$94=$B118)*(Levels!$B$5:$B$94=3)*(COUNTIFS(Progress!$B$5:$B$3000,$A118,Progress!$G$5:$G$3000,Levels!$G$5:$G$94)&gt;0))&amp;" / "&amp;COUNTIFS(Levels!$A$5:$A$94,$B118,Levels!$B$5:$B$94,3))</f>
        <v/>
      </c>
      <c r="H118" s="24" t="str">
        <f aca="false">IF(OR($A118="",$B118=""),"",SUMPRODUCT((Levels!$A$5:$A$94=$B118)*(Levels!$B$5:$B$94=4)*(COUNTIFS(Progress!$B$5:$B$3000,$A118,Progress!$G$5:$G$3000,Levels!$G$5:$G$94)&gt;0))&amp;" / "&amp;COUNTIFS(Levels!$A$5:$A$94,$B118,Levels!$B$5:$B$94,4))</f>
        <v/>
      </c>
      <c r="I118" s="24" t="str">
        <f aca="false">IF(OR($A118="",$B118=""),"",IF(SUMPRODUCT((Levels!$A$5:$A$94=$B118)*(Levels!$B$5:$B$94=1)*(COUNTIFS(Progress!$B$5:$B$3000,$A118,Progress!$G$5:$G$3000,Levels!$G$5:$G$94)&gt;0))&lt;COUNTIFS(Levels!$A$5:$A$94,$B118,Levels!$B$5:$B$94,1),"1 Rookie",IF(SUMPRODUCT((Levels!$A$5:$A$94=$B118)*(Levels!$B$5:$B$94=2)*(COUNTIFS(Progress!$B$5:$B$3000,$A118,Progress!$G$5:$G$3000,Levels!$G$5:$G$94)&gt;0))&lt;COUNTIFS(Levels!$A$5:$A$94,$B118,Levels!$B$5:$B$94,2),"2 Contender",IF(SUMPRODUCT((Levels!$A$5:$A$94=$B118)*(Levels!$B$5:$B$94=3)*(COUNTIFS(Progress!$B$5:$B$3000,$A118,Progress!$G$5:$G$3000,Levels!$G$5:$G$94)&gt;0))&lt;COUNTIFS(Levels!$A$5:$A$94,$B118,Levels!$B$5:$B$94,3),"3 Challenger",IF(SUMPRODUCT((Levels!$A$5:$A$94=$B118)*(Levels!$B$5:$B$94=4)*(COUNTIFS(Progress!$B$5:$B$3000,$A118,Progress!$G$5:$G$3000,Levels!$G$5:$G$94)&gt;0))&lt;COUNTIFS(Levels!$A$5:$A$94,$B118,Levels!$B$5:$B$94,4),"4 Champion","All done")))))</f>
        <v/>
      </c>
      <c r="J118" s="25" t="str">
        <f aca="false">IF(OR(I118="",I118="All done"),"",COUNTIFS(Levels!$A$5:$A$94,$B118,Levels!$B$5:$B$94,1)*(LEFT(I118,1)="1")+COUNTIFS(Levels!$A$5:$A$94,$B118,Levels!$B$5:$B$94,2)*(LEFT(I118,1)="2")+COUNTIFS(Levels!$A$5:$A$94,$B118,Levels!$B$5:$B$94,3)*(LEFT(I118,1)="3")+COUNTIFS(Levels!$A$5:$A$94,$B118,Levels!$B$5:$B$94,4)*(LEFT(I118,1)="4")-(SUMPRODUCT((Levels!$A$5:$A$94=$B118)*(Levels!$B$5:$B$94=1)*(COUNTIFS(Progress!$B$5:$B$3000,$A118,Progress!$G$5:$G$3000,Levels!$G$5:$G$94)&gt;0))*(LEFT(I118,1)="1")+SUMPRODUCT((Levels!$A$5:$A$94=$B118)*(Levels!$B$5:$B$94=2)*(COUNTIFS(Progress!$B$5:$B$3000,$A118,Progress!$G$5:$G$3000,Levels!$G$5:$G$94)&gt;0))*(LEFT(I118,1)="2")+SUMPRODUCT((Levels!$A$5:$A$94=$B118)*(Levels!$B$5:$B$94=3)*(COUNTIFS(Progress!$B$5:$B$3000,$A118,Progress!$G$5:$G$3000,Levels!$G$5:$G$94)&gt;0))*(LEFT(I118,1)="3")+SUMPRODUCT((Levels!$A$5:$A$94=$B118)*(Levels!$B$5:$B$94=4)*(COUNTIFS(Progress!$B$5:$B$3000,$A118,Progress!$G$5:$G$3000,Levels!$G$5:$G$94)&gt;0))*(LEFT(I118,1)="4")))</f>
        <v/>
      </c>
      <c r="K118" s="26" t="str">
        <f aca="false">IF($A118="","",IF(COUNTIFS(Progress!$B$5:$B$3000,$A118)=0,"",SUMPRODUCT(MAX((Progress!$B$5:$B$3000=$A118)*Progress!$A$5:$A$3000))))</f>
        <v/>
      </c>
      <c r="L118" s="22"/>
    </row>
    <row r="119" customFormat="false" ht="15" hidden="false" customHeight="false" outlineLevel="0" collapsed="false">
      <c r="A119" s="22"/>
      <c r="B119" s="22"/>
      <c r="C119" s="23"/>
      <c r="D119" s="22"/>
      <c r="E119" s="24" t="str">
        <f aca="false">IF(OR($A119="",$B119=""),"",SUMPRODUCT((Levels!$A$5:$A$94=$B119)*(Levels!$B$5:$B$94=1)*(COUNTIFS(Progress!$B$5:$B$3000,$A119,Progress!$G$5:$G$3000,Levels!$G$5:$G$94)&gt;0))&amp;" / "&amp;COUNTIFS(Levels!$A$5:$A$94,$B119,Levels!$B$5:$B$94,1))</f>
        <v/>
      </c>
      <c r="F119" s="24" t="str">
        <f aca="false">IF(OR($A119="",$B119=""),"",SUMPRODUCT((Levels!$A$5:$A$94=$B119)*(Levels!$B$5:$B$94=2)*(COUNTIFS(Progress!$B$5:$B$3000,$A119,Progress!$G$5:$G$3000,Levels!$G$5:$G$94)&gt;0))&amp;" / "&amp;COUNTIFS(Levels!$A$5:$A$94,$B119,Levels!$B$5:$B$94,2))</f>
        <v/>
      </c>
      <c r="G119" s="24" t="str">
        <f aca="false">IF(OR($A119="",$B119=""),"",SUMPRODUCT((Levels!$A$5:$A$94=$B119)*(Levels!$B$5:$B$94=3)*(COUNTIFS(Progress!$B$5:$B$3000,$A119,Progress!$G$5:$G$3000,Levels!$G$5:$G$94)&gt;0))&amp;" / "&amp;COUNTIFS(Levels!$A$5:$A$94,$B119,Levels!$B$5:$B$94,3))</f>
        <v/>
      </c>
      <c r="H119" s="24" t="str">
        <f aca="false">IF(OR($A119="",$B119=""),"",SUMPRODUCT((Levels!$A$5:$A$94=$B119)*(Levels!$B$5:$B$94=4)*(COUNTIFS(Progress!$B$5:$B$3000,$A119,Progress!$G$5:$G$3000,Levels!$G$5:$G$94)&gt;0))&amp;" / "&amp;COUNTIFS(Levels!$A$5:$A$94,$B119,Levels!$B$5:$B$94,4))</f>
        <v/>
      </c>
      <c r="I119" s="24" t="str">
        <f aca="false">IF(OR($A119="",$B119=""),"",IF(SUMPRODUCT((Levels!$A$5:$A$94=$B119)*(Levels!$B$5:$B$94=1)*(COUNTIFS(Progress!$B$5:$B$3000,$A119,Progress!$G$5:$G$3000,Levels!$G$5:$G$94)&gt;0))&lt;COUNTIFS(Levels!$A$5:$A$94,$B119,Levels!$B$5:$B$94,1),"1 Rookie",IF(SUMPRODUCT((Levels!$A$5:$A$94=$B119)*(Levels!$B$5:$B$94=2)*(COUNTIFS(Progress!$B$5:$B$3000,$A119,Progress!$G$5:$G$3000,Levels!$G$5:$G$94)&gt;0))&lt;COUNTIFS(Levels!$A$5:$A$94,$B119,Levels!$B$5:$B$94,2),"2 Contender",IF(SUMPRODUCT((Levels!$A$5:$A$94=$B119)*(Levels!$B$5:$B$94=3)*(COUNTIFS(Progress!$B$5:$B$3000,$A119,Progress!$G$5:$G$3000,Levels!$G$5:$G$94)&gt;0))&lt;COUNTIFS(Levels!$A$5:$A$94,$B119,Levels!$B$5:$B$94,3),"3 Challenger",IF(SUMPRODUCT((Levels!$A$5:$A$94=$B119)*(Levels!$B$5:$B$94=4)*(COUNTIFS(Progress!$B$5:$B$3000,$A119,Progress!$G$5:$G$3000,Levels!$G$5:$G$94)&gt;0))&lt;COUNTIFS(Levels!$A$5:$A$94,$B119,Levels!$B$5:$B$94,4),"4 Champion","All done")))))</f>
        <v/>
      </c>
      <c r="J119" s="25" t="str">
        <f aca="false">IF(OR(I119="",I119="All done"),"",COUNTIFS(Levels!$A$5:$A$94,$B119,Levels!$B$5:$B$94,1)*(LEFT(I119,1)="1")+COUNTIFS(Levels!$A$5:$A$94,$B119,Levels!$B$5:$B$94,2)*(LEFT(I119,1)="2")+COUNTIFS(Levels!$A$5:$A$94,$B119,Levels!$B$5:$B$94,3)*(LEFT(I119,1)="3")+COUNTIFS(Levels!$A$5:$A$94,$B119,Levels!$B$5:$B$94,4)*(LEFT(I119,1)="4")-(SUMPRODUCT((Levels!$A$5:$A$94=$B119)*(Levels!$B$5:$B$94=1)*(COUNTIFS(Progress!$B$5:$B$3000,$A119,Progress!$G$5:$G$3000,Levels!$G$5:$G$94)&gt;0))*(LEFT(I119,1)="1")+SUMPRODUCT((Levels!$A$5:$A$94=$B119)*(Levels!$B$5:$B$94=2)*(COUNTIFS(Progress!$B$5:$B$3000,$A119,Progress!$G$5:$G$3000,Levels!$G$5:$G$94)&gt;0))*(LEFT(I119,1)="2")+SUMPRODUCT((Levels!$A$5:$A$94=$B119)*(Levels!$B$5:$B$94=3)*(COUNTIFS(Progress!$B$5:$B$3000,$A119,Progress!$G$5:$G$3000,Levels!$G$5:$G$94)&gt;0))*(LEFT(I119,1)="3")+SUMPRODUCT((Levels!$A$5:$A$94=$B119)*(Levels!$B$5:$B$94=4)*(COUNTIFS(Progress!$B$5:$B$3000,$A119,Progress!$G$5:$G$3000,Levels!$G$5:$G$94)&gt;0))*(LEFT(I119,1)="4")))</f>
        <v/>
      </c>
      <c r="K119" s="26" t="str">
        <f aca="false">IF($A119="","",IF(COUNTIFS(Progress!$B$5:$B$3000,$A119)=0,"",SUMPRODUCT(MAX((Progress!$B$5:$B$3000=$A119)*Progress!$A$5:$A$3000))))</f>
        <v/>
      </c>
      <c r="L119" s="22"/>
    </row>
    <row r="120" customFormat="false" ht="15" hidden="false" customHeight="false" outlineLevel="0" collapsed="false">
      <c r="A120" s="22"/>
      <c r="B120" s="22"/>
      <c r="C120" s="23"/>
      <c r="D120" s="22"/>
      <c r="E120" s="24" t="str">
        <f aca="false">IF(OR($A120="",$B120=""),"",SUMPRODUCT((Levels!$A$5:$A$94=$B120)*(Levels!$B$5:$B$94=1)*(COUNTIFS(Progress!$B$5:$B$3000,$A120,Progress!$G$5:$G$3000,Levels!$G$5:$G$94)&gt;0))&amp;" / "&amp;COUNTIFS(Levels!$A$5:$A$94,$B120,Levels!$B$5:$B$94,1))</f>
        <v/>
      </c>
      <c r="F120" s="24" t="str">
        <f aca="false">IF(OR($A120="",$B120=""),"",SUMPRODUCT((Levels!$A$5:$A$94=$B120)*(Levels!$B$5:$B$94=2)*(COUNTIFS(Progress!$B$5:$B$3000,$A120,Progress!$G$5:$G$3000,Levels!$G$5:$G$94)&gt;0))&amp;" / "&amp;COUNTIFS(Levels!$A$5:$A$94,$B120,Levels!$B$5:$B$94,2))</f>
        <v/>
      </c>
      <c r="G120" s="24" t="str">
        <f aca="false">IF(OR($A120="",$B120=""),"",SUMPRODUCT((Levels!$A$5:$A$94=$B120)*(Levels!$B$5:$B$94=3)*(COUNTIFS(Progress!$B$5:$B$3000,$A120,Progress!$G$5:$G$3000,Levels!$G$5:$G$94)&gt;0))&amp;" / "&amp;COUNTIFS(Levels!$A$5:$A$94,$B120,Levels!$B$5:$B$94,3))</f>
        <v/>
      </c>
      <c r="H120" s="24" t="str">
        <f aca="false">IF(OR($A120="",$B120=""),"",SUMPRODUCT((Levels!$A$5:$A$94=$B120)*(Levels!$B$5:$B$94=4)*(COUNTIFS(Progress!$B$5:$B$3000,$A120,Progress!$G$5:$G$3000,Levels!$G$5:$G$94)&gt;0))&amp;" / "&amp;COUNTIFS(Levels!$A$5:$A$94,$B120,Levels!$B$5:$B$94,4))</f>
        <v/>
      </c>
      <c r="I120" s="24" t="str">
        <f aca="false">IF(OR($A120="",$B120=""),"",IF(SUMPRODUCT((Levels!$A$5:$A$94=$B120)*(Levels!$B$5:$B$94=1)*(COUNTIFS(Progress!$B$5:$B$3000,$A120,Progress!$G$5:$G$3000,Levels!$G$5:$G$94)&gt;0))&lt;COUNTIFS(Levels!$A$5:$A$94,$B120,Levels!$B$5:$B$94,1),"1 Rookie",IF(SUMPRODUCT((Levels!$A$5:$A$94=$B120)*(Levels!$B$5:$B$94=2)*(COUNTIFS(Progress!$B$5:$B$3000,$A120,Progress!$G$5:$G$3000,Levels!$G$5:$G$94)&gt;0))&lt;COUNTIFS(Levels!$A$5:$A$94,$B120,Levels!$B$5:$B$94,2),"2 Contender",IF(SUMPRODUCT((Levels!$A$5:$A$94=$B120)*(Levels!$B$5:$B$94=3)*(COUNTIFS(Progress!$B$5:$B$3000,$A120,Progress!$G$5:$G$3000,Levels!$G$5:$G$94)&gt;0))&lt;COUNTIFS(Levels!$A$5:$A$94,$B120,Levels!$B$5:$B$94,3),"3 Challenger",IF(SUMPRODUCT((Levels!$A$5:$A$94=$B120)*(Levels!$B$5:$B$94=4)*(COUNTIFS(Progress!$B$5:$B$3000,$A120,Progress!$G$5:$G$3000,Levels!$G$5:$G$94)&gt;0))&lt;COUNTIFS(Levels!$A$5:$A$94,$B120,Levels!$B$5:$B$94,4),"4 Champion","All done")))))</f>
        <v/>
      </c>
      <c r="J120" s="25" t="str">
        <f aca="false">IF(OR(I120="",I120="All done"),"",COUNTIFS(Levels!$A$5:$A$94,$B120,Levels!$B$5:$B$94,1)*(LEFT(I120,1)="1")+COUNTIFS(Levels!$A$5:$A$94,$B120,Levels!$B$5:$B$94,2)*(LEFT(I120,1)="2")+COUNTIFS(Levels!$A$5:$A$94,$B120,Levels!$B$5:$B$94,3)*(LEFT(I120,1)="3")+COUNTIFS(Levels!$A$5:$A$94,$B120,Levels!$B$5:$B$94,4)*(LEFT(I120,1)="4")-(SUMPRODUCT((Levels!$A$5:$A$94=$B120)*(Levels!$B$5:$B$94=1)*(COUNTIFS(Progress!$B$5:$B$3000,$A120,Progress!$G$5:$G$3000,Levels!$G$5:$G$94)&gt;0))*(LEFT(I120,1)="1")+SUMPRODUCT((Levels!$A$5:$A$94=$B120)*(Levels!$B$5:$B$94=2)*(COUNTIFS(Progress!$B$5:$B$3000,$A120,Progress!$G$5:$G$3000,Levels!$G$5:$G$94)&gt;0))*(LEFT(I120,1)="2")+SUMPRODUCT((Levels!$A$5:$A$94=$B120)*(Levels!$B$5:$B$94=3)*(COUNTIFS(Progress!$B$5:$B$3000,$A120,Progress!$G$5:$G$3000,Levels!$G$5:$G$94)&gt;0))*(LEFT(I120,1)="3")+SUMPRODUCT((Levels!$A$5:$A$94=$B120)*(Levels!$B$5:$B$94=4)*(COUNTIFS(Progress!$B$5:$B$3000,$A120,Progress!$G$5:$G$3000,Levels!$G$5:$G$94)&gt;0))*(LEFT(I120,1)="4")))</f>
        <v/>
      </c>
      <c r="K120" s="26" t="str">
        <f aca="false">IF($A120="","",IF(COUNTIFS(Progress!$B$5:$B$3000,$A120)=0,"",SUMPRODUCT(MAX((Progress!$B$5:$B$3000=$A120)*Progress!$A$5:$A$3000))))</f>
        <v/>
      </c>
      <c r="L120" s="22"/>
    </row>
    <row r="121" customFormat="false" ht="15" hidden="false" customHeight="false" outlineLevel="0" collapsed="false">
      <c r="A121" s="22"/>
      <c r="B121" s="22"/>
      <c r="C121" s="23"/>
      <c r="D121" s="22"/>
      <c r="E121" s="24" t="str">
        <f aca="false">IF(OR($A121="",$B121=""),"",SUMPRODUCT((Levels!$A$5:$A$94=$B121)*(Levels!$B$5:$B$94=1)*(COUNTIFS(Progress!$B$5:$B$3000,$A121,Progress!$G$5:$G$3000,Levels!$G$5:$G$94)&gt;0))&amp;" / "&amp;COUNTIFS(Levels!$A$5:$A$94,$B121,Levels!$B$5:$B$94,1))</f>
        <v/>
      </c>
      <c r="F121" s="24" t="str">
        <f aca="false">IF(OR($A121="",$B121=""),"",SUMPRODUCT((Levels!$A$5:$A$94=$B121)*(Levels!$B$5:$B$94=2)*(COUNTIFS(Progress!$B$5:$B$3000,$A121,Progress!$G$5:$G$3000,Levels!$G$5:$G$94)&gt;0))&amp;" / "&amp;COUNTIFS(Levels!$A$5:$A$94,$B121,Levels!$B$5:$B$94,2))</f>
        <v/>
      </c>
      <c r="G121" s="24" t="str">
        <f aca="false">IF(OR($A121="",$B121=""),"",SUMPRODUCT((Levels!$A$5:$A$94=$B121)*(Levels!$B$5:$B$94=3)*(COUNTIFS(Progress!$B$5:$B$3000,$A121,Progress!$G$5:$G$3000,Levels!$G$5:$G$94)&gt;0))&amp;" / "&amp;COUNTIFS(Levels!$A$5:$A$94,$B121,Levels!$B$5:$B$94,3))</f>
        <v/>
      </c>
      <c r="H121" s="24" t="str">
        <f aca="false">IF(OR($A121="",$B121=""),"",SUMPRODUCT((Levels!$A$5:$A$94=$B121)*(Levels!$B$5:$B$94=4)*(COUNTIFS(Progress!$B$5:$B$3000,$A121,Progress!$G$5:$G$3000,Levels!$G$5:$G$94)&gt;0))&amp;" / "&amp;COUNTIFS(Levels!$A$5:$A$94,$B121,Levels!$B$5:$B$94,4))</f>
        <v/>
      </c>
      <c r="I121" s="24" t="str">
        <f aca="false">IF(OR($A121="",$B121=""),"",IF(SUMPRODUCT((Levels!$A$5:$A$94=$B121)*(Levels!$B$5:$B$94=1)*(COUNTIFS(Progress!$B$5:$B$3000,$A121,Progress!$G$5:$G$3000,Levels!$G$5:$G$94)&gt;0))&lt;COUNTIFS(Levels!$A$5:$A$94,$B121,Levels!$B$5:$B$94,1),"1 Rookie",IF(SUMPRODUCT((Levels!$A$5:$A$94=$B121)*(Levels!$B$5:$B$94=2)*(COUNTIFS(Progress!$B$5:$B$3000,$A121,Progress!$G$5:$G$3000,Levels!$G$5:$G$94)&gt;0))&lt;COUNTIFS(Levels!$A$5:$A$94,$B121,Levels!$B$5:$B$94,2),"2 Contender",IF(SUMPRODUCT((Levels!$A$5:$A$94=$B121)*(Levels!$B$5:$B$94=3)*(COUNTIFS(Progress!$B$5:$B$3000,$A121,Progress!$G$5:$G$3000,Levels!$G$5:$G$94)&gt;0))&lt;COUNTIFS(Levels!$A$5:$A$94,$B121,Levels!$B$5:$B$94,3),"3 Challenger",IF(SUMPRODUCT((Levels!$A$5:$A$94=$B121)*(Levels!$B$5:$B$94=4)*(COUNTIFS(Progress!$B$5:$B$3000,$A121,Progress!$G$5:$G$3000,Levels!$G$5:$G$94)&gt;0))&lt;COUNTIFS(Levels!$A$5:$A$94,$B121,Levels!$B$5:$B$94,4),"4 Champion","All done")))))</f>
        <v/>
      </c>
      <c r="J121" s="25" t="str">
        <f aca="false">IF(OR(I121="",I121="All done"),"",COUNTIFS(Levels!$A$5:$A$94,$B121,Levels!$B$5:$B$94,1)*(LEFT(I121,1)="1")+COUNTIFS(Levels!$A$5:$A$94,$B121,Levels!$B$5:$B$94,2)*(LEFT(I121,1)="2")+COUNTIFS(Levels!$A$5:$A$94,$B121,Levels!$B$5:$B$94,3)*(LEFT(I121,1)="3")+COUNTIFS(Levels!$A$5:$A$94,$B121,Levels!$B$5:$B$94,4)*(LEFT(I121,1)="4")-(SUMPRODUCT((Levels!$A$5:$A$94=$B121)*(Levels!$B$5:$B$94=1)*(COUNTIFS(Progress!$B$5:$B$3000,$A121,Progress!$G$5:$G$3000,Levels!$G$5:$G$94)&gt;0))*(LEFT(I121,1)="1")+SUMPRODUCT((Levels!$A$5:$A$94=$B121)*(Levels!$B$5:$B$94=2)*(COUNTIFS(Progress!$B$5:$B$3000,$A121,Progress!$G$5:$G$3000,Levels!$G$5:$G$94)&gt;0))*(LEFT(I121,1)="2")+SUMPRODUCT((Levels!$A$5:$A$94=$B121)*(Levels!$B$5:$B$94=3)*(COUNTIFS(Progress!$B$5:$B$3000,$A121,Progress!$G$5:$G$3000,Levels!$G$5:$G$94)&gt;0))*(LEFT(I121,1)="3")+SUMPRODUCT((Levels!$A$5:$A$94=$B121)*(Levels!$B$5:$B$94=4)*(COUNTIFS(Progress!$B$5:$B$3000,$A121,Progress!$G$5:$G$3000,Levels!$G$5:$G$94)&gt;0))*(LEFT(I121,1)="4")))</f>
        <v/>
      </c>
      <c r="K121" s="26" t="str">
        <f aca="false">IF($A121="","",IF(COUNTIFS(Progress!$B$5:$B$3000,$A121)=0,"",SUMPRODUCT(MAX((Progress!$B$5:$B$3000=$A121)*Progress!$A$5:$A$3000))))</f>
        <v/>
      </c>
      <c r="L121" s="22"/>
    </row>
    <row r="122" customFormat="false" ht="15" hidden="false" customHeight="false" outlineLevel="0" collapsed="false">
      <c r="A122" s="22"/>
      <c r="B122" s="22"/>
      <c r="C122" s="23"/>
      <c r="D122" s="22"/>
      <c r="E122" s="24" t="str">
        <f aca="false">IF(OR($A122="",$B122=""),"",SUMPRODUCT((Levels!$A$5:$A$94=$B122)*(Levels!$B$5:$B$94=1)*(COUNTIFS(Progress!$B$5:$B$3000,$A122,Progress!$G$5:$G$3000,Levels!$G$5:$G$94)&gt;0))&amp;" / "&amp;COUNTIFS(Levels!$A$5:$A$94,$B122,Levels!$B$5:$B$94,1))</f>
        <v/>
      </c>
      <c r="F122" s="24" t="str">
        <f aca="false">IF(OR($A122="",$B122=""),"",SUMPRODUCT((Levels!$A$5:$A$94=$B122)*(Levels!$B$5:$B$94=2)*(COUNTIFS(Progress!$B$5:$B$3000,$A122,Progress!$G$5:$G$3000,Levels!$G$5:$G$94)&gt;0))&amp;" / "&amp;COUNTIFS(Levels!$A$5:$A$94,$B122,Levels!$B$5:$B$94,2))</f>
        <v/>
      </c>
      <c r="G122" s="24" t="str">
        <f aca="false">IF(OR($A122="",$B122=""),"",SUMPRODUCT((Levels!$A$5:$A$94=$B122)*(Levels!$B$5:$B$94=3)*(COUNTIFS(Progress!$B$5:$B$3000,$A122,Progress!$G$5:$G$3000,Levels!$G$5:$G$94)&gt;0))&amp;" / "&amp;COUNTIFS(Levels!$A$5:$A$94,$B122,Levels!$B$5:$B$94,3))</f>
        <v/>
      </c>
      <c r="H122" s="24" t="str">
        <f aca="false">IF(OR($A122="",$B122=""),"",SUMPRODUCT((Levels!$A$5:$A$94=$B122)*(Levels!$B$5:$B$94=4)*(COUNTIFS(Progress!$B$5:$B$3000,$A122,Progress!$G$5:$G$3000,Levels!$G$5:$G$94)&gt;0))&amp;" / "&amp;COUNTIFS(Levels!$A$5:$A$94,$B122,Levels!$B$5:$B$94,4))</f>
        <v/>
      </c>
      <c r="I122" s="24" t="str">
        <f aca="false">IF(OR($A122="",$B122=""),"",IF(SUMPRODUCT((Levels!$A$5:$A$94=$B122)*(Levels!$B$5:$B$94=1)*(COUNTIFS(Progress!$B$5:$B$3000,$A122,Progress!$G$5:$G$3000,Levels!$G$5:$G$94)&gt;0))&lt;COUNTIFS(Levels!$A$5:$A$94,$B122,Levels!$B$5:$B$94,1),"1 Rookie",IF(SUMPRODUCT((Levels!$A$5:$A$94=$B122)*(Levels!$B$5:$B$94=2)*(COUNTIFS(Progress!$B$5:$B$3000,$A122,Progress!$G$5:$G$3000,Levels!$G$5:$G$94)&gt;0))&lt;COUNTIFS(Levels!$A$5:$A$94,$B122,Levels!$B$5:$B$94,2),"2 Contender",IF(SUMPRODUCT((Levels!$A$5:$A$94=$B122)*(Levels!$B$5:$B$94=3)*(COUNTIFS(Progress!$B$5:$B$3000,$A122,Progress!$G$5:$G$3000,Levels!$G$5:$G$94)&gt;0))&lt;COUNTIFS(Levels!$A$5:$A$94,$B122,Levels!$B$5:$B$94,3),"3 Challenger",IF(SUMPRODUCT((Levels!$A$5:$A$94=$B122)*(Levels!$B$5:$B$94=4)*(COUNTIFS(Progress!$B$5:$B$3000,$A122,Progress!$G$5:$G$3000,Levels!$G$5:$G$94)&gt;0))&lt;COUNTIFS(Levels!$A$5:$A$94,$B122,Levels!$B$5:$B$94,4),"4 Champion","All done")))))</f>
        <v/>
      </c>
      <c r="J122" s="25" t="str">
        <f aca="false">IF(OR(I122="",I122="All done"),"",COUNTIFS(Levels!$A$5:$A$94,$B122,Levels!$B$5:$B$94,1)*(LEFT(I122,1)="1")+COUNTIFS(Levels!$A$5:$A$94,$B122,Levels!$B$5:$B$94,2)*(LEFT(I122,1)="2")+COUNTIFS(Levels!$A$5:$A$94,$B122,Levels!$B$5:$B$94,3)*(LEFT(I122,1)="3")+COUNTIFS(Levels!$A$5:$A$94,$B122,Levels!$B$5:$B$94,4)*(LEFT(I122,1)="4")-(SUMPRODUCT((Levels!$A$5:$A$94=$B122)*(Levels!$B$5:$B$94=1)*(COUNTIFS(Progress!$B$5:$B$3000,$A122,Progress!$G$5:$G$3000,Levels!$G$5:$G$94)&gt;0))*(LEFT(I122,1)="1")+SUMPRODUCT((Levels!$A$5:$A$94=$B122)*(Levels!$B$5:$B$94=2)*(COUNTIFS(Progress!$B$5:$B$3000,$A122,Progress!$G$5:$G$3000,Levels!$G$5:$G$94)&gt;0))*(LEFT(I122,1)="2")+SUMPRODUCT((Levels!$A$5:$A$94=$B122)*(Levels!$B$5:$B$94=3)*(COUNTIFS(Progress!$B$5:$B$3000,$A122,Progress!$G$5:$G$3000,Levels!$G$5:$G$94)&gt;0))*(LEFT(I122,1)="3")+SUMPRODUCT((Levels!$A$5:$A$94=$B122)*(Levels!$B$5:$B$94=4)*(COUNTIFS(Progress!$B$5:$B$3000,$A122,Progress!$G$5:$G$3000,Levels!$G$5:$G$94)&gt;0))*(LEFT(I122,1)="4")))</f>
        <v/>
      </c>
      <c r="K122" s="26" t="str">
        <f aca="false">IF($A122="","",IF(COUNTIFS(Progress!$B$5:$B$3000,$A122)=0,"",SUMPRODUCT(MAX((Progress!$B$5:$B$3000=$A122)*Progress!$A$5:$A$3000))))</f>
        <v/>
      </c>
      <c r="L122" s="22"/>
    </row>
    <row r="123" customFormat="false" ht="15" hidden="false" customHeight="false" outlineLevel="0" collapsed="false">
      <c r="A123" s="22"/>
      <c r="B123" s="22"/>
      <c r="C123" s="23"/>
      <c r="D123" s="22"/>
      <c r="E123" s="24" t="str">
        <f aca="false">IF(OR($A123="",$B123=""),"",SUMPRODUCT((Levels!$A$5:$A$94=$B123)*(Levels!$B$5:$B$94=1)*(COUNTIFS(Progress!$B$5:$B$3000,$A123,Progress!$G$5:$G$3000,Levels!$G$5:$G$94)&gt;0))&amp;" / "&amp;COUNTIFS(Levels!$A$5:$A$94,$B123,Levels!$B$5:$B$94,1))</f>
        <v/>
      </c>
      <c r="F123" s="24" t="str">
        <f aca="false">IF(OR($A123="",$B123=""),"",SUMPRODUCT((Levels!$A$5:$A$94=$B123)*(Levels!$B$5:$B$94=2)*(COUNTIFS(Progress!$B$5:$B$3000,$A123,Progress!$G$5:$G$3000,Levels!$G$5:$G$94)&gt;0))&amp;" / "&amp;COUNTIFS(Levels!$A$5:$A$94,$B123,Levels!$B$5:$B$94,2))</f>
        <v/>
      </c>
      <c r="G123" s="24" t="str">
        <f aca="false">IF(OR($A123="",$B123=""),"",SUMPRODUCT((Levels!$A$5:$A$94=$B123)*(Levels!$B$5:$B$94=3)*(COUNTIFS(Progress!$B$5:$B$3000,$A123,Progress!$G$5:$G$3000,Levels!$G$5:$G$94)&gt;0))&amp;" / "&amp;COUNTIFS(Levels!$A$5:$A$94,$B123,Levels!$B$5:$B$94,3))</f>
        <v/>
      </c>
      <c r="H123" s="24" t="str">
        <f aca="false">IF(OR($A123="",$B123=""),"",SUMPRODUCT((Levels!$A$5:$A$94=$B123)*(Levels!$B$5:$B$94=4)*(COUNTIFS(Progress!$B$5:$B$3000,$A123,Progress!$G$5:$G$3000,Levels!$G$5:$G$94)&gt;0))&amp;" / "&amp;COUNTIFS(Levels!$A$5:$A$94,$B123,Levels!$B$5:$B$94,4))</f>
        <v/>
      </c>
      <c r="I123" s="24" t="str">
        <f aca="false">IF(OR($A123="",$B123=""),"",IF(SUMPRODUCT((Levels!$A$5:$A$94=$B123)*(Levels!$B$5:$B$94=1)*(COUNTIFS(Progress!$B$5:$B$3000,$A123,Progress!$G$5:$G$3000,Levels!$G$5:$G$94)&gt;0))&lt;COUNTIFS(Levels!$A$5:$A$94,$B123,Levels!$B$5:$B$94,1),"1 Rookie",IF(SUMPRODUCT((Levels!$A$5:$A$94=$B123)*(Levels!$B$5:$B$94=2)*(COUNTIFS(Progress!$B$5:$B$3000,$A123,Progress!$G$5:$G$3000,Levels!$G$5:$G$94)&gt;0))&lt;COUNTIFS(Levels!$A$5:$A$94,$B123,Levels!$B$5:$B$94,2),"2 Contender",IF(SUMPRODUCT((Levels!$A$5:$A$94=$B123)*(Levels!$B$5:$B$94=3)*(COUNTIFS(Progress!$B$5:$B$3000,$A123,Progress!$G$5:$G$3000,Levels!$G$5:$G$94)&gt;0))&lt;COUNTIFS(Levels!$A$5:$A$94,$B123,Levels!$B$5:$B$94,3),"3 Challenger",IF(SUMPRODUCT((Levels!$A$5:$A$94=$B123)*(Levels!$B$5:$B$94=4)*(COUNTIFS(Progress!$B$5:$B$3000,$A123,Progress!$G$5:$G$3000,Levels!$G$5:$G$94)&gt;0))&lt;COUNTIFS(Levels!$A$5:$A$94,$B123,Levels!$B$5:$B$94,4),"4 Champion","All done")))))</f>
        <v/>
      </c>
      <c r="J123" s="25" t="str">
        <f aca="false">IF(OR(I123="",I123="All done"),"",COUNTIFS(Levels!$A$5:$A$94,$B123,Levels!$B$5:$B$94,1)*(LEFT(I123,1)="1")+COUNTIFS(Levels!$A$5:$A$94,$B123,Levels!$B$5:$B$94,2)*(LEFT(I123,1)="2")+COUNTIFS(Levels!$A$5:$A$94,$B123,Levels!$B$5:$B$94,3)*(LEFT(I123,1)="3")+COUNTIFS(Levels!$A$5:$A$94,$B123,Levels!$B$5:$B$94,4)*(LEFT(I123,1)="4")-(SUMPRODUCT((Levels!$A$5:$A$94=$B123)*(Levels!$B$5:$B$94=1)*(COUNTIFS(Progress!$B$5:$B$3000,$A123,Progress!$G$5:$G$3000,Levels!$G$5:$G$94)&gt;0))*(LEFT(I123,1)="1")+SUMPRODUCT((Levels!$A$5:$A$94=$B123)*(Levels!$B$5:$B$94=2)*(COUNTIFS(Progress!$B$5:$B$3000,$A123,Progress!$G$5:$G$3000,Levels!$G$5:$G$94)&gt;0))*(LEFT(I123,1)="2")+SUMPRODUCT((Levels!$A$5:$A$94=$B123)*(Levels!$B$5:$B$94=3)*(COUNTIFS(Progress!$B$5:$B$3000,$A123,Progress!$G$5:$G$3000,Levels!$G$5:$G$94)&gt;0))*(LEFT(I123,1)="3")+SUMPRODUCT((Levels!$A$5:$A$94=$B123)*(Levels!$B$5:$B$94=4)*(COUNTIFS(Progress!$B$5:$B$3000,$A123,Progress!$G$5:$G$3000,Levels!$G$5:$G$94)&gt;0))*(LEFT(I123,1)="4")))</f>
        <v/>
      </c>
      <c r="K123" s="26" t="str">
        <f aca="false">IF($A123="","",IF(COUNTIFS(Progress!$B$5:$B$3000,$A123)=0,"",SUMPRODUCT(MAX((Progress!$B$5:$B$3000=$A123)*Progress!$A$5:$A$3000))))</f>
        <v/>
      </c>
      <c r="L123" s="22"/>
    </row>
    <row r="124" customFormat="false" ht="15" hidden="false" customHeight="false" outlineLevel="0" collapsed="false">
      <c r="A124" s="22"/>
      <c r="B124" s="22"/>
      <c r="C124" s="23"/>
      <c r="D124" s="22"/>
      <c r="E124" s="24" t="str">
        <f aca="false">IF(OR($A124="",$B124=""),"",SUMPRODUCT((Levels!$A$5:$A$94=$B124)*(Levels!$B$5:$B$94=1)*(COUNTIFS(Progress!$B$5:$B$3000,$A124,Progress!$G$5:$G$3000,Levels!$G$5:$G$94)&gt;0))&amp;" / "&amp;COUNTIFS(Levels!$A$5:$A$94,$B124,Levels!$B$5:$B$94,1))</f>
        <v/>
      </c>
      <c r="F124" s="24" t="str">
        <f aca="false">IF(OR($A124="",$B124=""),"",SUMPRODUCT((Levels!$A$5:$A$94=$B124)*(Levels!$B$5:$B$94=2)*(COUNTIFS(Progress!$B$5:$B$3000,$A124,Progress!$G$5:$G$3000,Levels!$G$5:$G$94)&gt;0))&amp;" / "&amp;COUNTIFS(Levels!$A$5:$A$94,$B124,Levels!$B$5:$B$94,2))</f>
        <v/>
      </c>
      <c r="G124" s="24" t="str">
        <f aca="false">IF(OR($A124="",$B124=""),"",SUMPRODUCT((Levels!$A$5:$A$94=$B124)*(Levels!$B$5:$B$94=3)*(COUNTIFS(Progress!$B$5:$B$3000,$A124,Progress!$G$5:$G$3000,Levels!$G$5:$G$94)&gt;0))&amp;" / "&amp;COUNTIFS(Levels!$A$5:$A$94,$B124,Levels!$B$5:$B$94,3))</f>
        <v/>
      </c>
      <c r="H124" s="24" t="str">
        <f aca="false">IF(OR($A124="",$B124=""),"",SUMPRODUCT((Levels!$A$5:$A$94=$B124)*(Levels!$B$5:$B$94=4)*(COUNTIFS(Progress!$B$5:$B$3000,$A124,Progress!$G$5:$G$3000,Levels!$G$5:$G$94)&gt;0))&amp;" / "&amp;COUNTIFS(Levels!$A$5:$A$94,$B124,Levels!$B$5:$B$94,4))</f>
        <v/>
      </c>
      <c r="I124" s="24" t="str">
        <f aca="false">IF(OR($A124="",$B124=""),"",IF(SUMPRODUCT((Levels!$A$5:$A$94=$B124)*(Levels!$B$5:$B$94=1)*(COUNTIFS(Progress!$B$5:$B$3000,$A124,Progress!$G$5:$G$3000,Levels!$G$5:$G$94)&gt;0))&lt;COUNTIFS(Levels!$A$5:$A$94,$B124,Levels!$B$5:$B$94,1),"1 Rookie",IF(SUMPRODUCT((Levels!$A$5:$A$94=$B124)*(Levels!$B$5:$B$94=2)*(COUNTIFS(Progress!$B$5:$B$3000,$A124,Progress!$G$5:$G$3000,Levels!$G$5:$G$94)&gt;0))&lt;COUNTIFS(Levels!$A$5:$A$94,$B124,Levels!$B$5:$B$94,2),"2 Contender",IF(SUMPRODUCT((Levels!$A$5:$A$94=$B124)*(Levels!$B$5:$B$94=3)*(COUNTIFS(Progress!$B$5:$B$3000,$A124,Progress!$G$5:$G$3000,Levels!$G$5:$G$94)&gt;0))&lt;COUNTIFS(Levels!$A$5:$A$94,$B124,Levels!$B$5:$B$94,3),"3 Challenger",IF(SUMPRODUCT((Levels!$A$5:$A$94=$B124)*(Levels!$B$5:$B$94=4)*(COUNTIFS(Progress!$B$5:$B$3000,$A124,Progress!$G$5:$G$3000,Levels!$G$5:$G$94)&gt;0))&lt;COUNTIFS(Levels!$A$5:$A$94,$B124,Levels!$B$5:$B$94,4),"4 Champion","All done")))))</f>
        <v/>
      </c>
      <c r="J124" s="25" t="str">
        <f aca="false">IF(OR(I124="",I124="All done"),"",COUNTIFS(Levels!$A$5:$A$94,$B124,Levels!$B$5:$B$94,1)*(LEFT(I124,1)="1")+COUNTIFS(Levels!$A$5:$A$94,$B124,Levels!$B$5:$B$94,2)*(LEFT(I124,1)="2")+COUNTIFS(Levels!$A$5:$A$94,$B124,Levels!$B$5:$B$94,3)*(LEFT(I124,1)="3")+COUNTIFS(Levels!$A$5:$A$94,$B124,Levels!$B$5:$B$94,4)*(LEFT(I124,1)="4")-(SUMPRODUCT((Levels!$A$5:$A$94=$B124)*(Levels!$B$5:$B$94=1)*(COUNTIFS(Progress!$B$5:$B$3000,$A124,Progress!$G$5:$G$3000,Levels!$G$5:$G$94)&gt;0))*(LEFT(I124,1)="1")+SUMPRODUCT((Levels!$A$5:$A$94=$B124)*(Levels!$B$5:$B$94=2)*(COUNTIFS(Progress!$B$5:$B$3000,$A124,Progress!$G$5:$G$3000,Levels!$G$5:$G$94)&gt;0))*(LEFT(I124,1)="2")+SUMPRODUCT((Levels!$A$5:$A$94=$B124)*(Levels!$B$5:$B$94=3)*(COUNTIFS(Progress!$B$5:$B$3000,$A124,Progress!$G$5:$G$3000,Levels!$G$5:$G$94)&gt;0))*(LEFT(I124,1)="3")+SUMPRODUCT((Levels!$A$5:$A$94=$B124)*(Levels!$B$5:$B$94=4)*(COUNTIFS(Progress!$B$5:$B$3000,$A124,Progress!$G$5:$G$3000,Levels!$G$5:$G$94)&gt;0))*(LEFT(I124,1)="4")))</f>
        <v/>
      </c>
      <c r="K124" s="26" t="str">
        <f aca="false">IF($A124="","",IF(COUNTIFS(Progress!$B$5:$B$3000,$A124)=0,"",SUMPRODUCT(MAX((Progress!$B$5:$B$3000=$A124)*Progress!$A$5:$A$3000))))</f>
        <v/>
      </c>
      <c r="L124" s="22"/>
    </row>
    <row r="125" customFormat="false" ht="15" hidden="false" customHeight="false" outlineLevel="0" collapsed="false">
      <c r="A125" s="22"/>
      <c r="B125" s="22"/>
      <c r="C125" s="23"/>
      <c r="D125" s="22"/>
      <c r="E125" s="24" t="str">
        <f aca="false">IF(OR($A125="",$B125=""),"",SUMPRODUCT((Levels!$A$5:$A$94=$B125)*(Levels!$B$5:$B$94=1)*(COUNTIFS(Progress!$B$5:$B$3000,$A125,Progress!$G$5:$G$3000,Levels!$G$5:$G$94)&gt;0))&amp;" / "&amp;COUNTIFS(Levels!$A$5:$A$94,$B125,Levels!$B$5:$B$94,1))</f>
        <v/>
      </c>
      <c r="F125" s="24" t="str">
        <f aca="false">IF(OR($A125="",$B125=""),"",SUMPRODUCT((Levels!$A$5:$A$94=$B125)*(Levels!$B$5:$B$94=2)*(COUNTIFS(Progress!$B$5:$B$3000,$A125,Progress!$G$5:$G$3000,Levels!$G$5:$G$94)&gt;0))&amp;" / "&amp;COUNTIFS(Levels!$A$5:$A$94,$B125,Levels!$B$5:$B$94,2))</f>
        <v/>
      </c>
      <c r="G125" s="24" t="str">
        <f aca="false">IF(OR($A125="",$B125=""),"",SUMPRODUCT((Levels!$A$5:$A$94=$B125)*(Levels!$B$5:$B$94=3)*(COUNTIFS(Progress!$B$5:$B$3000,$A125,Progress!$G$5:$G$3000,Levels!$G$5:$G$94)&gt;0))&amp;" / "&amp;COUNTIFS(Levels!$A$5:$A$94,$B125,Levels!$B$5:$B$94,3))</f>
        <v/>
      </c>
      <c r="H125" s="24" t="str">
        <f aca="false">IF(OR($A125="",$B125=""),"",SUMPRODUCT((Levels!$A$5:$A$94=$B125)*(Levels!$B$5:$B$94=4)*(COUNTIFS(Progress!$B$5:$B$3000,$A125,Progress!$G$5:$G$3000,Levels!$G$5:$G$94)&gt;0))&amp;" / "&amp;COUNTIFS(Levels!$A$5:$A$94,$B125,Levels!$B$5:$B$94,4))</f>
        <v/>
      </c>
      <c r="I125" s="24" t="str">
        <f aca="false">IF(OR($A125="",$B125=""),"",IF(SUMPRODUCT((Levels!$A$5:$A$94=$B125)*(Levels!$B$5:$B$94=1)*(COUNTIFS(Progress!$B$5:$B$3000,$A125,Progress!$G$5:$G$3000,Levels!$G$5:$G$94)&gt;0))&lt;COUNTIFS(Levels!$A$5:$A$94,$B125,Levels!$B$5:$B$94,1),"1 Rookie",IF(SUMPRODUCT((Levels!$A$5:$A$94=$B125)*(Levels!$B$5:$B$94=2)*(COUNTIFS(Progress!$B$5:$B$3000,$A125,Progress!$G$5:$G$3000,Levels!$G$5:$G$94)&gt;0))&lt;COUNTIFS(Levels!$A$5:$A$94,$B125,Levels!$B$5:$B$94,2),"2 Contender",IF(SUMPRODUCT((Levels!$A$5:$A$94=$B125)*(Levels!$B$5:$B$94=3)*(COUNTIFS(Progress!$B$5:$B$3000,$A125,Progress!$G$5:$G$3000,Levels!$G$5:$G$94)&gt;0))&lt;COUNTIFS(Levels!$A$5:$A$94,$B125,Levels!$B$5:$B$94,3),"3 Challenger",IF(SUMPRODUCT((Levels!$A$5:$A$94=$B125)*(Levels!$B$5:$B$94=4)*(COUNTIFS(Progress!$B$5:$B$3000,$A125,Progress!$G$5:$G$3000,Levels!$G$5:$G$94)&gt;0))&lt;COUNTIFS(Levels!$A$5:$A$94,$B125,Levels!$B$5:$B$94,4),"4 Champion","All done")))))</f>
        <v/>
      </c>
      <c r="J125" s="25" t="str">
        <f aca="false">IF(OR(I125="",I125="All done"),"",COUNTIFS(Levels!$A$5:$A$94,$B125,Levels!$B$5:$B$94,1)*(LEFT(I125,1)="1")+COUNTIFS(Levels!$A$5:$A$94,$B125,Levels!$B$5:$B$94,2)*(LEFT(I125,1)="2")+COUNTIFS(Levels!$A$5:$A$94,$B125,Levels!$B$5:$B$94,3)*(LEFT(I125,1)="3")+COUNTIFS(Levels!$A$5:$A$94,$B125,Levels!$B$5:$B$94,4)*(LEFT(I125,1)="4")-(SUMPRODUCT((Levels!$A$5:$A$94=$B125)*(Levels!$B$5:$B$94=1)*(COUNTIFS(Progress!$B$5:$B$3000,$A125,Progress!$G$5:$G$3000,Levels!$G$5:$G$94)&gt;0))*(LEFT(I125,1)="1")+SUMPRODUCT((Levels!$A$5:$A$94=$B125)*(Levels!$B$5:$B$94=2)*(COUNTIFS(Progress!$B$5:$B$3000,$A125,Progress!$G$5:$G$3000,Levels!$G$5:$G$94)&gt;0))*(LEFT(I125,1)="2")+SUMPRODUCT((Levels!$A$5:$A$94=$B125)*(Levels!$B$5:$B$94=3)*(COUNTIFS(Progress!$B$5:$B$3000,$A125,Progress!$G$5:$G$3000,Levels!$G$5:$G$94)&gt;0))*(LEFT(I125,1)="3")+SUMPRODUCT((Levels!$A$5:$A$94=$B125)*(Levels!$B$5:$B$94=4)*(COUNTIFS(Progress!$B$5:$B$3000,$A125,Progress!$G$5:$G$3000,Levels!$G$5:$G$94)&gt;0))*(LEFT(I125,1)="4")))</f>
        <v/>
      </c>
      <c r="K125" s="26" t="str">
        <f aca="false">IF($A125="","",IF(COUNTIFS(Progress!$B$5:$B$3000,$A125)=0,"",SUMPRODUCT(MAX((Progress!$B$5:$B$3000=$A125)*Progress!$A$5:$A$3000))))</f>
        <v/>
      </c>
      <c r="L125" s="22"/>
    </row>
    <row r="126" customFormat="false" ht="15" hidden="false" customHeight="false" outlineLevel="0" collapsed="false">
      <c r="A126" s="22"/>
      <c r="B126" s="22"/>
      <c r="C126" s="23"/>
      <c r="D126" s="22"/>
      <c r="E126" s="24" t="str">
        <f aca="false">IF(OR($A126="",$B126=""),"",SUMPRODUCT((Levels!$A$5:$A$94=$B126)*(Levels!$B$5:$B$94=1)*(COUNTIFS(Progress!$B$5:$B$3000,$A126,Progress!$G$5:$G$3000,Levels!$G$5:$G$94)&gt;0))&amp;" / "&amp;COUNTIFS(Levels!$A$5:$A$94,$B126,Levels!$B$5:$B$94,1))</f>
        <v/>
      </c>
      <c r="F126" s="24" t="str">
        <f aca="false">IF(OR($A126="",$B126=""),"",SUMPRODUCT((Levels!$A$5:$A$94=$B126)*(Levels!$B$5:$B$94=2)*(COUNTIFS(Progress!$B$5:$B$3000,$A126,Progress!$G$5:$G$3000,Levels!$G$5:$G$94)&gt;0))&amp;" / "&amp;COUNTIFS(Levels!$A$5:$A$94,$B126,Levels!$B$5:$B$94,2))</f>
        <v/>
      </c>
      <c r="G126" s="24" t="str">
        <f aca="false">IF(OR($A126="",$B126=""),"",SUMPRODUCT((Levels!$A$5:$A$94=$B126)*(Levels!$B$5:$B$94=3)*(COUNTIFS(Progress!$B$5:$B$3000,$A126,Progress!$G$5:$G$3000,Levels!$G$5:$G$94)&gt;0))&amp;" / "&amp;COUNTIFS(Levels!$A$5:$A$94,$B126,Levels!$B$5:$B$94,3))</f>
        <v/>
      </c>
      <c r="H126" s="24" t="str">
        <f aca="false">IF(OR($A126="",$B126=""),"",SUMPRODUCT((Levels!$A$5:$A$94=$B126)*(Levels!$B$5:$B$94=4)*(COUNTIFS(Progress!$B$5:$B$3000,$A126,Progress!$G$5:$G$3000,Levels!$G$5:$G$94)&gt;0))&amp;" / "&amp;COUNTIFS(Levels!$A$5:$A$94,$B126,Levels!$B$5:$B$94,4))</f>
        <v/>
      </c>
      <c r="I126" s="24" t="str">
        <f aca="false">IF(OR($A126="",$B126=""),"",IF(SUMPRODUCT((Levels!$A$5:$A$94=$B126)*(Levels!$B$5:$B$94=1)*(COUNTIFS(Progress!$B$5:$B$3000,$A126,Progress!$G$5:$G$3000,Levels!$G$5:$G$94)&gt;0))&lt;COUNTIFS(Levels!$A$5:$A$94,$B126,Levels!$B$5:$B$94,1),"1 Rookie",IF(SUMPRODUCT((Levels!$A$5:$A$94=$B126)*(Levels!$B$5:$B$94=2)*(COUNTIFS(Progress!$B$5:$B$3000,$A126,Progress!$G$5:$G$3000,Levels!$G$5:$G$94)&gt;0))&lt;COUNTIFS(Levels!$A$5:$A$94,$B126,Levels!$B$5:$B$94,2),"2 Contender",IF(SUMPRODUCT((Levels!$A$5:$A$94=$B126)*(Levels!$B$5:$B$94=3)*(COUNTIFS(Progress!$B$5:$B$3000,$A126,Progress!$G$5:$G$3000,Levels!$G$5:$G$94)&gt;0))&lt;COUNTIFS(Levels!$A$5:$A$94,$B126,Levels!$B$5:$B$94,3),"3 Challenger",IF(SUMPRODUCT((Levels!$A$5:$A$94=$B126)*(Levels!$B$5:$B$94=4)*(COUNTIFS(Progress!$B$5:$B$3000,$A126,Progress!$G$5:$G$3000,Levels!$G$5:$G$94)&gt;0))&lt;COUNTIFS(Levels!$A$5:$A$94,$B126,Levels!$B$5:$B$94,4),"4 Champion","All done")))))</f>
        <v/>
      </c>
      <c r="J126" s="25" t="str">
        <f aca="false">IF(OR(I126="",I126="All done"),"",COUNTIFS(Levels!$A$5:$A$94,$B126,Levels!$B$5:$B$94,1)*(LEFT(I126,1)="1")+COUNTIFS(Levels!$A$5:$A$94,$B126,Levels!$B$5:$B$94,2)*(LEFT(I126,1)="2")+COUNTIFS(Levels!$A$5:$A$94,$B126,Levels!$B$5:$B$94,3)*(LEFT(I126,1)="3")+COUNTIFS(Levels!$A$5:$A$94,$B126,Levels!$B$5:$B$94,4)*(LEFT(I126,1)="4")-(SUMPRODUCT((Levels!$A$5:$A$94=$B126)*(Levels!$B$5:$B$94=1)*(COUNTIFS(Progress!$B$5:$B$3000,$A126,Progress!$G$5:$G$3000,Levels!$G$5:$G$94)&gt;0))*(LEFT(I126,1)="1")+SUMPRODUCT((Levels!$A$5:$A$94=$B126)*(Levels!$B$5:$B$94=2)*(COUNTIFS(Progress!$B$5:$B$3000,$A126,Progress!$G$5:$G$3000,Levels!$G$5:$G$94)&gt;0))*(LEFT(I126,1)="2")+SUMPRODUCT((Levels!$A$5:$A$94=$B126)*(Levels!$B$5:$B$94=3)*(COUNTIFS(Progress!$B$5:$B$3000,$A126,Progress!$G$5:$G$3000,Levels!$G$5:$G$94)&gt;0))*(LEFT(I126,1)="3")+SUMPRODUCT((Levels!$A$5:$A$94=$B126)*(Levels!$B$5:$B$94=4)*(COUNTIFS(Progress!$B$5:$B$3000,$A126,Progress!$G$5:$G$3000,Levels!$G$5:$G$94)&gt;0))*(LEFT(I126,1)="4")))</f>
        <v/>
      </c>
      <c r="K126" s="26" t="str">
        <f aca="false">IF($A126="","",IF(COUNTIFS(Progress!$B$5:$B$3000,$A126)=0,"",SUMPRODUCT(MAX((Progress!$B$5:$B$3000=$A126)*Progress!$A$5:$A$3000))))</f>
        <v/>
      </c>
      <c r="L126" s="22"/>
    </row>
    <row r="127" customFormat="false" ht="15" hidden="false" customHeight="false" outlineLevel="0" collapsed="false">
      <c r="A127" s="22"/>
      <c r="B127" s="22"/>
      <c r="C127" s="23"/>
      <c r="D127" s="22"/>
      <c r="E127" s="24" t="str">
        <f aca="false">IF(OR($A127="",$B127=""),"",SUMPRODUCT((Levels!$A$5:$A$94=$B127)*(Levels!$B$5:$B$94=1)*(COUNTIFS(Progress!$B$5:$B$3000,$A127,Progress!$G$5:$G$3000,Levels!$G$5:$G$94)&gt;0))&amp;" / "&amp;COUNTIFS(Levels!$A$5:$A$94,$B127,Levels!$B$5:$B$94,1))</f>
        <v/>
      </c>
      <c r="F127" s="24" t="str">
        <f aca="false">IF(OR($A127="",$B127=""),"",SUMPRODUCT((Levels!$A$5:$A$94=$B127)*(Levels!$B$5:$B$94=2)*(COUNTIFS(Progress!$B$5:$B$3000,$A127,Progress!$G$5:$G$3000,Levels!$G$5:$G$94)&gt;0))&amp;" / "&amp;COUNTIFS(Levels!$A$5:$A$94,$B127,Levels!$B$5:$B$94,2))</f>
        <v/>
      </c>
      <c r="G127" s="24" t="str">
        <f aca="false">IF(OR($A127="",$B127=""),"",SUMPRODUCT((Levels!$A$5:$A$94=$B127)*(Levels!$B$5:$B$94=3)*(COUNTIFS(Progress!$B$5:$B$3000,$A127,Progress!$G$5:$G$3000,Levels!$G$5:$G$94)&gt;0))&amp;" / "&amp;COUNTIFS(Levels!$A$5:$A$94,$B127,Levels!$B$5:$B$94,3))</f>
        <v/>
      </c>
      <c r="H127" s="24" t="str">
        <f aca="false">IF(OR($A127="",$B127=""),"",SUMPRODUCT((Levels!$A$5:$A$94=$B127)*(Levels!$B$5:$B$94=4)*(COUNTIFS(Progress!$B$5:$B$3000,$A127,Progress!$G$5:$G$3000,Levels!$G$5:$G$94)&gt;0))&amp;" / "&amp;COUNTIFS(Levels!$A$5:$A$94,$B127,Levels!$B$5:$B$94,4))</f>
        <v/>
      </c>
      <c r="I127" s="24" t="str">
        <f aca="false">IF(OR($A127="",$B127=""),"",IF(SUMPRODUCT((Levels!$A$5:$A$94=$B127)*(Levels!$B$5:$B$94=1)*(COUNTIFS(Progress!$B$5:$B$3000,$A127,Progress!$G$5:$G$3000,Levels!$G$5:$G$94)&gt;0))&lt;COUNTIFS(Levels!$A$5:$A$94,$B127,Levels!$B$5:$B$94,1),"1 Rookie",IF(SUMPRODUCT((Levels!$A$5:$A$94=$B127)*(Levels!$B$5:$B$94=2)*(COUNTIFS(Progress!$B$5:$B$3000,$A127,Progress!$G$5:$G$3000,Levels!$G$5:$G$94)&gt;0))&lt;COUNTIFS(Levels!$A$5:$A$94,$B127,Levels!$B$5:$B$94,2),"2 Contender",IF(SUMPRODUCT((Levels!$A$5:$A$94=$B127)*(Levels!$B$5:$B$94=3)*(COUNTIFS(Progress!$B$5:$B$3000,$A127,Progress!$G$5:$G$3000,Levels!$G$5:$G$94)&gt;0))&lt;COUNTIFS(Levels!$A$5:$A$94,$B127,Levels!$B$5:$B$94,3),"3 Challenger",IF(SUMPRODUCT((Levels!$A$5:$A$94=$B127)*(Levels!$B$5:$B$94=4)*(COUNTIFS(Progress!$B$5:$B$3000,$A127,Progress!$G$5:$G$3000,Levels!$G$5:$G$94)&gt;0))&lt;COUNTIFS(Levels!$A$5:$A$94,$B127,Levels!$B$5:$B$94,4),"4 Champion","All done")))))</f>
        <v/>
      </c>
      <c r="J127" s="25" t="str">
        <f aca="false">IF(OR(I127="",I127="All done"),"",COUNTIFS(Levels!$A$5:$A$94,$B127,Levels!$B$5:$B$94,1)*(LEFT(I127,1)="1")+COUNTIFS(Levels!$A$5:$A$94,$B127,Levels!$B$5:$B$94,2)*(LEFT(I127,1)="2")+COUNTIFS(Levels!$A$5:$A$94,$B127,Levels!$B$5:$B$94,3)*(LEFT(I127,1)="3")+COUNTIFS(Levels!$A$5:$A$94,$B127,Levels!$B$5:$B$94,4)*(LEFT(I127,1)="4")-(SUMPRODUCT((Levels!$A$5:$A$94=$B127)*(Levels!$B$5:$B$94=1)*(COUNTIFS(Progress!$B$5:$B$3000,$A127,Progress!$G$5:$G$3000,Levels!$G$5:$G$94)&gt;0))*(LEFT(I127,1)="1")+SUMPRODUCT((Levels!$A$5:$A$94=$B127)*(Levels!$B$5:$B$94=2)*(COUNTIFS(Progress!$B$5:$B$3000,$A127,Progress!$G$5:$G$3000,Levels!$G$5:$G$94)&gt;0))*(LEFT(I127,1)="2")+SUMPRODUCT((Levels!$A$5:$A$94=$B127)*(Levels!$B$5:$B$94=3)*(COUNTIFS(Progress!$B$5:$B$3000,$A127,Progress!$G$5:$G$3000,Levels!$G$5:$G$94)&gt;0))*(LEFT(I127,1)="3")+SUMPRODUCT((Levels!$A$5:$A$94=$B127)*(Levels!$B$5:$B$94=4)*(COUNTIFS(Progress!$B$5:$B$3000,$A127,Progress!$G$5:$G$3000,Levels!$G$5:$G$94)&gt;0))*(LEFT(I127,1)="4")))</f>
        <v/>
      </c>
      <c r="K127" s="26" t="str">
        <f aca="false">IF($A127="","",IF(COUNTIFS(Progress!$B$5:$B$3000,$A127)=0,"",SUMPRODUCT(MAX((Progress!$B$5:$B$3000=$A127)*Progress!$A$5:$A$3000))))</f>
        <v/>
      </c>
      <c r="L127" s="22"/>
    </row>
    <row r="128" customFormat="false" ht="15" hidden="false" customHeight="false" outlineLevel="0" collapsed="false">
      <c r="A128" s="22"/>
      <c r="B128" s="22"/>
      <c r="C128" s="23"/>
      <c r="D128" s="22"/>
      <c r="E128" s="24" t="str">
        <f aca="false">IF(OR($A128="",$B128=""),"",SUMPRODUCT((Levels!$A$5:$A$94=$B128)*(Levels!$B$5:$B$94=1)*(COUNTIFS(Progress!$B$5:$B$3000,$A128,Progress!$G$5:$G$3000,Levels!$G$5:$G$94)&gt;0))&amp;" / "&amp;COUNTIFS(Levels!$A$5:$A$94,$B128,Levels!$B$5:$B$94,1))</f>
        <v/>
      </c>
      <c r="F128" s="24" t="str">
        <f aca="false">IF(OR($A128="",$B128=""),"",SUMPRODUCT((Levels!$A$5:$A$94=$B128)*(Levels!$B$5:$B$94=2)*(COUNTIFS(Progress!$B$5:$B$3000,$A128,Progress!$G$5:$G$3000,Levels!$G$5:$G$94)&gt;0))&amp;" / "&amp;COUNTIFS(Levels!$A$5:$A$94,$B128,Levels!$B$5:$B$94,2))</f>
        <v/>
      </c>
      <c r="G128" s="24" t="str">
        <f aca="false">IF(OR($A128="",$B128=""),"",SUMPRODUCT((Levels!$A$5:$A$94=$B128)*(Levels!$B$5:$B$94=3)*(COUNTIFS(Progress!$B$5:$B$3000,$A128,Progress!$G$5:$G$3000,Levels!$G$5:$G$94)&gt;0))&amp;" / "&amp;COUNTIFS(Levels!$A$5:$A$94,$B128,Levels!$B$5:$B$94,3))</f>
        <v/>
      </c>
      <c r="H128" s="24" t="str">
        <f aca="false">IF(OR($A128="",$B128=""),"",SUMPRODUCT((Levels!$A$5:$A$94=$B128)*(Levels!$B$5:$B$94=4)*(COUNTIFS(Progress!$B$5:$B$3000,$A128,Progress!$G$5:$G$3000,Levels!$G$5:$G$94)&gt;0))&amp;" / "&amp;COUNTIFS(Levels!$A$5:$A$94,$B128,Levels!$B$5:$B$94,4))</f>
        <v/>
      </c>
      <c r="I128" s="24" t="str">
        <f aca="false">IF(OR($A128="",$B128=""),"",IF(SUMPRODUCT((Levels!$A$5:$A$94=$B128)*(Levels!$B$5:$B$94=1)*(COUNTIFS(Progress!$B$5:$B$3000,$A128,Progress!$G$5:$G$3000,Levels!$G$5:$G$94)&gt;0))&lt;COUNTIFS(Levels!$A$5:$A$94,$B128,Levels!$B$5:$B$94,1),"1 Rookie",IF(SUMPRODUCT((Levels!$A$5:$A$94=$B128)*(Levels!$B$5:$B$94=2)*(COUNTIFS(Progress!$B$5:$B$3000,$A128,Progress!$G$5:$G$3000,Levels!$G$5:$G$94)&gt;0))&lt;COUNTIFS(Levels!$A$5:$A$94,$B128,Levels!$B$5:$B$94,2),"2 Contender",IF(SUMPRODUCT((Levels!$A$5:$A$94=$B128)*(Levels!$B$5:$B$94=3)*(COUNTIFS(Progress!$B$5:$B$3000,$A128,Progress!$G$5:$G$3000,Levels!$G$5:$G$94)&gt;0))&lt;COUNTIFS(Levels!$A$5:$A$94,$B128,Levels!$B$5:$B$94,3),"3 Challenger",IF(SUMPRODUCT((Levels!$A$5:$A$94=$B128)*(Levels!$B$5:$B$94=4)*(COUNTIFS(Progress!$B$5:$B$3000,$A128,Progress!$G$5:$G$3000,Levels!$G$5:$G$94)&gt;0))&lt;COUNTIFS(Levels!$A$5:$A$94,$B128,Levels!$B$5:$B$94,4),"4 Champion","All done")))))</f>
        <v/>
      </c>
      <c r="J128" s="25" t="str">
        <f aca="false">IF(OR(I128="",I128="All done"),"",COUNTIFS(Levels!$A$5:$A$94,$B128,Levels!$B$5:$B$94,1)*(LEFT(I128,1)="1")+COUNTIFS(Levels!$A$5:$A$94,$B128,Levels!$B$5:$B$94,2)*(LEFT(I128,1)="2")+COUNTIFS(Levels!$A$5:$A$94,$B128,Levels!$B$5:$B$94,3)*(LEFT(I128,1)="3")+COUNTIFS(Levels!$A$5:$A$94,$B128,Levels!$B$5:$B$94,4)*(LEFT(I128,1)="4")-(SUMPRODUCT((Levels!$A$5:$A$94=$B128)*(Levels!$B$5:$B$94=1)*(COUNTIFS(Progress!$B$5:$B$3000,$A128,Progress!$G$5:$G$3000,Levels!$G$5:$G$94)&gt;0))*(LEFT(I128,1)="1")+SUMPRODUCT((Levels!$A$5:$A$94=$B128)*(Levels!$B$5:$B$94=2)*(COUNTIFS(Progress!$B$5:$B$3000,$A128,Progress!$G$5:$G$3000,Levels!$G$5:$G$94)&gt;0))*(LEFT(I128,1)="2")+SUMPRODUCT((Levels!$A$5:$A$94=$B128)*(Levels!$B$5:$B$94=3)*(COUNTIFS(Progress!$B$5:$B$3000,$A128,Progress!$G$5:$G$3000,Levels!$G$5:$G$94)&gt;0))*(LEFT(I128,1)="3")+SUMPRODUCT((Levels!$A$5:$A$94=$B128)*(Levels!$B$5:$B$94=4)*(COUNTIFS(Progress!$B$5:$B$3000,$A128,Progress!$G$5:$G$3000,Levels!$G$5:$G$94)&gt;0))*(LEFT(I128,1)="4")))</f>
        <v/>
      </c>
      <c r="K128" s="26" t="str">
        <f aca="false">IF($A128="","",IF(COUNTIFS(Progress!$B$5:$B$3000,$A128)=0,"",SUMPRODUCT(MAX((Progress!$B$5:$B$3000=$A128)*Progress!$A$5:$A$3000))))</f>
        <v/>
      </c>
      <c r="L128" s="22"/>
    </row>
    <row r="129" customFormat="false" ht="15" hidden="false" customHeight="false" outlineLevel="0" collapsed="false">
      <c r="A129" s="22"/>
      <c r="B129" s="22"/>
      <c r="C129" s="23"/>
      <c r="D129" s="22"/>
      <c r="E129" s="24" t="str">
        <f aca="false">IF(OR($A129="",$B129=""),"",SUMPRODUCT((Levels!$A$5:$A$94=$B129)*(Levels!$B$5:$B$94=1)*(COUNTIFS(Progress!$B$5:$B$3000,$A129,Progress!$G$5:$G$3000,Levels!$G$5:$G$94)&gt;0))&amp;" / "&amp;COUNTIFS(Levels!$A$5:$A$94,$B129,Levels!$B$5:$B$94,1))</f>
        <v/>
      </c>
      <c r="F129" s="24" t="str">
        <f aca="false">IF(OR($A129="",$B129=""),"",SUMPRODUCT((Levels!$A$5:$A$94=$B129)*(Levels!$B$5:$B$94=2)*(COUNTIFS(Progress!$B$5:$B$3000,$A129,Progress!$G$5:$G$3000,Levels!$G$5:$G$94)&gt;0))&amp;" / "&amp;COUNTIFS(Levels!$A$5:$A$94,$B129,Levels!$B$5:$B$94,2))</f>
        <v/>
      </c>
      <c r="G129" s="24" t="str">
        <f aca="false">IF(OR($A129="",$B129=""),"",SUMPRODUCT((Levels!$A$5:$A$94=$B129)*(Levels!$B$5:$B$94=3)*(COUNTIFS(Progress!$B$5:$B$3000,$A129,Progress!$G$5:$G$3000,Levels!$G$5:$G$94)&gt;0))&amp;" / "&amp;COUNTIFS(Levels!$A$5:$A$94,$B129,Levels!$B$5:$B$94,3))</f>
        <v/>
      </c>
      <c r="H129" s="24" t="str">
        <f aca="false">IF(OR($A129="",$B129=""),"",SUMPRODUCT((Levels!$A$5:$A$94=$B129)*(Levels!$B$5:$B$94=4)*(COUNTIFS(Progress!$B$5:$B$3000,$A129,Progress!$G$5:$G$3000,Levels!$G$5:$G$94)&gt;0))&amp;" / "&amp;COUNTIFS(Levels!$A$5:$A$94,$B129,Levels!$B$5:$B$94,4))</f>
        <v/>
      </c>
      <c r="I129" s="24" t="str">
        <f aca="false">IF(OR($A129="",$B129=""),"",IF(SUMPRODUCT((Levels!$A$5:$A$94=$B129)*(Levels!$B$5:$B$94=1)*(COUNTIFS(Progress!$B$5:$B$3000,$A129,Progress!$G$5:$G$3000,Levels!$G$5:$G$94)&gt;0))&lt;COUNTIFS(Levels!$A$5:$A$94,$B129,Levels!$B$5:$B$94,1),"1 Rookie",IF(SUMPRODUCT((Levels!$A$5:$A$94=$B129)*(Levels!$B$5:$B$94=2)*(COUNTIFS(Progress!$B$5:$B$3000,$A129,Progress!$G$5:$G$3000,Levels!$G$5:$G$94)&gt;0))&lt;COUNTIFS(Levels!$A$5:$A$94,$B129,Levels!$B$5:$B$94,2),"2 Contender",IF(SUMPRODUCT((Levels!$A$5:$A$94=$B129)*(Levels!$B$5:$B$94=3)*(COUNTIFS(Progress!$B$5:$B$3000,$A129,Progress!$G$5:$G$3000,Levels!$G$5:$G$94)&gt;0))&lt;COUNTIFS(Levels!$A$5:$A$94,$B129,Levels!$B$5:$B$94,3),"3 Challenger",IF(SUMPRODUCT((Levels!$A$5:$A$94=$B129)*(Levels!$B$5:$B$94=4)*(COUNTIFS(Progress!$B$5:$B$3000,$A129,Progress!$G$5:$G$3000,Levels!$G$5:$G$94)&gt;0))&lt;COUNTIFS(Levels!$A$5:$A$94,$B129,Levels!$B$5:$B$94,4),"4 Champion","All done")))))</f>
        <v/>
      </c>
      <c r="J129" s="25" t="str">
        <f aca="false">IF(OR(I129="",I129="All done"),"",COUNTIFS(Levels!$A$5:$A$94,$B129,Levels!$B$5:$B$94,1)*(LEFT(I129,1)="1")+COUNTIFS(Levels!$A$5:$A$94,$B129,Levels!$B$5:$B$94,2)*(LEFT(I129,1)="2")+COUNTIFS(Levels!$A$5:$A$94,$B129,Levels!$B$5:$B$94,3)*(LEFT(I129,1)="3")+COUNTIFS(Levels!$A$5:$A$94,$B129,Levels!$B$5:$B$94,4)*(LEFT(I129,1)="4")-(SUMPRODUCT((Levels!$A$5:$A$94=$B129)*(Levels!$B$5:$B$94=1)*(COUNTIFS(Progress!$B$5:$B$3000,$A129,Progress!$G$5:$G$3000,Levels!$G$5:$G$94)&gt;0))*(LEFT(I129,1)="1")+SUMPRODUCT((Levels!$A$5:$A$94=$B129)*(Levels!$B$5:$B$94=2)*(COUNTIFS(Progress!$B$5:$B$3000,$A129,Progress!$G$5:$G$3000,Levels!$G$5:$G$94)&gt;0))*(LEFT(I129,1)="2")+SUMPRODUCT((Levels!$A$5:$A$94=$B129)*(Levels!$B$5:$B$94=3)*(COUNTIFS(Progress!$B$5:$B$3000,$A129,Progress!$G$5:$G$3000,Levels!$G$5:$G$94)&gt;0))*(LEFT(I129,1)="3")+SUMPRODUCT((Levels!$A$5:$A$94=$B129)*(Levels!$B$5:$B$94=4)*(COUNTIFS(Progress!$B$5:$B$3000,$A129,Progress!$G$5:$G$3000,Levels!$G$5:$G$94)&gt;0))*(LEFT(I129,1)="4")))</f>
        <v/>
      </c>
      <c r="K129" s="26" t="str">
        <f aca="false">IF($A129="","",IF(COUNTIFS(Progress!$B$5:$B$3000,$A129)=0,"",SUMPRODUCT(MAX((Progress!$B$5:$B$3000=$A129)*Progress!$A$5:$A$3000))))</f>
        <v/>
      </c>
      <c r="L129" s="22"/>
    </row>
    <row r="130" customFormat="false" ht="15" hidden="false" customHeight="false" outlineLevel="0" collapsed="false">
      <c r="A130" s="22"/>
      <c r="B130" s="22"/>
      <c r="C130" s="23"/>
      <c r="D130" s="22"/>
      <c r="E130" s="24" t="str">
        <f aca="false">IF(OR($A130="",$B130=""),"",SUMPRODUCT((Levels!$A$5:$A$94=$B130)*(Levels!$B$5:$B$94=1)*(COUNTIFS(Progress!$B$5:$B$3000,$A130,Progress!$G$5:$G$3000,Levels!$G$5:$G$94)&gt;0))&amp;" / "&amp;COUNTIFS(Levels!$A$5:$A$94,$B130,Levels!$B$5:$B$94,1))</f>
        <v/>
      </c>
      <c r="F130" s="24" t="str">
        <f aca="false">IF(OR($A130="",$B130=""),"",SUMPRODUCT((Levels!$A$5:$A$94=$B130)*(Levels!$B$5:$B$94=2)*(COUNTIFS(Progress!$B$5:$B$3000,$A130,Progress!$G$5:$G$3000,Levels!$G$5:$G$94)&gt;0))&amp;" / "&amp;COUNTIFS(Levels!$A$5:$A$94,$B130,Levels!$B$5:$B$94,2))</f>
        <v/>
      </c>
      <c r="G130" s="24" t="str">
        <f aca="false">IF(OR($A130="",$B130=""),"",SUMPRODUCT((Levels!$A$5:$A$94=$B130)*(Levels!$B$5:$B$94=3)*(COUNTIFS(Progress!$B$5:$B$3000,$A130,Progress!$G$5:$G$3000,Levels!$G$5:$G$94)&gt;0))&amp;" / "&amp;COUNTIFS(Levels!$A$5:$A$94,$B130,Levels!$B$5:$B$94,3))</f>
        <v/>
      </c>
      <c r="H130" s="24" t="str">
        <f aca="false">IF(OR($A130="",$B130=""),"",SUMPRODUCT((Levels!$A$5:$A$94=$B130)*(Levels!$B$5:$B$94=4)*(COUNTIFS(Progress!$B$5:$B$3000,$A130,Progress!$G$5:$G$3000,Levels!$G$5:$G$94)&gt;0))&amp;" / "&amp;COUNTIFS(Levels!$A$5:$A$94,$B130,Levels!$B$5:$B$94,4))</f>
        <v/>
      </c>
      <c r="I130" s="24" t="str">
        <f aca="false">IF(OR($A130="",$B130=""),"",IF(SUMPRODUCT((Levels!$A$5:$A$94=$B130)*(Levels!$B$5:$B$94=1)*(COUNTIFS(Progress!$B$5:$B$3000,$A130,Progress!$G$5:$G$3000,Levels!$G$5:$G$94)&gt;0))&lt;COUNTIFS(Levels!$A$5:$A$94,$B130,Levels!$B$5:$B$94,1),"1 Rookie",IF(SUMPRODUCT((Levels!$A$5:$A$94=$B130)*(Levels!$B$5:$B$94=2)*(COUNTIFS(Progress!$B$5:$B$3000,$A130,Progress!$G$5:$G$3000,Levels!$G$5:$G$94)&gt;0))&lt;COUNTIFS(Levels!$A$5:$A$94,$B130,Levels!$B$5:$B$94,2),"2 Contender",IF(SUMPRODUCT((Levels!$A$5:$A$94=$B130)*(Levels!$B$5:$B$94=3)*(COUNTIFS(Progress!$B$5:$B$3000,$A130,Progress!$G$5:$G$3000,Levels!$G$5:$G$94)&gt;0))&lt;COUNTIFS(Levels!$A$5:$A$94,$B130,Levels!$B$5:$B$94,3),"3 Challenger",IF(SUMPRODUCT((Levels!$A$5:$A$94=$B130)*(Levels!$B$5:$B$94=4)*(COUNTIFS(Progress!$B$5:$B$3000,$A130,Progress!$G$5:$G$3000,Levels!$G$5:$G$94)&gt;0))&lt;COUNTIFS(Levels!$A$5:$A$94,$B130,Levels!$B$5:$B$94,4),"4 Champion","All done")))))</f>
        <v/>
      </c>
      <c r="J130" s="25" t="str">
        <f aca="false">IF(OR(I130="",I130="All done"),"",COUNTIFS(Levels!$A$5:$A$94,$B130,Levels!$B$5:$B$94,1)*(LEFT(I130,1)="1")+COUNTIFS(Levels!$A$5:$A$94,$B130,Levels!$B$5:$B$94,2)*(LEFT(I130,1)="2")+COUNTIFS(Levels!$A$5:$A$94,$B130,Levels!$B$5:$B$94,3)*(LEFT(I130,1)="3")+COUNTIFS(Levels!$A$5:$A$94,$B130,Levels!$B$5:$B$94,4)*(LEFT(I130,1)="4")-(SUMPRODUCT((Levels!$A$5:$A$94=$B130)*(Levels!$B$5:$B$94=1)*(COUNTIFS(Progress!$B$5:$B$3000,$A130,Progress!$G$5:$G$3000,Levels!$G$5:$G$94)&gt;0))*(LEFT(I130,1)="1")+SUMPRODUCT((Levels!$A$5:$A$94=$B130)*(Levels!$B$5:$B$94=2)*(COUNTIFS(Progress!$B$5:$B$3000,$A130,Progress!$G$5:$G$3000,Levels!$G$5:$G$94)&gt;0))*(LEFT(I130,1)="2")+SUMPRODUCT((Levels!$A$5:$A$94=$B130)*(Levels!$B$5:$B$94=3)*(COUNTIFS(Progress!$B$5:$B$3000,$A130,Progress!$G$5:$G$3000,Levels!$G$5:$G$94)&gt;0))*(LEFT(I130,1)="3")+SUMPRODUCT((Levels!$A$5:$A$94=$B130)*(Levels!$B$5:$B$94=4)*(COUNTIFS(Progress!$B$5:$B$3000,$A130,Progress!$G$5:$G$3000,Levels!$G$5:$G$94)&gt;0))*(LEFT(I130,1)="4")))</f>
        <v/>
      </c>
      <c r="K130" s="26" t="str">
        <f aca="false">IF($A130="","",IF(COUNTIFS(Progress!$B$5:$B$3000,$A130)=0,"",SUMPRODUCT(MAX((Progress!$B$5:$B$3000=$A130)*Progress!$A$5:$A$3000))))</f>
        <v/>
      </c>
      <c r="L130" s="22"/>
    </row>
    <row r="131" customFormat="false" ht="15" hidden="false" customHeight="false" outlineLevel="0" collapsed="false">
      <c r="A131" s="22"/>
      <c r="B131" s="22"/>
      <c r="C131" s="23"/>
      <c r="D131" s="22"/>
      <c r="E131" s="24" t="str">
        <f aca="false">IF(OR($A131="",$B131=""),"",SUMPRODUCT((Levels!$A$5:$A$94=$B131)*(Levels!$B$5:$B$94=1)*(COUNTIFS(Progress!$B$5:$B$3000,$A131,Progress!$G$5:$G$3000,Levels!$G$5:$G$94)&gt;0))&amp;" / "&amp;COUNTIFS(Levels!$A$5:$A$94,$B131,Levels!$B$5:$B$94,1))</f>
        <v/>
      </c>
      <c r="F131" s="24" t="str">
        <f aca="false">IF(OR($A131="",$B131=""),"",SUMPRODUCT((Levels!$A$5:$A$94=$B131)*(Levels!$B$5:$B$94=2)*(COUNTIFS(Progress!$B$5:$B$3000,$A131,Progress!$G$5:$G$3000,Levels!$G$5:$G$94)&gt;0))&amp;" / "&amp;COUNTIFS(Levels!$A$5:$A$94,$B131,Levels!$B$5:$B$94,2))</f>
        <v/>
      </c>
      <c r="G131" s="24" t="str">
        <f aca="false">IF(OR($A131="",$B131=""),"",SUMPRODUCT((Levels!$A$5:$A$94=$B131)*(Levels!$B$5:$B$94=3)*(COUNTIFS(Progress!$B$5:$B$3000,$A131,Progress!$G$5:$G$3000,Levels!$G$5:$G$94)&gt;0))&amp;" / "&amp;COUNTIFS(Levels!$A$5:$A$94,$B131,Levels!$B$5:$B$94,3))</f>
        <v/>
      </c>
      <c r="H131" s="24" t="str">
        <f aca="false">IF(OR($A131="",$B131=""),"",SUMPRODUCT((Levels!$A$5:$A$94=$B131)*(Levels!$B$5:$B$94=4)*(COUNTIFS(Progress!$B$5:$B$3000,$A131,Progress!$G$5:$G$3000,Levels!$G$5:$G$94)&gt;0))&amp;" / "&amp;COUNTIFS(Levels!$A$5:$A$94,$B131,Levels!$B$5:$B$94,4))</f>
        <v/>
      </c>
      <c r="I131" s="24" t="str">
        <f aca="false">IF(OR($A131="",$B131=""),"",IF(SUMPRODUCT((Levels!$A$5:$A$94=$B131)*(Levels!$B$5:$B$94=1)*(COUNTIFS(Progress!$B$5:$B$3000,$A131,Progress!$G$5:$G$3000,Levels!$G$5:$G$94)&gt;0))&lt;COUNTIFS(Levels!$A$5:$A$94,$B131,Levels!$B$5:$B$94,1),"1 Rookie",IF(SUMPRODUCT((Levels!$A$5:$A$94=$B131)*(Levels!$B$5:$B$94=2)*(COUNTIFS(Progress!$B$5:$B$3000,$A131,Progress!$G$5:$G$3000,Levels!$G$5:$G$94)&gt;0))&lt;COUNTIFS(Levels!$A$5:$A$94,$B131,Levels!$B$5:$B$94,2),"2 Contender",IF(SUMPRODUCT((Levels!$A$5:$A$94=$B131)*(Levels!$B$5:$B$94=3)*(COUNTIFS(Progress!$B$5:$B$3000,$A131,Progress!$G$5:$G$3000,Levels!$G$5:$G$94)&gt;0))&lt;COUNTIFS(Levels!$A$5:$A$94,$B131,Levels!$B$5:$B$94,3),"3 Challenger",IF(SUMPRODUCT((Levels!$A$5:$A$94=$B131)*(Levels!$B$5:$B$94=4)*(COUNTIFS(Progress!$B$5:$B$3000,$A131,Progress!$G$5:$G$3000,Levels!$G$5:$G$94)&gt;0))&lt;COUNTIFS(Levels!$A$5:$A$94,$B131,Levels!$B$5:$B$94,4),"4 Champion","All done")))))</f>
        <v/>
      </c>
      <c r="J131" s="25" t="str">
        <f aca="false">IF(OR(I131="",I131="All done"),"",COUNTIFS(Levels!$A$5:$A$94,$B131,Levels!$B$5:$B$94,1)*(LEFT(I131,1)="1")+COUNTIFS(Levels!$A$5:$A$94,$B131,Levels!$B$5:$B$94,2)*(LEFT(I131,1)="2")+COUNTIFS(Levels!$A$5:$A$94,$B131,Levels!$B$5:$B$94,3)*(LEFT(I131,1)="3")+COUNTIFS(Levels!$A$5:$A$94,$B131,Levels!$B$5:$B$94,4)*(LEFT(I131,1)="4")-(SUMPRODUCT((Levels!$A$5:$A$94=$B131)*(Levels!$B$5:$B$94=1)*(COUNTIFS(Progress!$B$5:$B$3000,$A131,Progress!$G$5:$G$3000,Levels!$G$5:$G$94)&gt;0))*(LEFT(I131,1)="1")+SUMPRODUCT((Levels!$A$5:$A$94=$B131)*(Levels!$B$5:$B$94=2)*(COUNTIFS(Progress!$B$5:$B$3000,$A131,Progress!$G$5:$G$3000,Levels!$G$5:$G$94)&gt;0))*(LEFT(I131,1)="2")+SUMPRODUCT((Levels!$A$5:$A$94=$B131)*(Levels!$B$5:$B$94=3)*(COUNTIFS(Progress!$B$5:$B$3000,$A131,Progress!$G$5:$G$3000,Levels!$G$5:$G$94)&gt;0))*(LEFT(I131,1)="3")+SUMPRODUCT((Levels!$A$5:$A$94=$B131)*(Levels!$B$5:$B$94=4)*(COUNTIFS(Progress!$B$5:$B$3000,$A131,Progress!$G$5:$G$3000,Levels!$G$5:$G$94)&gt;0))*(LEFT(I131,1)="4")))</f>
        <v/>
      </c>
      <c r="K131" s="26" t="str">
        <f aca="false">IF($A131="","",IF(COUNTIFS(Progress!$B$5:$B$3000,$A131)=0,"",SUMPRODUCT(MAX((Progress!$B$5:$B$3000=$A131)*Progress!$A$5:$A$3000))))</f>
        <v/>
      </c>
      <c r="L131" s="22"/>
    </row>
    <row r="132" customFormat="false" ht="15" hidden="false" customHeight="false" outlineLevel="0" collapsed="false">
      <c r="A132" s="22"/>
      <c r="B132" s="22"/>
      <c r="C132" s="23"/>
      <c r="D132" s="22"/>
      <c r="E132" s="24" t="str">
        <f aca="false">IF(OR($A132="",$B132=""),"",SUMPRODUCT((Levels!$A$5:$A$94=$B132)*(Levels!$B$5:$B$94=1)*(COUNTIFS(Progress!$B$5:$B$3000,$A132,Progress!$G$5:$G$3000,Levels!$G$5:$G$94)&gt;0))&amp;" / "&amp;COUNTIFS(Levels!$A$5:$A$94,$B132,Levels!$B$5:$B$94,1))</f>
        <v/>
      </c>
      <c r="F132" s="24" t="str">
        <f aca="false">IF(OR($A132="",$B132=""),"",SUMPRODUCT((Levels!$A$5:$A$94=$B132)*(Levels!$B$5:$B$94=2)*(COUNTIFS(Progress!$B$5:$B$3000,$A132,Progress!$G$5:$G$3000,Levels!$G$5:$G$94)&gt;0))&amp;" / "&amp;COUNTIFS(Levels!$A$5:$A$94,$B132,Levels!$B$5:$B$94,2))</f>
        <v/>
      </c>
      <c r="G132" s="24" t="str">
        <f aca="false">IF(OR($A132="",$B132=""),"",SUMPRODUCT((Levels!$A$5:$A$94=$B132)*(Levels!$B$5:$B$94=3)*(COUNTIFS(Progress!$B$5:$B$3000,$A132,Progress!$G$5:$G$3000,Levels!$G$5:$G$94)&gt;0))&amp;" / "&amp;COUNTIFS(Levels!$A$5:$A$94,$B132,Levels!$B$5:$B$94,3))</f>
        <v/>
      </c>
      <c r="H132" s="24" t="str">
        <f aca="false">IF(OR($A132="",$B132=""),"",SUMPRODUCT((Levels!$A$5:$A$94=$B132)*(Levels!$B$5:$B$94=4)*(COUNTIFS(Progress!$B$5:$B$3000,$A132,Progress!$G$5:$G$3000,Levels!$G$5:$G$94)&gt;0))&amp;" / "&amp;COUNTIFS(Levels!$A$5:$A$94,$B132,Levels!$B$5:$B$94,4))</f>
        <v/>
      </c>
      <c r="I132" s="24" t="str">
        <f aca="false">IF(OR($A132="",$B132=""),"",IF(SUMPRODUCT((Levels!$A$5:$A$94=$B132)*(Levels!$B$5:$B$94=1)*(COUNTIFS(Progress!$B$5:$B$3000,$A132,Progress!$G$5:$G$3000,Levels!$G$5:$G$94)&gt;0))&lt;COUNTIFS(Levels!$A$5:$A$94,$B132,Levels!$B$5:$B$94,1),"1 Rookie",IF(SUMPRODUCT((Levels!$A$5:$A$94=$B132)*(Levels!$B$5:$B$94=2)*(COUNTIFS(Progress!$B$5:$B$3000,$A132,Progress!$G$5:$G$3000,Levels!$G$5:$G$94)&gt;0))&lt;COUNTIFS(Levels!$A$5:$A$94,$B132,Levels!$B$5:$B$94,2),"2 Contender",IF(SUMPRODUCT((Levels!$A$5:$A$94=$B132)*(Levels!$B$5:$B$94=3)*(COUNTIFS(Progress!$B$5:$B$3000,$A132,Progress!$G$5:$G$3000,Levels!$G$5:$G$94)&gt;0))&lt;COUNTIFS(Levels!$A$5:$A$94,$B132,Levels!$B$5:$B$94,3),"3 Challenger",IF(SUMPRODUCT((Levels!$A$5:$A$94=$B132)*(Levels!$B$5:$B$94=4)*(COUNTIFS(Progress!$B$5:$B$3000,$A132,Progress!$G$5:$G$3000,Levels!$G$5:$G$94)&gt;0))&lt;COUNTIFS(Levels!$A$5:$A$94,$B132,Levels!$B$5:$B$94,4),"4 Champion","All done")))))</f>
        <v/>
      </c>
      <c r="J132" s="25" t="str">
        <f aca="false">IF(OR(I132="",I132="All done"),"",COUNTIFS(Levels!$A$5:$A$94,$B132,Levels!$B$5:$B$94,1)*(LEFT(I132,1)="1")+COUNTIFS(Levels!$A$5:$A$94,$B132,Levels!$B$5:$B$94,2)*(LEFT(I132,1)="2")+COUNTIFS(Levels!$A$5:$A$94,$B132,Levels!$B$5:$B$94,3)*(LEFT(I132,1)="3")+COUNTIFS(Levels!$A$5:$A$94,$B132,Levels!$B$5:$B$94,4)*(LEFT(I132,1)="4")-(SUMPRODUCT((Levels!$A$5:$A$94=$B132)*(Levels!$B$5:$B$94=1)*(COUNTIFS(Progress!$B$5:$B$3000,$A132,Progress!$G$5:$G$3000,Levels!$G$5:$G$94)&gt;0))*(LEFT(I132,1)="1")+SUMPRODUCT((Levels!$A$5:$A$94=$B132)*(Levels!$B$5:$B$94=2)*(COUNTIFS(Progress!$B$5:$B$3000,$A132,Progress!$G$5:$G$3000,Levels!$G$5:$G$94)&gt;0))*(LEFT(I132,1)="2")+SUMPRODUCT((Levels!$A$5:$A$94=$B132)*(Levels!$B$5:$B$94=3)*(COUNTIFS(Progress!$B$5:$B$3000,$A132,Progress!$G$5:$G$3000,Levels!$G$5:$G$94)&gt;0))*(LEFT(I132,1)="3")+SUMPRODUCT((Levels!$A$5:$A$94=$B132)*(Levels!$B$5:$B$94=4)*(COUNTIFS(Progress!$B$5:$B$3000,$A132,Progress!$G$5:$G$3000,Levels!$G$5:$G$94)&gt;0))*(LEFT(I132,1)="4")))</f>
        <v/>
      </c>
      <c r="K132" s="26" t="str">
        <f aca="false">IF($A132="","",IF(COUNTIFS(Progress!$B$5:$B$3000,$A132)=0,"",SUMPRODUCT(MAX((Progress!$B$5:$B$3000=$A132)*Progress!$A$5:$A$3000))))</f>
        <v/>
      </c>
      <c r="L132" s="22"/>
    </row>
    <row r="133" customFormat="false" ht="15" hidden="false" customHeight="false" outlineLevel="0" collapsed="false">
      <c r="A133" s="22"/>
      <c r="B133" s="22"/>
      <c r="C133" s="23"/>
      <c r="D133" s="22"/>
      <c r="E133" s="24" t="str">
        <f aca="false">IF(OR($A133="",$B133=""),"",SUMPRODUCT((Levels!$A$5:$A$94=$B133)*(Levels!$B$5:$B$94=1)*(COUNTIFS(Progress!$B$5:$B$3000,$A133,Progress!$G$5:$G$3000,Levels!$G$5:$G$94)&gt;0))&amp;" / "&amp;COUNTIFS(Levels!$A$5:$A$94,$B133,Levels!$B$5:$B$94,1))</f>
        <v/>
      </c>
      <c r="F133" s="24" t="str">
        <f aca="false">IF(OR($A133="",$B133=""),"",SUMPRODUCT((Levels!$A$5:$A$94=$B133)*(Levels!$B$5:$B$94=2)*(COUNTIFS(Progress!$B$5:$B$3000,$A133,Progress!$G$5:$G$3000,Levels!$G$5:$G$94)&gt;0))&amp;" / "&amp;COUNTIFS(Levels!$A$5:$A$94,$B133,Levels!$B$5:$B$94,2))</f>
        <v/>
      </c>
      <c r="G133" s="24" t="str">
        <f aca="false">IF(OR($A133="",$B133=""),"",SUMPRODUCT((Levels!$A$5:$A$94=$B133)*(Levels!$B$5:$B$94=3)*(COUNTIFS(Progress!$B$5:$B$3000,$A133,Progress!$G$5:$G$3000,Levels!$G$5:$G$94)&gt;0))&amp;" / "&amp;COUNTIFS(Levels!$A$5:$A$94,$B133,Levels!$B$5:$B$94,3))</f>
        <v/>
      </c>
      <c r="H133" s="24" t="str">
        <f aca="false">IF(OR($A133="",$B133=""),"",SUMPRODUCT((Levels!$A$5:$A$94=$B133)*(Levels!$B$5:$B$94=4)*(COUNTIFS(Progress!$B$5:$B$3000,$A133,Progress!$G$5:$G$3000,Levels!$G$5:$G$94)&gt;0))&amp;" / "&amp;COUNTIFS(Levels!$A$5:$A$94,$B133,Levels!$B$5:$B$94,4))</f>
        <v/>
      </c>
      <c r="I133" s="24" t="str">
        <f aca="false">IF(OR($A133="",$B133=""),"",IF(SUMPRODUCT((Levels!$A$5:$A$94=$B133)*(Levels!$B$5:$B$94=1)*(COUNTIFS(Progress!$B$5:$B$3000,$A133,Progress!$G$5:$G$3000,Levels!$G$5:$G$94)&gt;0))&lt;COUNTIFS(Levels!$A$5:$A$94,$B133,Levels!$B$5:$B$94,1),"1 Rookie",IF(SUMPRODUCT((Levels!$A$5:$A$94=$B133)*(Levels!$B$5:$B$94=2)*(COUNTIFS(Progress!$B$5:$B$3000,$A133,Progress!$G$5:$G$3000,Levels!$G$5:$G$94)&gt;0))&lt;COUNTIFS(Levels!$A$5:$A$94,$B133,Levels!$B$5:$B$94,2),"2 Contender",IF(SUMPRODUCT((Levels!$A$5:$A$94=$B133)*(Levels!$B$5:$B$94=3)*(COUNTIFS(Progress!$B$5:$B$3000,$A133,Progress!$G$5:$G$3000,Levels!$G$5:$G$94)&gt;0))&lt;COUNTIFS(Levels!$A$5:$A$94,$B133,Levels!$B$5:$B$94,3),"3 Challenger",IF(SUMPRODUCT((Levels!$A$5:$A$94=$B133)*(Levels!$B$5:$B$94=4)*(COUNTIFS(Progress!$B$5:$B$3000,$A133,Progress!$G$5:$G$3000,Levels!$G$5:$G$94)&gt;0))&lt;COUNTIFS(Levels!$A$5:$A$94,$B133,Levels!$B$5:$B$94,4),"4 Champion","All done")))))</f>
        <v/>
      </c>
      <c r="J133" s="25" t="str">
        <f aca="false">IF(OR(I133="",I133="All done"),"",COUNTIFS(Levels!$A$5:$A$94,$B133,Levels!$B$5:$B$94,1)*(LEFT(I133,1)="1")+COUNTIFS(Levels!$A$5:$A$94,$B133,Levels!$B$5:$B$94,2)*(LEFT(I133,1)="2")+COUNTIFS(Levels!$A$5:$A$94,$B133,Levels!$B$5:$B$94,3)*(LEFT(I133,1)="3")+COUNTIFS(Levels!$A$5:$A$94,$B133,Levels!$B$5:$B$94,4)*(LEFT(I133,1)="4")-(SUMPRODUCT((Levels!$A$5:$A$94=$B133)*(Levels!$B$5:$B$94=1)*(COUNTIFS(Progress!$B$5:$B$3000,$A133,Progress!$G$5:$G$3000,Levels!$G$5:$G$94)&gt;0))*(LEFT(I133,1)="1")+SUMPRODUCT((Levels!$A$5:$A$94=$B133)*(Levels!$B$5:$B$94=2)*(COUNTIFS(Progress!$B$5:$B$3000,$A133,Progress!$G$5:$G$3000,Levels!$G$5:$G$94)&gt;0))*(LEFT(I133,1)="2")+SUMPRODUCT((Levels!$A$5:$A$94=$B133)*(Levels!$B$5:$B$94=3)*(COUNTIFS(Progress!$B$5:$B$3000,$A133,Progress!$G$5:$G$3000,Levels!$G$5:$G$94)&gt;0))*(LEFT(I133,1)="3")+SUMPRODUCT((Levels!$A$5:$A$94=$B133)*(Levels!$B$5:$B$94=4)*(COUNTIFS(Progress!$B$5:$B$3000,$A133,Progress!$G$5:$G$3000,Levels!$G$5:$G$94)&gt;0))*(LEFT(I133,1)="4")))</f>
        <v/>
      </c>
      <c r="K133" s="26" t="str">
        <f aca="false">IF($A133="","",IF(COUNTIFS(Progress!$B$5:$B$3000,$A133)=0,"",SUMPRODUCT(MAX((Progress!$B$5:$B$3000=$A133)*Progress!$A$5:$A$3000))))</f>
        <v/>
      </c>
      <c r="L133" s="22"/>
    </row>
    <row r="134" customFormat="false" ht="15" hidden="false" customHeight="false" outlineLevel="0" collapsed="false">
      <c r="A134" s="22"/>
      <c r="B134" s="22"/>
      <c r="C134" s="23"/>
      <c r="D134" s="22"/>
      <c r="E134" s="24" t="str">
        <f aca="false">IF(OR($A134="",$B134=""),"",SUMPRODUCT((Levels!$A$5:$A$94=$B134)*(Levels!$B$5:$B$94=1)*(COUNTIFS(Progress!$B$5:$B$3000,$A134,Progress!$G$5:$G$3000,Levels!$G$5:$G$94)&gt;0))&amp;" / "&amp;COUNTIFS(Levels!$A$5:$A$94,$B134,Levels!$B$5:$B$94,1))</f>
        <v/>
      </c>
      <c r="F134" s="24" t="str">
        <f aca="false">IF(OR($A134="",$B134=""),"",SUMPRODUCT((Levels!$A$5:$A$94=$B134)*(Levels!$B$5:$B$94=2)*(COUNTIFS(Progress!$B$5:$B$3000,$A134,Progress!$G$5:$G$3000,Levels!$G$5:$G$94)&gt;0))&amp;" / "&amp;COUNTIFS(Levels!$A$5:$A$94,$B134,Levels!$B$5:$B$94,2))</f>
        <v/>
      </c>
      <c r="G134" s="24" t="str">
        <f aca="false">IF(OR($A134="",$B134=""),"",SUMPRODUCT((Levels!$A$5:$A$94=$B134)*(Levels!$B$5:$B$94=3)*(COUNTIFS(Progress!$B$5:$B$3000,$A134,Progress!$G$5:$G$3000,Levels!$G$5:$G$94)&gt;0))&amp;" / "&amp;COUNTIFS(Levels!$A$5:$A$94,$B134,Levels!$B$5:$B$94,3))</f>
        <v/>
      </c>
      <c r="H134" s="24" t="str">
        <f aca="false">IF(OR($A134="",$B134=""),"",SUMPRODUCT((Levels!$A$5:$A$94=$B134)*(Levels!$B$5:$B$94=4)*(COUNTIFS(Progress!$B$5:$B$3000,$A134,Progress!$G$5:$G$3000,Levels!$G$5:$G$94)&gt;0))&amp;" / "&amp;COUNTIFS(Levels!$A$5:$A$94,$B134,Levels!$B$5:$B$94,4))</f>
        <v/>
      </c>
      <c r="I134" s="24" t="str">
        <f aca="false">IF(OR($A134="",$B134=""),"",IF(SUMPRODUCT((Levels!$A$5:$A$94=$B134)*(Levels!$B$5:$B$94=1)*(COUNTIFS(Progress!$B$5:$B$3000,$A134,Progress!$G$5:$G$3000,Levels!$G$5:$G$94)&gt;0))&lt;COUNTIFS(Levels!$A$5:$A$94,$B134,Levels!$B$5:$B$94,1),"1 Rookie",IF(SUMPRODUCT((Levels!$A$5:$A$94=$B134)*(Levels!$B$5:$B$94=2)*(COUNTIFS(Progress!$B$5:$B$3000,$A134,Progress!$G$5:$G$3000,Levels!$G$5:$G$94)&gt;0))&lt;COUNTIFS(Levels!$A$5:$A$94,$B134,Levels!$B$5:$B$94,2),"2 Contender",IF(SUMPRODUCT((Levels!$A$5:$A$94=$B134)*(Levels!$B$5:$B$94=3)*(COUNTIFS(Progress!$B$5:$B$3000,$A134,Progress!$G$5:$G$3000,Levels!$G$5:$G$94)&gt;0))&lt;COUNTIFS(Levels!$A$5:$A$94,$B134,Levels!$B$5:$B$94,3),"3 Challenger",IF(SUMPRODUCT((Levels!$A$5:$A$94=$B134)*(Levels!$B$5:$B$94=4)*(COUNTIFS(Progress!$B$5:$B$3000,$A134,Progress!$G$5:$G$3000,Levels!$G$5:$G$94)&gt;0))&lt;COUNTIFS(Levels!$A$5:$A$94,$B134,Levels!$B$5:$B$94,4),"4 Champion","All done")))))</f>
        <v/>
      </c>
      <c r="J134" s="25" t="str">
        <f aca="false">IF(OR(I134="",I134="All done"),"",COUNTIFS(Levels!$A$5:$A$94,$B134,Levels!$B$5:$B$94,1)*(LEFT(I134,1)="1")+COUNTIFS(Levels!$A$5:$A$94,$B134,Levels!$B$5:$B$94,2)*(LEFT(I134,1)="2")+COUNTIFS(Levels!$A$5:$A$94,$B134,Levels!$B$5:$B$94,3)*(LEFT(I134,1)="3")+COUNTIFS(Levels!$A$5:$A$94,$B134,Levels!$B$5:$B$94,4)*(LEFT(I134,1)="4")-(SUMPRODUCT((Levels!$A$5:$A$94=$B134)*(Levels!$B$5:$B$94=1)*(COUNTIFS(Progress!$B$5:$B$3000,$A134,Progress!$G$5:$G$3000,Levels!$G$5:$G$94)&gt;0))*(LEFT(I134,1)="1")+SUMPRODUCT((Levels!$A$5:$A$94=$B134)*(Levels!$B$5:$B$94=2)*(COUNTIFS(Progress!$B$5:$B$3000,$A134,Progress!$G$5:$G$3000,Levels!$G$5:$G$94)&gt;0))*(LEFT(I134,1)="2")+SUMPRODUCT((Levels!$A$5:$A$94=$B134)*(Levels!$B$5:$B$94=3)*(COUNTIFS(Progress!$B$5:$B$3000,$A134,Progress!$G$5:$G$3000,Levels!$G$5:$G$94)&gt;0))*(LEFT(I134,1)="3")+SUMPRODUCT((Levels!$A$5:$A$94=$B134)*(Levels!$B$5:$B$94=4)*(COUNTIFS(Progress!$B$5:$B$3000,$A134,Progress!$G$5:$G$3000,Levels!$G$5:$G$94)&gt;0))*(LEFT(I134,1)="4")))</f>
        <v/>
      </c>
      <c r="K134" s="26" t="str">
        <f aca="false">IF($A134="","",IF(COUNTIFS(Progress!$B$5:$B$3000,$A134)=0,"",SUMPRODUCT(MAX((Progress!$B$5:$B$3000=$A134)*Progress!$A$5:$A$3000))))</f>
        <v/>
      </c>
      <c r="L134" s="22"/>
    </row>
    <row r="135" customFormat="false" ht="15" hidden="false" customHeight="false" outlineLevel="0" collapsed="false">
      <c r="A135" s="22"/>
      <c r="B135" s="22"/>
      <c r="C135" s="23"/>
      <c r="D135" s="22"/>
      <c r="E135" s="24" t="str">
        <f aca="false">IF(OR($A135="",$B135=""),"",SUMPRODUCT((Levels!$A$5:$A$94=$B135)*(Levels!$B$5:$B$94=1)*(COUNTIFS(Progress!$B$5:$B$3000,$A135,Progress!$G$5:$G$3000,Levels!$G$5:$G$94)&gt;0))&amp;" / "&amp;COUNTIFS(Levels!$A$5:$A$94,$B135,Levels!$B$5:$B$94,1))</f>
        <v/>
      </c>
      <c r="F135" s="24" t="str">
        <f aca="false">IF(OR($A135="",$B135=""),"",SUMPRODUCT((Levels!$A$5:$A$94=$B135)*(Levels!$B$5:$B$94=2)*(COUNTIFS(Progress!$B$5:$B$3000,$A135,Progress!$G$5:$G$3000,Levels!$G$5:$G$94)&gt;0))&amp;" / "&amp;COUNTIFS(Levels!$A$5:$A$94,$B135,Levels!$B$5:$B$94,2))</f>
        <v/>
      </c>
      <c r="G135" s="24" t="str">
        <f aca="false">IF(OR($A135="",$B135=""),"",SUMPRODUCT((Levels!$A$5:$A$94=$B135)*(Levels!$B$5:$B$94=3)*(COUNTIFS(Progress!$B$5:$B$3000,$A135,Progress!$G$5:$G$3000,Levels!$G$5:$G$94)&gt;0))&amp;" / "&amp;COUNTIFS(Levels!$A$5:$A$94,$B135,Levels!$B$5:$B$94,3))</f>
        <v/>
      </c>
      <c r="H135" s="24" t="str">
        <f aca="false">IF(OR($A135="",$B135=""),"",SUMPRODUCT((Levels!$A$5:$A$94=$B135)*(Levels!$B$5:$B$94=4)*(COUNTIFS(Progress!$B$5:$B$3000,$A135,Progress!$G$5:$G$3000,Levels!$G$5:$G$94)&gt;0))&amp;" / "&amp;COUNTIFS(Levels!$A$5:$A$94,$B135,Levels!$B$5:$B$94,4))</f>
        <v/>
      </c>
      <c r="I135" s="24" t="str">
        <f aca="false">IF(OR($A135="",$B135=""),"",IF(SUMPRODUCT((Levels!$A$5:$A$94=$B135)*(Levels!$B$5:$B$94=1)*(COUNTIFS(Progress!$B$5:$B$3000,$A135,Progress!$G$5:$G$3000,Levels!$G$5:$G$94)&gt;0))&lt;COUNTIFS(Levels!$A$5:$A$94,$B135,Levels!$B$5:$B$94,1),"1 Rookie",IF(SUMPRODUCT((Levels!$A$5:$A$94=$B135)*(Levels!$B$5:$B$94=2)*(COUNTIFS(Progress!$B$5:$B$3000,$A135,Progress!$G$5:$G$3000,Levels!$G$5:$G$94)&gt;0))&lt;COUNTIFS(Levels!$A$5:$A$94,$B135,Levels!$B$5:$B$94,2),"2 Contender",IF(SUMPRODUCT((Levels!$A$5:$A$94=$B135)*(Levels!$B$5:$B$94=3)*(COUNTIFS(Progress!$B$5:$B$3000,$A135,Progress!$G$5:$G$3000,Levels!$G$5:$G$94)&gt;0))&lt;COUNTIFS(Levels!$A$5:$A$94,$B135,Levels!$B$5:$B$94,3),"3 Challenger",IF(SUMPRODUCT((Levels!$A$5:$A$94=$B135)*(Levels!$B$5:$B$94=4)*(COUNTIFS(Progress!$B$5:$B$3000,$A135,Progress!$G$5:$G$3000,Levels!$G$5:$G$94)&gt;0))&lt;COUNTIFS(Levels!$A$5:$A$94,$B135,Levels!$B$5:$B$94,4),"4 Champion","All done")))))</f>
        <v/>
      </c>
      <c r="J135" s="25" t="str">
        <f aca="false">IF(OR(I135="",I135="All done"),"",COUNTIFS(Levels!$A$5:$A$94,$B135,Levels!$B$5:$B$94,1)*(LEFT(I135,1)="1")+COUNTIFS(Levels!$A$5:$A$94,$B135,Levels!$B$5:$B$94,2)*(LEFT(I135,1)="2")+COUNTIFS(Levels!$A$5:$A$94,$B135,Levels!$B$5:$B$94,3)*(LEFT(I135,1)="3")+COUNTIFS(Levels!$A$5:$A$94,$B135,Levels!$B$5:$B$94,4)*(LEFT(I135,1)="4")-(SUMPRODUCT((Levels!$A$5:$A$94=$B135)*(Levels!$B$5:$B$94=1)*(COUNTIFS(Progress!$B$5:$B$3000,$A135,Progress!$G$5:$G$3000,Levels!$G$5:$G$94)&gt;0))*(LEFT(I135,1)="1")+SUMPRODUCT((Levels!$A$5:$A$94=$B135)*(Levels!$B$5:$B$94=2)*(COUNTIFS(Progress!$B$5:$B$3000,$A135,Progress!$G$5:$G$3000,Levels!$G$5:$G$94)&gt;0))*(LEFT(I135,1)="2")+SUMPRODUCT((Levels!$A$5:$A$94=$B135)*(Levels!$B$5:$B$94=3)*(COUNTIFS(Progress!$B$5:$B$3000,$A135,Progress!$G$5:$G$3000,Levels!$G$5:$G$94)&gt;0))*(LEFT(I135,1)="3")+SUMPRODUCT((Levels!$A$5:$A$94=$B135)*(Levels!$B$5:$B$94=4)*(COUNTIFS(Progress!$B$5:$B$3000,$A135,Progress!$G$5:$G$3000,Levels!$G$5:$G$94)&gt;0))*(LEFT(I135,1)="4")))</f>
        <v/>
      </c>
      <c r="K135" s="26" t="str">
        <f aca="false">IF($A135="","",IF(COUNTIFS(Progress!$B$5:$B$3000,$A135)=0,"",SUMPRODUCT(MAX((Progress!$B$5:$B$3000=$A135)*Progress!$A$5:$A$3000))))</f>
        <v/>
      </c>
      <c r="L135" s="22"/>
    </row>
    <row r="136" customFormat="false" ht="15" hidden="false" customHeight="false" outlineLevel="0" collapsed="false">
      <c r="A136" s="22"/>
      <c r="B136" s="22"/>
      <c r="C136" s="23"/>
      <c r="D136" s="22"/>
      <c r="E136" s="24" t="str">
        <f aca="false">IF(OR($A136="",$B136=""),"",SUMPRODUCT((Levels!$A$5:$A$94=$B136)*(Levels!$B$5:$B$94=1)*(COUNTIFS(Progress!$B$5:$B$3000,$A136,Progress!$G$5:$G$3000,Levels!$G$5:$G$94)&gt;0))&amp;" / "&amp;COUNTIFS(Levels!$A$5:$A$94,$B136,Levels!$B$5:$B$94,1))</f>
        <v/>
      </c>
      <c r="F136" s="24" t="str">
        <f aca="false">IF(OR($A136="",$B136=""),"",SUMPRODUCT((Levels!$A$5:$A$94=$B136)*(Levels!$B$5:$B$94=2)*(COUNTIFS(Progress!$B$5:$B$3000,$A136,Progress!$G$5:$G$3000,Levels!$G$5:$G$94)&gt;0))&amp;" / "&amp;COUNTIFS(Levels!$A$5:$A$94,$B136,Levels!$B$5:$B$94,2))</f>
        <v/>
      </c>
      <c r="G136" s="24" t="str">
        <f aca="false">IF(OR($A136="",$B136=""),"",SUMPRODUCT((Levels!$A$5:$A$94=$B136)*(Levels!$B$5:$B$94=3)*(COUNTIFS(Progress!$B$5:$B$3000,$A136,Progress!$G$5:$G$3000,Levels!$G$5:$G$94)&gt;0))&amp;" / "&amp;COUNTIFS(Levels!$A$5:$A$94,$B136,Levels!$B$5:$B$94,3))</f>
        <v/>
      </c>
      <c r="H136" s="24" t="str">
        <f aca="false">IF(OR($A136="",$B136=""),"",SUMPRODUCT((Levels!$A$5:$A$94=$B136)*(Levels!$B$5:$B$94=4)*(COUNTIFS(Progress!$B$5:$B$3000,$A136,Progress!$G$5:$G$3000,Levels!$G$5:$G$94)&gt;0))&amp;" / "&amp;COUNTIFS(Levels!$A$5:$A$94,$B136,Levels!$B$5:$B$94,4))</f>
        <v/>
      </c>
      <c r="I136" s="24" t="str">
        <f aca="false">IF(OR($A136="",$B136=""),"",IF(SUMPRODUCT((Levels!$A$5:$A$94=$B136)*(Levels!$B$5:$B$94=1)*(COUNTIFS(Progress!$B$5:$B$3000,$A136,Progress!$G$5:$G$3000,Levels!$G$5:$G$94)&gt;0))&lt;COUNTIFS(Levels!$A$5:$A$94,$B136,Levels!$B$5:$B$94,1),"1 Rookie",IF(SUMPRODUCT((Levels!$A$5:$A$94=$B136)*(Levels!$B$5:$B$94=2)*(COUNTIFS(Progress!$B$5:$B$3000,$A136,Progress!$G$5:$G$3000,Levels!$G$5:$G$94)&gt;0))&lt;COUNTIFS(Levels!$A$5:$A$94,$B136,Levels!$B$5:$B$94,2),"2 Contender",IF(SUMPRODUCT((Levels!$A$5:$A$94=$B136)*(Levels!$B$5:$B$94=3)*(COUNTIFS(Progress!$B$5:$B$3000,$A136,Progress!$G$5:$G$3000,Levels!$G$5:$G$94)&gt;0))&lt;COUNTIFS(Levels!$A$5:$A$94,$B136,Levels!$B$5:$B$94,3),"3 Challenger",IF(SUMPRODUCT((Levels!$A$5:$A$94=$B136)*(Levels!$B$5:$B$94=4)*(COUNTIFS(Progress!$B$5:$B$3000,$A136,Progress!$G$5:$G$3000,Levels!$G$5:$G$94)&gt;0))&lt;COUNTIFS(Levels!$A$5:$A$94,$B136,Levels!$B$5:$B$94,4),"4 Champion","All done")))))</f>
        <v/>
      </c>
      <c r="J136" s="25" t="str">
        <f aca="false">IF(OR(I136="",I136="All done"),"",COUNTIFS(Levels!$A$5:$A$94,$B136,Levels!$B$5:$B$94,1)*(LEFT(I136,1)="1")+COUNTIFS(Levels!$A$5:$A$94,$B136,Levels!$B$5:$B$94,2)*(LEFT(I136,1)="2")+COUNTIFS(Levels!$A$5:$A$94,$B136,Levels!$B$5:$B$94,3)*(LEFT(I136,1)="3")+COUNTIFS(Levels!$A$5:$A$94,$B136,Levels!$B$5:$B$94,4)*(LEFT(I136,1)="4")-(SUMPRODUCT((Levels!$A$5:$A$94=$B136)*(Levels!$B$5:$B$94=1)*(COUNTIFS(Progress!$B$5:$B$3000,$A136,Progress!$G$5:$G$3000,Levels!$G$5:$G$94)&gt;0))*(LEFT(I136,1)="1")+SUMPRODUCT((Levels!$A$5:$A$94=$B136)*(Levels!$B$5:$B$94=2)*(COUNTIFS(Progress!$B$5:$B$3000,$A136,Progress!$G$5:$G$3000,Levels!$G$5:$G$94)&gt;0))*(LEFT(I136,1)="2")+SUMPRODUCT((Levels!$A$5:$A$94=$B136)*(Levels!$B$5:$B$94=3)*(COUNTIFS(Progress!$B$5:$B$3000,$A136,Progress!$G$5:$G$3000,Levels!$G$5:$G$94)&gt;0))*(LEFT(I136,1)="3")+SUMPRODUCT((Levels!$A$5:$A$94=$B136)*(Levels!$B$5:$B$94=4)*(COUNTIFS(Progress!$B$5:$B$3000,$A136,Progress!$G$5:$G$3000,Levels!$G$5:$G$94)&gt;0))*(LEFT(I136,1)="4")))</f>
        <v/>
      </c>
      <c r="K136" s="26" t="str">
        <f aca="false">IF($A136="","",IF(COUNTIFS(Progress!$B$5:$B$3000,$A136)=0,"",SUMPRODUCT(MAX((Progress!$B$5:$B$3000=$A136)*Progress!$A$5:$A$3000))))</f>
        <v/>
      </c>
      <c r="L136" s="22"/>
    </row>
    <row r="137" customFormat="false" ht="15" hidden="false" customHeight="false" outlineLevel="0" collapsed="false">
      <c r="A137" s="22"/>
      <c r="B137" s="22"/>
      <c r="C137" s="23"/>
      <c r="D137" s="22"/>
      <c r="E137" s="24" t="str">
        <f aca="false">IF(OR($A137="",$B137=""),"",SUMPRODUCT((Levels!$A$5:$A$94=$B137)*(Levels!$B$5:$B$94=1)*(COUNTIFS(Progress!$B$5:$B$3000,$A137,Progress!$G$5:$G$3000,Levels!$G$5:$G$94)&gt;0))&amp;" / "&amp;COUNTIFS(Levels!$A$5:$A$94,$B137,Levels!$B$5:$B$94,1))</f>
        <v/>
      </c>
      <c r="F137" s="24" t="str">
        <f aca="false">IF(OR($A137="",$B137=""),"",SUMPRODUCT((Levels!$A$5:$A$94=$B137)*(Levels!$B$5:$B$94=2)*(COUNTIFS(Progress!$B$5:$B$3000,$A137,Progress!$G$5:$G$3000,Levels!$G$5:$G$94)&gt;0))&amp;" / "&amp;COUNTIFS(Levels!$A$5:$A$94,$B137,Levels!$B$5:$B$94,2))</f>
        <v/>
      </c>
      <c r="G137" s="24" t="str">
        <f aca="false">IF(OR($A137="",$B137=""),"",SUMPRODUCT((Levels!$A$5:$A$94=$B137)*(Levels!$B$5:$B$94=3)*(COUNTIFS(Progress!$B$5:$B$3000,$A137,Progress!$G$5:$G$3000,Levels!$G$5:$G$94)&gt;0))&amp;" / "&amp;COUNTIFS(Levels!$A$5:$A$94,$B137,Levels!$B$5:$B$94,3))</f>
        <v/>
      </c>
      <c r="H137" s="24" t="str">
        <f aca="false">IF(OR($A137="",$B137=""),"",SUMPRODUCT((Levels!$A$5:$A$94=$B137)*(Levels!$B$5:$B$94=4)*(COUNTIFS(Progress!$B$5:$B$3000,$A137,Progress!$G$5:$G$3000,Levels!$G$5:$G$94)&gt;0))&amp;" / "&amp;COUNTIFS(Levels!$A$5:$A$94,$B137,Levels!$B$5:$B$94,4))</f>
        <v/>
      </c>
      <c r="I137" s="24" t="str">
        <f aca="false">IF(OR($A137="",$B137=""),"",IF(SUMPRODUCT((Levels!$A$5:$A$94=$B137)*(Levels!$B$5:$B$94=1)*(COUNTIFS(Progress!$B$5:$B$3000,$A137,Progress!$G$5:$G$3000,Levels!$G$5:$G$94)&gt;0))&lt;COUNTIFS(Levels!$A$5:$A$94,$B137,Levels!$B$5:$B$94,1),"1 Rookie",IF(SUMPRODUCT((Levels!$A$5:$A$94=$B137)*(Levels!$B$5:$B$94=2)*(COUNTIFS(Progress!$B$5:$B$3000,$A137,Progress!$G$5:$G$3000,Levels!$G$5:$G$94)&gt;0))&lt;COUNTIFS(Levels!$A$5:$A$94,$B137,Levels!$B$5:$B$94,2),"2 Contender",IF(SUMPRODUCT((Levels!$A$5:$A$94=$B137)*(Levels!$B$5:$B$94=3)*(COUNTIFS(Progress!$B$5:$B$3000,$A137,Progress!$G$5:$G$3000,Levels!$G$5:$G$94)&gt;0))&lt;COUNTIFS(Levels!$A$5:$A$94,$B137,Levels!$B$5:$B$94,3),"3 Challenger",IF(SUMPRODUCT((Levels!$A$5:$A$94=$B137)*(Levels!$B$5:$B$94=4)*(COUNTIFS(Progress!$B$5:$B$3000,$A137,Progress!$G$5:$G$3000,Levels!$G$5:$G$94)&gt;0))&lt;COUNTIFS(Levels!$A$5:$A$94,$B137,Levels!$B$5:$B$94,4),"4 Champion","All done")))))</f>
        <v/>
      </c>
      <c r="J137" s="25" t="str">
        <f aca="false">IF(OR(I137="",I137="All done"),"",COUNTIFS(Levels!$A$5:$A$94,$B137,Levels!$B$5:$B$94,1)*(LEFT(I137,1)="1")+COUNTIFS(Levels!$A$5:$A$94,$B137,Levels!$B$5:$B$94,2)*(LEFT(I137,1)="2")+COUNTIFS(Levels!$A$5:$A$94,$B137,Levels!$B$5:$B$94,3)*(LEFT(I137,1)="3")+COUNTIFS(Levels!$A$5:$A$94,$B137,Levels!$B$5:$B$94,4)*(LEFT(I137,1)="4")-(SUMPRODUCT((Levels!$A$5:$A$94=$B137)*(Levels!$B$5:$B$94=1)*(COUNTIFS(Progress!$B$5:$B$3000,$A137,Progress!$G$5:$G$3000,Levels!$G$5:$G$94)&gt;0))*(LEFT(I137,1)="1")+SUMPRODUCT((Levels!$A$5:$A$94=$B137)*(Levels!$B$5:$B$94=2)*(COUNTIFS(Progress!$B$5:$B$3000,$A137,Progress!$G$5:$G$3000,Levels!$G$5:$G$94)&gt;0))*(LEFT(I137,1)="2")+SUMPRODUCT((Levels!$A$5:$A$94=$B137)*(Levels!$B$5:$B$94=3)*(COUNTIFS(Progress!$B$5:$B$3000,$A137,Progress!$G$5:$G$3000,Levels!$G$5:$G$94)&gt;0))*(LEFT(I137,1)="3")+SUMPRODUCT((Levels!$A$5:$A$94=$B137)*(Levels!$B$5:$B$94=4)*(COUNTIFS(Progress!$B$5:$B$3000,$A137,Progress!$G$5:$G$3000,Levels!$G$5:$G$94)&gt;0))*(LEFT(I137,1)="4")))</f>
        <v/>
      </c>
      <c r="K137" s="26" t="str">
        <f aca="false">IF($A137="","",IF(COUNTIFS(Progress!$B$5:$B$3000,$A137)=0,"",SUMPRODUCT(MAX((Progress!$B$5:$B$3000=$A137)*Progress!$A$5:$A$3000))))</f>
        <v/>
      </c>
      <c r="L137" s="22"/>
    </row>
    <row r="138" customFormat="false" ht="15" hidden="false" customHeight="false" outlineLevel="0" collapsed="false">
      <c r="A138" s="22"/>
      <c r="B138" s="22"/>
      <c r="C138" s="23"/>
      <c r="D138" s="22"/>
      <c r="E138" s="24" t="str">
        <f aca="false">IF(OR($A138="",$B138=""),"",SUMPRODUCT((Levels!$A$5:$A$94=$B138)*(Levels!$B$5:$B$94=1)*(COUNTIFS(Progress!$B$5:$B$3000,$A138,Progress!$G$5:$G$3000,Levels!$G$5:$G$94)&gt;0))&amp;" / "&amp;COUNTIFS(Levels!$A$5:$A$94,$B138,Levels!$B$5:$B$94,1))</f>
        <v/>
      </c>
      <c r="F138" s="24" t="str">
        <f aca="false">IF(OR($A138="",$B138=""),"",SUMPRODUCT((Levels!$A$5:$A$94=$B138)*(Levels!$B$5:$B$94=2)*(COUNTIFS(Progress!$B$5:$B$3000,$A138,Progress!$G$5:$G$3000,Levels!$G$5:$G$94)&gt;0))&amp;" / "&amp;COUNTIFS(Levels!$A$5:$A$94,$B138,Levels!$B$5:$B$94,2))</f>
        <v/>
      </c>
      <c r="G138" s="24" t="str">
        <f aca="false">IF(OR($A138="",$B138=""),"",SUMPRODUCT((Levels!$A$5:$A$94=$B138)*(Levels!$B$5:$B$94=3)*(COUNTIFS(Progress!$B$5:$B$3000,$A138,Progress!$G$5:$G$3000,Levels!$G$5:$G$94)&gt;0))&amp;" / "&amp;COUNTIFS(Levels!$A$5:$A$94,$B138,Levels!$B$5:$B$94,3))</f>
        <v/>
      </c>
      <c r="H138" s="24" t="str">
        <f aca="false">IF(OR($A138="",$B138=""),"",SUMPRODUCT((Levels!$A$5:$A$94=$B138)*(Levels!$B$5:$B$94=4)*(COUNTIFS(Progress!$B$5:$B$3000,$A138,Progress!$G$5:$G$3000,Levels!$G$5:$G$94)&gt;0))&amp;" / "&amp;COUNTIFS(Levels!$A$5:$A$94,$B138,Levels!$B$5:$B$94,4))</f>
        <v/>
      </c>
      <c r="I138" s="24" t="str">
        <f aca="false">IF(OR($A138="",$B138=""),"",IF(SUMPRODUCT((Levels!$A$5:$A$94=$B138)*(Levels!$B$5:$B$94=1)*(COUNTIFS(Progress!$B$5:$B$3000,$A138,Progress!$G$5:$G$3000,Levels!$G$5:$G$94)&gt;0))&lt;COUNTIFS(Levels!$A$5:$A$94,$B138,Levels!$B$5:$B$94,1),"1 Rookie",IF(SUMPRODUCT((Levels!$A$5:$A$94=$B138)*(Levels!$B$5:$B$94=2)*(COUNTIFS(Progress!$B$5:$B$3000,$A138,Progress!$G$5:$G$3000,Levels!$G$5:$G$94)&gt;0))&lt;COUNTIFS(Levels!$A$5:$A$94,$B138,Levels!$B$5:$B$94,2),"2 Contender",IF(SUMPRODUCT((Levels!$A$5:$A$94=$B138)*(Levels!$B$5:$B$94=3)*(COUNTIFS(Progress!$B$5:$B$3000,$A138,Progress!$G$5:$G$3000,Levels!$G$5:$G$94)&gt;0))&lt;COUNTIFS(Levels!$A$5:$A$94,$B138,Levels!$B$5:$B$94,3),"3 Challenger",IF(SUMPRODUCT((Levels!$A$5:$A$94=$B138)*(Levels!$B$5:$B$94=4)*(COUNTIFS(Progress!$B$5:$B$3000,$A138,Progress!$G$5:$G$3000,Levels!$G$5:$G$94)&gt;0))&lt;COUNTIFS(Levels!$A$5:$A$94,$B138,Levels!$B$5:$B$94,4),"4 Champion","All done")))))</f>
        <v/>
      </c>
      <c r="J138" s="25" t="str">
        <f aca="false">IF(OR(I138="",I138="All done"),"",COUNTIFS(Levels!$A$5:$A$94,$B138,Levels!$B$5:$B$94,1)*(LEFT(I138,1)="1")+COUNTIFS(Levels!$A$5:$A$94,$B138,Levels!$B$5:$B$94,2)*(LEFT(I138,1)="2")+COUNTIFS(Levels!$A$5:$A$94,$B138,Levels!$B$5:$B$94,3)*(LEFT(I138,1)="3")+COUNTIFS(Levels!$A$5:$A$94,$B138,Levels!$B$5:$B$94,4)*(LEFT(I138,1)="4")-(SUMPRODUCT((Levels!$A$5:$A$94=$B138)*(Levels!$B$5:$B$94=1)*(COUNTIFS(Progress!$B$5:$B$3000,$A138,Progress!$G$5:$G$3000,Levels!$G$5:$G$94)&gt;0))*(LEFT(I138,1)="1")+SUMPRODUCT((Levels!$A$5:$A$94=$B138)*(Levels!$B$5:$B$94=2)*(COUNTIFS(Progress!$B$5:$B$3000,$A138,Progress!$G$5:$G$3000,Levels!$G$5:$G$94)&gt;0))*(LEFT(I138,1)="2")+SUMPRODUCT((Levels!$A$5:$A$94=$B138)*(Levels!$B$5:$B$94=3)*(COUNTIFS(Progress!$B$5:$B$3000,$A138,Progress!$G$5:$G$3000,Levels!$G$5:$G$94)&gt;0))*(LEFT(I138,1)="3")+SUMPRODUCT((Levels!$A$5:$A$94=$B138)*(Levels!$B$5:$B$94=4)*(COUNTIFS(Progress!$B$5:$B$3000,$A138,Progress!$G$5:$G$3000,Levels!$G$5:$G$94)&gt;0))*(LEFT(I138,1)="4")))</f>
        <v/>
      </c>
      <c r="K138" s="26" t="str">
        <f aca="false">IF($A138="","",IF(COUNTIFS(Progress!$B$5:$B$3000,$A138)=0,"",SUMPRODUCT(MAX((Progress!$B$5:$B$3000=$A138)*Progress!$A$5:$A$3000))))</f>
        <v/>
      </c>
      <c r="L138" s="22"/>
    </row>
    <row r="139" customFormat="false" ht="15" hidden="false" customHeight="false" outlineLevel="0" collapsed="false">
      <c r="A139" s="22"/>
      <c r="B139" s="22"/>
      <c r="C139" s="23"/>
      <c r="D139" s="22"/>
      <c r="E139" s="24" t="str">
        <f aca="false">IF(OR($A139="",$B139=""),"",SUMPRODUCT((Levels!$A$5:$A$94=$B139)*(Levels!$B$5:$B$94=1)*(COUNTIFS(Progress!$B$5:$B$3000,$A139,Progress!$G$5:$G$3000,Levels!$G$5:$G$94)&gt;0))&amp;" / "&amp;COUNTIFS(Levels!$A$5:$A$94,$B139,Levels!$B$5:$B$94,1))</f>
        <v/>
      </c>
      <c r="F139" s="24" t="str">
        <f aca="false">IF(OR($A139="",$B139=""),"",SUMPRODUCT((Levels!$A$5:$A$94=$B139)*(Levels!$B$5:$B$94=2)*(COUNTIFS(Progress!$B$5:$B$3000,$A139,Progress!$G$5:$G$3000,Levels!$G$5:$G$94)&gt;0))&amp;" / "&amp;COUNTIFS(Levels!$A$5:$A$94,$B139,Levels!$B$5:$B$94,2))</f>
        <v/>
      </c>
      <c r="G139" s="24" t="str">
        <f aca="false">IF(OR($A139="",$B139=""),"",SUMPRODUCT((Levels!$A$5:$A$94=$B139)*(Levels!$B$5:$B$94=3)*(COUNTIFS(Progress!$B$5:$B$3000,$A139,Progress!$G$5:$G$3000,Levels!$G$5:$G$94)&gt;0))&amp;" / "&amp;COUNTIFS(Levels!$A$5:$A$94,$B139,Levels!$B$5:$B$94,3))</f>
        <v/>
      </c>
      <c r="H139" s="24" t="str">
        <f aca="false">IF(OR($A139="",$B139=""),"",SUMPRODUCT((Levels!$A$5:$A$94=$B139)*(Levels!$B$5:$B$94=4)*(COUNTIFS(Progress!$B$5:$B$3000,$A139,Progress!$G$5:$G$3000,Levels!$G$5:$G$94)&gt;0))&amp;" / "&amp;COUNTIFS(Levels!$A$5:$A$94,$B139,Levels!$B$5:$B$94,4))</f>
        <v/>
      </c>
      <c r="I139" s="24" t="str">
        <f aca="false">IF(OR($A139="",$B139=""),"",IF(SUMPRODUCT((Levels!$A$5:$A$94=$B139)*(Levels!$B$5:$B$94=1)*(COUNTIFS(Progress!$B$5:$B$3000,$A139,Progress!$G$5:$G$3000,Levels!$G$5:$G$94)&gt;0))&lt;COUNTIFS(Levels!$A$5:$A$94,$B139,Levels!$B$5:$B$94,1),"1 Rookie",IF(SUMPRODUCT((Levels!$A$5:$A$94=$B139)*(Levels!$B$5:$B$94=2)*(COUNTIFS(Progress!$B$5:$B$3000,$A139,Progress!$G$5:$G$3000,Levels!$G$5:$G$94)&gt;0))&lt;COUNTIFS(Levels!$A$5:$A$94,$B139,Levels!$B$5:$B$94,2),"2 Contender",IF(SUMPRODUCT((Levels!$A$5:$A$94=$B139)*(Levels!$B$5:$B$94=3)*(COUNTIFS(Progress!$B$5:$B$3000,$A139,Progress!$G$5:$G$3000,Levels!$G$5:$G$94)&gt;0))&lt;COUNTIFS(Levels!$A$5:$A$94,$B139,Levels!$B$5:$B$94,3),"3 Challenger",IF(SUMPRODUCT((Levels!$A$5:$A$94=$B139)*(Levels!$B$5:$B$94=4)*(COUNTIFS(Progress!$B$5:$B$3000,$A139,Progress!$G$5:$G$3000,Levels!$G$5:$G$94)&gt;0))&lt;COUNTIFS(Levels!$A$5:$A$94,$B139,Levels!$B$5:$B$94,4),"4 Champion","All done")))))</f>
        <v/>
      </c>
      <c r="J139" s="25" t="str">
        <f aca="false">IF(OR(I139="",I139="All done"),"",COUNTIFS(Levels!$A$5:$A$94,$B139,Levels!$B$5:$B$94,1)*(LEFT(I139,1)="1")+COUNTIFS(Levels!$A$5:$A$94,$B139,Levels!$B$5:$B$94,2)*(LEFT(I139,1)="2")+COUNTIFS(Levels!$A$5:$A$94,$B139,Levels!$B$5:$B$94,3)*(LEFT(I139,1)="3")+COUNTIFS(Levels!$A$5:$A$94,$B139,Levels!$B$5:$B$94,4)*(LEFT(I139,1)="4")-(SUMPRODUCT((Levels!$A$5:$A$94=$B139)*(Levels!$B$5:$B$94=1)*(COUNTIFS(Progress!$B$5:$B$3000,$A139,Progress!$G$5:$G$3000,Levels!$G$5:$G$94)&gt;0))*(LEFT(I139,1)="1")+SUMPRODUCT((Levels!$A$5:$A$94=$B139)*(Levels!$B$5:$B$94=2)*(COUNTIFS(Progress!$B$5:$B$3000,$A139,Progress!$G$5:$G$3000,Levels!$G$5:$G$94)&gt;0))*(LEFT(I139,1)="2")+SUMPRODUCT((Levels!$A$5:$A$94=$B139)*(Levels!$B$5:$B$94=3)*(COUNTIFS(Progress!$B$5:$B$3000,$A139,Progress!$G$5:$G$3000,Levels!$G$5:$G$94)&gt;0))*(LEFT(I139,1)="3")+SUMPRODUCT((Levels!$A$5:$A$94=$B139)*(Levels!$B$5:$B$94=4)*(COUNTIFS(Progress!$B$5:$B$3000,$A139,Progress!$G$5:$G$3000,Levels!$G$5:$G$94)&gt;0))*(LEFT(I139,1)="4")))</f>
        <v/>
      </c>
      <c r="K139" s="26" t="str">
        <f aca="false">IF($A139="","",IF(COUNTIFS(Progress!$B$5:$B$3000,$A139)=0,"",SUMPRODUCT(MAX((Progress!$B$5:$B$3000=$A139)*Progress!$A$5:$A$3000))))</f>
        <v/>
      </c>
      <c r="L139" s="22"/>
    </row>
    <row r="140" customFormat="false" ht="15" hidden="false" customHeight="false" outlineLevel="0" collapsed="false">
      <c r="A140" s="22"/>
      <c r="B140" s="22"/>
      <c r="C140" s="23"/>
      <c r="D140" s="22"/>
      <c r="E140" s="24" t="str">
        <f aca="false">IF(OR($A140="",$B140=""),"",SUMPRODUCT((Levels!$A$5:$A$94=$B140)*(Levels!$B$5:$B$94=1)*(COUNTIFS(Progress!$B$5:$B$3000,$A140,Progress!$G$5:$G$3000,Levels!$G$5:$G$94)&gt;0))&amp;" / "&amp;COUNTIFS(Levels!$A$5:$A$94,$B140,Levels!$B$5:$B$94,1))</f>
        <v/>
      </c>
      <c r="F140" s="24" t="str">
        <f aca="false">IF(OR($A140="",$B140=""),"",SUMPRODUCT((Levels!$A$5:$A$94=$B140)*(Levels!$B$5:$B$94=2)*(COUNTIFS(Progress!$B$5:$B$3000,$A140,Progress!$G$5:$G$3000,Levels!$G$5:$G$94)&gt;0))&amp;" / "&amp;COUNTIFS(Levels!$A$5:$A$94,$B140,Levels!$B$5:$B$94,2))</f>
        <v/>
      </c>
      <c r="G140" s="24" t="str">
        <f aca="false">IF(OR($A140="",$B140=""),"",SUMPRODUCT((Levels!$A$5:$A$94=$B140)*(Levels!$B$5:$B$94=3)*(COUNTIFS(Progress!$B$5:$B$3000,$A140,Progress!$G$5:$G$3000,Levels!$G$5:$G$94)&gt;0))&amp;" / "&amp;COUNTIFS(Levels!$A$5:$A$94,$B140,Levels!$B$5:$B$94,3))</f>
        <v/>
      </c>
      <c r="H140" s="24" t="str">
        <f aca="false">IF(OR($A140="",$B140=""),"",SUMPRODUCT((Levels!$A$5:$A$94=$B140)*(Levels!$B$5:$B$94=4)*(COUNTIFS(Progress!$B$5:$B$3000,$A140,Progress!$G$5:$G$3000,Levels!$G$5:$G$94)&gt;0))&amp;" / "&amp;COUNTIFS(Levels!$A$5:$A$94,$B140,Levels!$B$5:$B$94,4))</f>
        <v/>
      </c>
      <c r="I140" s="24" t="str">
        <f aca="false">IF(OR($A140="",$B140=""),"",IF(SUMPRODUCT((Levels!$A$5:$A$94=$B140)*(Levels!$B$5:$B$94=1)*(COUNTIFS(Progress!$B$5:$B$3000,$A140,Progress!$G$5:$G$3000,Levels!$G$5:$G$94)&gt;0))&lt;COUNTIFS(Levels!$A$5:$A$94,$B140,Levels!$B$5:$B$94,1),"1 Rookie",IF(SUMPRODUCT((Levels!$A$5:$A$94=$B140)*(Levels!$B$5:$B$94=2)*(COUNTIFS(Progress!$B$5:$B$3000,$A140,Progress!$G$5:$G$3000,Levels!$G$5:$G$94)&gt;0))&lt;COUNTIFS(Levels!$A$5:$A$94,$B140,Levels!$B$5:$B$94,2),"2 Contender",IF(SUMPRODUCT((Levels!$A$5:$A$94=$B140)*(Levels!$B$5:$B$94=3)*(COUNTIFS(Progress!$B$5:$B$3000,$A140,Progress!$G$5:$G$3000,Levels!$G$5:$G$94)&gt;0))&lt;COUNTIFS(Levels!$A$5:$A$94,$B140,Levels!$B$5:$B$94,3),"3 Challenger",IF(SUMPRODUCT((Levels!$A$5:$A$94=$B140)*(Levels!$B$5:$B$94=4)*(COUNTIFS(Progress!$B$5:$B$3000,$A140,Progress!$G$5:$G$3000,Levels!$G$5:$G$94)&gt;0))&lt;COUNTIFS(Levels!$A$5:$A$94,$B140,Levels!$B$5:$B$94,4),"4 Champion","All done")))))</f>
        <v/>
      </c>
      <c r="J140" s="25" t="str">
        <f aca="false">IF(OR(I140="",I140="All done"),"",COUNTIFS(Levels!$A$5:$A$94,$B140,Levels!$B$5:$B$94,1)*(LEFT(I140,1)="1")+COUNTIFS(Levels!$A$5:$A$94,$B140,Levels!$B$5:$B$94,2)*(LEFT(I140,1)="2")+COUNTIFS(Levels!$A$5:$A$94,$B140,Levels!$B$5:$B$94,3)*(LEFT(I140,1)="3")+COUNTIFS(Levels!$A$5:$A$94,$B140,Levels!$B$5:$B$94,4)*(LEFT(I140,1)="4")-(SUMPRODUCT((Levels!$A$5:$A$94=$B140)*(Levels!$B$5:$B$94=1)*(COUNTIFS(Progress!$B$5:$B$3000,$A140,Progress!$G$5:$G$3000,Levels!$G$5:$G$94)&gt;0))*(LEFT(I140,1)="1")+SUMPRODUCT((Levels!$A$5:$A$94=$B140)*(Levels!$B$5:$B$94=2)*(COUNTIFS(Progress!$B$5:$B$3000,$A140,Progress!$G$5:$G$3000,Levels!$G$5:$G$94)&gt;0))*(LEFT(I140,1)="2")+SUMPRODUCT((Levels!$A$5:$A$94=$B140)*(Levels!$B$5:$B$94=3)*(COUNTIFS(Progress!$B$5:$B$3000,$A140,Progress!$G$5:$G$3000,Levels!$G$5:$G$94)&gt;0))*(LEFT(I140,1)="3")+SUMPRODUCT((Levels!$A$5:$A$94=$B140)*(Levels!$B$5:$B$94=4)*(COUNTIFS(Progress!$B$5:$B$3000,$A140,Progress!$G$5:$G$3000,Levels!$G$5:$G$94)&gt;0))*(LEFT(I140,1)="4")))</f>
        <v/>
      </c>
      <c r="K140" s="26" t="str">
        <f aca="false">IF($A140="","",IF(COUNTIFS(Progress!$B$5:$B$3000,$A140)=0,"",SUMPRODUCT(MAX((Progress!$B$5:$B$3000=$A140)*Progress!$A$5:$A$3000))))</f>
        <v/>
      </c>
      <c r="L140" s="22"/>
    </row>
    <row r="141" customFormat="false" ht="15" hidden="false" customHeight="false" outlineLevel="0" collapsed="false">
      <c r="A141" s="22"/>
      <c r="B141" s="22"/>
      <c r="C141" s="23"/>
      <c r="D141" s="22"/>
      <c r="E141" s="24" t="str">
        <f aca="false">IF(OR($A141="",$B141=""),"",SUMPRODUCT((Levels!$A$5:$A$94=$B141)*(Levels!$B$5:$B$94=1)*(COUNTIFS(Progress!$B$5:$B$3000,$A141,Progress!$G$5:$G$3000,Levels!$G$5:$G$94)&gt;0))&amp;" / "&amp;COUNTIFS(Levels!$A$5:$A$94,$B141,Levels!$B$5:$B$94,1))</f>
        <v/>
      </c>
      <c r="F141" s="24" t="str">
        <f aca="false">IF(OR($A141="",$B141=""),"",SUMPRODUCT((Levels!$A$5:$A$94=$B141)*(Levels!$B$5:$B$94=2)*(COUNTIFS(Progress!$B$5:$B$3000,$A141,Progress!$G$5:$G$3000,Levels!$G$5:$G$94)&gt;0))&amp;" / "&amp;COUNTIFS(Levels!$A$5:$A$94,$B141,Levels!$B$5:$B$94,2))</f>
        <v/>
      </c>
      <c r="G141" s="24" t="str">
        <f aca="false">IF(OR($A141="",$B141=""),"",SUMPRODUCT((Levels!$A$5:$A$94=$B141)*(Levels!$B$5:$B$94=3)*(COUNTIFS(Progress!$B$5:$B$3000,$A141,Progress!$G$5:$G$3000,Levels!$G$5:$G$94)&gt;0))&amp;" / "&amp;COUNTIFS(Levels!$A$5:$A$94,$B141,Levels!$B$5:$B$94,3))</f>
        <v/>
      </c>
      <c r="H141" s="24" t="str">
        <f aca="false">IF(OR($A141="",$B141=""),"",SUMPRODUCT((Levels!$A$5:$A$94=$B141)*(Levels!$B$5:$B$94=4)*(COUNTIFS(Progress!$B$5:$B$3000,$A141,Progress!$G$5:$G$3000,Levels!$G$5:$G$94)&gt;0))&amp;" / "&amp;COUNTIFS(Levels!$A$5:$A$94,$B141,Levels!$B$5:$B$94,4))</f>
        <v/>
      </c>
      <c r="I141" s="24" t="str">
        <f aca="false">IF(OR($A141="",$B141=""),"",IF(SUMPRODUCT((Levels!$A$5:$A$94=$B141)*(Levels!$B$5:$B$94=1)*(COUNTIFS(Progress!$B$5:$B$3000,$A141,Progress!$G$5:$G$3000,Levels!$G$5:$G$94)&gt;0))&lt;COUNTIFS(Levels!$A$5:$A$94,$B141,Levels!$B$5:$B$94,1),"1 Rookie",IF(SUMPRODUCT((Levels!$A$5:$A$94=$B141)*(Levels!$B$5:$B$94=2)*(COUNTIFS(Progress!$B$5:$B$3000,$A141,Progress!$G$5:$G$3000,Levels!$G$5:$G$94)&gt;0))&lt;COUNTIFS(Levels!$A$5:$A$94,$B141,Levels!$B$5:$B$94,2),"2 Contender",IF(SUMPRODUCT((Levels!$A$5:$A$94=$B141)*(Levels!$B$5:$B$94=3)*(COUNTIFS(Progress!$B$5:$B$3000,$A141,Progress!$G$5:$G$3000,Levels!$G$5:$G$94)&gt;0))&lt;COUNTIFS(Levels!$A$5:$A$94,$B141,Levels!$B$5:$B$94,3),"3 Challenger",IF(SUMPRODUCT((Levels!$A$5:$A$94=$B141)*(Levels!$B$5:$B$94=4)*(COUNTIFS(Progress!$B$5:$B$3000,$A141,Progress!$G$5:$G$3000,Levels!$G$5:$G$94)&gt;0))&lt;COUNTIFS(Levels!$A$5:$A$94,$B141,Levels!$B$5:$B$94,4),"4 Champion","All done")))))</f>
        <v/>
      </c>
      <c r="J141" s="25" t="str">
        <f aca="false">IF(OR(I141="",I141="All done"),"",COUNTIFS(Levels!$A$5:$A$94,$B141,Levels!$B$5:$B$94,1)*(LEFT(I141,1)="1")+COUNTIFS(Levels!$A$5:$A$94,$B141,Levels!$B$5:$B$94,2)*(LEFT(I141,1)="2")+COUNTIFS(Levels!$A$5:$A$94,$B141,Levels!$B$5:$B$94,3)*(LEFT(I141,1)="3")+COUNTIFS(Levels!$A$5:$A$94,$B141,Levels!$B$5:$B$94,4)*(LEFT(I141,1)="4")-(SUMPRODUCT((Levels!$A$5:$A$94=$B141)*(Levels!$B$5:$B$94=1)*(COUNTIFS(Progress!$B$5:$B$3000,$A141,Progress!$G$5:$G$3000,Levels!$G$5:$G$94)&gt;0))*(LEFT(I141,1)="1")+SUMPRODUCT((Levels!$A$5:$A$94=$B141)*(Levels!$B$5:$B$94=2)*(COUNTIFS(Progress!$B$5:$B$3000,$A141,Progress!$G$5:$G$3000,Levels!$G$5:$G$94)&gt;0))*(LEFT(I141,1)="2")+SUMPRODUCT((Levels!$A$5:$A$94=$B141)*(Levels!$B$5:$B$94=3)*(COUNTIFS(Progress!$B$5:$B$3000,$A141,Progress!$G$5:$G$3000,Levels!$G$5:$G$94)&gt;0))*(LEFT(I141,1)="3")+SUMPRODUCT((Levels!$A$5:$A$94=$B141)*(Levels!$B$5:$B$94=4)*(COUNTIFS(Progress!$B$5:$B$3000,$A141,Progress!$G$5:$G$3000,Levels!$G$5:$G$94)&gt;0))*(LEFT(I141,1)="4")))</f>
        <v/>
      </c>
      <c r="K141" s="26" t="str">
        <f aca="false">IF($A141="","",IF(COUNTIFS(Progress!$B$5:$B$3000,$A141)=0,"",SUMPRODUCT(MAX((Progress!$B$5:$B$3000=$A141)*Progress!$A$5:$A$3000))))</f>
        <v/>
      </c>
      <c r="L141" s="22"/>
    </row>
    <row r="142" customFormat="false" ht="15" hidden="false" customHeight="false" outlineLevel="0" collapsed="false">
      <c r="A142" s="22"/>
      <c r="B142" s="22"/>
      <c r="C142" s="23"/>
      <c r="D142" s="22"/>
      <c r="E142" s="24" t="str">
        <f aca="false">IF(OR($A142="",$B142=""),"",SUMPRODUCT((Levels!$A$5:$A$94=$B142)*(Levels!$B$5:$B$94=1)*(COUNTIFS(Progress!$B$5:$B$3000,$A142,Progress!$G$5:$G$3000,Levels!$G$5:$G$94)&gt;0))&amp;" / "&amp;COUNTIFS(Levels!$A$5:$A$94,$B142,Levels!$B$5:$B$94,1))</f>
        <v/>
      </c>
      <c r="F142" s="24" t="str">
        <f aca="false">IF(OR($A142="",$B142=""),"",SUMPRODUCT((Levels!$A$5:$A$94=$B142)*(Levels!$B$5:$B$94=2)*(COUNTIFS(Progress!$B$5:$B$3000,$A142,Progress!$G$5:$G$3000,Levels!$G$5:$G$94)&gt;0))&amp;" / "&amp;COUNTIFS(Levels!$A$5:$A$94,$B142,Levels!$B$5:$B$94,2))</f>
        <v/>
      </c>
      <c r="G142" s="24" t="str">
        <f aca="false">IF(OR($A142="",$B142=""),"",SUMPRODUCT((Levels!$A$5:$A$94=$B142)*(Levels!$B$5:$B$94=3)*(COUNTIFS(Progress!$B$5:$B$3000,$A142,Progress!$G$5:$G$3000,Levels!$G$5:$G$94)&gt;0))&amp;" / "&amp;COUNTIFS(Levels!$A$5:$A$94,$B142,Levels!$B$5:$B$94,3))</f>
        <v/>
      </c>
      <c r="H142" s="24" t="str">
        <f aca="false">IF(OR($A142="",$B142=""),"",SUMPRODUCT((Levels!$A$5:$A$94=$B142)*(Levels!$B$5:$B$94=4)*(COUNTIFS(Progress!$B$5:$B$3000,$A142,Progress!$G$5:$G$3000,Levels!$G$5:$G$94)&gt;0))&amp;" / "&amp;COUNTIFS(Levels!$A$5:$A$94,$B142,Levels!$B$5:$B$94,4))</f>
        <v/>
      </c>
      <c r="I142" s="24" t="str">
        <f aca="false">IF(OR($A142="",$B142=""),"",IF(SUMPRODUCT((Levels!$A$5:$A$94=$B142)*(Levels!$B$5:$B$94=1)*(COUNTIFS(Progress!$B$5:$B$3000,$A142,Progress!$G$5:$G$3000,Levels!$G$5:$G$94)&gt;0))&lt;COUNTIFS(Levels!$A$5:$A$94,$B142,Levels!$B$5:$B$94,1),"1 Rookie",IF(SUMPRODUCT((Levels!$A$5:$A$94=$B142)*(Levels!$B$5:$B$94=2)*(COUNTIFS(Progress!$B$5:$B$3000,$A142,Progress!$G$5:$G$3000,Levels!$G$5:$G$94)&gt;0))&lt;COUNTIFS(Levels!$A$5:$A$94,$B142,Levels!$B$5:$B$94,2),"2 Contender",IF(SUMPRODUCT((Levels!$A$5:$A$94=$B142)*(Levels!$B$5:$B$94=3)*(COUNTIFS(Progress!$B$5:$B$3000,$A142,Progress!$G$5:$G$3000,Levels!$G$5:$G$94)&gt;0))&lt;COUNTIFS(Levels!$A$5:$A$94,$B142,Levels!$B$5:$B$94,3),"3 Challenger",IF(SUMPRODUCT((Levels!$A$5:$A$94=$B142)*(Levels!$B$5:$B$94=4)*(COUNTIFS(Progress!$B$5:$B$3000,$A142,Progress!$G$5:$G$3000,Levels!$G$5:$G$94)&gt;0))&lt;COUNTIFS(Levels!$A$5:$A$94,$B142,Levels!$B$5:$B$94,4),"4 Champion","All done")))))</f>
        <v/>
      </c>
      <c r="J142" s="25" t="str">
        <f aca="false">IF(OR(I142="",I142="All done"),"",COUNTIFS(Levels!$A$5:$A$94,$B142,Levels!$B$5:$B$94,1)*(LEFT(I142,1)="1")+COUNTIFS(Levels!$A$5:$A$94,$B142,Levels!$B$5:$B$94,2)*(LEFT(I142,1)="2")+COUNTIFS(Levels!$A$5:$A$94,$B142,Levels!$B$5:$B$94,3)*(LEFT(I142,1)="3")+COUNTIFS(Levels!$A$5:$A$94,$B142,Levels!$B$5:$B$94,4)*(LEFT(I142,1)="4")-(SUMPRODUCT((Levels!$A$5:$A$94=$B142)*(Levels!$B$5:$B$94=1)*(COUNTIFS(Progress!$B$5:$B$3000,$A142,Progress!$G$5:$G$3000,Levels!$G$5:$G$94)&gt;0))*(LEFT(I142,1)="1")+SUMPRODUCT((Levels!$A$5:$A$94=$B142)*(Levels!$B$5:$B$94=2)*(COUNTIFS(Progress!$B$5:$B$3000,$A142,Progress!$G$5:$G$3000,Levels!$G$5:$G$94)&gt;0))*(LEFT(I142,1)="2")+SUMPRODUCT((Levels!$A$5:$A$94=$B142)*(Levels!$B$5:$B$94=3)*(COUNTIFS(Progress!$B$5:$B$3000,$A142,Progress!$G$5:$G$3000,Levels!$G$5:$G$94)&gt;0))*(LEFT(I142,1)="3")+SUMPRODUCT((Levels!$A$5:$A$94=$B142)*(Levels!$B$5:$B$94=4)*(COUNTIFS(Progress!$B$5:$B$3000,$A142,Progress!$G$5:$G$3000,Levels!$G$5:$G$94)&gt;0))*(LEFT(I142,1)="4")))</f>
        <v/>
      </c>
      <c r="K142" s="26" t="str">
        <f aca="false">IF($A142="","",IF(COUNTIFS(Progress!$B$5:$B$3000,$A142)=0,"",SUMPRODUCT(MAX((Progress!$B$5:$B$3000=$A142)*Progress!$A$5:$A$3000))))</f>
        <v/>
      </c>
      <c r="L142" s="22"/>
    </row>
    <row r="143" customFormat="false" ht="15" hidden="false" customHeight="false" outlineLevel="0" collapsed="false">
      <c r="A143" s="22"/>
      <c r="B143" s="22"/>
      <c r="C143" s="23"/>
      <c r="D143" s="22"/>
      <c r="E143" s="24" t="str">
        <f aca="false">IF(OR($A143="",$B143=""),"",SUMPRODUCT((Levels!$A$5:$A$94=$B143)*(Levels!$B$5:$B$94=1)*(COUNTIFS(Progress!$B$5:$B$3000,$A143,Progress!$G$5:$G$3000,Levels!$G$5:$G$94)&gt;0))&amp;" / "&amp;COUNTIFS(Levels!$A$5:$A$94,$B143,Levels!$B$5:$B$94,1))</f>
        <v/>
      </c>
      <c r="F143" s="24" t="str">
        <f aca="false">IF(OR($A143="",$B143=""),"",SUMPRODUCT((Levels!$A$5:$A$94=$B143)*(Levels!$B$5:$B$94=2)*(COUNTIFS(Progress!$B$5:$B$3000,$A143,Progress!$G$5:$G$3000,Levels!$G$5:$G$94)&gt;0))&amp;" / "&amp;COUNTIFS(Levels!$A$5:$A$94,$B143,Levels!$B$5:$B$94,2))</f>
        <v/>
      </c>
      <c r="G143" s="24" t="str">
        <f aca="false">IF(OR($A143="",$B143=""),"",SUMPRODUCT((Levels!$A$5:$A$94=$B143)*(Levels!$B$5:$B$94=3)*(COUNTIFS(Progress!$B$5:$B$3000,$A143,Progress!$G$5:$G$3000,Levels!$G$5:$G$94)&gt;0))&amp;" / "&amp;COUNTIFS(Levels!$A$5:$A$94,$B143,Levels!$B$5:$B$94,3))</f>
        <v/>
      </c>
      <c r="H143" s="24" t="str">
        <f aca="false">IF(OR($A143="",$B143=""),"",SUMPRODUCT((Levels!$A$5:$A$94=$B143)*(Levels!$B$5:$B$94=4)*(COUNTIFS(Progress!$B$5:$B$3000,$A143,Progress!$G$5:$G$3000,Levels!$G$5:$G$94)&gt;0))&amp;" / "&amp;COUNTIFS(Levels!$A$5:$A$94,$B143,Levels!$B$5:$B$94,4))</f>
        <v/>
      </c>
      <c r="I143" s="24" t="str">
        <f aca="false">IF(OR($A143="",$B143=""),"",IF(SUMPRODUCT((Levels!$A$5:$A$94=$B143)*(Levels!$B$5:$B$94=1)*(COUNTIFS(Progress!$B$5:$B$3000,$A143,Progress!$G$5:$G$3000,Levels!$G$5:$G$94)&gt;0))&lt;COUNTIFS(Levels!$A$5:$A$94,$B143,Levels!$B$5:$B$94,1),"1 Rookie",IF(SUMPRODUCT((Levels!$A$5:$A$94=$B143)*(Levels!$B$5:$B$94=2)*(COUNTIFS(Progress!$B$5:$B$3000,$A143,Progress!$G$5:$G$3000,Levels!$G$5:$G$94)&gt;0))&lt;COUNTIFS(Levels!$A$5:$A$94,$B143,Levels!$B$5:$B$94,2),"2 Contender",IF(SUMPRODUCT((Levels!$A$5:$A$94=$B143)*(Levels!$B$5:$B$94=3)*(COUNTIFS(Progress!$B$5:$B$3000,$A143,Progress!$G$5:$G$3000,Levels!$G$5:$G$94)&gt;0))&lt;COUNTIFS(Levels!$A$5:$A$94,$B143,Levels!$B$5:$B$94,3),"3 Challenger",IF(SUMPRODUCT((Levels!$A$5:$A$94=$B143)*(Levels!$B$5:$B$94=4)*(COUNTIFS(Progress!$B$5:$B$3000,$A143,Progress!$G$5:$G$3000,Levels!$G$5:$G$94)&gt;0))&lt;COUNTIFS(Levels!$A$5:$A$94,$B143,Levels!$B$5:$B$94,4),"4 Champion","All done")))))</f>
        <v/>
      </c>
      <c r="J143" s="25" t="str">
        <f aca="false">IF(OR(I143="",I143="All done"),"",COUNTIFS(Levels!$A$5:$A$94,$B143,Levels!$B$5:$B$94,1)*(LEFT(I143,1)="1")+COUNTIFS(Levels!$A$5:$A$94,$B143,Levels!$B$5:$B$94,2)*(LEFT(I143,1)="2")+COUNTIFS(Levels!$A$5:$A$94,$B143,Levels!$B$5:$B$94,3)*(LEFT(I143,1)="3")+COUNTIFS(Levels!$A$5:$A$94,$B143,Levels!$B$5:$B$94,4)*(LEFT(I143,1)="4")-(SUMPRODUCT((Levels!$A$5:$A$94=$B143)*(Levels!$B$5:$B$94=1)*(COUNTIFS(Progress!$B$5:$B$3000,$A143,Progress!$G$5:$G$3000,Levels!$G$5:$G$94)&gt;0))*(LEFT(I143,1)="1")+SUMPRODUCT((Levels!$A$5:$A$94=$B143)*(Levels!$B$5:$B$94=2)*(COUNTIFS(Progress!$B$5:$B$3000,$A143,Progress!$G$5:$G$3000,Levels!$G$5:$G$94)&gt;0))*(LEFT(I143,1)="2")+SUMPRODUCT((Levels!$A$5:$A$94=$B143)*(Levels!$B$5:$B$94=3)*(COUNTIFS(Progress!$B$5:$B$3000,$A143,Progress!$G$5:$G$3000,Levels!$G$5:$G$94)&gt;0))*(LEFT(I143,1)="3")+SUMPRODUCT((Levels!$A$5:$A$94=$B143)*(Levels!$B$5:$B$94=4)*(COUNTIFS(Progress!$B$5:$B$3000,$A143,Progress!$G$5:$G$3000,Levels!$G$5:$G$94)&gt;0))*(LEFT(I143,1)="4")))</f>
        <v/>
      </c>
      <c r="K143" s="26" t="str">
        <f aca="false">IF($A143="","",IF(COUNTIFS(Progress!$B$5:$B$3000,$A143)=0,"",SUMPRODUCT(MAX((Progress!$B$5:$B$3000=$A143)*Progress!$A$5:$A$3000))))</f>
        <v/>
      </c>
      <c r="L143" s="22"/>
    </row>
    <row r="144" customFormat="false" ht="15" hidden="false" customHeight="false" outlineLevel="0" collapsed="false">
      <c r="A144" s="22"/>
      <c r="B144" s="22"/>
      <c r="C144" s="23"/>
      <c r="D144" s="22"/>
      <c r="E144" s="24" t="str">
        <f aca="false">IF(OR($A144="",$B144=""),"",SUMPRODUCT((Levels!$A$5:$A$94=$B144)*(Levels!$B$5:$B$94=1)*(COUNTIFS(Progress!$B$5:$B$3000,$A144,Progress!$G$5:$G$3000,Levels!$G$5:$G$94)&gt;0))&amp;" / "&amp;COUNTIFS(Levels!$A$5:$A$94,$B144,Levels!$B$5:$B$94,1))</f>
        <v/>
      </c>
      <c r="F144" s="24" t="str">
        <f aca="false">IF(OR($A144="",$B144=""),"",SUMPRODUCT((Levels!$A$5:$A$94=$B144)*(Levels!$B$5:$B$94=2)*(COUNTIFS(Progress!$B$5:$B$3000,$A144,Progress!$G$5:$G$3000,Levels!$G$5:$G$94)&gt;0))&amp;" / "&amp;COUNTIFS(Levels!$A$5:$A$94,$B144,Levels!$B$5:$B$94,2))</f>
        <v/>
      </c>
      <c r="G144" s="24" t="str">
        <f aca="false">IF(OR($A144="",$B144=""),"",SUMPRODUCT((Levels!$A$5:$A$94=$B144)*(Levels!$B$5:$B$94=3)*(COUNTIFS(Progress!$B$5:$B$3000,$A144,Progress!$G$5:$G$3000,Levels!$G$5:$G$94)&gt;0))&amp;" / "&amp;COUNTIFS(Levels!$A$5:$A$94,$B144,Levels!$B$5:$B$94,3))</f>
        <v/>
      </c>
      <c r="H144" s="24" t="str">
        <f aca="false">IF(OR($A144="",$B144=""),"",SUMPRODUCT((Levels!$A$5:$A$94=$B144)*(Levels!$B$5:$B$94=4)*(COUNTIFS(Progress!$B$5:$B$3000,$A144,Progress!$G$5:$G$3000,Levels!$G$5:$G$94)&gt;0))&amp;" / "&amp;COUNTIFS(Levels!$A$5:$A$94,$B144,Levels!$B$5:$B$94,4))</f>
        <v/>
      </c>
      <c r="I144" s="24" t="str">
        <f aca="false">IF(OR($A144="",$B144=""),"",IF(SUMPRODUCT((Levels!$A$5:$A$94=$B144)*(Levels!$B$5:$B$94=1)*(COUNTIFS(Progress!$B$5:$B$3000,$A144,Progress!$G$5:$G$3000,Levels!$G$5:$G$94)&gt;0))&lt;COUNTIFS(Levels!$A$5:$A$94,$B144,Levels!$B$5:$B$94,1),"1 Rookie",IF(SUMPRODUCT((Levels!$A$5:$A$94=$B144)*(Levels!$B$5:$B$94=2)*(COUNTIFS(Progress!$B$5:$B$3000,$A144,Progress!$G$5:$G$3000,Levels!$G$5:$G$94)&gt;0))&lt;COUNTIFS(Levels!$A$5:$A$94,$B144,Levels!$B$5:$B$94,2),"2 Contender",IF(SUMPRODUCT((Levels!$A$5:$A$94=$B144)*(Levels!$B$5:$B$94=3)*(COUNTIFS(Progress!$B$5:$B$3000,$A144,Progress!$G$5:$G$3000,Levels!$G$5:$G$94)&gt;0))&lt;COUNTIFS(Levels!$A$5:$A$94,$B144,Levels!$B$5:$B$94,3),"3 Challenger",IF(SUMPRODUCT((Levels!$A$5:$A$94=$B144)*(Levels!$B$5:$B$94=4)*(COUNTIFS(Progress!$B$5:$B$3000,$A144,Progress!$G$5:$G$3000,Levels!$G$5:$G$94)&gt;0))&lt;COUNTIFS(Levels!$A$5:$A$94,$B144,Levels!$B$5:$B$94,4),"4 Champion","All done")))))</f>
        <v/>
      </c>
      <c r="J144" s="25" t="str">
        <f aca="false">IF(OR(I144="",I144="All done"),"",COUNTIFS(Levels!$A$5:$A$94,$B144,Levels!$B$5:$B$94,1)*(LEFT(I144,1)="1")+COUNTIFS(Levels!$A$5:$A$94,$B144,Levels!$B$5:$B$94,2)*(LEFT(I144,1)="2")+COUNTIFS(Levels!$A$5:$A$94,$B144,Levels!$B$5:$B$94,3)*(LEFT(I144,1)="3")+COUNTIFS(Levels!$A$5:$A$94,$B144,Levels!$B$5:$B$94,4)*(LEFT(I144,1)="4")-(SUMPRODUCT((Levels!$A$5:$A$94=$B144)*(Levels!$B$5:$B$94=1)*(COUNTIFS(Progress!$B$5:$B$3000,$A144,Progress!$G$5:$G$3000,Levels!$G$5:$G$94)&gt;0))*(LEFT(I144,1)="1")+SUMPRODUCT((Levels!$A$5:$A$94=$B144)*(Levels!$B$5:$B$94=2)*(COUNTIFS(Progress!$B$5:$B$3000,$A144,Progress!$G$5:$G$3000,Levels!$G$5:$G$94)&gt;0))*(LEFT(I144,1)="2")+SUMPRODUCT((Levels!$A$5:$A$94=$B144)*(Levels!$B$5:$B$94=3)*(COUNTIFS(Progress!$B$5:$B$3000,$A144,Progress!$G$5:$G$3000,Levels!$G$5:$G$94)&gt;0))*(LEFT(I144,1)="3")+SUMPRODUCT((Levels!$A$5:$A$94=$B144)*(Levels!$B$5:$B$94=4)*(COUNTIFS(Progress!$B$5:$B$3000,$A144,Progress!$G$5:$G$3000,Levels!$G$5:$G$94)&gt;0))*(LEFT(I144,1)="4")))</f>
        <v/>
      </c>
      <c r="K144" s="26" t="str">
        <f aca="false">IF($A144="","",IF(COUNTIFS(Progress!$B$5:$B$3000,$A144)=0,"",SUMPRODUCT(MAX((Progress!$B$5:$B$3000=$A144)*Progress!$A$5:$A$3000))))</f>
        <v/>
      </c>
      <c r="L144" s="22"/>
    </row>
    <row r="145" customFormat="false" ht="15" hidden="false" customHeight="false" outlineLevel="0" collapsed="false">
      <c r="A145" s="22"/>
      <c r="B145" s="22"/>
      <c r="C145" s="23"/>
      <c r="D145" s="22"/>
      <c r="E145" s="24" t="str">
        <f aca="false">IF(OR($A145="",$B145=""),"",SUMPRODUCT((Levels!$A$5:$A$94=$B145)*(Levels!$B$5:$B$94=1)*(COUNTIFS(Progress!$B$5:$B$3000,$A145,Progress!$G$5:$G$3000,Levels!$G$5:$G$94)&gt;0))&amp;" / "&amp;COUNTIFS(Levels!$A$5:$A$94,$B145,Levels!$B$5:$B$94,1))</f>
        <v/>
      </c>
      <c r="F145" s="24" t="str">
        <f aca="false">IF(OR($A145="",$B145=""),"",SUMPRODUCT((Levels!$A$5:$A$94=$B145)*(Levels!$B$5:$B$94=2)*(COUNTIFS(Progress!$B$5:$B$3000,$A145,Progress!$G$5:$G$3000,Levels!$G$5:$G$94)&gt;0))&amp;" / "&amp;COUNTIFS(Levels!$A$5:$A$94,$B145,Levels!$B$5:$B$94,2))</f>
        <v/>
      </c>
      <c r="G145" s="24" t="str">
        <f aca="false">IF(OR($A145="",$B145=""),"",SUMPRODUCT((Levels!$A$5:$A$94=$B145)*(Levels!$B$5:$B$94=3)*(COUNTIFS(Progress!$B$5:$B$3000,$A145,Progress!$G$5:$G$3000,Levels!$G$5:$G$94)&gt;0))&amp;" / "&amp;COUNTIFS(Levels!$A$5:$A$94,$B145,Levels!$B$5:$B$94,3))</f>
        <v/>
      </c>
      <c r="H145" s="24" t="str">
        <f aca="false">IF(OR($A145="",$B145=""),"",SUMPRODUCT((Levels!$A$5:$A$94=$B145)*(Levels!$B$5:$B$94=4)*(COUNTIFS(Progress!$B$5:$B$3000,$A145,Progress!$G$5:$G$3000,Levels!$G$5:$G$94)&gt;0))&amp;" / "&amp;COUNTIFS(Levels!$A$5:$A$94,$B145,Levels!$B$5:$B$94,4))</f>
        <v/>
      </c>
      <c r="I145" s="24" t="str">
        <f aca="false">IF(OR($A145="",$B145=""),"",IF(SUMPRODUCT((Levels!$A$5:$A$94=$B145)*(Levels!$B$5:$B$94=1)*(COUNTIFS(Progress!$B$5:$B$3000,$A145,Progress!$G$5:$G$3000,Levels!$G$5:$G$94)&gt;0))&lt;COUNTIFS(Levels!$A$5:$A$94,$B145,Levels!$B$5:$B$94,1),"1 Rookie",IF(SUMPRODUCT((Levels!$A$5:$A$94=$B145)*(Levels!$B$5:$B$94=2)*(COUNTIFS(Progress!$B$5:$B$3000,$A145,Progress!$G$5:$G$3000,Levels!$G$5:$G$94)&gt;0))&lt;COUNTIFS(Levels!$A$5:$A$94,$B145,Levels!$B$5:$B$94,2),"2 Contender",IF(SUMPRODUCT((Levels!$A$5:$A$94=$B145)*(Levels!$B$5:$B$94=3)*(COUNTIFS(Progress!$B$5:$B$3000,$A145,Progress!$G$5:$G$3000,Levels!$G$5:$G$94)&gt;0))&lt;COUNTIFS(Levels!$A$5:$A$94,$B145,Levels!$B$5:$B$94,3),"3 Challenger",IF(SUMPRODUCT((Levels!$A$5:$A$94=$B145)*(Levels!$B$5:$B$94=4)*(COUNTIFS(Progress!$B$5:$B$3000,$A145,Progress!$G$5:$G$3000,Levels!$G$5:$G$94)&gt;0))&lt;COUNTIFS(Levels!$A$5:$A$94,$B145,Levels!$B$5:$B$94,4),"4 Champion","All done")))))</f>
        <v/>
      </c>
      <c r="J145" s="25" t="str">
        <f aca="false">IF(OR(I145="",I145="All done"),"",COUNTIFS(Levels!$A$5:$A$94,$B145,Levels!$B$5:$B$94,1)*(LEFT(I145,1)="1")+COUNTIFS(Levels!$A$5:$A$94,$B145,Levels!$B$5:$B$94,2)*(LEFT(I145,1)="2")+COUNTIFS(Levels!$A$5:$A$94,$B145,Levels!$B$5:$B$94,3)*(LEFT(I145,1)="3")+COUNTIFS(Levels!$A$5:$A$94,$B145,Levels!$B$5:$B$94,4)*(LEFT(I145,1)="4")-(SUMPRODUCT((Levels!$A$5:$A$94=$B145)*(Levels!$B$5:$B$94=1)*(COUNTIFS(Progress!$B$5:$B$3000,$A145,Progress!$G$5:$G$3000,Levels!$G$5:$G$94)&gt;0))*(LEFT(I145,1)="1")+SUMPRODUCT((Levels!$A$5:$A$94=$B145)*(Levels!$B$5:$B$94=2)*(COUNTIFS(Progress!$B$5:$B$3000,$A145,Progress!$G$5:$G$3000,Levels!$G$5:$G$94)&gt;0))*(LEFT(I145,1)="2")+SUMPRODUCT((Levels!$A$5:$A$94=$B145)*(Levels!$B$5:$B$94=3)*(COUNTIFS(Progress!$B$5:$B$3000,$A145,Progress!$G$5:$G$3000,Levels!$G$5:$G$94)&gt;0))*(LEFT(I145,1)="3")+SUMPRODUCT((Levels!$A$5:$A$94=$B145)*(Levels!$B$5:$B$94=4)*(COUNTIFS(Progress!$B$5:$B$3000,$A145,Progress!$G$5:$G$3000,Levels!$G$5:$G$94)&gt;0))*(LEFT(I145,1)="4")))</f>
        <v/>
      </c>
      <c r="K145" s="26" t="str">
        <f aca="false">IF($A145="","",IF(COUNTIFS(Progress!$B$5:$B$3000,$A145)=0,"",SUMPRODUCT(MAX((Progress!$B$5:$B$3000=$A145)*Progress!$A$5:$A$3000))))</f>
        <v/>
      </c>
      <c r="L145" s="22"/>
    </row>
    <row r="146" customFormat="false" ht="15" hidden="false" customHeight="false" outlineLevel="0" collapsed="false">
      <c r="A146" s="22"/>
      <c r="B146" s="22"/>
      <c r="C146" s="23"/>
      <c r="D146" s="22"/>
      <c r="E146" s="24" t="str">
        <f aca="false">IF(OR($A146="",$B146=""),"",SUMPRODUCT((Levels!$A$5:$A$94=$B146)*(Levels!$B$5:$B$94=1)*(COUNTIFS(Progress!$B$5:$B$3000,$A146,Progress!$G$5:$G$3000,Levels!$G$5:$G$94)&gt;0))&amp;" / "&amp;COUNTIFS(Levels!$A$5:$A$94,$B146,Levels!$B$5:$B$94,1))</f>
        <v/>
      </c>
      <c r="F146" s="24" t="str">
        <f aca="false">IF(OR($A146="",$B146=""),"",SUMPRODUCT((Levels!$A$5:$A$94=$B146)*(Levels!$B$5:$B$94=2)*(COUNTIFS(Progress!$B$5:$B$3000,$A146,Progress!$G$5:$G$3000,Levels!$G$5:$G$94)&gt;0))&amp;" / "&amp;COUNTIFS(Levels!$A$5:$A$94,$B146,Levels!$B$5:$B$94,2))</f>
        <v/>
      </c>
      <c r="G146" s="24" t="str">
        <f aca="false">IF(OR($A146="",$B146=""),"",SUMPRODUCT((Levels!$A$5:$A$94=$B146)*(Levels!$B$5:$B$94=3)*(COUNTIFS(Progress!$B$5:$B$3000,$A146,Progress!$G$5:$G$3000,Levels!$G$5:$G$94)&gt;0))&amp;" / "&amp;COUNTIFS(Levels!$A$5:$A$94,$B146,Levels!$B$5:$B$94,3))</f>
        <v/>
      </c>
      <c r="H146" s="24" t="str">
        <f aca="false">IF(OR($A146="",$B146=""),"",SUMPRODUCT((Levels!$A$5:$A$94=$B146)*(Levels!$B$5:$B$94=4)*(COUNTIFS(Progress!$B$5:$B$3000,$A146,Progress!$G$5:$G$3000,Levels!$G$5:$G$94)&gt;0))&amp;" / "&amp;COUNTIFS(Levels!$A$5:$A$94,$B146,Levels!$B$5:$B$94,4))</f>
        <v/>
      </c>
      <c r="I146" s="24" t="str">
        <f aca="false">IF(OR($A146="",$B146=""),"",IF(SUMPRODUCT((Levels!$A$5:$A$94=$B146)*(Levels!$B$5:$B$94=1)*(COUNTIFS(Progress!$B$5:$B$3000,$A146,Progress!$G$5:$G$3000,Levels!$G$5:$G$94)&gt;0))&lt;COUNTIFS(Levels!$A$5:$A$94,$B146,Levels!$B$5:$B$94,1),"1 Rookie",IF(SUMPRODUCT((Levels!$A$5:$A$94=$B146)*(Levels!$B$5:$B$94=2)*(COUNTIFS(Progress!$B$5:$B$3000,$A146,Progress!$G$5:$G$3000,Levels!$G$5:$G$94)&gt;0))&lt;COUNTIFS(Levels!$A$5:$A$94,$B146,Levels!$B$5:$B$94,2),"2 Contender",IF(SUMPRODUCT((Levels!$A$5:$A$94=$B146)*(Levels!$B$5:$B$94=3)*(COUNTIFS(Progress!$B$5:$B$3000,$A146,Progress!$G$5:$G$3000,Levels!$G$5:$G$94)&gt;0))&lt;COUNTIFS(Levels!$A$5:$A$94,$B146,Levels!$B$5:$B$94,3),"3 Challenger",IF(SUMPRODUCT((Levels!$A$5:$A$94=$B146)*(Levels!$B$5:$B$94=4)*(COUNTIFS(Progress!$B$5:$B$3000,$A146,Progress!$G$5:$G$3000,Levels!$G$5:$G$94)&gt;0))&lt;COUNTIFS(Levels!$A$5:$A$94,$B146,Levels!$B$5:$B$94,4),"4 Champion","All done")))))</f>
        <v/>
      </c>
      <c r="J146" s="25" t="str">
        <f aca="false">IF(OR(I146="",I146="All done"),"",COUNTIFS(Levels!$A$5:$A$94,$B146,Levels!$B$5:$B$94,1)*(LEFT(I146,1)="1")+COUNTIFS(Levels!$A$5:$A$94,$B146,Levels!$B$5:$B$94,2)*(LEFT(I146,1)="2")+COUNTIFS(Levels!$A$5:$A$94,$B146,Levels!$B$5:$B$94,3)*(LEFT(I146,1)="3")+COUNTIFS(Levels!$A$5:$A$94,$B146,Levels!$B$5:$B$94,4)*(LEFT(I146,1)="4")-(SUMPRODUCT((Levels!$A$5:$A$94=$B146)*(Levels!$B$5:$B$94=1)*(COUNTIFS(Progress!$B$5:$B$3000,$A146,Progress!$G$5:$G$3000,Levels!$G$5:$G$94)&gt;0))*(LEFT(I146,1)="1")+SUMPRODUCT((Levels!$A$5:$A$94=$B146)*(Levels!$B$5:$B$94=2)*(COUNTIFS(Progress!$B$5:$B$3000,$A146,Progress!$G$5:$G$3000,Levels!$G$5:$G$94)&gt;0))*(LEFT(I146,1)="2")+SUMPRODUCT((Levels!$A$5:$A$94=$B146)*(Levels!$B$5:$B$94=3)*(COUNTIFS(Progress!$B$5:$B$3000,$A146,Progress!$G$5:$G$3000,Levels!$G$5:$G$94)&gt;0))*(LEFT(I146,1)="3")+SUMPRODUCT((Levels!$A$5:$A$94=$B146)*(Levels!$B$5:$B$94=4)*(COUNTIFS(Progress!$B$5:$B$3000,$A146,Progress!$G$5:$G$3000,Levels!$G$5:$G$94)&gt;0))*(LEFT(I146,1)="4")))</f>
        <v/>
      </c>
      <c r="K146" s="26" t="str">
        <f aca="false">IF($A146="","",IF(COUNTIFS(Progress!$B$5:$B$3000,$A146)=0,"",SUMPRODUCT(MAX((Progress!$B$5:$B$3000=$A146)*Progress!$A$5:$A$3000))))</f>
        <v/>
      </c>
      <c r="L146" s="22"/>
    </row>
    <row r="147" customFormat="false" ht="15" hidden="false" customHeight="false" outlineLevel="0" collapsed="false">
      <c r="A147" s="22"/>
      <c r="B147" s="22"/>
      <c r="C147" s="23"/>
      <c r="D147" s="22"/>
      <c r="E147" s="24" t="str">
        <f aca="false">IF(OR($A147="",$B147=""),"",SUMPRODUCT((Levels!$A$5:$A$94=$B147)*(Levels!$B$5:$B$94=1)*(COUNTIFS(Progress!$B$5:$B$3000,$A147,Progress!$G$5:$G$3000,Levels!$G$5:$G$94)&gt;0))&amp;" / "&amp;COUNTIFS(Levels!$A$5:$A$94,$B147,Levels!$B$5:$B$94,1))</f>
        <v/>
      </c>
      <c r="F147" s="24" t="str">
        <f aca="false">IF(OR($A147="",$B147=""),"",SUMPRODUCT((Levels!$A$5:$A$94=$B147)*(Levels!$B$5:$B$94=2)*(COUNTIFS(Progress!$B$5:$B$3000,$A147,Progress!$G$5:$G$3000,Levels!$G$5:$G$94)&gt;0))&amp;" / "&amp;COUNTIFS(Levels!$A$5:$A$94,$B147,Levels!$B$5:$B$94,2))</f>
        <v/>
      </c>
      <c r="G147" s="24" t="str">
        <f aca="false">IF(OR($A147="",$B147=""),"",SUMPRODUCT((Levels!$A$5:$A$94=$B147)*(Levels!$B$5:$B$94=3)*(COUNTIFS(Progress!$B$5:$B$3000,$A147,Progress!$G$5:$G$3000,Levels!$G$5:$G$94)&gt;0))&amp;" / "&amp;COUNTIFS(Levels!$A$5:$A$94,$B147,Levels!$B$5:$B$94,3))</f>
        <v/>
      </c>
      <c r="H147" s="24" t="str">
        <f aca="false">IF(OR($A147="",$B147=""),"",SUMPRODUCT((Levels!$A$5:$A$94=$B147)*(Levels!$B$5:$B$94=4)*(COUNTIFS(Progress!$B$5:$B$3000,$A147,Progress!$G$5:$G$3000,Levels!$G$5:$G$94)&gt;0))&amp;" / "&amp;COUNTIFS(Levels!$A$5:$A$94,$B147,Levels!$B$5:$B$94,4))</f>
        <v/>
      </c>
      <c r="I147" s="24" t="str">
        <f aca="false">IF(OR($A147="",$B147=""),"",IF(SUMPRODUCT((Levels!$A$5:$A$94=$B147)*(Levels!$B$5:$B$94=1)*(COUNTIFS(Progress!$B$5:$B$3000,$A147,Progress!$G$5:$G$3000,Levels!$G$5:$G$94)&gt;0))&lt;COUNTIFS(Levels!$A$5:$A$94,$B147,Levels!$B$5:$B$94,1),"1 Rookie",IF(SUMPRODUCT((Levels!$A$5:$A$94=$B147)*(Levels!$B$5:$B$94=2)*(COUNTIFS(Progress!$B$5:$B$3000,$A147,Progress!$G$5:$G$3000,Levels!$G$5:$G$94)&gt;0))&lt;COUNTIFS(Levels!$A$5:$A$94,$B147,Levels!$B$5:$B$94,2),"2 Contender",IF(SUMPRODUCT((Levels!$A$5:$A$94=$B147)*(Levels!$B$5:$B$94=3)*(COUNTIFS(Progress!$B$5:$B$3000,$A147,Progress!$G$5:$G$3000,Levels!$G$5:$G$94)&gt;0))&lt;COUNTIFS(Levels!$A$5:$A$94,$B147,Levels!$B$5:$B$94,3),"3 Challenger",IF(SUMPRODUCT((Levels!$A$5:$A$94=$B147)*(Levels!$B$5:$B$94=4)*(COUNTIFS(Progress!$B$5:$B$3000,$A147,Progress!$G$5:$G$3000,Levels!$G$5:$G$94)&gt;0))&lt;COUNTIFS(Levels!$A$5:$A$94,$B147,Levels!$B$5:$B$94,4),"4 Champion","All done")))))</f>
        <v/>
      </c>
      <c r="J147" s="25" t="str">
        <f aca="false">IF(OR(I147="",I147="All done"),"",COUNTIFS(Levels!$A$5:$A$94,$B147,Levels!$B$5:$B$94,1)*(LEFT(I147,1)="1")+COUNTIFS(Levels!$A$5:$A$94,$B147,Levels!$B$5:$B$94,2)*(LEFT(I147,1)="2")+COUNTIFS(Levels!$A$5:$A$94,$B147,Levels!$B$5:$B$94,3)*(LEFT(I147,1)="3")+COUNTIFS(Levels!$A$5:$A$94,$B147,Levels!$B$5:$B$94,4)*(LEFT(I147,1)="4")-(SUMPRODUCT((Levels!$A$5:$A$94=$B147)*(Levels!$B$5:$B$94=1)*(COUNTIFS(Progress!$B$5:$B$3000,$A147,Progress!$G$5:$G$3000,Levels!$G$5:$G$94)&gt;0))*(LEFT(I147,1)="1")+SUMPRODUCT((Levels!$A$5:$A$94=$B147)*(Levels!$B$5:$B$94=2)*(COUNTIFS(Progress!$B$5:$B$3000,$A147,Progress!$G$5:$G$3000,Levels!$G$5:$G$94)&gt;0))*(LEFT(I147,1)="2")+SUMPRODUCT((Levels!$A$5:$A$94=$B147)*(Levels!$B$5:$B$94=3)*(COUNTIFS(Progress!$B$5:$B$3000,$A147,Progress!$G$5:$G$3000,Levels!$G$5:$G$94)&gt;0))*(LEFT(I147,1)="3")+SUMPRODUCT((Levels!$A$5:$A$94=$B147)*(Levels!$B$5:$B$94=4)*(COUNTIFS(Progress!$B$5:$B$3000,$A147,Progress!$G$5:$G$3000,Levels!$G$5:$G$94)&gt;0))*(LEFT(I147,1)="4")))</f>
        <v/>
      </c>
      <c r="K147" s="26" t="str">
        <f aca="false">IF($A147="","",IF(COUNTIFS(Progress!$B$5:$B$3000,$A147)=0,"",SUMPRODUCT(MAX((Progress!$B$5:$B$3000=$A147)*Progress!$A$5:$A$3000))))</f>
        <v/>
      </c>
      <c r="L147" s="22"/>
    </row>
    <row r="148" customFormat="false" ht="15" hidden="false" customHeight="false" outlineLevel="0" collapsed="false">
      <c r="A148" s="22"/>
      <c r="B148" s="22"/>
      <c r="C148" s="23"/>
      <c r="D148" s="22"/>
      <c r="E148" s="24" t="str">
        <f aca="false">IF(OR($A148="",$B148=""),"",SUMPRODUCT((Levels!$A$5:$A$94=$B148)*(Levels!$B$5:$B$94=1)*(COUNTIFS(Progress!$B$5:$B$3000,$A148,Progress!$G$5:$G$3000,Levels!$G$5:$G$94)&gt;0))&amp;" / "&amp;COUNTIFS(Levels!$A$5:$A$94,$B148,Levels!$B$5:$B$94,1))</f>
        <v/>
      </c>
      <c r="F148" s="24" t="str">
        <f aca="false">IF(OR($A148="",$B148=""),"",SUMPRODUCT((Levels!$A$5:$A$94=$B148)*(Levels!$B$5:$B$94=2)*(COUNTIFS(Progress!$B$5:$B$3000,$A148,Progress!$G$5:$G$3000,Levels!$G$5:$G$94)&gt;0))&amp;" / "&amp;COUNTIFS(Levels!$A$5:$A$94,$B148,Levels!$B$5:$B$94,2))</f>
        <v/>
      </c>
      <c r="G148" s="24" t="str">
        <f aca="false">IF(OR($A148="",$B148=""),"",SUMPRODUCT((Levels!$A$5:$A$94=$B148)*(Levels!$B$5:$B$94=3)*(COUNTIFS(Progress!$B$5:$B$3000,$A148,Progress!$G$5:$G$3000,Levels!$G$5:$G$94)&gt;0))&amp;" / "&amp;COUNTIFS(Levels!$A$5:$A$94,$B148,Levels!$B$5:$B$94,3))</f>
        <v/>
      </c>
      <c r="H148" s="24" t="str">
        <f aca="false">IF(OR($A148="",$B148=""),"",SUMPRODUCT((Levels!$A$5:$A$94=$B148)*(Levels!$B$5:$B$94=4)*(COUNTIFS(Progress!$B$5:$B$3000,$A148,Progress!$G$5:$G$3000,Levels!$G$5:$G$94)&gt;0))&amp;" / "&amp;COUNTIFS(Levels!$A$5:$A$94,$B148,Levels!$B$5:$B$94,4))</f>
        <v/>
      </c>
      <c r="I148" s="24" t="str">
        <f aca="false">IF(OR($A148="",$B148=""),"",IF(SUMPRODUCT((Levels!$A$5:$A$94=$B148)*(Levels!$B$5:$B$94=1)*(COUNTIFS(Progress!$B$5:$B$3000,$A148,Progress!$G$5:$G$3000,Levels!$G$5:$G$94)&gt;0))&lt;COUNTIFS(Levels!$A$5:$A$94,$B148,Levels!$B$5:$B$94,1),"1 Rookie",IF(SUMPRODUCT((Levels!$A$5:$A$94=$B148)*(Levels!$B$5:$B$94=2)*(COUNTIFS(Progress!$B$5:$B$3000,$A148,Progress!$G$5:$G$3000,Levels!$G$5:$G$94)&gt;0))&lt;COUNTIFS(Levels!$A$5:$A$94,$B148,Levels!$B$5:$B$94,2),"2 Contender",IF(SUMPRODUCT((Levels!$A$5:$A$94=$B148)*(Levels!$B$5:$B$94=3)*(COUNTIFS(Progress!$B$5:$B$3000,$A148,Progress!$G$5:$G$3000,Levels!$G$5:$G$94)&gt;0))&lt;COUNTIFS(Levels!$A$5:$A$94,$B148,Levels!$B$5:$B$94,3),"3 Challenger",IF(SUMPRODUCT((Levels!$A$5:$A$94=$B148)*(Levels!$B$5:$B$94=4)*(COUNTIFS(Progress!$B$5:$B$3000,$A148,Progress!$G$5:$G$3000,Levels!$G$5:$G$94)&gt;0))&lt;COUNTIFS(Levels!$A$5:$A$94,$B148,Levels!$B$5:$B$94,4),"4 Champion","All done")))))</f>
        <v/>
      </c>
      <c r="J148" s="25" t="str">
        <f aca="false">IF(OR(I148="",I148="All done"),"",COUNTIFS(Levels!$A$5:$A$94,$B148,Levels!$B$5:$B$94,1)*(LEFT(I148,1)="1")+COUNTIFS(Levels!$A$5:$A$94,$B148,Levels!$B$5:$B$94,2)*(LEFT(I148,1)="2")+COUNTIFS(Levels!$A$5:$A$94,$B148,Levels!$B$5:$B$94,3)*(LEFT(I148,1)="3")+COUNTIFS(Levels!$A$5:$A$94,$B148,Levels!$B$5:$B$94,4)*(LEFT(I148,1)="4")-(SUMPRODUCT((Levels!$A$5:$A$94=$B148)*(Levels!$B$5:$B$94=1)*(COUNTIFS(Progress!$B$5:$B$3000,$A148,Progress!$G$5:$G$3000,Levels!$G$5:$G$94)&gt;0))*(LEFT(I148,1)="1")+SUMPRODUCT((Levels!$A$5:$A$94=$B148)*(Levels!$B$5:$B$94=2)*(COUNTIFS(Progress!$B$5:$B$3000,$A148,Progress!$G$5:$G$3000,Levels!$G$5:$G$94)&gt;0))*(LEFT(I148,1)="2")+SUMPRODUCT((Levels!$A$5:$A$94=$B148)*(Levels!$B$5:$B$94=3)*(COUNTIFS(Progress!$B$5:$B$3000,$A148,Progress!$G$5:$G$3000,Levels!$G$5:$G$94)&gt;0))*(LEFT(I148,1)="3")+SUMPRODUCT((Levels!$A$5:$A$94=$B148)*(Levels!$B$5:$B$94=4)*(COUNTIFS(Progress!$B$5:$B$3000,$A148,Progress!$G$5:$G$3000,Levels!$G$5:$G$94)&gt;0))*(LEFT(I148,1)="4")))</f>
        <v/>
      </c>
      <c r="K148" s="26" t="str">
        <f aca="false">IF($A148="","",IF(COUNTIFS(Progress!$B$5:$B$3000,$A148)=0,"",SUMPRODUCT(MAX((Progress!$B$5:$B$3000=$A148)*Progress!$A$5:$A$3000))))</f>
        <v/>
      </c>
      <c r="L148" s="22"/>
    </row>
    <row r="149" customFormat="false" ht="15" hidden="false" customHeight="false" outlineLevel="0" collapsed="false">
      <c r="A149" s="22"/>
      <c r="B149" s="22"/>
      <c r="C149" s="23"/>
      <c r="D149" s="22"/>
      <c r="E149" s="24" t="str">
        <f aca="false">IF(OR($A149="",$B149=""),"",SUMPRODUCT((Levels!$A$5:$A$94=$B149)*(Levels!$B$5:$B$94=1)*(COUNTIFS(Progress!$B$5:$B$3000,$A149,Progress!$G$5:$G$3000,Levels!$G$5:$G$94)&gt;0))&amp;" / "&amp;COUNTIFS(Levels!$A$5:$A$94,$B149,Levels!$B$5:$B$94,1))</f>
        <v/>
      </c>
      <c r="F149" s="24" t="str">
        <f aca="false">IF(OR($A149="",$B149=""),"",SUMPRODUCT((Levels!$A$5:$A$94=$B149)*(Levels!$B$5:$B$94=2)*(COUNTIFS(Progress!$B$5:$B$3000,$A149,Progress!$G$5:$G$3000,Levels!$G$5:$G$94)&gt;0))&amp;" / "&amp;COUNTIFS(Levels!$A$5:$A$94,$B149,Levels!$B$5:$B$94,2))</f>
        <v/>
      </c>
      <c r="G149" s="24" t="str">
        <f aca="false">IF(OR($A149="",$B149=""),"",SUMPRODUCT((Levels!$A$5:$A$94=$B149)*(Levels!$B$5:$B$94=3)*(COUNTIFS(Progress!$B$5:$B$3000,$A149,Progress!$G$5:$G$3000,Levels!$G$5:$G$94)&gt;0))&amp;" / "&amp;COUNTIFS(Levels!$A$5:$A$94,$B149,Levels!$B$5:$B$94,3))</f>
        <v/>
      </c>
      <c r="H149" s="24" t="str">
        <f aca="false">IF(OR($A149="",$B149=""),"",SUMPRODUCT((Levels!$A$5:$A$94=$B149)*(Levels!$B$5:$B$94=4)*(COUNTIFS(Progress!$B$5:$B$3000,$A149,Progress!$G$5:$G$3000,Levels!$G$5:$G$94)&gt;0))&amp;" / "&amp;COUNTIFS(Levels!$A$5:$A$94,$B149,Levels!$B$5:$B$94,4))</f>
        <v/>
      </c>
      <c r="I149" s="24" t="str">
        <f aca="false">IF(OR($A149="",$B149=""),"",IF(SUMPRODUCT((Levels!$A$5:$A$94=$B149)*(Levels!$B$5:$B$94=1)*(COUNTIFS(Progress!$B$5:$B$3000,$A149,Progress!$G$5:$G$3000,Levels!$G$5:$G$94)&gt;0))&lt;COUNTIFS(Levels!$A$5:$A$94,$B149,Levels!$B$5:$B$94,1),"1 Rookie",IF(SUMPRODUCT((Levels!$A$5:$A$94=$B149)*(Levels!$B$5:$B$94=2)*(COUNTIFS(Progress!$B$5:$B$3000,$A149,Progress!$G$5:$G$3000,Levels!$G$5:$G$94)&gt;0))&lt;COUNTIFS(Levels!$A$5:$A$94,$B149,Levels!$B$5:$B$94,2),"2 Contender",IF(SUMPRODUCT((Levels!$A$5:$A$94=$B149)*(Levels!$B$5:$B$94=3)*(COUNTIFS(Progress!$B$5:$B$3000,$A149,Progress!$G$5:$G$3000,Levels!$G$5:$G$94)&gt;0))&lt;COUNTIFS(Levels!$A$5:$A$94,$B149,Levels!$B$5:$B$94,3),"3 Challenger",IF(SUMPRODUCT((Levels!$A$5:$A$94=$B149)*(Levels!$B$5:$B$94=4)*(COUNTIFS(Progress!$B$5:$B$3000,$A149,Progress!$G$5:$G$3000,Levels!$G$5:$G$94)&gt;0))&lt;COUNTIFS(Levels!$A$5:$A$94,$B149,Levels!$B$5:$B$94,4),"4 Champion","All done")))))</f>
        <v/>
      </c>
      <c r="J149" s="25" t="str">
        <f aca="false">IF(OR(I149="",I149="All done"),"",COUNTIFS(Levels!$A$5:$A$94,$B149,Levels!$B$5:$B$94,1)*(LEFT(I149,1)="1")+COUNTIFS(Levels!$A$5:$A$94,$B149,Levels!$B$5:$B$94,2)*(LEFT(I149,1)="2")+COUNTIFS(Levels!$A$5:$A$94,$B149,Levels!$B$5:$B$94,3)*(LEFT(I149,1)="3")+COUNTIFS(Levels!$A$5:$A$94,$B149,Levels!$B$5:$B$94,4)*(LEFT(I149,1)="4")-(SUMPRODUCT((Levels!$A$5:$A$94=$B149)*(Levels!$B$5:$B$94=1)*(COUNTIFS(Progress!$B$5:$B$3000,$A149,Progress!$G$5:$G$3000,Levels!$G$5:$G$94)&gt;0))*(LEFT(I149,1)="1")+SUMPRODUCT((Levels!$A$5:$A$94=$B149)*(Levels!$B$5:$B$94=2)*(COUNTIFS(Progress!$B$5:$B$3000,$A149,Progress!$G$5:$G$3000,Levels!$G$5:$G$94)&gt;0))*(LEFT(I149,1)="2")+SUMPRODUCT((Levels!$A$5:$A$94=$B149)*(Levels!$B$5:$B$94=3)*(COUNTIFS(Progress!$B$5:$B$3000,$A149,Progress!$G$5:$G$3000,Levels!$G$5:$G$94)&gt;0))*(LEFT(I149,1)="3")+SUMPRODUCT((Levels!$A$5:$A$94=$B149)*(Levels!$B$5:$B$94=4)*(COUNTIFS(Progress!$B$5:$B$3000,$A149,Progress!$G$5:$G$3000,Levels!$G$5:$G$94)&gt;0))*(LEFT(I149,1)="4")))</f>
        <v/>
      </c>
      <c r="K149" s="26" t="str">
        <f aca="false">IF($A149="","",IF(COUNTIFS(Progress!$B$5:$B$3000,$A149)=0,"",SUMPRODUCT(MAX((Progress!$B$5:$B$3000=$A149)*Progress!$A$5:$A$3000))))</f>
        <v/>
      </c>
      <c r="L149" s="22"/>
    </row>
    <row r="150" customFormat="false" ht="15" hidden="false" customHeight="false" outlineLevel="0" collapsed="false">
      <c r="A150" s="22"/>
      <c r="B150" s="22"/>
      <c r="C150" s="23"/>
      <c r="D150" s="22"/>
      <c r="E150" s="24" t="str">
        <f aca="false">IF(OR($A150="",$B150=""),"",SUMPRODUCT((Levels!$A$5:$A$94=$B150)*(Levels!$B$5:$B$94=1)*(COUNTIFS(Progress!$B$5:$B$3000,$A150,Progress!$G$5:$G$3000,Levels!$G$5:$G$94)&gt;0))&amp;" / "&amp;COUNTIFS(Levels!$A$5:$A$94,$B150,Levels!$B$5:$B$94,1))</f>
        <v/>
      </c>
      <c r="F150" s="24" t="str">
        <f aca="false">IF(OR($A150="",$B150=""),"",SUMPRODUCT((Levels!$A$5:$A$94=$B150)*(Levels!$B$5:$B$94=2)*(COUNTIFS(Progress!$B$5:$B$3000,$A150,Progress!$G$5:$G$3000,Levels!$G$5:$G$94)&gt;0))&amp;" / "&amp;COUNTIFS(Levels!$A$5:$A$94,$B150,Levels!$B$5:$B$94,2))</f>
        <v/>
      </c>
      <c r="G150" s="24" t="str">
        <f aca="false">IF(OR($A150="",$B150=""),"",SUMPRODUCT((Levels!$A$5:$A$94=$B150)*(Levels!$B$5:$B$94=3)*(COUNTIFS(Progress!$B$5:$B$3000,$A150,Progress!$G$5:$G$3000,Levels!$G$5:$G$94)&gt;0))&amp;" / "&amp;COUNTIFS(Levels!$A$5:$A$94,$B150,Levels!$B$5:$B$94,3))</f>
        <v/>
      </c>
      <c r="H150" s="24" t="str">
        <f aca="false">IF(OR($A150="",$B150=""),"",SUMPRODUCT((Levels!$A$5:$A$94=$B150)*(Levels!$B$5:$B$94=4)*(COUNTIFS(Progress!$B$5:$B$3000,$A150,Progress!$G$5:$G$3000,Levels!$G$5:$G$94)&gt;0))&amp;" / "&amp;COUNTIFS(Levels!$A$5:$A$94,$B150,Levels!$B$5:$B$94,4))</f>
        <v/>
      </c>
      <c r="I150" s="24" t="str">
        <f aca="false">IF(OR($A150="",$B150=""),"",IF(SUMPRODUCT((Levels!$A$5:$A$94=$B150)*(Levels!$B$5:$B$94=1)*(COUNTIFS(Progress!$B$5:$B$3000,$A150,Progress!$G$5:$G$3000,Levels!$G$5:$G$94)&gt;0))&lt;COUNTIFS(Levels!$A$5:$A$94,$B150,Levels!$B$5:$B$94,1),"1 Rookie",IF(SUMPRODUCT((Levels!$A$5:$A$94=$B150)*(Levels!$B$5:$B$94=2)*(COUNTIFS(Progress!$B$5:$B$3000,$A150,Progress!$G$5:$G$3000,Levels!$G$5:$G$94)&gt;0))&lt;COUNTIFS(Levels!$A$5:$A$94,$B150,Levels!$B$5:$B$94,2),"2 Contender",IF(SUMPRODUCT((Levels!$A$5:$A$94=$B150)*(Levels!$B$5:$B$94=3)*(COUNTIFS(Progress!$B$5:$B$3000,$A150,Progress!$G$5:$G$3000,Levels!$G$5:$G$94)&gt;0))&lt;COUNTIFS(Levels!$A$5:$A$94,$B150,Levels!$B$5:$B$94,3),"3 Challenger",IF(SUMPRODUCT((Levels!$A$5:$A$94=$B150)*(Levels!$B$5:$B$94=4)*(COUNTIFS(Progress!$B$5:$B$3000,$A150,Progress!$G$5:$G$3000,Levels!$G$5:$G$94)&gt;0))&lt;COUNTIFS(Levels!$A$5:$A$94,$B150,Levels!$B$5:$B$94,4),"4 Champion","All done")))))</f>
        <v/>
      </c>
      <c r="J150" s="25" t="str">
        <f aca="false">IF(OR(I150="",I150="All done"),"",COUNTIFS(Levels!$A$5:$A$94,$B150,Levels!$B$5:$B$94,1)*(LEFT(I150,1)="1")+COUNTIFS(Levels!$A$5:$A$94,$B150,Levels!$B$5:$B$94,2)*(LEFT(I150,1)="2")+COUNTIFS(Levels!$A$5:$A$94,$B150,Levels!$B$5:$B$94,3)*(LEFT(I150,1)="3")+COUNTIFS(Levels!$A$5:$A$94,$B150,Levels!$B$5:$B$94,4)*(LEFT(I150,1)="4")-(SUMPRODUCT((Levels!$A$5:$A$94=$B150)*(Levels!$B$5:$B$94=1)*(COUNTIFS(Progress!$B$5:$B$3000,$A150,Progress!$G$5:$G$3000,Levels!$G$5:$G$94)&gt;0))*(LEFT(I150,1)="1")+SUMPRODUCT((Levels!$A$5:$A$94=$B150)*(Levels!$B$5:$B$94=2)*(COUNTIFS(Progress!$B$5:$B$3000,$A150,Progress!$G$5:$G$3000,Levels!$G$5:$G$94)&gt;0))*(LEFT(I150,1)="2")+SUMPRODUCT((Levels!$A$5:$A$94=$B150)*(Levels!$B$5:$B$94=3)*(COUNTIFS(Progress!$B$5:$B$3000,$A150,Progress!$G$5:$G$3000,Levels!$G$5:$G$94)&gt;0))*(LEFT(I150,1)="3")+SUMPRODUCT((Levels!$A$5:$A$94=$B150)*(Levels!$B$5:$B$94=4)*(COUNTIFS(Progress!$B$5:$B$3000,$A150,Progress!$G$5:$G$3000,Levels!$G$5:$G$94)&gt;0))*(LEFT(I150,1)="4")))</f>
        <v/>
      </c>
      <c r="K150" s="26" t="str">
        <f aca="false">IF($A150="","",IF(COUNTIFS(Progress!$B$5:$B$3000,$A150)=0,"",SUMPRODUCT(MAX((Progress!$B$5:$B$3000=$A150)*Progress!$A$5:$A$3000))))</f>
        <v/>
      </c>
      <c r="L150" s="22"/>
    </row>
    <row r="151" customFormat="false" ht="15" hidden="false" customHeight="false" outlineLevel="0" collapsed="false">
      <c r="A151" s="22"/>
      <c r="B151" s="22"/>
      <c r="C151" s="23"/>
      <c r="D151" s="22"/>
      <c r="E151" s="24" t="str">
        <f aca="false">IF(OR($A151="",$B151=""),"",SUMPRODUCT((Levels!$A$5:$A$94=$B151)*(Levels!$B$5:$B$94=1)*(COUNTIFS(Progress!$B$5:$B$3000,$A151,Progress!$G$5:$G$3000,Levels!$G$5:$G$94)&gt;0))&amp;" / "&amp;COUNTIFS(Levels!$A$5:$A$94,$B151,Levels!$B$5:$B$94,1))</f>
        <v/>
      </c>
      <c r="F151" s="24" t="str">
        <f aca="false">IF(OR($A151="",$B151=""),"",SUMPRODUCT((Levels!$A$5:$A$94=$B151)*(Levels!$B$5:$B$94=2)*(COUNTIFS(Progress!$B$5:$B$3000,$A151,Progress!$G$5:$G$3000,Levels!$G$5:$G$94)&gt;0))&amp;" / "&amp;COUNTIFS(Levels!$A$5:$A$94,$B151,Levels!$B$5:$B$94,2))</f>
        <v/>
      </c>
      <c r="G151" s="24" t="str">
        <f aca="false">IF(OR($A151="",$B151=""),"",SUMPRODUCT((Levels!$A$5:$A$94=$B151)*(Levels!$B$5:$B$94=3)*(COUNTIFS(Progress!$B$5:$B$3000,$A151,Progress!$G$5:$G$3000,Levels!$G$5:$G$94)&gt;0))&amp;" / "&amp;COUNTIFS(Levels!$A$5:$A$94,$B151,Levels!$B$5:$B$94,3))</f>
        <v/>
      </c>
      <c r="H151" s="24" t="str">
        <f aca="false">IF(OR($A151="",$B151=""),"",SUMPRODUCT((Levels!$A$5:$A$94=$B151)*(Levels!$B$5:$B$94=4)*(COUNTIFS(Progress!$B$5:$B$3000,$A151,Progress!$G$5:$G$3000,Levels!$G$5:$G$94)&gt;0))&amp;" / "&amp;COUNTIFS(Levels!$A$5:$A$94,$B151,Levels!$B$5:$B$94,4))</f>
        <v/>
      </c>
      <c r="I151" s="24" t="str">
        <f aca="false">IF(OR($A151="",$B151=""),"",IF(SUMPRODUCT((Levels!$A$5:$A$94=$B151)*(Levels!$B$5:$B$94=1)*(COUNTIFS(Progress!$B$5:$B$3000,$A151,Progress!$G$5:$G$3000,Levels!$G$5:$G$94)&gt;0))&lt;COUNTIFS(Levels!$A$5:$A$94,$B151,Levels!$B$5:$B$94,1),"1 Rookie",IF(SUMPRODUCT((Levels!$A$5:$A$94=$B151)*(Levels!$B$5:$B$94=2)*(COUNTIFS(Progress!$B$5:$B$3000,$A151,Progress!$G$5:$G$3000,Levels!$G$5:$G$94)&gt;0))&lt;COUNTIFS(Levels!$A$5:$A$94,$B151,Levels!$B$5:$B$94,2),"2 Contender",IF(SUMPRODUCT((Levels!$A$5:$A$94=$B151)*(Levels!$B$5:$B$94=3)*(COUNTIFS(Progress!$B$5:$B$3000,$A151,Progress!$G$5:$G$3000,Levels!$G$5:$G$94)&gt;0))&lt;COUNTIFS(Levels!$A$5:$A$94,$B151,Levels!$B$5:$B$94,3),"3 Challenger",IF(SUMPRODUCT((Levels!$A$5:$A$94=$B151)*(Levels!$B$5:$B$94=4)*(COUNTIFS(Progress!$B$5:$B$3000,$A151,Progress!$G$5:$G$3000,Levels!$G$5:$G$94)&gt;0))&lt;COUNTIFS(Levels!$A$5:$A$94,$B151,Levels!$B$5:$B$94,4),"4 Champion","All done")))))</f>
        <v/>
      </c>
      <c r="J151" s="25" t="str">
        <f aca="false">IF(OR(I151="",I151="All done"),"",COUNTIFS(Levels!$A$5:$A$94,$B151,Levels!$B$5:$B$94,1)*(LEFT(I151,1)="1")+COUNTIFS(Levels!$A$5:$A$94,$B151,Levels!$B$5:$B$94,2)*(LEFT(I151,1)="2")+COUNTIFS(Levels!$A$5:$A$94,$B151,Levels!$B$5:$B$94,3)*(LEFT(I151,1)="3")+COUNTIFS(Levels!$A$5:$A$94,$B151,Levels!$B$5:$B$94,4)*(LEFT(I151,1)="4")-(SUMPRODUCT((Levels!$A$5:$A$94=$B151)*(Levels!$B$5:$B$94=1)*(COUNTIFS(Progress!$B$5:$B$3000,$A151,Progress!$G$5:$G$3000,Levels!$G$5:$G$94)&gt;0))*(LEFT(I151,1)="1")+SUMPRODUCT((Levels!$A$5:$A$94=$B151)*(Levels!$B$5:$B$94=2)*(COUNTIFS(Progress!$B$5:$B$3000,$A151,Progress!$G$5:$G$3000,Levels!$G$5:$G$94)&gt;0))*(LEFT(I151,1)="2")+SUMPRODUCT((Levels!$A$5:$A$94=$B151)*(Levels!$B$5:$B$94=3)*(COUNTIFS(Progress!$B$5:$B$3000,$A151,Progress!$G$5:$G$3000,Levels!$G$5:$G$94)&gt;0))*(LEFT(I151,1)="3")+SUMPRODUCT((Levels!$A$5:$A$94=$B151)*(Levels!$B$5:$B$94=4)*(COUNTIFS(Progress!$B$5:$B$3000,$A151,Progress!$G$5:$G$3000,Levels!$G$5:$G$94)&gt;0))*(LEFT(I151,1)="4")))</f>
        <v/>
      </c>
      <c r="K151" s="26" t="str">
        <f aca="false">IF($A151="","",IF(COUNTIFS(Progress!$B$5:$B$3000,$A151)=0,"",SUMPRODUCT(MAX((Progress!$B$5:$B$3000=$A151)*Progress!$A$5:$A$3000))))</f>
        <v/>
      </c>
      <c r="L151" s="22"/>
    </row>
    <row r="152" customFormat="false" ht="15" hidden="false" customHeight="false" outlineLevel="0" collapsed="false">
      <c r="A152" s="22"/>
      <c r="B152" s="22"/>
      <c r="C152" s="23"/>
      <c r="D152" s="22"/>
      <c r="E152" s="24" t="str">
        <f aca="false">IF(OR($A152="",$B152=""),"",SUMPRODUCT((Levels!$A$5:$A$94=$B152)*(Levels!$B$5:$B$94=1)*(COUNTIFS(Progress!$B$5:$B$3000,$A152,Progress!$G$5:$G$3000,Levels!$G$5:$G$94)&gt;0))&amp;" / "&amp;COUNTIFS(Levels!$A$5:$A$94,$B152,Levels!$B$5:$B$94,1))</f>
        <v/>
      </c>
      <c r="F152" s="24" t="str">
        <f aca="false">IF(OR($A152="",$B152=""),"",SUMPRODUCT((Levels!$A$5:$A$94=$B152)*(Levels!$B$5:$B$94=2)*(COUNTIFS(Progress!$B$5:$B$3000,$A152,Progress!$G$5:$G$3000,Levels!$G$5:$G$94)&gt;0))&amp;" / "&amp;COUNTIFS(Levels!$A$5:$A$94,$B152,Levels!$B$5:$B$94,2))</f>
        <v/>
      </c>
      <c r="G152" s="24" t="str">
        <f aca="false">IF(OR($A152="",$B152=""),"",SUMPRODUCT((Levels!$A$5:$A$94=$B152)*(Levels!$B$5:$B$94=3)*(COUNTIFS(Progress!$B$5:$B$3000,$A152,Progress!$G$5:$G$3000,Levels!$G$5:$G$94)&gt;0))&amp;" / "&amp;COUNTIFS(Levels!$A$5:$A$94,$B152,Levels!$B$5:$B$94,3))</f>
        <v/>
      </c>
      <c r="H152" s="24" t="str">
        <f aca="false">IF(OR($A152="",$B152=""),"",SUMPRODUCT((Levels!$A$5:$A$94=$B152)*(Levels!$B$5:$B$94=4)*(COUNTIFS(Progress!$B$5:$B$3000,$A152,Progress!$G$5:$G$3000,Levels!$G$5:$G$94)&gt;0))&amp;" / "&amp;COUNTIFS(Levels!$A$5:$A$94,$B152,Levels!$B$5:$B$94,4))</f>
        <v/>
      </c>
      <c r="I152" s="24" t="str">
        <f aca="false">IF(OR($A152="",$B152=""),"",IF(SUMPRODUCT((Levels!$A$5:$A$94=$B152)*(Levels!$B$5:$B$94=1)*(COUNTIFS(Progress!$B$5:$B$3000,$A152,Progress!$G$5:$G$3000,Levels!$G$5:$G$94)&gt;0))&lt;COUNTIFS(Levels!$A$5:$A$94,$B152,Levels!$B$5:$B$94,1),"1 Rookie",IF(SUMPRODUCT((Levels!$A$5:$A$94=$B152)*(Levels!$B$5:$B$94=2)*(COUNTIFS(Progress!$B$5:$B$3000,$A152,Progress!$G$5:$G$3000,Levels!$G$5:$G$94)&gt;0))&lt;COUNTIFS(Levels!$A$5:$A$94,$B152,Levels!$B$5:$B$94,2),"2 Contender",IF(SUMPRODUCT((Levels!$A$5:$A$94=$B152)*(Levels!$B$5:$B$94=3)*(COUNTIFS(Progress!$B$5:$B$3000,$A152,Progress!$G$5:$G$3000,Levels!$G$5:$G$94)&gt;0))&lt;COUNTIFS(Levels!$A$5:$A$94,$B152,Levels!$B$5:$B$94,3),"3 Challenger",IF(SUMPRODUCT((Levels!$A$5:$A$94=$B152)*(Levels!$B$5:$B$94=4)*(COUNTIFS(Progress!$B$5:$B$3000,$A152,Progress!$G$5:$G$3000,Levels!$G$5:$G$94)&gt;0))&lt;COUNTIFS(Levels!$A$5:$A$94,$B152,Levels!$B$5:$B$94,4),"4 Champion","All done")))))</f>
        <v/>
      </c>
      <c r="J152" s="25" t="str">
        <f aca="false">IF(OR(I152="",I152="All done"),"",COUNTIFS(Levels!$A$5:$A$94,$B152,Levels!$B$5:$B$94,1)*(LEFT(I152,1)="1")+COUNTIFS(Levels!$A$5:$A$94,$B152,Levels!$B$5:$B$94,2)*(LEFT(I152,1)="2")+COUNTIFS(Levels!$A$5:$A$94,$B152,Levels!$B$5:$B$94,3)*(LEFT(I152,1)="3")+COUNTIFS(Levels!$A$5:$A$94,$B152,Levels!$B$5:$B$94,4)*(LEFT(I152,1)="4")-(SUMPRODUCT((Levels!$A$5:$A$94=$B152)*(Levels!$B$5:$B$94=1)*(COUNTIFS(Progress!$B$5:$B$3000,$A152,Progress!$G$5:$G$3000,Levels!$G$5:$G$94)&gt;0))*(LEFT(I152,1)="1")+SUMPRODUCT((Levels!$A$5:$A$94=$B152)*(Levels!$B$5:$B$94=2)*(COUNTIFS(Progress!$B$5:$B$3000,$A152,Progress!$G$5:$G$3000,Levels!$G$5:$G$94)&gt;0))*(LEFT(I152,1)="2")+SUMPRODUCT((Levels!$A$5:$A$94=$B152)*(Levels!$B$5:$B$94=3)*(COUNTIFS(Progress!$B$5:$B$3000,$A152,Progress!$G$5:$G$3000,Levels!$G$5:$G$94)&gt;0))*(LEFT(I152,1)="3")+SUMPRODUCT((Levels!$A$5:$A$94=$B152)*(Levels!$B$5:$B$94=4)*(COUNTIFS(Progress!$B$5:$B$3000,$A152,Progress!$G$5:$G$3000,Levels!$G$5:$G$94)&gt;0))*(LEFT(I152,1)="4")))</f>
        <v/>
      </c>
      <c r="K152" s="26" t="str">
        <f aca="false">IF($A152="","",IF(COUNTIFS(Progress!$B$5:$B$3000,$A152)=0,"",SUMPRODUCT(MAX((Progress!$B$5:$B$3000=$A152)*Progress!$A$5:$A$3000))))</f>
        <v/>
      </c>
      <c r="L152" s="22"/>
    </row>
    <row r="153" customFormat="false" ht="15" hidden="false" customHeight="false" outlineLevel="0" collapsed="false">
      <c r="A153" s="22"/>
      <c r="B153" s="22"/>
      <c r="C153" s="23"/>
      <c r="D153" s="22"/>
      <c r="E153" s="24" t="str">
        <f aca="false">IF(OR($A153="",$B153=""),"",SUMPRODUCT((Levels!$A$5:$A$94=$B153)*(Levels!$B$5:$B$94=1)*(COUNTIFS(Progress!$B$5:$B$3000,$A153,Progress!$G$5:$G$3000,Levels!$G$5:$G$94)&gt;0))&amp;" / "&amp;COUNTIFS(Levels!$A$5:$A$94,$B153,Levels!$B$5:$B$94,1))</f>
        <v/>
      </c>
      <c r="F153" s="24" t="str">
        <f aca="false">IF(OR($A153="",$B153=""),"",SUMPRODUCT((Levels!$A$5:$A$94=$B153)*(Levels!$B$5:$B$94=2)*(COUNTIFS(Progress!$B$5:$B$3000,$A153,Progress!$G$5:$G$3000,Levels!$G$5:$G$94)&gt;0))&amp;" / "&amp;COUNTIFS(Levels!$A$5:$A$94,$B153,Levels!$B$5:$B$94,2))</f>
        <v/>
      </c>
      <c r="G153" s="24" t="str">
        <f aca="false">IF(OR($A153="",$B153=""),"",SUMPRODUCT((Levels!$A$5:$A$94=$B153)*(Levels!$B$5:$B$94=3)*(COUNTIFS(Progress!$B$5:$B$3000,$A153,Progress!$G$5:$G$3000,Levels!$G$5:$G$94)&gt;0))&amp;" / "&amp;COUNTIFS(Levels!$A$5:$A$94,$B153,Levels!$B$5:$B$94,3))</f>
        <v/>
      </c>
      <c r="H153" s="24" t="str">
        <f aca="false">IF(OR($A153="",$B153=""),"",SUMPRODUCT((Levels!$A$5:$A$94=$B153)*(Levels!$B$5:$B$94=4)*(COUNTIFS(Progress!$B$5:$B$3000,$A153,Progress!$G$5:$G$3000,Levels!$G$5:$G$94)&gt;0))&amp;" / "&amp;COUNTIFS(Levels!$A$5:$A$94,$B153,Levels!$B$5:$B$94,4))</f>
        <v/>
      </c>
      <c r="I153" s="24" t="str">
        <f aca="false">IF(OR($A153="",$B153=""),"",IF(SUMPRODUCT((Levels!$A$5:$A$94=$B153)*(Levels!$B$5:$B$94=1)*(COUNTIFS(Progress!$B$5:$B$3000,$A153,Progress!$G$5:$G$3000,Levels!$G$5:$G$94)&gt;0))&lt;COUNTIFS(Levels!$A$5:$A$94,$B153,Levels!$B$5:$B$94,1),"1 Rookie",IF(SUMPRODUCT((Levels!$A$5:$A$94=$B153)*(Levels!$B$5:$B$94=2)*(COUNTIFS(Progress!$B$5:$B$3000,$A153,Progress!$G$5:$G$3000,Levels!$G$5:$G$94)&gt;0))&lt;COUNTIFS(Levels!$A$5:$A$94,$B153,Levels!$B$5:$B$94,2),"2 Contender",IF(SUMPRODUCT((Levels!$A$5:$A$94=$B153)*(Levels!$B$5:$B$94=3)*(COUNTIFS(Progress!$B$5:$B$3000,$A153,Progress!$G$5:$G$3000,Levels!$G$5:$G$94)&gt;0))&lt;COUNTIFS(Levels!$A$5:$A$94,$B153,Levels!$B$5:$B$94,3),"3 Challenger",IF(SUMPRODUCT((Levels!$A$5:$A$94=$B153)*(Levels!$B$5:$B$94=4)*(COUNTIFS(Progress!$B$5:$B$3000,$A153,Progress!$G$5:$G$3000,Levels!$G$5:$G$94)&gt;0))&lt;COUNTIFS(Levels!$A$5:$A$94,$B153,Levels!$B$5:$B$94,4),"4 Champion","All done")))))</f>
        <v/>
      </c>
      <c r="J153" s="25" t="str">
        <f aca="false">IF(OR(I153="",I153="All done"),"",COUNTIFS(Levels!$A$5:$A$94,$B153,Levels!$B$5:$B$94,1)*(LEFT(I153,1)="1")+COUNTIFS(Levels!$A$5:$A$94,$B153,Levels!$B$5:$B$94,2)*(LEFT(I153,1)="2")+COUNTIFS(Levels!$A$5:$A$94,$B153,Levels!$B$5:$B$94,3)*(LEFT(I153,1)="3")+COUNTIFS(Levels!$A$5:$A$94,$B153,Levels!$B$5:$B$94,4)*(LEFT(I153,1)="4")-(SUMPRODUCT((Levels!$A$5:$A$94=$B153)*(Levels!$B$5:$B$94=1)*(COUNTIFS(Progress!$B$5:$B$3000,$A153,Progress!$G$5:$G$3000,Levels!$G$5:$G$94)&gt;0))*(LEFT(I153,1)="1")+SUMPRODUCT((Levels!$A$5:$A$94=$B153)*(Levels!$B$5:$B$94=2)*(COUNTIFS(Progress!$B$5:$B$3000,$A153,Progress!$G$5:$G$3000,Levels!$G$5:$G$94)&gt;0))*(LEFT(I153,1)="2")+SUMPRODUCT((Levels!$A$5:$A$94=$B153)*(Levels!$B$5:$B$94=3)*(COUNTIFS(Progress!$B$5:$B$3000,$A153,Progress!$G$5:$G$3000,Levels!$G$5:$G$94)&gt;0))*(LEFT(I153,1)="3")+SUMPRODUCT((Levels!$A$5:$A$94=$B153)*(Levels!$B$5:$B$94=4)*(COUNTIFS(Progress!$B$5:$B$3000,$A153,Progress!$G$5:$G$3000,Levels!$G$5:$G$94)&gt;0))*(LEFT(I153,1)="4")))</f>
        <v/>
      </c>
      <c r="K153" s="26" t="str">
        <f aca="false">IF($A153="","",IF(COUNTIFS(Progress!$B$5:$B$3000,$A153)=0,"",SUMPRODUCT(MAX((Progress!$B$5:$B$3000=$A153)*Progress!$A$5:$A$3000))))</f>
        <v/>
      </c>
      <c r="L153" s="22"/>
    </row>
    <row r="154" customFormat="false" ht="15" hidden="false" customHeight="false" outlineLevel="0" collapsed="false">
      <c r="A154" s="22"/>
      <c r="B154" s="22"/>
      <c r="C154" s="23"/>
      <c r="D154" s="22"/>
      <c r="E154" s="24" t="str">
        <f aca="false">IF(OR($A154="",$B154=""),"",SUMPRODUCT((Levels!$A$5:$A$94=$B154)*(Levels!$B$5:$B$94=1)*(COUNTIFS(Progress!$B$5:$B$3000,$A154,Progress!$G$5:$G$3000,Levels!$G$5:$G$94)&gt;0))&amp;" / "&amp;COUNTIFS(Levels!$A$5:$A$94,$B154,Levels!$B$5:$B$94,1))</f>
        <v/>
      </c>
      <c r="F154" s="24" t="str">
        <f aca="false">IF(OR($A154="",$B154=""),"",SUMPRODUCT((Levels!$A$5:$A$94=$B154)*(Levels!$B$5:$B$94=2)*(COUNTIFS(Progress!$B$5:$B$3000,$A154,Progress!$G$5:$G$3000,Levels!$G$5:$G$94)&gt;0))&amp;" / "&amp;COUNTIFS(Levels!$A$5:$A$94,$B154,Levels!$B$5:$B$94,2))</f>
        <v/>
      </c>
      <c r="G154" s="24" t="str">
        <f aca="false">IF(OR($A154="",$B154=""),"",SUMPRODUCT((Levels!$A$5:$A$94=$B154)*(Levels!$B$5:$B$94=3)*(COUNTIFS(Progress!$B$5:$B$3000,$A154,Progress!$G$5:$G$3000,Levels!$G$5:$G$94)&gt;0))&amp;" / "&amp;COUNTIFS(Levels!$A$5:$A$94,$B154,Levels!$B$5:$B$94,3))</f>
        <v/>
      </c>
      <c r="H154" s="24" t="str">
        <f aca="false">IF(OR($A154="",$B154=""),"",SUMPRODUCT((Levels!$A$5:$A$94=$B154)*(Levels!$B$5:$B$94=4)*(COUNTIFS(Progress!$B$5:$B$3000,$A154,Progress!$G$5:$G$3000,Levels!$G$5:$G$94)&gt;0))&amp;" / "&amp;COUNTIFS(Levels!$A$5:$A$94,$B154,Levels!$B$5:$B$94,4))</f>
        <v/>
      </c>
      <c r="I154" s="24" t="str">
        <f aca="false">IF(OR($A154="",$B154=""),"",IF(SUMPRODUCT((Levels!$A$5:$A$94=$B154)*(Levels!$B$5:$B$94=1)*(COUNTIFS(Progress!$B$5:$B$3000,$A154,Progress!$G$5:$G$3000,Levels!$G$5:$G$94)&gt;0))&lt;COUNTIFS(Levels!$A$5:$A$94,$B154,Levels!$B$5:$B$94,1),"1 Rookie",IF(SUMPRODUCT((Levels!$A$5:$A$94=$B154)*(Levels!$B$5:$B$94=2)*(COUNTIFS(Progress!$B$5:$B$3000,$A154,Progress!$G$5:$G$3000,Levels!$G$5:$G$94)&gt;0))&lt;COUNTIFS(Levels!$A$5:$A$94,$B154,Levels!$B$5:$B$94,2),"2 Contender",IF(SUMPRODUCT((Levels!$A$5:$A$94=$B154)*(Levels!$B$5:$B$94=3)*(COUNTIFS(Progress!$B$5:$B$3000,$A154,Progress!$G$5:$G$3000,Levels!$G$5:$G$94)&gt;0))&lt;COUNTIFS(Levels!$A$5:$A$94,$B154,Levels!$B$5:$B$94,3),"3 Challenger",IF(SUMPRODUCT((Levels!$A$5:$A$94=$B154)*(Levels!$B$5:$B$94=4)*(COUNTIFS(Progress!$B$5:$B$3000,$A154,Progress!$G$5:$G$3000,Levels!$G$5:$G$94)&gt;0))&lt;COUNTIFS(Levels!$A$5:$A$94,$B154,Levels!$B$5:$B$94,4),"4 Champion","All done")))))</f>
        <v/>
      </c>
      <c r="J154" s="25" t="str">
        <f aca="false">IF(OR(I154="",I154="All done"),"",COUNTIFS(Levels!$A$5:$A$94,$B154,Levels!$B$5:$B$94,1)*(LEFT(I154,1)="1")+COUNTIFS(Levels!$A$5:$A$94,$B154,Levels!$B$5:$B$94,2)*(LEFT(I154,1)="2")+COUNTIFS(Levels!$A$5:$A$94,$B154,Levels!$B$5:$B$94,3)*(LEFT(I154,1)="3")+COUNTIFS(Levels!$A$5:$A$94,$B154,Levels!$B$5:$B$94,4)*(LEFT(I154,1)="4")-(SUMPRODUCT((Levels!$A$5:$A$94=$B154)*(Levels!$B$5:$B$94=1)*(COUNTIFS(Progress!$B$5:$B$3000,$A154,Progress!$G$5:$G$3000,Levels!$G$5:$G$94)&gt;0))*(LEFT(I154,1)="1")+SUMPRODUCT((Levels!$A$5:$A$94=$B154)*(Levels!$B$5:$B$94=2)*(COUNTIFS(Progress!$B$5:$B$3000,$A154,Progress!$G$5:$G$3000,Levels!$G$5:$G$94)&gt;0))*(LEFT(I154,1)="2")+SUMPRODUCT((Levels!$A$5:$A$94=$B154)*(Levels!$B$5:$B$94=3)*(COUNTIFS(Progress!$B$5:$B$3000,$A154,Progress!$G$5:$G$3000,Levels!$G$5:$G$94)&gt;0))*(LEFT(I154,1)="3")+SUMPRODUCT((Levels!$A$5:$A$94=$B154)*(Levels!$B$5:$B$94=4)*(COUNTIFS(Progress!$B$5:$B$3000,$A154,Progress!$G$5:$G$3000,Levels!$G$5:$G$94)&gt;0))*(LEFT(I154,1)="4")))</f>
        <v/>
      </c>
      <c r="K154" s="26" t="str">
        <f aca="false">IF($A154="","",IF(COUNTIFS(Progress!$B$5:$B$3000,$A154)=0,"",SUMPRODUCT(MAX((Progress!$B$5:$B$3000=$A154)*Progress!$A$5:$A$3000))))</f>
        <v/>
      </c>
      <c r="L154" s="22"/>
    </row>
  </sheetData>
  <mergeCells count="2">
    <mergeCell ref="A1:L1"/>
    <mergeCell ref="A2:L2"/>
  </mergeCells>
  <conditionalFormatting sqref="I5:I154">
    <cfRule type="cellIs" priority="2" operator="equal" aboveAverage="0" equalAverage="0" bottom="0" percent="0" rank="0" text="" dxfId="0">
      <formula>"All done"</formula>
    </cfRule>
  </conditionalFormatting>
  <conditionalFormatting sqref="J5:J154">
    <cfRule type="cellIs" priority="3" operator="equal" aboveAverage="0" equalAverage="0" bottom="0" percent="0" rank="0" text="" dxfId="2">
      <formula>1</formula>
    </cfRule>
  </conditionalFormatting>
  <dataValidations count="2">
    <dataValidation allowBlank="true" errorStyle="stop" operator="between" showDropDown="false" showErrorMessage="false" showInputMessage="false" sqref="B5:B154" type="list">
      <formula1>"Kids Boxing,Wrestling,Boxing 11-14"</formula1>
      <formula2>0</formula2>
    </dataValidation>
    <dataValidation allowBlank="true" errorStyle="stop" operator="between" showDropDown="false" showErrorMessage="false" showInputMessage="false" sqref="D5:D154" type="list">
      <formula1>"Cody,Sean,Jordan"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11"/>
    <col collapsed="false" customWidth="true" hidden="false" outlineLevel="0" max="5" min="5" style="0" width="36"/>
    <col collapsed="false" customWidth="true" hidden="false" outlineLevel="0" max="6" min="6" style="0" width="16"/>
    <col collapsed="false" customWidth="true" hidden="true" outlineLevel="0" max="7" min="7" style="0" width="6"/>
    <col collapsed="false" customWidth="true" hidden="false" outlineLevel="0" max="8" min="8" style="0" width="10"/>
  </cols>
  <sheetData>
    <row r="1" customFormat="false" ht="30" hidden="false" customHeight="true" outlineLevel="0" collapsed="false">
      <c r="A1" s="1" t="s">
        <v>46</v>
      </c>
      <c r="B1" s="1"/>
      <c r="C1" s="1"/>
      <c r="D1" s="1"/>
      <c r="E1" s="1"/>
      <c r="F1" s="1"/>
      <c r="G1" s="1"/>
      <c r="H1" s="1"/>
    </row>
    <row r="2" customFormat="false" ht="31.5" hidden="false" customHeight="true" outlineLevel="0" collapsed="false">
      <c r="A2" s="2" t="s">
        <v>47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19" t="s">
        <v>48</v>
      </c>
      <c r="B4" s="19" t="s">
        <v>25</v>
      </c>
      <c r="C4" s="19" t="s">
        <v>30</v>
      </c>
      <c r="D4" s="19" t="s">
        <v>37</v>
      </c>
      <c r="E4" s="19" t="s">
        <v>49</v>
      </c>
      <c r="F4" s="19" t="s">
        <v>27</v>
      </c>
      <c r="G4" s="19" t="s">
        <v>50</v>
      </c>
      <c r="H4" s="19" t="s">
        <v>29</v>
      </c>
    </row>
    <row r="5" customFormat="false" ht="15" hidden="false" customHeight="false" outlineLevel="0" collapsed="false">
      <c r="A5" s="23"/>
      <c r="B5" s="22"/>
      <c r="C5" s="22"/>
      <c r="D5" s="22"/>
      <c r="E5" s="22"/>
      <c r="F5" s="27" t="str">
        <f aca="false">IF(B5="","",IFERROR(INDEX(Roster!$B$5:$B$154,MATCH(B5,Roster!$A$5:$A$154,0)),"Not on roster"))</f>
        <v/>
      </c>
      <c r="G5" s="28" t="str">
        <f aca="false">IF(OR(B5="",C5=""),"",F5&amp;" | "&amp;C5)</f>
        <v/>
      </c>
      <c r="H5" s="27" t="str">
        <f aca="false">IF(G5="","",IFERROR(INDEX(Levels!$C$5:$C$94,MATCH(G5,Levels!$G$5:$G$94,0)),"Not this class's skill"))</f>
        <v/>
      </c>
    </row>
    <row r="6" customFormat="false" ht="15" hidden="false" customHeight="false" outlineLevel="0" collapsed="false">
      <c r="A6" s="23"/>
      <c r="B6" s="22"/>
      <c r="C6" s="22"/>
      <c r="D6" s="22"/>
      <c r="E6" s="22"/>
      <c r="F6" s="27" t="str">
        <f aca="false">IF(B6="","",IFERROR(INDEX(Roster!$B$5:$B$154,MATCH(B6,Roster!$A$5:$A$154,0)),"Not on roster"))</f>
        <v/>
      </c>
      <c r="G6" s="28" t="str">
        <f aca="false">IF(OR(B6="",C6=""),"",F6&amp;" | "&amp;C6)</f>
        <v/>
      </c>
      <c r="H6" s="27" t="str">
        <f aca="false">IF(G6="","",IFERROR(INDEX(Levels!$C$5:$C$94,MATCH(G6,Levels!$G$5:$G$94,0)),"Not this class's skill"))</f>
        <v/>
      </c>
    </row>
    <row r="7" customFormat="false" ht="15" hidden="false" customHeight="false" outlineLevel="0" collapsed="false">
      <c r="A7" s="23"/>
      <c r="B7" s="22"/>
      <c r="C7" s="22"/>
      <c r="D7" s="22"/>
      <c r="E7" s="22"/>
      <c r="F7" s="27" t="str">
        <f aca="false">IF(B7="","",IFERROR(INDEX(Roster!$B$5:$B$154,MATCH(B7,Roster!$A$5:$A$154,0)),"Not on roster"))</f>
        <v/>
      </c>
      <c r="G7" s="28" t="str">
        <f aca="false">IF(OR(B7="",C7=""),"",F7&amp;" | "&amp;C7)</f>
        <v/>
      </c>
      <c r="H7" s="27" t="str">
        <f aca="false">IF(G7="","",IFERROR(INDEX(Levels!$C$5:$C$94,MATCH(G7,Levels!$G$5:$G$94,0)),"Not this class's skill"))</f>
        <v/>
      </c>
    </row>
    <row r="8" customFormat="false" ht="15" hidden="false" customHeight="false" outlineLevel="0" collapsed="false">
      <c r="A8" s="23"/>
      <c r="B8" s="22"/>
      <c r="C8" s="22"/>
      <c r="D8" s="22"/>
      <c r="E8" s="22"/>
      <c r="F8" s="27" t="str">
        <f aca="false">IF(B8="","",IFERROR(INDEX(Roster!$B$5:$B$154,MATCH(B8,Roster!$A$5:$A$154,0)),"Not on roster"))</f>
        <v/>
      </c>
      <c r="G8" s="28" t="str">
        <f aca="false">IF(OR(B8="",C8=""),"",F8&amp;" | "&amp;C8)</f>
        <v/>
      </c>
      <c r="H8" s="27" t="str">
        <f aca="false">IF(G8="","",IFERROR(INDEX(Levels!$C$5:$C$94,MATCH(G8,Levels!$G$5:$G$94,0)),"Not this class's skill"))</f>
        <v/>
      </c>
    </row>
    <row r="9" customFormat="false" ht="15" hidden="false" customHeight="false" outlineLevel="0" collapsed="false">
      <c r="A9" s="23"/>
      <c r="B9" s="22"/>
      <c r="C9" s="22"/>
      <c r="D9" s="22"/>
      <c r="E9" s="22"/>
      <c r="F9" s="27" t="str">
        <f aca="false">IF(B9="","",IFERROR(INDEX(Roster!$B$5:$B$154,MATCH(B9,Roster!$A$5:$A$154,0)),"Not on roster"))</f>
        <v/>
      </c>
      <c r="G9" s="28" t="str">
        <f aca="false">IF(OR(B9="",C9=""),"",F9&amp;" | "&amp;C9)</f>
        <v/>
      </c>
      <c r="H9" s="27" t="str">
        <f aca="false">IF(G9="","",IFERROR(INDEX(Levels!$C$5:$C$94,MATCH(G9,Levels!$G$5:$G$94,0)),"Not this class's skill"))</f>
        <v/>
      </c>
    </row>
    <row r="10" customFormat="false" ht="15" hidden="false" customHeight="false" outlineLevel="0" collapsed="false">
      <c r="A10" s="23"/>
      <c r="B10" s="22"/>
      <c r="C10" s="22"/>
      <c r="D10" s="22"/>
      <c r="E10" s="22"/>
      <c r="F10" s="27" t="str">
        <f aca="false">IF(B10="","",IFERROR(INDEX(Roster!$B$5:$B$154,MATCH(B10,Roster!$A$5:$A$154,0)),"Not on roster"))</f>
        <v/>
      </c>
      <c r="G10" s="28" t="str">
        <f aca="false">IF(OR(B10="",C10=""),"",F10&amp;" | "&amp;C10)</f>
        <v/>
      </c>
      <c r="H10" s="27" t="str">
        <f aca="false">IF(G10="","",IFERROR(INDEX(Levels!$C$5:$C$94,MATCH(G10,Levels!$G$5:$G$94,0)),"Not this class's skill"))</f>
        <v/>
      </c>
    </row>
    <row r="11" customFormat="false" ht="15" hidden="false" customHeight="false" outlineLevel="0" collapsed="false">
      <c r="A11" s="23"/>
      <c r="B11" s="22"/>
      <c r="C11" s="22"/>
      <c r="D11" s="22"/>
      <c r="E11" s="22"/>
      <c r="F11" s="27" t="str">
        <f aca="false">IF(B11="","",IFERROR(INDEX(Roster!$B$5:$B$154,MATCH(B11,Roster!$A$5:$A$154,0)),"Not on roster"))</f>
        <v/>
      </c>
      <c r="G11" s="28" t="str">
        <f aca="false">IF(OR(B11="",C11=""),"",F11&amp;" | "&amp;C11)</f>
        <v/>
      </c>
      <c r="H11" s="27" t="str">
        <f aca="false">IF(G11="","",IFERROR(INDEX(Levels!$C$5:$C$94,MATCH(G11,Levels!$G$5:$G$94,0)),"Not this class's skill"))</f>
        <v/>
      </c>
    </row>
    <row r="12" customFormat="false" ht="15" hidden="false" customHeight="false" outlineLevel="0" collapsed="false">
      <c r="A12" s="23"/>
      <c r="B12" s="22"/>
      <c r="C12" s="22"/>
      <c r="D12" s="22"/>
      <c r="E12" s="22"/>
      <c r="F12" s="27" t="str">
        <f aca="false">IF(B12="","",IFERROR(INDEX(Roster!$B$5:$B$154,MATCH(B12,Roster!$A$5:$A$154,0)),"Not on roster"))</f>
        <v/>
      </c>
      <c r="G12" s="28" t="str">
        <f aca="false">IF(OR(B12="",C12=""),"",F12&amp;" | "&amp;C12)</f>
        <v/>
      </c>
      <c r="H12" s="27" t="str">
        <f aca="false">IF(G12="","",IFERROR(INDEX(Levels!$C$5:$C$94,MATCH(G12,Levels!$G$5:$G$94,0)),"Not this class's skill"))</f>
        <v/>
      </c>
    </row>
    <row r="13" customFormat="false" ht="15" hidden="false" customHeight="false" outlineLevel="0" collapsed="false">
      <c r="A13" s="23"/>
      <c r="B13" s="22"/>
      <c r="C13" s="22"/>
      <c r="D13" s="22"/>
      <c r="E13" s="22"/>
      <c r="F13" s="27" t="str">
        <f aca="false">IF(B13="","",IFERROR(INDEX(Roster!$B$5:$B$154,MATCH(B13,Roster!$A$5:$A$154,0)),"Not on roster"))</f>
        <v/>
      </c>
      <c r="G13" s="28" t="str">
        <f aca="false">IF(OR(B13="",C13=""),"",F13&amp;" | "&amp;C13)</f>
        <v/>
      </c>
      <c r="H13" s="27" t="str">
        <f aca="false">IF(G13="","",IFERROR(INDEX(Levels!$C$5:$C$94,MATCH(G13,Levels!$G$5:$G$94,0)),"Not this class's skill"))</f>
        <v/>
      </c>
    </row>
    <row r="14" customFormat="false" ht="15" hidden="false" customHeight="false" outlineLevel="0" collapsed="false">
      <c r="A14" s="23"/>
      <c r="B14" s="22"/>
      <c r="C14" s="22"/>
      <c r="D14" s="22"/>
      <c r="E14" s="22"/>
      <c r="F14" s="27" t="str">
        <f aca="false">IF(B14="","",IFERROR(INDEX(Roster!$B$5:$B$154,MATCH(B14,Roster!$A$5:$A$154,0)),"Not on roster"))</f>
        <v/>
      </c>
      <c r="G14" s="28" t="str">
        <f aca="false">IF(OR(B14="",C14=""),"",F14&amp;" | "&amp;C14)</f>
        <v/>
      </c>
      <c r="H14" s="27" t="str">
        <f aca="false">IF(G14="","",IFERROR(INDEX(Levels!$C$5:$C$94,MATCH(G14,Levels!$G$5:$G$94,0)),"Not this class's skill"))</f>
        <v/>
      </c>
    </row>
    <row r="15" customFormat="false" ht="15" hidden="false" customHeight="false" outlineLevel="0" collapsed="false">
      <c r="A15" s="23"/>
      <c r="B15" s="22"/>
      <c r="C15" s="22"/>
      <c r="D15" s="22"/>
      <c r="E15" s="22"/>
      <c r="F15" s="27" t="str">
        <f aca="false">IF(B15="","",IFERROR(INDEX(Roster!$B$5:$B$154,MATCH(B15,Roster!$A$5:$A$154,0)),"Not on roster"))</f>
        <v/>
      </c>
      <c r="G15" s="28" t="str">
        <f aca="false">IF(OR(B15="",C15=""),"",F15&amp;" | "&amp;C15)</f>
        <v/>
      </c>
      <c r="H15" s="27" t="str">
        <f aca="false">IF(G15="","",IFERROR(INDEX(Levels!$C$5:$C$94,MATCH(G15,Levels!$G$5:$G$94,0)),"Not this class's skill"))</f>
        <v/>
      </c>
    </row>
    <row r="16" customFormat="false" ht="15" hidden="false" customHeight="false" outlineLevel="0" collapsed="false">
      <c r="A16" s="23"/>
      <c r="B16" s="22"/>
      <c r="C16" s="22"/>
      <c r="D16" s="22"/>
      <c r="E16" s="22"/>
      <c r="F16" s="27" t="str">
        <f aca="false">IF(B16="","",IFERROR(INDEX(Roster!$B$5:$B$154,MATCH(B16,Roster!$A$5:$A$154,0)),"Not on roster"))</f>
        <v/>
      </c>
      <c r="G16" s="28" t="str">
        <f aca="false">IF(OR(B16="",C16=""),"",F16&amp;" | "&amp;C16)</f>
        <v/>
      </c>
      <c r="H16" s="27" t="str">
        <f aca="false">IF(G16="","",IFERROR(INDEX(Levels!$C$5:$C$94,MATCH(G16,Levels!$G$5:$G$94,0)),"Not this class's skill"))</f>
        <v/>
      </c>
    </row>
    <row r="17" customFormat="false" ht="15" hidden="false" customHeight="false" outlineLevel="0" collapsed="false">
      <c r="A17" s="23"/>
      <c r="B17" s="22"/>
      <c r="C17" s="22"/>
      <c r="D17" s="22"/>
      <c r="E17" s="22"/>
      <c r="F17" s="27" t="str">
        <f aca="false">IF(B17="","",IFERROR(INDEX(Roster!$B$5:$B$154,MATCH(B17,Roster!$A$5:$A$154,0)),"Not on roster"))</f>
        <v/>
      </c>
      <c r="G17" s="28" t="str">
        <f aca="false">IF(OR(B17="",C17=""),"",F17&amp;" | "&amp;C17)</f>
        <v/>
      </c>
      <c r="H17" s="27" t="str">
        <f aca="false">IF(G17="","",IFERROR(INDEX(Levels!$C$5:$C$94,MATCH(G17,Levels!$G$5:$G$94,0)),"Not this class's skill"))</f>
        <v/>
      </c>
    </row>
    <row r="18" customFormat="false" ht="15" hidden="false" customHeight="false" outlineLevel="0" collapsed="false">
      <c r="A18" s="23"/>
      <c r="B18" s="22"/>
      <c r="C18" s="22"/>
      <c r="D18" s="22"/>
      <c r="E18" s="22"/>
      <c r="F18" s="27" t="str">
        <f aca="false">IF(B18="","",IFERROR(INDEX(Roster!$B$5:$B$154,MATCH(B18,Roster!$A$5:$A$154,0)),"Not on roster"))</f>
        <v/>
      </c>
      <c r="G18" s="28" t="str">
        <f aca="false">IF(OR(B18="",C18=""),"",F18&amp;" | "&amp;C18)</f>
        <v/>
      </c>
      <c r="H18" s="27" t="str">
        <f aca="false">IF(G18="","",IFERROR(INDEX(Levels!$C$5:$C$94,MATCH(G18,Levels!$G$5:$G$94,0)),"Not this class's skill"))</f>
        <v/>
      </c>
    </row>
    <row r="19" customFormat="false" ht="15" hidden="false" customHeight="false" outlineLevel="0" collapsed="false">
      <c r="A19" s="23"/>
      <c r="B19" s="22"/>
      <c r="C19" s="22"/>
      <c r="D19" s="22"/>
      <c r="E19" s="22"/>
      <c r="F19" s="27" t="str">
        <f aca="false">IF(B19="","",IFERROR(INDEX(Roster!$B$5:$B$154,MATCH(B19,Roster!$A$5:$A$154,0)),"Not on roster"))</f>
        <v/>
      </c>
      <c r="G19" s="28" t="str">
        <f aca="false">IF(OR(B19="",C19=""),"",F19&amp;" | "&amp;C19)</f>
        <v/>
      </c>
      <c r="H19" s="27" t="str">
        <f aca="false">IF(G19="","",IFERROR(INDEX(Levels!$C$5:$C$94,MATCH(G19,Levels!$G$5:$G$94,0)),"Not this class's skill"))</f>
        <v/>
      </c>
    </row>
    <row r="20" customFormat="false" ht="15" hidden="false" customHeight="false" outlineLevel="0" collapsed="false">
      <c r="A20" s="23"/>
      <c r="B20" s="22"/>
      <c r="C20" s="22"/>
      <c r="D20" s="22"/>
      <c r="E20" s="22"/>
      <c r="F20" s="27" t="str">
        <f aca="false">IF(B20="","",IFERROR(INDEX(Roster!$B$5:$B$154,MATCH(B20,Roster!$A$5:$A$154,0)),"Not on roster"))</f>
        <v/>
      </c>
      <c r="G20" s="28" t="str">
        <f aca="false">IF(OR(B20="",C20=""),"",F20&amp;" | "&amp;C20)</f>
        <v/>
      </c>
      <c r="H20" s="27" t="str">
        <f aca="false">IF(G20="","",IFERROR(INDEX(Levels!$C$5:$C$94,MATCH(G20,Levels!$G$5:$G$94,0)),"Not this class's skill"))</f>
        <v/>
      </c>
    </row>
    <row r="21" customFormat="false" ht="15" hidden="false" customHeight="false" outlineLevel="0" collapsed="false">
      <c r="A21" s="23"/>
      <c r="B21" s="22"/>
      <c r="C21" s="22"/>
      <c r="D21" s="22"/>
      <c r="E21" s="22"/>
      <c r="F21" s="27" t="str">
        <f aca="false">IF(B21="","",IFERROR(INDEX(Roster!$B$5:$B$154,MATCH(B21,Roster!$A$5:$A$154,0)),"Not on roster"))</f>
        <v/>
      </c>
      <c r="G21" s="28" t="str">
        <f aca="false">IF(OR(B21="",C21=""),"",F21&amp;" | "&amp;C21)</f>
        <v/>
      </c>
      <c r="H21" s="27" t="str">
        <f aca="false">IF(G21="","",IFERROR(INDEX(Levels!$C$5:$C$94,MATCH(G21,Levels!$G$5:$G$94,0)),"Not this class's skill"))</f>
        <v/>
      </c>
    </row>
    <row r="22" customFormat="false" ht="15" hidden="false" customHeight="false" outlineLevel="0" collapsed="false">
      <c r="A22" s="23"/>
      <c r="B22" s="22"/>
      <c r="C22" s="22"/>
      <c r="D22" s="22"/>
      <c r="E22" s="22"/>
      <c r="F22" s="27" t="str">
        <f aca="false">IF(B22="","",IFERROR(INDEX(Roster!$B$5:$B$154,MATCH(B22,Roster!$A$5:$A$154,0)),"Not on roster"))</f>
        <v/>
      </c>
      <c r="G22" s="28" t="str">
        <f aca="false">IF(OR(B22="",C22=""),"",F22&amp;" | "&amp;C22)</f>
        <v/>
      </c>
      <c r="H22" s="27" t="str">
        <f aca="false">IF(G22="","",IFERROR(INDEX(Levels!$C$5:$C$94,MATCH(G22,Levels!$G$5:$G$94,0)),"Not this class's skill"))</f>
        <v/>
      </c>
    </row>
    <row r="23" customFormat="false" ht="15" hidden="false" customHeight="false" outlineLevel="0" collapsed="false">
      <c r="A23" s="23"/>
      <c r="B23" s="22"/>
      <c r="C23" s="22"/>
      <c r="D23" s="22"/>
      <c r="E23" s="22"/>
      <c r="F23" s="27" t="str">
        <f aca="false">IF(B23="","",IFERROR(INDEX(Roster!$B$5:$B$154,MATCH(B23,Roster!$A$5:$A$154,0)),"Not on roster"))</f>
        <v/>
      </c>
      <c r="G23" s="28" t="str">
        <f aca="false">IF(OR(B23="",C23=""),"",F23&amp;" | "&amp;C23)</f>
        <v/>
      </c>
      <c r="H23" s="27" t="str">
        <f aca="false">IF(G23="","",IFERROR(INDEX(Levels!$C$5:$C$94,MATCH(G23,Levels!$G$5:$G$94,0)),"Not this class's skill"))</f>
        <v/>
      </c>
    </row>
    <row r="24" customFormat="false" ht="15" hidden="false" customHeight="false" outlineLevel="0" collapsed="false">
      <c r="A24" s="23"/>
      <c r="B24" s="22"/>
      <c r="C24" s="22"/>
      <c r="D24" s="22"/>
      <c r="E24" s="22"/>
      <c r="F24" s="27" t="str">
        <f aca="false">IF(B24="","",IFERROR(INDEX(Roster!$B$5:$B$154,MATCH(B24,Roster!$A$5:$A$154,0)),"Not on roster"))</f>
        <v/>
      </c>
      <c r="G24" s="28" t="str">
        <f aca="false">IF(OR(B24="",C24=""),"",F24&amp;" | "&amp;C24)</f>
        <v/>
      </c>
      <c r="H24" s="27" t="str">
        <f aca="false">IF(G24="","",IFERROR(INDEX(Levels!$C$5:$C$94,MATCH(G24,Levels!$G$5:$G$94,0)),"Not this class's skill"))</f>
        <v/>
      </c>
    </row>
    <row r="25" customFormat="false" ht="15" hidden="false" customHeight="false" outlineLevel="0" collapsed="false">
      <c r="A25" s="23"/>
      <c r="B25" s="22"/>
      <c r="C25" s="22"/>
      <c r="D25" s="22"/>
      <c r="E25" s="22"/>
      <c r="F25" s="27" t="str">
        <f aca="false">IF(B25="","",IFERROR(INDEX(Roster!$B$5:$B$154,MATCH(B25,Roster!$A$5:$A$154,0)),"Not on roster"))</f>
        <v/>
      </c>
      <c r="G25" s="28" t="str">
        <f aca="false">IF(OR(B25="",C25=""),"",F25&amp;" | "&amp;C25)</f>
        <v/>
      </c>
      <c r="H25" s="27" t="str">
        <f aca="false">IF(G25="","",IFERROR(INDEX(Levels!$C$5:$C$94,MATCH(G25,Levels!$G$5:$G$94,0)),"Not this class's skill"))</f>
        <v/>
      </c>
    </row>
    <row r="26" customFormat="false" ht="15" hidden="false" customHeight="false" outlineLevel="0" collapsed="false">
      <c r="A26" s="23"/>
      <c r="B26" s="22"/>
      <c r="C26" s="22"/>
      <c r="D26" s="22"/>
      <c r="E26" s="22"/>
      <c r="F26" s="27" t="str">
        <f aca="false">IF(B26="","",IFERROR(INDEX(Roster!$B$5:$B$154,MATCH(B26,Roster!$A$5:$A$154,0)),"Not on roster"))</f>
        <v/>
      </c>
      <c r="G26" s="28" t="str">
        <f aca="false">IF(OR(B26="",C26=""),"",F26&amp;" | "&amp;C26)</f>
        <v/>
      </c>
      <c r="H26" s="27" t="str">
        <f aca="false">IF(G26="","",IFERROR(INDEX(Levels!$C$5:$C$94,MATCH(G26,Levels!$G$5:$G$94,0)),"Not this class's skill"))</f>
        <v/>
      </c>
    </row>
    <row r="27" customFormat="false" ht="15" hidden="false" customHeight="false" outlineLevel="0" collapsed="false">
      <c r="A27" s="23"/>
      <c r="B27" s="22"/>
      <c r="C27" s="22"/>
      <c r="D27" s="22"/>
      <c r="E27" s="22"/>
      <c r="F27" s="27" t="str">
        <f aca="false">IF(B27="","",IFERROR(INDEX(Roster!$B$5:$B$154,MATCH(B27,Roster!$A$5:$A$154,0)),"Not on roster"))</f>
        <v/>
      </c>
      <c r="G27" s="28" t="str">
        <f aca="false">IF(OR(B27="",C27=""),"",F27&amp;" | "&amp;C27)</f>
        <v/>
      </c>
      <c r="H27" s="27" t="str">
        <f aca="false">IF(G27="","",IFERROR(INDEX(Levels!$C$5:$C$94,MATCH(G27,Levels!$G$5:$G$94,0)),"Not this class's skill"))</f>
        <v/>
      </c>
    </row>
    <row r="28" customFormat="false" ht="15" hidden="false" customHeight="false" outlineLevel="0" collapsed="false">
      <c r="A28" s="23"/>
      <c r="B28" s="22"/>
      <c r="C28" s="22"/>
      <c r="D28" s="22"/>
      <c r="E28" s="22"/>
      <c r="F28" s="27" t="str">
        <f aca="false">IF(B28="","",IFERROR(INDEX(Roster!$B$5:$B$154,MATCH(B28,Roster!$A$5:$A$154,0)),"Not on roster"))</f>
        <v/>
      </c>
      <c r="G28" s="28" t="str">
        <f aca="false">IF(OR(B28="",C28=""),"",F28&amp;" | "&amp;C28)</f>
        <v/>
      </c>
      <c r="H28" s="27" t="str">
        <f aca="false">IF(G28="","",IFERROR(INDEX(Levels!$C$5:$C$94,MATCH(G28,Levels!$G$5:$G$94,0)),"Not this class's skill"))</f>
        <v/>
      </c>
    </row>
    <row r="29" customFormat="false" ht="15" hidden="false" customHeight="false" outlineLevel="0" collapsed="false">
      <c r="A29" s="23"/>
      <c r="B29" s="22"/>
      <c r="C29" s="22"/>
      <c r="D29" s="22"/>
      <c r="E29" s="22"/>
      <c r="F29" s="27" t="str">
        <f aca="false">IF(B29="","",IFERROR(INDEX(Roster!$B$5:$B$154,MATCH(B29,Roster!$A$5:$A$154,0)),"Not on roster"))</f>
        <v/>
      </c>
      <c r="G29" s="28" t="str">
        <f aca="false">IF(OR(B29="",C29=""),"",F29&amp;" | "&amp;C29)</f>
        <v/>
      </c>
      <c r="H29" s="27" t="str">
        <f aca="false">IF(G29="","",IFERROR(INDEX(Levels!$C$5:$C$94,MATCH(G29,Levels!$G$5:$G$94,0)),"Not this class's skill"))</f>
        <v/>
      </c>
    </row>
    <row r="30" customFormat="false" ht="15" hidden="false" customHeight="false" outlineLevel="0" collapsed="false">
      <c r="A30" s="23"/>
      <c r="B30" s="22"/>
      <c r="C30" s="22"/>
      <c r="D30" s="22"/>
      <c r="E30" s="22"/>
      <c r="F30" s="27" t="str">
        <f aca="false">IF(B30="","",IFERROR(INDEX(Roster!$B$5:$B$154,MATCH(B30,Roster!$A$5:$A$154,0)),"Not on roster"))</f>
        <v/>
      </c>
      <c r="G30" s="28" t="str">
        <f aca="false">IF(OR(B30="",C30=""),"",F30&amp;" | "&amp;C30)</f>
        <v/>
      </c>
      <c r="H30" s="27" t="str">
        <f aca="false">IF(G30="","",IFERROR(INDEX(Levels!$C$5:$C$94,MATCH(G30,Levels!$G$5:$G$94,0)),"Not this class's skill"))</f>
        <v/>
      </c>
    </row>
    <row r="31" customFormat="false" ht="15" hidden="false" customHeight="false" outlineLevel="0" collapsed="false">
      <c r="A31" s="23"/>
      <c r="B31" s="22"/>
      <c r="C31" s="22"/>
      <c r="D31" s="22"/>
      <c r="E31" s="22"/>
      <c r="F31" s="27" t="str">
        <f aca="false">IF(B31="","",IFERROR(INDEX(Roster!$B$5:$B$154,MATCH(B31,Roster!$A$5:$A$154,0)),"Not on roster"))</f>
        <v/>
      </c>
      <c r="G31" s="28" t="str">
        <f aca="false">IF(OR(B31="",C31=""),"",F31&amp;" | "&amp;C31)</f>
        <v/>
      </c>
      <c r="H31" s="27" t="str">
        <f aca="false">IF(G31="","",IFERROR(INDEX(Levels!$C$5:$C$94,MATCH(G31,Levels!$G$5:$G$94,0)),"Not this class's skill"))</f>
        <v/>
      </c>
    </row>
    <row r="32" customFormat="false" ht="15" hidden="false" customHeight="false" outlineLevel="0" collapsed="false">
      <c r="A32" s="23"/>
      <c r="B32" s="22"/>
      <c r="C32" s="22"/>
      <c r="D32" s="22"/>
      <c r="E32" s="22"/>
      <c r="F32" s="27" t="str">
        <f aca="false">IF(B32="","",IFERROR(INDEX(Roster!$B$5:$B$154,MATCH(B32,Roster!$A$5:$A$154,0)),"Not on roster"))</f>
        <v/>
      </c>
      <c r="G32" s="28" t="str">
        <f aca="false">IF(OR(B32="",C32=""),"",F32&amp;" | "&amp;C32)</f>
        <v/>
      </c>
      <c r="H32" s="27" t="str">
        <f aca="false">IF(G32="","",IFERROR(INDEX(Levels!$C$5:$C$94,MATCH(G32,Levels!$G$5:$G$94,0)),"Not this class's skill"))</f>
        <v/>
      </c>
    </row>
    <row r="33" customFormat="false" ht="15" hidden="false" customHeight="false" outlineLevel="0" collapsed="false">
      <c r="A33" s="23"/>
      <c r="B33" s="22"/>
      <c r="C33" s="22"/>
      <c r="D33" s="22"/>
      <c r="E33" s="22"/>
      <c r="F33" s="27" t="str">
        <f aca="false">IF(B33="","",IFERROR(INDEX(Roster!$B$5:$B$154,MATCH(B33,Roster!$A$5:$A$154,0)),"Not on roster"))</f>
        <v/>
      </c>
      <c r="G33" s="28" t="str">
        <f aca="false">IF(OR(B33="",C33=""),"",F33&amp;" | "&amp;C33)</f>
        <v/>
      </c>
      <c r="H33" s="27" t="str">
        <f aca="false">IF(G33="","",IFERROR(INDEX(Levels!$C$5:$C$94,MATCH(G33,Levels!$G$5:$G$94,0)),"Not this class's skill"))</f>
        <v/>
      </c>
    </row>
    <row r="34" customFormat="false" ht="15" hidden="false" customHeight="false" outlineLevel="0" collapsed="false">
      <c r="A34" s="23"/>
      <c r="B34" s="22"/>
      <c r="C34" s="22"/>
      <c r="D34" s="22"/>
      <c r="E34" s="22"/>
      <c r="F34" s="27" t="str">
        <f aca="false">IF(B34="","",IFERROR(INDEX(Roster!$B$5:$B$154,MATCH(B34,Roster!$A$5:$A$154,0)),"Not on roster"))</f>
        <v/>
      </c>
      <c r="G34" s="28" t="str">
        <f aca="false">IF(OR(B34="",C34=""),"",F34&amp;" | "&amp;C34)</f>
        <v/>
      </c>
      <c r="H34" s="27" t="str">
        <f aca="false">IF(G34="","",IFERROR(INDEX(Levels!$C$5:$C$94,MATCH(G34,Levels!$G$5:$G$94,0)),"Not this class's skill"))</f>
        <v/>
      </c>
    </row>
    <row r="35" customFormat="false" ht="15" hidden="false" customHeight="false" outlineLevel="0" collapsed="false">
      <c r="A35" s="23"/>
      <c r="B35" s="22"/>
      <c r="C35" s="22"/>
      <c r="D35" s="22"/>
      <c r="E35" s="22"/>
      <c r="F35" s="27" t="str">
        <f aca="false">IF(B35="","",IFERROR(INDEX(Roster!$B$5:$B$154,MATCH(B35,Roster!$A$5:$A$154,0)),"Not on roster"))</f>
        <v/>
      </c>
      <c r="G35" s="28" t="str">
        <f aca="false">IF(OR(B35="",C35=""),"",F35&amp;" | "&amp;C35)</f>
        <v/>
      </c>
      <c r="H35" s="27" t="str">
        <f aca="false">IF(G35="","",IFERROR(INDEX(Levels!$C$5:$C$94,MATCH(G35,Levels!$G$5:$G$94,0)),"Not this class's skill"))</f>
        <v/>
      </c>
    </row>
    <row r="36" customFormat="false" ht="15" hidden="false" customHeight="false" outlineLevel="0" collapsed="false">
      <c r="A36" s="23"/>
      <c r="B36" s="22"/>
      <c r="C36" s="22"/>
      <c r="D36" s="22"/>
      <c r="E36" s="22"/>
      <c r="F36" s="27" t="str">
        <f aca="false">IF(B36="","",IFERROR(INDEX(Roster!$B$5:$B$154,MATCH(B36,Roster!$A$5:$A$154,0)),"Not on roster"))</f>
        <v/>
      </c>
      <c r="G36" s="28" t="str">
        <f aca="false">IF(OR(B36="",C36=""),"",F36&amp;" | "&amp;C36)</f>
        <v/>
      </c>
      <c r="H36" s="27" t="str">
        <f aca="false">IF(G36="","",IFERROR(INDEX(Levels!$C$5:$C$94,MATCH(G36,Levels!$G$5:$G$94,0)),"Not this class's skill"))</f>
        <v/>
      </c>
    </row>
    <row r="37" customFormat="false" ht="15" hidden="false" customHeight="false" outlineLevel="0" collapsed="false">
      <c r="A37" s="23"/>
      <c r="B37" s="22"/>
      <c r="C37" s="22"/>
      <c r="D37" s="22"/>
      <c r="E37" s="22"/>
      <c r="F37" s="27" t="str">
        <f aca="false">IF(B37="","",IFERROR(INDEX(Roster!$B$5:$B$154,MATCH(B37,Roster!$A$5:$A$154,0)),"Not on roster"))</f>
        <v/>
      </c>
      <c r="G37" s="28" t="str">
        <f aca="false">IF(OR(B37="",C37=""),"",F37&amp;" | "&amp;C37)</f>
        <v/>
      </c>
      <c r="H37" s="27" t="str">
        <f aca="false">IF(G37="","",IFERROR(INDEX(Levels!$C$5:$C$94,MATCH(G37,Levels!$G$5:$G$94,0)),"Not this class's skill"))</f>
        <v/>
      </c>
    </row>
    <row r="38" customFormat="false" ht="15" hidden="false" customHeight="false" outlineLevel="0" collapsed="false">
      <c r="A38" s="23"/>
      <c r="B38" s="22"/>
      <c r="C38" s="22"/>
      <c r="D38" s="22"/>
      <c r="E38" s="22"/>
      <c r="F38" s="27" t="str">
        <f aca="false">IF(B38="","",IFERROR(INDEX(Roster!$B$5:$B$154,MATCH(B38,Roster!$A$5:$A$154,0)),"Not on roster"))</f>
        <v/>
      </c>
      <c r="G38" s="28" t="str">
        <f aca="false">IF(OR(B38="",C38=""),"",F38&amp;" | "&amp;C38)</f>
        <v/>
      </c>
      <c r="H38" s="27" t="str">
        <f aca="false">IF(G38="","",IFERROR(INDEX(Levels!$C$5:$C$94,MATCH(G38,Levels!$G$5:$G$94,0)),"Not this class's skill"))</f>
        <v/>
      </c>
    </row>
    <row r="39" customFormat="false" ht="15" hidden="false" customHeight="false" outlineLevel="0" collapsed="false">
      <c r="A39" s="23"/>
      <c r="B39" s="22"/>
      <c r="C39" s="22"/>
      <c r="D39" s="22"/>
      <c r="E39" s="22"/>
      <c r="F39" s="27" t="str">
        <f aca="false">IF(B39="","",IFERROR(INDEX(Roster!$B$5:$B$154,MATCH(B39,Roster!$A$5:$A$154,0)),"Not on roster"))</f>
        <v/>
      </c>
      <c r="G39" s="28" t="str">
        <f aca="false">IF(OR(B39="",C39=""),"",F39&amp;" | "&amp;C39)</f>
        <v/>
      </c>
      <c r="H39" s="27" t="str">
        <f aca="false">IF(G39="","",IFERROR(INDEX(Levels!$C$5:$C$94,MATCH(G39,Levels!$G$5:$G$94,0)),"Not this class's skill"))</f>
        <v/>
      </c>
    </row>
    <row r="40" customFormat="false" ht="15" hidden="false" customHeight="false" outlineLevel="0" collapsed="false">
      <c r="A40" s="23"/>
      <c r="B40" s="22"/>
      <c r="C40" s="22"/>
      <c r="D40" s="22"/>
      <c r="E40" s="22"/>
      <c r="F40" s="27" t="str">
        <f aca="false">IF(B40="","",IFERROR(INDEX(Roster!$B$5:$B$154,MATCH(B40,Roster!$A$5:$A$154,0)),"Not on roster"))</f>
        <v/>
      </c>
      <c r="G40" s="28" t="str">
        <f aca="false">IF(OR(B40="",C40=""),"",F40&amp;" | "&amp;C40)</f>
        <v/>
      </c>
      <c r="H40" s="27" t="str">
        <f aca="false">IF(G40="","",IFERROR(INDEX(Levels!$C$5:$C$94,MATCH(G40,Levels!$G$5:$G$94,0)),"Not this class's skill"))</f>
        <v/>
      </c>
    </row>
    <row r="41" customFormat="false" ht="15" hidden="false" customHeight="false" outlineLevel="0" collapsed="false">
      <c r="A41" s="23"/>
      <c r="B41" s="22"/>
      <c r="C41" s="22"/>
      <c r="D41" s="22"/>
      <c r="E41" s="22"/>
      <c r="F41" s="27" t="str">
        <f aca="false">IF(B41="","",IFERROR(INDEX(Roster!$B$5:$B$154,MATCH(B41,Roster!$A$5:$A$154,0)),"Not on roster"))</f>
        <v/>
      </c>
      <c r="G41" s="28" t="str">
        <f aca="false">IF(OR(B41="",C41=""),"",F41&amp;" | "&amp;C41)</f>
        <v/>
      </c>
      <c r="H41" s="27" t="str">
        <f aca="false">IF(G41="","",IFERROR(INDEX(Levels!$C$5:$C$94,MATCH(G41,Levels!$G$5:$G$94,0)),"Not this class's skill"))</f>
        <v/>
      </c>
    </row>
    <row r="42" customFormat="false" ht="15" hidden="false" customHeight="false" outlineLevel="0" collapsed="false">
      <c r="A42" s="23"/>
      <c r="B42" s="22"/>
      <c r="C42" s="22"/>
      <c r="D42" s="22"/>
      <c r="E42" s="22"/>
      <c r="F42" s="27" t="str">
        <f aca="false">IF(B42="","",IFERROR(INDEX(Roster!$B$5:$B$154,MATCH(B42,Roster!$A$5:$A$154,0)),"Not on roster"))</f>
        <v/>
      </c>
      <c r="G42" s="28" t="str">
        <f aca="false">IF(OR(B42="",C42=""),"",F42&amp;" | "&amp;C42)</f>
        <v/>
      </c>
      <c r="H42" s="27" t="str">
        <f aca="false">IF(G42="","",IFERROR(INDEX(Levels!$C$5:$C$94,MATCH(G42,Levels!$G$5:$G$94,0)),"Not this class's skill"))</f>
        <v/>
      </c>
    </row>
    <row r="43" customFormat="false" ht="15" hidden="false" customHeight="false" outlineLevel="0" collapsed="false">
      <c r="A43" s="23"/>
      <c r="B43" s="22"/>
      <c r="C43" s="22"/>
      <c r="D43" s="22"/>
      <c r="E43" s="22"/>
      <c r="F43" s="27" t="str">
        <f aca="false">IF(B43="","",IFERROR(INDEX(Roster!$B$5:$B$154,MATCH(B43,Roster!$A$5:$A$154,0)),"Not on roster"))</f>
        <v/>
      </c>
      <c r="G43" s="28" t="str">
        <f aca="false">IF(OR(B43="",C43=""),"",F43&amp;" | "&amp;C43)</f>
        <v/>
      </c>
      <c r="H43" s="27" t="str">
        <f aca="false">IF(G43="","",IFERROR(INDEX(Levels!$C$5:$C$94,MATCH(G43,Levels!$G$5:$G$94,0)),"Not this class's skill"))</f>
        <v/>
      </c>
    </row>
    <row r="44" customFormat="false" ht="15" hidden="false" customHeight="false" outlineLevel="0" collapsed="false">
      <c r="A44" s="23"/>
      <c r="B44" s="22"/>
      <c r="C44" s="22"/>
      <c r="D44" s="22"/>
      <c r="E44" s="22"/>
      <c r="F44" s="27" t="str">
        <f aca="false">IF(B44="","",IFERROR(INDEX(Roster!$B$5:$B$154,MATCH(B44,Roster!$A$5:$A$154,0)),"Not on roster"))</f>
        <v/>
      </c>
      <c r="G44" s="28" t="str">
        <f aca="false">IF(OR(B44="",C44=""),"",F44&amp;" | "&amp;C44)</f>
        <v/>
      </c>
      <c r="H44" s="27" t="str">
        <f aca="false">IF(G44="","",IFERROR(INDEX(Levels!$C$5:$C$94,MATCH(G44,Levels!$G$5:$G$94,0)),"Not this class's skill"))</f>
        <v/>
      </c>
    </row>
    <row r="45" customFormat="false" ht="15" hidden="false" customHeight="false" outlineLevel="0" collapsed="false">
      <c r="A45" s="23"/>
      <c r="B45" s="22"/>
      <c r="C45" s="22"/>
      <c r="D45" s="22"/>
      <c r="E45" s="22"/>
      <c r="F45" s="27" t="str">
        <f aca="false">IF(B45="","",IFERROR(INDEX(Roster!$B$5:$B$154,MATCH(B45,Roster!$A$5:$A$154,0)),"Not on roster"))</f>
        <v/>
      </c>
      <c r="G45" s="28" t="str">
        <f aca="false">IF(OR(B45="",C45=""),"",F45&amp;" | "&amp;C45)</f>
        <v/>
      </c>
      <c r="H45" s="27" t="str">
        <f aca="false">IF(G45="","",IFERROR(INDEX(Levels!$C$5:$C$94,MATCH(G45,Levels!$G$5:$G$94,0)),"Not this class's skill"))</f>
        <v/>
      </c>
    </row>
    <row r="46" customFormat="false" ht="15" hidden="false" customHeight="false" outlineLevel="0" collapsed="false">
      <c r="A46" s="23"/>
      <c r="B46" s="22"/>
      <c r="C46" s="22"/>
      <c r="D46" s="22"/>
      <c r="E46" s="22"/>
      <c r="F46" s="27" t="str">
        <f aca="false">IF(B46="","",IFERROR(INDEX(Roster!$B$5:$B$154,MATCH(B46,Roster!$A$5:$A$154,0)),"Not on roster"))</f>
        <v/>
      </c>
      <c r="G46" s="28" t="str">
        <f aca="false">IF(OR(B46="",C46=""),"",F46&amp;" | "&amp;C46)</f>
        <v/>
      </c>
      <c r="H46" s="27" t="str">
        <f aca="false">IF(G46="","",IFERROR(INDEX(Levels!$C$5:$C$94,MATCH(G46,Levels!$G$5:$G$94,0)),"Not this class's skill"))</f>
        <v/>
      </c>
    </row>
    <row r="47" customFormat="false" ht="15" hidden="false" customHeight="false" outlineLevel="0" collapsed="false">
      <c r="A47" s="23"/>
      <c r="B47" s="22"/>
      <c r="C47" s="22"/>
      <c r="D47" s="22"/>
      <c r="E47" s="22"/>
      <c r="F47" s="27" t="str">
        <f aca="false">IF(B47="","",IFERROR(INDEX(Roster!$B$5:$B$154,MATCH(B47,Roster!$A$5:$A$154,0)),"Not on roster"))</f>
        <v/>
      </c>
      <c r="G47" s="28" t="str">
        <f aca="false">IF(OR(B47="",C47=""),"",F47&amp;" | "&amp;C47)</f>
        <v/>
      </c>
      <c r="H47" s="27" t="str">
        <f aca="false">IF(G47="","",IFERROR(INDEX(Levels!$C$5:$C$94,MATCH(G47,Levels!$G$5:$G$94,0)),"Not this class's skill"))</f>
        <v/>
      </c>
    </row>
    <row r="48" customFormat="false" ht="15" hidden="false" customHeight="false" outlineLevel="0" collapsed="false">
      <c r="A48" s="23"/>
      <c r="B48" s="22"/>
      <c r="C48" s="22"/>
      <c r="D48" s="22"/>
      <c r="E48" s="22"/>
      <c r="F48" s="27" t="str">
        <f aca="false">IF(B48="","",IFERROR(INDEX(Roster!$B$5:$B$154,MATCH(B48,Roster!$A$5:$A$154,0)),"Not on roster"))</f>
        <v/>
      </c>
      <c r="G48" s="28" t="str">
        <f aca="false">IF(OR(B48="",C48=""),"",F48&amp;" | "&amp;C48)</f>
        <v/>
      </c>
      <c r="H48" s="27" t="str">
        <f aca="false">IF(G48="","",IFERROR(INDEX(Levels!$C$5:$C$94,MATCH(G48,Levels!$G$5:$G$94,0)),"Not this class's skill"))</f>
        <v/>
      </c>
    </row>
    <row r="49" customFormat="false" ht="15" hidden="false" customHeight="false" outlineLevel="0" collapsed="false">
      <c r="A49" s="23"/>
      <c r="B49" s="22"/>
      <c r="C49" s="22"/>
      <c r="D49" s="22"/>
      <c r="E49" s="22"/>
      <c r="F49" s="27" t="str">
        <f aca="false">IF(B49="","",IFERROR(INDEX(Roster!$B$5:$B$154,MATCH(B49,Roster!$A$5:$A$154,0)),"Not on roster"))</f>
        <v/>
      </c>
      <c r="G49" s="28" t="str">
        <f aca="false">IF(OR(B49="",C49=""),"",F49&amp;" | "&amp;C49)</f>
        <v/>
      </c>
      <c r="H49" s="27" t="str">
        <f aca="false">IF(G49="","",IFERROR(INDEX(Levels!$C$5:$C$94,MATCH(G49,Levels!$G$5:$G$94,0)),"Not this class's skill"))</f>
        <v/>
      </c>
    </row>
    <row r="50" customFormat="false" ht="15" hidden="false" customHeight="false" outlineLevel="0" collapsed="false">
      <c r="A50" s="23"/>
      <c r="B50" s="22"/>
      <c r="C50" s="22"/>
      <c r="D50" s="22"/>
      <c r="E50" s="22"/>
      <c r="F50" s="27" t="str">
        <f aca="false">IF(B50="","",IFERROR(INDEX(Roster!$B$5:$B$154,MATCH(B50,Roster!$A$5:$A$154,0)),"Not on roster"))</f>
        <v/>
      </c>
      <c r="G50" s="28" t="str">
        <f aca="false">IF(OR(B50="",C50=""),"",F50&amp;" | "&amp;C50)</f>
        <v/>
      </c>
      <c r="H50" s="27" t="str">
        <f aca="false">IF(G50="","",IFERROR(INDEX(Levels!$C$5:$C$94,MATCH(G50,Levels!$G$5:$G$94,0)),"Not this class's skill"))</f>
        <v/>
      </c>
    </row>
    <row r="51" customFormat="false" ht="15" hidden="false" customHeight="false" outlineLevel="0" collapsed="false">
      <c r="A51" s="23"/>
      <c r="B51" s="22"/>
      <c r="C51" s="22"/>
      <c r="D51" s="22"/>
      <c r="E51" s="22"/>
      <c r="F51" s="27" t="str">
        <f aca="false">IF(B51="","",IFERROR(INDEX(Roster!$B$5:$B$154,MATCH(B51,Roster!$A$5:$A$154,0)),"Not on roster"))</f>
        <v/>
      </c>
      <c r="G51" s="28" t="str">
        <f aca="false">IF(OR(B51="",C51=""),"",F51&amp;" | "&amp;C51)</f>
        <v/>
      </c>
      <c r="H51" s="27" t="str">
        <f aca="false">IF(G51="","",IFERROR(INDEX(Levels!$C$5:$C$94,MATCH(G51,Levels!$G$5:$G$94,0)),"Not this class's skill"))</f>
        <v/>
      </c>
    </row>
    <row r="52" customFormat="false" ht="15" hidden="false" customHeight="false" outlineLevel="0" collapsed="false">
      <c r="A52" s="23"/>
      <c r="B52" s="22"/>
      <c r="C52" s="22"/>
      <c r="D52" s="22"/>
      <c r="E52" s="22"/>
      <c r="F52" s="27" t="str">
        <f aca="false">IF(B52="","",IFERROR(INDEX(Roster!$B$5:$B$154,MATCH(B52,Roster!$A$5:$A$154,0)),"Not on roster"))</f>
        <v/>
      </c>
      <c r="G52" s="28" t="str">
        <f aca="false">IF(OR(B52="",C52=""),"",F52&amp;" | "&amp;C52)</f>
        <v/>
      </c>
      <c r="H52" s="27" t="str">
        <f aca="false">IF(G52="","",IFERROR(INDEX(Levels!$C$5:$C$94,MATCH(G52,Levels!$G$5:$G$94,0)),"Not this class's skill"))</f>
        <v/>
      </c>
    </row>
    <row r="53" customFormat="false" ht="15" hidden="false" customHeight="false" outlineLevel="0" collapsed="false">
      <c r="A53" s="23"/>
      <c r="B53" s="22"/>
      <c r="C53" s="22"/>
      <c r="D53" s="22"/>
      <c r="E53" s="22"/>
      <c r="F53" s="27" t="str">
        <f aca="false">IF(B53="","",IFERROR(INDEX(Roster!$B$5:$B$154,MATCH(B53,Roster!$A$5:$A$154,0)),"Not on roster"))</f>
        <v/>
      </c>
      <c r="G53" s="28" t="str">
        <f aca="false">IF(OR(B53="",C53=""),"",F53&amp;" | "&amp;C53)</f>
        <v/>
      </c>
      <c r="H53" s="27" t="str">
        <f aca="false">IF(G53="","",IFERROR(INDEX(Levels!$C$5:$C$94,MATCH(G53,Levels!$G$5:$G$94,0)),"Not this class's skill"))</f>
        <v/>
      </c>
    </row>
    <row r="54" customFormat="false" ht="15" hidden="false" customHeight="false" outlineLevel="0" collapsed="false">
      <c r="A54" s="23"/>
      <c r="B54" s="22"/>
      <c r="C54" s="22"/>
      <c r="D54" s="22"/>
      <c r="E54" s="22"/>
      <c r="F54" s="27" t="str">
        <f aca="false">IF(B54="","",IFERROR(INDEX(Roster!$B$5:$B$154,MATCH(B54,Roster!$A$5:$A$154,0)),"Not on roster"))</f>
        <v/>
      </c>
      <c r="G54" s="28" t="str">
        <f aca="false">IF(OR(B54="",C54=""),"",F54&amp;" | "&amp;C54)</f>
        <v/>
      </c>
      <c r="H54" s="27" t="str">
        <f aca="false">IF(G54="","",IFERROR(INDEX(Levels!$C$5:$C$94,MATCH(G54,Levels!$G$5:$G$94,0)),"Not this class's skill"))</f>
        <v/>
      </c>
    </row>
    <row r="55" customFormat="false" ht="15" hidden="false" customHeight="false" outlineLevel="0" collapsed="false">
      <c r="A55" s="23"/>
      <c r="B55" s="22"/>
      <c r="C55" s="22"/>
      <c r="D55" s="22"/>
      <c r="E55" s="22"/>
      <c r="F55" s="27" t="str">
        <f aca="false">IF(B55="","",IFERROR(INDEX(Roster!$B$5:$B$154,MATCH(B55,Roster!$A$5:$A$154,0)),"Not on roster"))</f>
        <v/>
      </c>
      <c r="G55" s="28" t="str">
        <f aca="false">IF(OR(B55="",C55=""),"",F55&amp;" | "&amp;C55)</f>
        <v/>
      </c>
      <c r="H55" s="27" t="str">
        <f aca="false">IF(G55="","",IFERROR(INDEX(Levels!$C$5:$C$94,MATCH(G55,Levels!$G$5:$G$94,0)),"Not this class's skill"))</f>
        <v/>
      </c>
    </row>
    <row r="56" customFormat="false" ht="15" hidden="false" customHeight="false" outlineLevel="0" collapsed="false">
      <c r="A56" s="23"/>
      <c r="B56" s="22"/>
      <c r="C56" s="22"/>
      <c r="D56" s="22"/>
      <c r="E56" s="22"/>
      <c r="F56" s="27" t="str">
        <f aca="false">IF(B56="","",IFERROR(INDEX(Roster!$B$5:$B$154,MATCH(B56,Roster!$A$5:$A$154,0)),"Not on roster"))</f>
        <v/>
      </c>
      <c r="G56" s="28" t="str">
        <f aca="false">IF(OR(B56="",C56=""),"",F56&amp;" | "&amp;C56)</f>
        <v/>
      </c>
      <c r="H56" s="27" t="str">
        <f aca="false">IF(G56="","",IFERROR(INDEX(Levels!$C$5:$C$94,MATCH(G56,Levels!$G$5:$G$94,0)),"Not this class's skill"))</f>
        <v/>
      </c>
    </row>
    <row r="57" customFormat="false" ht="15" hidden="false" customHeight="false" outlineLevel="0" collapsed="false">
      <c r="A57" s="23"/>
      <c r="B57" s="22"/>
      <c r="C57" s="22"/>
      <c r="D57" s="22"/>
      <c r="E57" s="22"/>
      <c r="F57" s="27" t="str">
        <f aca="false">IF(B57="","",IFERROR(INDEX(Roster!$B$5:$B$154,MATCH(B57,Roster!$A$5:$A$154,0)),"Not on roster"))</f>
        <v/>
      </c>
      <c r="G57" s="28" t="str">
        <f aca="false">IF(OR(B57="",C57=""),"",F57&amp;" | "&amp;C57)</f>
        <v/>
      </c>
      <c r="H57" s="27" t="str">
        <f aca="false">IF(G57="","",IFERROR(INDEX(Levels!$C$5:$C$94,MATCH(G57,Levels!$G$5:$G$94,0)),"Not this class's skill"))</f>
        <v/>
      </c>
    </row>
    <row r="58" customFormat="false" ht="15" hidden="false" customHeight="false" outlineLevel="0" collapsed="false">
      <c r="A58" s="23"/>
      <c r="B58" s="22"/>
      <c r="C58" s="22"/>
      <c r="D58" s="22"/>
      <c r="E58" s="22"/>
      <c r="F58" s="27" t="str">
        <f aca="false">IF(B58="","",IFERROR(INDEX(Roster!$B$5:$B$154,MATCH(B58,Roster!$A$5:$A$154,0)),"Not on roster"))</f>
        <v/>
      </c>
      <c r="G58" s="28" t="str">
        <f aca="false">IF(OR(B58="",C58=""),"",F58&amp;" | "&amp;C58)</f>
        <v/>
      </c>
      <c r="H58" s="27" t="str">
        <f aca="false">IF(G58="","",IFERROR(INDEX(Levels!$C$5:$C$94,MATCH(G58,Levels!$G$5:$G$94,0)),"Not this class's skill"))</f>
        <v/>
      </c>
    </row>
    <row r="59" customFormat="false" ht="15" hidden="false" customHeight="false" outlineLevel="0" collapsed="false">
      <c r="A59" s="23"/>
      <c r="B59" s="22"/>
      <c r="C59" s="22"/>
      <c r="D59" s="22"/>
      <c r="E59" s="22"/>
      <c r="F59" s="27" t="str">
        <f aca="false">IF(B59="","",IFERROR(INDEX(Roster!$B$5:$B$154,MATCH(B59,Roster!$A$5:$A$154,0)),"Not on roster"))</f>
        <v/>
      </c>
      <c r="G59" s="28" t="str">
        <f aca="false">IF(OR(B59="",C59=""),"",F59&amp;" | "&amp;C59)</f>
        <v/>
      </c>
      <c r="H59" s="27" t="str">
        <f aca="false">IF(G59="","",IFERROR(INDEX(Levels!$C$5:$C$94,MATCH(G59,Levels!$G$5:$G$94,0)),"Not this class's skill"))</f>
        <v/>
      </c>
    </row>
    <row r="60" customFormat="false" ht="15" hidden="false" customHeight="false" outlineLevel="0" collapsed="false">
      <c r="A60" s="23"/>
      <c r="B60" s="22"/>
      <c r="C60" s="22"/>
      <c r="D60" s="22"/>
      <c r="E60" s="22"/>
      <c r="F60" s="27" t="str">
        <f aca="false">IF(B60="","",IFERROR(INDEX(Roster!$B$5:$B$154,MATCH(B60,Roster!$A$5:$A$154,0)),"Not on roster"))</f>
        <v/>
      </c>
      <c r="G60" s="28" t="str">
        <f aca="false">IF(OR(B60="",C60=""),"",F60&amp;" | "&amp;C60)</f>
        <v/>
      </c>
      <c r="H60" s="27" t="str">
        <f aca="false">IF(G60="","",IFERROR(INDEX(Levels!$C$5:$C$94,MATCH(G60,Levels!$G$5:$G$94,0)),"Not this class's skill"))</f>
        <v/>
      </c>
    </row>
    <row r="61" customFormat="false" ht="15" hidden="false" customHeight="false" outlineLevel="0" collapsed="false">
      <c r="A61" s="23"/>
      <c r="B61" s="22"/>
      <c r="C61" s="22"/>
      <c r="D61" s="22"/>
      <c r="E61" s="22"/>
      <c r="F61" s="27" t="str">
        <f aca="false">IF(B61="","",IFERROR(INDEX(Roster!$B$5:$B$154,MATCH(B61,Roster!$A$5:$A$154,0)),"Not on roster"))</f>
        <v/>
      </c>
      <c r="G61" s="28" t="str">
        <f aca="false">IF(OR(B61="",C61=""),"",F61&amp;" | "&amp;C61)</f>
        <v/>
      </c>
      <c r="H61" s="27" t="str">
        <f aca="false">IF(G61="","",IFERROR(INDEX(Levels!$C$5:$C$94,MATCH(G61,Levels!$G$5:$G$94,0)),"Not this class's skill"))</f>
        <v/>
      </c>
    </row>
    <row r="62" customFormat="false" ht="15" hidden="false" customHeight="false" outlineLevel="0" collapsed="false">
      <c r="A62" s="23"/>
      <c r="B62" s="22"/>
      <c r="C62" s="22"/>
      <c r="D62" s="22"/>
      <c r="E62" s="22"/>
      <c r="F62" s="27" t="str">
        <f aca="false">IF(B62="","",IFERROR(INDEX(Roster!$B$5:$B$154,MATCH(B62,Roster!$A$5:$A$154,0)),"Not on roster"))</f>
        <v/>
      </c>
      <c r="G62" s="28" t="str">
        <f aca="false">IF(OR(B62="",C62=""),"",F62&amp;" | "&amp;C62)</f>
        <v/>
      </c>
      <c r="H62" s="27" t="str">
        <f aca="false">IF(G62="","",IFERROR(INDEX(Levels!$C$5:$C$94,MATCH(G62,Levels!$G$5:$G$94,0)),"Not this class's skill"))</f>
        <v/>
      </c>
    </row>
    <row r="63" customFormat="false" ht="15" hidden="false" customHeight="false" outlineLevel="0" collapsed="false">
      <c r="A63" s="23"/>
      <c r="B63" s="22"/>
      <c r="C63" s="22"/>
      <c r="D63" s="22"/>
      <c r="E63" s="22"/>
      <c r="F63" s="27" t="str">
        <f aca="false">IF(B63="","",IFERROR(INDEX(Roster!$B$5:$B$154,MATCH(B63,Roster!$A$5:$A$154,0)),"Not on roster"))</f>
        <v/>
      </c>
      <c r="G63" s="28" t="str">
        <f aca="false">IF(OR(B63="",C63=""),"",F63&amp;" | "&amp;C63)</f>
        <v/>
      </c>
      <c r="H63" s="27" t="str">
        <f aca="false">IF(G63="","",IFERROR(INDEX(Levels!$C$5:$C$94,MATCH(G63,Levels!$G$5:$G$94,0)),"Not this class's skill"))</f>
        <v/>
      </c>
    </row>
    <row r="64" customFormat="false" ht="15" hidden="false" customHeight="false" outlineLevel="0" collapsed="false">
      <c r="A64" s="23"/>
      <c r="B64" s="22"/>
      <c r="C64" s="22"/>
      <c r="D64" s="22"/>
      <c r="E64" s="22"/>
      <c r="F64" s="27" t="str">
        <f aca="false">IF(B64="","",IFERROR(INDEX(Roster!$B$5:$B$154,MATCH(B64,Roster!$A$5:$A$154,0)),"Not on roster"))</f>
        <v/>
      </c>
      <c r="G64" s="28" t="str">
        <f aca="false">IF(OR(B64="",C64=""),"",F64&amp;" | "&amp;C64)</f>
        <v/>
      </c>
      <c r="H64" s="27" t="str">
        <f aca="false">IF(G64="","",IFERROR(INDEX(Levels!$C$5:$C$94,MATCH(G64,Levels!$G$5:$G$94,0)),"Not this class's skill"))</f>
        <v/>
      </c>
    </row>
    <row r="65" customFormat="false" ht="15" hidden="false" customHeight="false" outlineLevel="0" collapsed="false">
      <c r="A65" s="23"/>
      <c r="B65" s="22"/>
      <c r="C65" s="22"/>
      <c r="D65" s="22"/>
      <c r="E65" s="22"/>
      <c r="F65" s="27" t="str">
        <f aca="false">IF(B65="","",IFERROR(INDEX(Roster!$B$5:$B$154,MATCH(B65,Roster!$A$5:$A$154,0)),"Not on roster"))</f>
        <v/>
      </c>
      <c r="G65" s="28" t="str">
        <f aca="false">IF(OR(B65="",C65=""),"",F65&amp;" | "&amp;C65)</f>
        <v/>
      </c>
      <c r="H65" s="27" t="str">
        <f aca="false">IF(G65="","",IFERROR(INDEX(Levels!$C$5:$C$94,MATCH(G65,Levels!$G$5:$G$94,0)),"Not this class's skill"))</f>
        <v/>
      </c>
    </row>
    <row r="66" customFormat="false" ht="15" hidden="false" customHeight="false" outlineLevel="0" collapsed="false">
      <c r="A66" s="23"/>
      <c r="B66" s="22"/>
      <c r="C66" s="22"/>
      <c r="D66" s="22"/>
      <c r="E66" s="22"/>
      <c r="F66" s="27" t="str">
        <f aca="false">IF(B66="","",IFERROR(INDEX(Roster!$B$5:$B$154,MATCH(B66,Roster!$A$5:$A$154,0)),"Not on roster"))</f>
        <v/>
      </c>
      <c r="G66" s="28" t="str">
        <f aca="false">IF(OR(B66="",C66=""),"",F66&amp;" | "&amp;C66)</f>
        <v/>
      </c>
      <c r="H66" s="27" t="str">
        <f aca="false">IF(G66="","",IFERROR(INDEX(Levels!$C$5:$C$94,MATCH(G66,Levels!$G$5:$G$94,0)),"Not this class's skill"))</f>
        <v/>
      </c>
    </row>
    <row r="67" customFormat="false" ht="15" hidden="false" customHeight="false" outlineLevel="0" collapsed="false">
      <c r="A67" s="23"/>
      <c r="B67" s="22"/>
      <c r="C67" s="22"/>
      <c r="D67" s="22"/>
      <c r="E67" s="22"/>
      <c r="F67" s="27" t="str">
        <f aca="false">IF(B67="","",IFERROR(INDEX(Roster!$B$5:$B$154,MATCH(B67,Roster!$A$5:$A$154,0)),"Not on roster"))</f>
        <v/>
      </c>
      <c r="G67" s="28" t="str">
        <f aca="false">IF(OR(B67="",C67=""),"",F67&amp;" | "&amp;C67)</f>
        <v/>
      </c>
      <c r="H67" s="27" t="str">
        <f aca="false">IF(G67="","",IFERROR(INDEX(Levels!$C$5:$C$94,MATCH(G67,Levels!$G$5:$G$94,0)),"Not this class's skill"))</f>
        <v/>
      </c>
    </row>
    <row r="68" customFormat="false" ht="15" hidden="false" customHeight="false" outlineLevel="0" collapsed="false">
      <c r="A68" s="23"/>
      <c r="B68" s="22"/>
      <c r="C68" s="22"/>
      <c r="D68" s="22"/>
      <c r="E68" s="22"/>
      <c r="F68" s="27" t="str">
        <f aca="false">IF(B68="","",IFERROR(INDEX(Roster!$B$5:$B$154,MATCH(B68,Roster!$A$5:$A$154,0)),"Not on roster"))</f>
        <v/>
      </c>
      <c r="G68" s="28" t="str">
        <f aca="false">IF(OR(B68="",C68=""),"",F68&amp;" | "&amp;C68)</f>
        <v/>
      </c>
      <c r="H68" s="27" t="str">
        <f aca="false">IF(G68="","",IFERROR(INDEX(Levels!$C$5:$C$94,MATCH(G68,Levels!$G$5:$G$94,0)),"Not this class's skill"))</f>
        <v/>
      </c>
    </row>
    <row r="69" customFormat="false" ht="15" hidden="false" customHeight="false" outlineLevel="0" collapsed="false">
      <c r="A69" s="23"/>
      <c r="B69" s="22"/>
      <c r="C69" s="22"/>
      <c r="D69" s="22"/>
      <c r="E69" s="22"/>
      <c r="F69" s="27" t="str">
        <f aca="false">IF(B69="","",IFERROR(INDEX(Roster!$B$5:$B$154,MATCH(B69,Roster!$A$5:$A$154,0)),"Not on roster"))</f>
        <v/>
      </c>
      <c r="G69" s="28" t="str">
        <f aca="false">IF(OR(B69="",C69=""),"",F69&amp;" | "&amp;C69)</f>
        <v/>
      </c>
      <c r="H69" s="27" t="str">
        <f aca="false">IF(G69="","",IFERROR(INDEX(Levels!$C$5:$C$94,MATCH(G69,Levels!$G$5:$G$94,0)),"Not this class's skill"))</f>
        <v/>
      </c>
    </row>
    <row r="70" customFormat="false" ht="15" hidden="false" customHeight="false" outlineLevel="0" collapsed="false">
      <c r="A70" s="23"/>
      <c r="B70" s="22"/>
      <c r="C70" s="22"/>
      <c r="D70" s="22"/>
      <c r="E70" s="22"/>
      <c r="F70" s="27" t="str">
        <f aca="false">IF(B70="","",IFERROR(INDEX(Roster!$B$5:$B$154,MATCH(B70,Roster!$A$5:$A$154,0)),"Not on roster"))</f>
        <v/>
      </c>
      <c r="G70" s="28" t="str">
        <f aca="false">IF(OR(B70="",C70=""),"",F70&amp;" | "&amp;C70)</f>
        <v/>
      </c>
      <c r="H70" s="27" t="str">
        <f aca="false">IF(G70="","",IFERROR(INDEX(Levels!$C$5:$C$94,MATCH(G70,Levels!$G$5:$G$94,0)),"Not this class's skill"))</f>
        <v/>
      </c>
    </row>
    <row r="71" customFormat="false" ht="15" hidden="false" customHeight="false" outlineLevel="0" collapsed="false">
      <c r="A71" s="23"/>
      <c r="B71" s="22"/>
      <c r="C71" s="22"/>
      <c r="D71" s="22"/>
      <c r="E71" s="22"/>
      <c r="F71" s="27" t="str">
        <f aca="false">IF(B71="","",IFERROR(INDEX(Roster!$B$5:$B$154,MATCH(B71,Roster!$A$5:$A$154,0)),"Not on roster"))</f>
        <v/>
      </c>
      <c r="G71" s="28" t="str">
        <f aca="false">IF(OR(B71="",C71=""),"",F71&amp;" | "&amp;C71)</f>
        <v/>
      </c>
      <c r="H71" s="27" t="str">
        <f aca="false">IF(G71="","",IFERROR(INDEX(Levels!$C$5:$C$94,MATCH(G71,Levels!$G$5:$G$94,0)),"Not this class's skill"))</f>
        <v/>
      </c>
    </row>
    <row r="72" customFormat="false" ht="15" hidden="false" customHeight="false" outlineLevel="0" collapsed="false">
      <c r="A72" s="23"/>
      <c r="B72" s="22"/>
      <c r="C72" s="22"/>
      <c r="D72" s="22"/>
      <c r="E72" s="22"/>
      <c r="F72" s="27" t="str">
        <f aca="false">IF(B72="","",IFERROR(INDEX(Roster!$B$5:$B$154,MATCH(B72,Roster!$A$5:$A$154,0)),"Not on roster"))</f>
        <v/>
      </c>
      <c r="G72" s="28" t="str">
        <f aca="false">IF(OR(B72="",C72=""),"",F72&amp;" | "&amp;C72)</f>
        <v/>
      </c>
      <c r="H72" s="27" t="str">
        <f aca="false">IF(G72="","",IFERROR(INDEX(Levels!$C$5:$C$94,MATCH(G72,Levels!$G$5:$G$94,0)),"Not this class's skill"))</f>
        <v/>
      </c>
    </row>
    <row r="73" customFormat="false" ht="15" hidden="false" customHeight="false" outlineLevel="0" collapsed="false">
      <c r="A73" s="23"/>
      <c r="B73" s="22"/>
      <c r="C73" s="22"/>
      <c r="D73" s="22"/>
      <c r="E73" s="22"/>
      <c r="F73" s="27" t="str">
        <f aca="false">IF(B73="","",IFERROR(INDEX(Roster!$B$5:$B$154,MATCH(B73,Roster!$A$5:$A$154,0)),"Not on roster"))</f>
        <v/>
      </c>
      <c r="G73" s="28" t="str">
        <f aca="false">IF(OR(B73="",C73=""),"",F73&amp;" | "&amp;C73)</f>
        <v/>
      </c>
      <c r="H73" s="27" t="str">
        <f aca="false">IF(G73="","",IFERROR(INDEX(Levels!$C$5:$C$94,MATCH(G73,Levels!$G$5:$G$94,0)),"Not this class's skill"))</f>
        <v/>
      </c>
    </row>
    <row r="74" customFormat="false" ht="15" hidden="false" customHeight="false" outlineLevel="0" collapsed="false">
      <c r="A74" s="23"/>
      <c r="B74" s="22"/>
      <c r="C74" s="22"/>
      <c r="D74" s="22"/>
      <c r="E74" s="22"/>
      <c r="F74" s="27" t="str">
        <f aca="false">IF(B74="","",IFERROR(INDEX(Roster!$B$5:$B$154,MATCH(B74,Roster!$A$5:$A$154,0)),"Not on roster"))</f>
        <v/>
      </c>
      <c r="G74" s="28" t="str">
        <f aca="false">IF(OR(B74="",C74=""),"",F74&amp;" | "&amp;C74)</f>
        <v/>
      </c>
      <c r="H74" s="27" t="str">
        <f aca="false">IF(G74="","",IFERROR(INDEX(Levels!$C$5:$C$94,MATCH(G74,Levels!$G$5:$G$94,0)),"Not this class's skill"))</f>
        <v/>
      </c>
    </row>
    <row r="75" customFormat="false" ht="15" hidden="false" customHeight="false" outlineLevel="0" collapsed="false">
      <c r="A75" s="23"/>
      <c r="B75" s="22"/>
      <c r="C75" s="22"/>
      <c r="D75" s="22"/>
      <c r="E75" s="22"/>
      <c r="F75" s="27" t="str">
        <f aca="false">IF(B75="","",IFERROR(INDEX(Roster!$B$5:$B$154,MATCH(B75,Roster!$A$5:$A$154,0)),"Not on roster"))</f>
        <v/>
      </c>
      <c r="G75" s="28" t="str">
        <f aca="false">IF(OR(B75="",C75=""),"",F75&amp;" | "&amp;C75)</f>
        <v/>
      </c>
      <c r="H75" s="27" t="str">
        <f aca="false">IF(G75="","",IFERROR(INDEX(Levels!$C$5:$C$94,MATCH(G75,Levels!$G$5:$G$94,0)),"Not this class's skill"))</f>
        <v/>
      </c>
    </row>
    <row r="76" customFormat="false" ht="15" hidden="false" customHeight="false" outlineLevel="0" collapsed="false">
      <c r="A76" s="23"/>
      <c r="B76" s="22"/>
      <c r="C76" s="22"/>
      <c r="D76" s="22"/>
      <c r="E76" s="22"/>
      <c r="F76" s="27" t="str">
        <f aca="false">IF(B76="","",IFERROR(INDEX(Roster!$B$5:$B$154,MATCH(B76,Roster!$A$5:$A$154,0)),"Not on roster"))</f>
        <v/>
      </c>
      <c r="G76" s="28" t="str">
        <f aca="false">IF(OR(B76="",C76=""),"",F76&amp;" | "&amp;C76)</f>
        <v/>
      </c>
      <c r="H76" s="27" t="str">
        <f aca="false">IF(G76="","",IFERROR(INDEX(Levels!$C$5:$C$94,MATCH(G76,Levels!$G$5:$G$94,0)),"Not this class's skill"))</f>
        <v/>
      </c>
    </row>
    <row r="77" customFormat="false" ht="15" hidden="false" customHeight="false" outlineLevel="0" collapsed="false">
      <c r="A77" s="23"/>
      <c r="B77" s="22"/>
      <c r="C77" s="22"/>
      <c r="D77" s="22"/>
      <c r="E77" s="22"/>
      <c r="F77" s="27" t="str">
        <f aca="false">IF(B77="","",IFERROR(INDEX(Roster!$B$5:$B$154,MATCH(B77,Roster!$A$5:$A$154,0)),"Not on roster"))</f>
        <v/>
      </c>
      <c r="G77" s="28" t="str">
        <f aca="false">IF(OR(B77="",C77=""),"",F77&amp;" | "&amp;C77)</f>
        <v/>
      </c>
      <c r="H77" s="27" t="str">
        <f aca="false">IF(G77="","",IFERROR(INDEX(Levels!$C$5:$C$94,MATCH(G77,Levels!$G$5:$G$94,0)),"Not this class's skill"))</f>
        <v/>
      </c>
    </row>
    <row r="78" customFormat="false" ht="15" hidden="false" customHeight="false" outlineLevel="0" collapsed="false">
      <c r="A78" s="23"/>
      <c r="B78" s="22"/>
      <c r="C78" s="22"/>
      <c r="D78" s="22"/>
      <c r="E78" s="22"/>
      <c r="F78" s="27" t="str">
        <f aca="false">IF(B78="","",IFERROR(INDEX(Roster!$B$5:$B$154,MATCH(B78,Roster!$A$5:$A$154,0)),"Not on roster"))</f>
        <v/>
      </c>
      <c r="G78" s="28" t="str">
        <f aca="false">IF(OR(B78="",C78=""),"",F78&amp;" | "&amp;C78)</f>
        <v/>
      </c>
      <c r="H78" s="27" t="str">
        <f aca="false">IF(G78="","",IFERROR(INDEX(Levels!$C$5:$C$94,MATCH(G78,Levels!$G$5:$G$94,0)),"Not this class's skill"))</f>
        <v/>
      </c>
    </row>
    <row r="79" customFormat="false" ht="15" hidden="false" customHeight="false" outlineLevel="0" collapsed="false">
      <c r="A79" s="23"/>
      <c r="B79" s="22"/>
      <c r="C79" s="22"/>
      <c r="D79" s="22"/>
      <c r="E79" s="22"/>
      <c r="F79" s="27" t="str">
        <f aca="false">IF(B79="","",IFERROR(INDEX(Roster!$B$5:$B$154,MATCH(B79,Roster!$A$5:$A$154,0)),"Not on roster"))</f>
        <v/>
      </c>
      <c r="G79" s="28" t="str">
        <f aca="false">IF(OR(B79="",C79=""),"",F79&amp;" | "&amp;C79)</f>
        <v/>
      </c>
      <c r="H79" s="27" t="str">
        <f aca="false">IF(G79="","",IFERROR(INDEX(Levels!$C$5:$C$94,MATCH(G79,Levels!$G$5:$G$94,0)),"Not this class's skill"))</f>
        <v/>
      </c>
    </row>
    <row r="80" customFormat="false" ht="15" hidden="false" customHeight="false" outlineLevel="0" collapsed="false">
      <c r="A80" s="23"/>
      <c r="B80" s="22"/>
      <c r="C80" s="22"/>
      <c r="D80" s="22"/>
      <c r="E80" s="22"/>
      <c r="F80" s="27" t="str">
        <f aca="false">IF(B80="","",IFERROR(INDEX(Roster!$B$5:$B$154,MATCH(B80,Roster!$A$5:$A$154,0)),"Not on roster"))</f>
        <v/>
      </c>
      <c r="G80" s="28" t="str">
        <f aca="false">IF(OR(B80="",C80=""),"",F80&amp;" | "&amp;C80)</f>
        <v/>
      </c>
      <c r="H80" s="27" t="str">
        <f aca="false">IF(G80="","",IFERROR(INDEX(Levels!$C$5:$C$94,MATCH(G80,Levels!$G$5:$G$94,0)),"Not this class's skill"))</f>
        <v/>
      </c>
    </row>
    <row r="81" customFormat="false" ht="15" hidden="false" customHeight="false" outlineLevel="0" collapsed="false">
      <c r="A81" s="23"/>
      <c r="B81" s="22"/>
      <c r="C81" s="22"/>
      <c r="D81" s="22"/>
      <c r="E81" s="22"/>
      <c r="F81" s="27" t="str">
        <f aca="false">IF(B81="","",IFERROR(INDEX(Roster!$B$5:$B$154,MATCH(B81,Roster!$A$5:$A$154,0)),"Not on roster"))</f>
        <v/>
      </c>
      <c r="G81" s="28" t="str">
        <f aca="false">IF(OR(B81="",C81=""),"",F81&amp;" | "&amp;C81)</f>
        <v/>
      </c>
      <c r="H81" s="27" t="str">
        <f aca="false">IF(G81="","",IFERROR(INDEX(Levels!$C$5:$C$94,MATCH(G81,Levels!$G$5:$G$94,0)),"Not this class's skill"))</f>
        <v/>
      </c>
    </row>
    <row r="82" customFormat="false" ht="15" hidden="false" customHeight="false" outlineLevel="0" collapsed="false">
      <c r="A82" s="23"/>
      <c r="B82" s="22"/>
      <c r="C82" s="22"/>
      <c r="D82" s="22"/>
      <c r="E82" s="22"/>
      <c r="F82" s="27" t="str">
        <f aca="false">IF(B82="","",IFERROR(INDEX(Roster!$B$5:$B$154,MATCH(B82,Roster!$A$5:$A$154,0)),"Not on roster"))</f>
        <v/>
      </c>
      <c r="G82" s="28" t="str">
        <f aca="false">IF(OR(B82="",C82=""),"",F82&amp;" | "&amp;C82)</f>
        <v/>
      </c>
      <c r="H82" s="27" t="str">
        <f aca="false">IF(G82="","",IFERROR(INDEX(Levels!$C$5:$C$94,MATCH(G82,Levels!$G$5:$G$94,0)),"Not this class's skill"))</f>
        <v/>
      </c>
    </row>
    <row r="83" customFormat="false" ht="15" hidden="false" customHeight="false" outlineLevel="0" collapsed="false">
      <c r="A83" s="23"/>
      <c r="B83" s="22"/>
      <c r="C83" s="22"/>
      <c r="D83" s="22"/>
      <c r="E83" s="22"/>
      <c r="F83" s="27" t="str">
        <f aca="false">IF(B83="","",IFERROR(INDEX(Roster!$B$5:$B$154,MATCH(B83,Roster!$A$5:$A$154,0)),"Not on roster"))</f>
        <v/>
      </c>
      <c r="G83" s="28" t="str">
        <f aca="false">IF(OR(B83="",C83=""),"",F83&amp;" | "&amp;C83)</f>
        <v/>
      </c>
      <c r="H83" s="27" t="str">
        <f aca="false">IF(G83="","",IFERROR(INDEX(Levels!$C$5:$C$94,MATCH(G83,Levels!$G$5:$G$94,0)),"Not this class's skill"))</f>
        <v/>
      </c>
    </row>
    <row r="84" customFormat="false" ht="15" hidden="false" customHeight="false" outlineLevel="0" collapsed="false">
      <c r="A84" s="23"/>
      <c r="B84" s="22"/>
      <c r="C84" s="22"/>
      <c r="D84" s="22"/>
      <c r="E84" s="22"/>
      <c r="F84" s="27" t="str">
        <f aca="false">IF(B84="","",IFERROR(INDEX(Roster!$B$5:$B$154,MATCH(B84,Roster!$A$5:$A$154,0)),"Not on roster"))</f>
        <v/>
      </c>
      <c r="G84" s="28" t="str">
        <f aca="false">IF(OR(B84="",C84=""),"",F84&amp;" | "&amp;C84)</f>
        <v/>
      </c>
      <c r="H84" s="27" t="str">
        <f aca="false">IF(G84="","",IFERROR(INDEX(Levels!$C$5:$C$94,MATCH(G84,Levels!$G$5:$G$94,0)),"Not this class's skill"))</f>
        <v/>
      </c>
    </row>
    <row r="85" customFormat="false" ht="15" hidden="false" customHeight="false" outlineLevel="0" collapsed="false">
      <c r="A85" s="23"/>
      <c r="B85" s="22"/>
      <c r="C85" s="22"/>
      <c r="D85" s="22"/>
      <c r="E85" s="22"/>
      <c r="F85" s="27" t="str">
        <f aca="false">IF(B85="","",IFERROR(INDEX(Roster!$B$5:$B$154,MATCH(B85,Roster!$A$5:$A$154,0)),"Not on roster"))</f>
        <v/>
      </c>
      <c r="G85" s="28" t="str">
        <f aca="false">IF(OR(B85="",C85=""),"",F85&amp;" | "&amp;C85)</f>
        <v/>
      </c>
      <c r="H85" s="27" t="str">
        <f aca="false">IF(G85="","",IFERROR(INDEX(Levels!$C$5:$C$94,MATCH(G85,Levels!$G$5:$G$94,0)),"Not this class's skill"))</f>
        <v/>
      </c>
    </row>
    <row r="86" customFormat="false" ht="15" hidden="false" customHeight="false" outlineLevel="0" collapsed="false">
      <c r="A86" s="23"/>
      <c r="B86" s="22"/>
      <c r="C86" s="22"/>
      <c r="D86" s="22"/>
      <c r="E86" s="22"/>
      <c r="F86" s="27" t="str">
        <f aca="false">IF(B86="","",IFERROR(INDEX(Roster!$B$5:$B$154,MATCH(B86,Roster!$A$5:$A$154,0)),"Not on roster"))</f>
        <v/>
      </c>
      <c r="G86" s="28" t="str">
        <f aca="false">IF(OR(B86="",C86=""),"",F86&amp;" | "&amp;C86)</f>
        <v/>
      </c>
      <c r="H86" s="27" t="str">
        <f aca="false">IF(G86="","",IFERROR(INDEX(Levels!$C$5:$C$94,MATCH(G86,Levels!$G$5:$G$94,0)),"Not this class's skill"))</f>
        <v/>
      </c>
    </row>
    <row r="87" customFormat="false" ht="15" hidden="false" customHeight="false" outlineLevel="0" collapsed="false">
      <c r="A87" s="23"/>
      <c r="B87" s="22"/>
      <c r="C87" s="22"/>
      <c r="D87" s="22"/>
      <c r="E87" s="22"/>
      <c r="F87" s="27" t="str">
        <f aca="false">IF(B87="","",IFERROR(INDEX(Roster!$B$5:$B$154,MATCH(B87,Roster!$A$5:$A$154,0)),"Not on roster"))</f>
        <v/>
      </c>
      <c r="G87" s="28" t="str">
        <f aca="false">IF(OR(B87="",C87=""),"",F87&amp;" | "&amp;C87)</f>
        <v/>
      </c>
      <c r="H87" s="27" t="str">
        <f aca="false">IF(G87="","",IFERROR(INDEX(Levels!$C$5:$C$94,MATCH(G87,Levels!$G$5:$G$94,0)),"Not this class's skill"))</f>
        <v/>
      </c>
    </row>
    <row r="88" customFormat="false" ht="15" hidden="false" customHeight="false" outlineLevel="0" collapsed="false">
      <c r="A88" s="23"/>
      <c r="B88" s="22"/>
      <c r="C88" s="22"/>
      <c r="D88" s="22"/>
      <c r="E88" s="22"/>
      <c r="F88" s="27" t="str">
        <f aca="false">IF(B88="","",IFERROR(INDEX(Roster!$B$5:$B$154,MATCH(B88,Roster!$A$5:$A$154,0)),"Not on roster"))</f>
        <v/>
      </c>
      <c r="G88" s="28" t="str">
        <f aca="false">IF(OR(B88="",C88=""),"",F88&amp;" | "&amp;C88)</f>
        <v/>
      </c>
      <c r="H88" s="27" t="str">
        <f aca="false">IF(G88="","",IFERROR(INDEX(Levels!$C$5:$C$94,MATCH(G88,Levels!$G$5:$G$94,0)),"Not this class's skill"))</f>
        <v/>
      </c>
    </row>
    <row r="89" customFormat="false" ht="15" hidden="false" customHeight="false" outlineLevel="0" collapsed="false">
      <c r="A89" s="23"/>
      <c r="B89" s="22"/>
      <c r="C89" s="22"/>
      <c r="D89" s="22"/>
      <c r="E89" s="22"/>
      <c r="F89" s="27" t="str">
        <f aca="false">IF(B89="","",IFERROR(INDEX(Roster!$B$5:$B$154,MATCH(B89,Roster!$A$5:$A$154,0)),"Not on roster"))</f>
        <v/>
      </c>
      <c r="G89" s="28" t="str">
        <f aca="false">IF(OR(B89="",C89=""),"",F89&amp;" | "&amp;C89)</f>
        <v/>
      </c>
      <c r="H89" s="27" t="str">
        <f aca="false">IF(G89="","",IFERROR(INDEX(Levels!$C$5:$C$94,MATCH(G89,Levels!$G$5:$G$94,0)),"Not this class's skill"))</f>
        <v/>
      </c>
    </row>
    <row r="90" customFormat="false" ht="15" hidden="false" customHeight="false" outlineLevel="0" collapsed="false">
      <c r="A90" s="23"/>
      <c r="B90" s="22"/>
      <c r="C90" s="22"/>
      <c r="D90" s="22"/>
      <c r="E90" s="22"/>
      <c r="F90" s="27" t="str">
        <f aca="false">IF(B90="","",IFERROR(INDEX(Roster!$B$5:$B$154,MATCH(B90,Roster!$A$5:$A$154,0)),"Not on roster"))</f>
        <v/>
      </c>
      <c r="G90" s="28" t="str">
        <f aca="false">IF(OR(B90="",C90=""),"",F90&amp;" | "&amp;C90)</f>
        <v/>
      </c>
      <c r="H90" s="27" t="str">
        <f aca="false">IF(G90="","",IFERROR(INDEX(Levels!$C$5:$C$94,MATCH(G90,Levels!$G$5:$G$94,0)),"Not this class's skill"))</f>
        <v/>
      </c>
    </row>
    <row r="91" customFormat="false" ht="15" hidden="false" customHeight="false" outlineLevel="0" collapsed="false">
      <c r="A91" s="23"/>
      <c r="B91" s="22"/>
      <c r="C91" s="22"/>
      <c r="D91" s="22"/>
      <c r="E91" s="22"/>
      <c r="F91" s="27" t="str">
        <f aca="false">IF(B91="","",IFERROR(INDEX(Roster!$B$5:$B$154,MATCH(B91,Roster!$A$5:$A$154,0)),"Not on roster"))</f>
        <v/>
      </c>
      <c r="G91" s="28" t="str">
        <f aca="false">IF(OR(B91="",C91=""),"",F91&amp;" | "&amp;C91)</f>
        <v/>
      </c>
      <c r="H91" s="27" t="str">
        <f aca="false">IF(G91="","",IFERROR(INDEX(Levels!$C$5:$C$94,MATCH(G91,Levels!$G$5:$G$94,0)),"Not this class's skill"))</f>
        <v/>
      </c>
    </row>
    <row r="92" customFormat="false" ht="15" hidden="false" customHeight="false" outlineLevel="0" collapsed="false">
      <c r="A92" s="23"/>
      <c r="B92" s="22"/>
      <c r="C92" s="22"/>
      <c r="D92" s="22"/>
      <c r="E92" s="22"/>
      <c r="F92" s="27" t="str">
        <f aca="false">IF(B92="","",IFERROR(INDEX(Roster!$B$5:$B$154,MATCH(B92,Roster!$A$5:$A$154,0)),"Not on roster"))</f>
        <v/>
      </c>
      <c r="G92" s="28" t="str">
        <f aca="false">IF(OR(B92="",C92=""),"",F92&amp;" | "&amp;C92)</f>
        <v/>
      </c>
      <c r="H92" s="27" t="str">
        <f aca="false">IF(G92="","",IFERROR(INDEX(Levels!$C$5:$C$94,MATCH(G92,Levels!$G$5:$G$94,0)),"Not this class's skill"))</f>
        <v/>
      </c>
    </row>
    <row r="93" customFormat="false" ht="15" hidden="false" customHeight="false" outlineLevel="0" collapsed="false">
      <c r="A93" s="23"/>
      <c r="B93" s="22"/>
      <c r="C93" s="22"/>
      <c r="D93" s="22"/>
      <c r="E93" s="22"/>
      <c r="F93" s="27" t="str">
        <f aca="false">IF(B93="","",IFERROR(INDEX(Roster!$B$5:$B$154,MATCH(B93,Roster!$A$5:$A$154,0)),"Not on roster"))</f>
        <v/>
      </c>
      <c r="G93" s="28" t="str">
        <f aca="false">IF(OR(B93="",C93=""),"",F93&amp;" | "&amp;C93)</f>
        <v/>
      </c>
      <c r="H93" s="27" t="str">
        <f aca="false">IF(G93="","",IFERROR(INDEX(Levels!$C$5:$C$94,MATCH(G93,Levels!$G$5:$G$94,0)),"Not this class's skill"))</f>
        <v/>
      </c>
    </row>
    <row r="94" customFormat="false" ht="15" hidden="false" customHeight="false" outlineLevel="0" collapsed="false">
      <c r="A94" s="23"/>
      <c r="B94" s="22"/>
      <c r="C94" s="22"/>
      <c r="D94" s="22"/>
      <c r="E94" s="22"/>
      <c r="F94" s="27" t="str">
        <f aca="false">IF(B94="","",IFERROR(INDEX(Roster!$B$5:$B$154,MATCH(B94,Roster!$A$5:$A$154,0)),"Not on roster"))</f>
        <v/>
      </c>
      <c r="G94" s="28" t="str">
        <f aca="false">IF(OR(B94="",C94=""),"",F94&amp;" | "&amp;C94)</f>
        <v/>
      </c>
      <c r="H94" s="27" t="str">
        <f aca="false">IF(G94="","",IFERROR(INDEX(Levels!$C$5:$C$94,MATCH(G94,Levels!$G$5:$G$94,0)),"Not this class's skill"))</f>
        <v/>
      </c>
    </row>
    <row r="95" customFormat="false" ht="15" hidden="false" customHeight="false" outlineLevel="0" collapsed="false">
      <c r="A95" s="23"/>
      <c r="B95" s="22"/>
      <c r="C95" s="22"/>
      <c r="D95" s="22"/>
      <c r="E95" s="22"/>
      <c r="F95" s="27" t="str">
        <f aca="false">IF(B95="","",IFERROR(INDEX(Roster!$B$5:$B$154,MATCH(B95,Roster!$A$5:$A$154,0)),"Not on roster"))</f>
        <v/>
      </c>
      <c r="G95" s="28" t="str">
        <f aca="false">IF(OR(B95="",C95=""),"",F95&amp;" | "&amp;C95)</f>
        <v/>
      </c>
      <c r="H95" s="27" t="str">
        <f aca="false">IF(G95="","",IFERROR(INDEX(Levels!$C$5:$C$94,MATCH(G95,Levels!$G$5:$G$94,0)),"Not this class's skill"))</f>
        <v/>
      </c>
    </row>
    <row r="96" customFormat="false" ht="15" hidden="false" customHeight="false" outlineLevel="0" collapsed="false">
      <c r="A96" s="23"/>
      <c r="B96" s="22"/>
      <c r="C96" s="22"/>
      <c r="D96" s="22"/>
      <c r="E96" s="22"/>
      <c r="F96" s="27" t="str">
        <f aca="false">IF(B96="","",IFERROR(INDEX(Roster!$B$5:$B$154,MATCH(B96,Roster!$A$5:$A$154,0)),"Not on roster"))</f>
        <v/>
      </c>
      <c r="G96" s="28" t="str">
        <f aca="false">IF(OR(B96="",C96=""),"",F96&amp;" | "&amp;C96)</f>
        <v/>
      </c>
      <c r="H96" s="27" t="str">
        <f aca="false">IF(G96="","",IFERROR(INDEX(Levels!$C$5:$C$94,MATCH(G96,Levels!$G$5:$G$94,0)),"Not this class's skill"))</f>
        <v/>
      </c>
    </row>
    <row r="97" customFormat="false" ht="15" hidden="false" customHeight="false" outlineLevel="0" collapsed="false">
      <c r="A97" s="23"/>
      <c r="B97" s="22"/>
      <c r="C97" s="22"/>
      <c r="D97" s="22"/>
      <c r="E97" s="22"/>
      <c r="F97" s="27" t="str">
        <f aca="false">IF(B97="","",IFERROR(INDEX(Roster!$B$5:$B$154,MATCH(B97,Roster!$A$5:$A$154,0)),"Not on roster"))</f>
        <v/>
      </c>
      <c r="G97" s="28" t="str">
        <f aca="false">IF(OR(B97="",C97=""),"",F97&amp;" | "&amp;C97)</f>
        <v/>
      </c>
      <c r="H97" s="27" t="str">
        <f aca="false">IF(G97="","",IFERROR(INDEX(Levels!$C$5:$C$94,MATCH(G97,Levels!$G$5:$G$94,0)),"Not this class's skill"))</f>
        <v/>
      </c>
    </row>
    <row r="98" customFormat="false" ht="15" hidden="false" customHeight="false" outlineLevel="0" collapsed="false">
      <c r="A98" s="23"/>
      <c r="B98" s="22"/>
      <c r="C98" s="22"/>
      <c r="D98" s="22"/>
      <c r="E98" s="22"/>
      <c r="F98" s="27" t="str">
        <f aca="false">IF(B98="","",IFERROR(INDEX(Roster!$B$5:$B$154,MATCH(B98,Roster!$A$5:$A$154,0)),"Not on roster"))</f>
        <v/>
      </c>
      <c r="G98" s="28" t="str">
        <f aca="false">IF(OR(B98="",C98=""),"",F98&amp;" | "&amp;C98)</f>
        <v/>
      </c>
      <c r="H98" s="27" t="str">
        <f aca="false">IF(G98="","",IFERROR(INDEX(Levels!$C$5:$C$94,MATCH(G98,Levels!$G$5:$G$94,0)),"Not this class's skill"))</f>
        <v/>
      </c>
    </row>
    <row r="99" customFormat="false" ht="15" hidden="false" customHeight="false" outlineLevel="0" collapsed="false">
      <c r="A99" s="23"/>
      <c r="B99" s="22"/>
      <c r="C99" s="22"/>
      <c r="D99" s="22"/>
      <c r="E99" s="22"/>
      <c r="F99" s="27" t="str">
        <f aca="false">IF(B99="","",IFERROR(INDEX(Roster!$B$5:$B$154,MATCH(B99,Roster!$A$5:$A$154,0)),"Not on roster"))</f>
        <v/>
      </c>
      <c r="G99" s="28" t="str">
        <f aca="false">IF(OR(B99="",C99=""),"",F99&amp;" | "&amp;C99)</f>
        <v/>
      </c>
      <c r="H99" s="27" t="str">
        <f aca="false">IF(G99="","",IFERROR(INDEX(Levels!$C$5:$C$94,MATCH(G99,Levels!$G$5:$G$94,0)),"Not this class's skill"))</f>
        <v/>
      </c>
    </row>
    <row r="100" customFormat="false" ht="15" hidden="false" customHeight="false" outlineLevel="0" collapsed="false">
      <c r="A100" s="23"/>
      <c r="B100" s="22"/>
      <c r="C100" s="22"/>
      <c r="D100" s="22"/>
      <c r="E100" s="22"/>
      <c r="F100" s="27" t="str">
        <f aca="false">IF(B100="","",IFERROR(INDEX(Roster!$B$5:$B$154,MATCH(B100,Roster!$A$5:$A$154,0)),"Not on roster"))</f>
        <v/>
      </c>
      <c r="G100" s="28" t="str">
        <f aca="false">IF(OR(B100="",C100=""),"",F100&amp;" | "&amp;C100)</f>
        <v/>
      </c>
      <c r="H100" s="27" t="str">
        <f aca="false">IF(G100="","",IFERROR(INDEX(Levels!$C$5:$C$94,MATCH(G100,Levels!$G$5:$G$94,0)),"Not this class's skill"))</f>
        <v/>
      </c>
    </row>
    <row r="101" customFormat="false" ht="15" hidden="false" customHeight="false" outlineLevel="0" collapsed="false">
      <c r="A101" s="23"/>
      <c r="B101" s="22"/>
      <c r="C101" s="22"/>
      <c r="D101" s="22"/>
      <c r="E101" s="22"/>
      <c r="F101" s="27" t="str">
        <f aca="false">IF(B101="","",IFERROR(INDEX(Roster!$B$5:$B$154,MATCH(B101,Roster!$A$5:$A$154,0)),"Not on roster"))</f>
        <v/>
      </c>
      <c r="G101" s="28" t="str">
        <f aca="false">IF(OR(B101="",C101=""),"",F101&amp;" | "&amp;C101)</f>
        <v/>
      </c>
      <c r="H101" s="27" t="str">
        <f aca="false">IF(G101="","",IFERROR(INDEX(Levels!$C$5:$C$94,MATCH(G101,Levels!$G$5:$G$94,0)),"Not this class's skill"))</f>
        <v/>
      </c>
    </row>
    <row r="102" customFormat="false" ht="15" hidden="false" customHeight="false" outlineLevel="0" collapsed="false">
      <c r="A102" s="23"/>
      <c r="B102" s="22"/>
      <c r="C102" s="22"/>
      <c r="D102" s="22"/>
      <c r="E102" s="22"/>
      <c r="F102" s="27" t="str">
        <f aca="false">IF(B102="","",IFERROR(INDEX(Roster!$B$5:$B$154,MATCH(B102,Roster!$A$5:$A$154,0)),"Not on roster"))</f>
        <v/>
      </c>
      <c r="G102" s="28" t="str">
        <f aca="false">IF(OR(B102="",C102=""),"",F102&amp;" | "&amp;C102)</f>
        <v/>
      </c>
      <c r="H102" s="27" t="str">
        <f aca="false">IF(G102="","",IFERROR(INDEX(Levels!$C$5:$C$94,MATCH(G102,Levels!$G$5:$G$94,0)),"Not this class's skill"))</f>
        <v/>
      </c>
    </row>
    <row r="103" customFormat="false" ht="15" hidden="false" customHeight="false" outlineLevel="0" collapsed="false">
      <c r="A103" s="23"/>
      <c r="B103" s="22"/>
      <c r="C103" s="22"/>
      <c r="D103" s="22"/>
      <c r="E103" s="22"/>
      <c r="F103" s="27" t="str">
        <f aca="false">IF(B103="","",IFERROR(INDEX(Roster!$B$5:$B$154,MATCH(B103,Roster!$A$5:$A$154,0)),"Not on roster"))</f>
        <v/>
      </c>
      <c r="G103" s="28" t="str">
        <f aca="false">IF(OR(B103="",C103=""),"",F103&amp;" | "&amp;C103)</f>
        <v/>
      </c>
      <c r="H103" s="27" t="str">
        <f aca="false">IF(G103="","",IFERROR(INDEX(Levels!$C$5:$C$94,MATCH(G103,Levels!$G$5:$G$94,0)),"Not this class's skill"))</f>
        <v/>
      </c>
    </row>
    <row r="104" customFormat="false" ht="15" hidden="false" customHeight="false" outlineLevel="0" collapsed="false">
      <c r="A104" s="23"/>
      <c r="B104" s="22"/>
      <c r="C104" s="22"/>
      <c r="D104" s="22"/>
      <c r="E104" s="22"/>
      <c r="F104" s="27" t="str">
        <f aca="false">IF(B104="","",IFERROR(INDEX(Roster!$B$5:$B$154,MATCH(B104,Roster!$A$5:$A$154,0)),"Not on roster"))</f>
        <v/>
      </c>
      <c r="G104" s="28" t="str">
        <f aca="false">IF(OR(B104="",C104=""),"",F104&amp;" | "&amp;C104)</f>
        <v/>
      </c>
      <c r="H104" s="27" t="str">
        <f aca="false">IF(G104="","",IFERROR(INDEX(Levels!$C$5:$C$94,MATCH(G104,Levels!$G$5:$G$94,0)),"Not this class's skill"))</f>
        <v/>
      </c>
    </row>
    <row r="105" customFormat="false" ht="15" hidden="false" customHeight="false" outlineLevel="0" collapsed="false">
      <c r="A105" s="23"/>
      <c r="B105" s="22"/>
      <c r="C105" s="22"/>
      <c r="D105" s="22"/>
      <c r="E105" s="22"/>
      <c r="F105" s="27" t="str">
        <f aca="false">IF(B105="","",IFERROR(INDEX(Roster!$B$5:$B$154,MATCH(B105,Roster!$A$5:$A$154,0)),"Not on roster"))</f>
        <v/>
      </c>
      <c r="G105" s="28" t="str">
        <f aca="false">IF(OR(B105="",C105=""),"",F105&amp;" | "&amp;C105)</f>
        <v/>
      </c>
      <c r="H105" s="27" t="str">
        <f aca="false">IF(G105="","",IFERROR(INDEX(Levels!$C$5:$C$94,MATCH(G105,Levels!$G$5:$G$94,0)),"Not this class's skill"))</f>
        <v/>
      </c>
    </row>
    <row r="106" customFormat="false" ht="15" hidden="false" customHeight="false" outlineLevel="0" collapsed="false">
      <c r="A106" s="23"/>
      <c r="B106" s="22"/>
      <c r="C106" s="22"/>
      <c r="D106" s="22"/>
      <c r="E106" s="22"/>
      <c r="F106" s="27" t="str">
        <f aca="false">IF(B106="","",IFERROR(INDEX(Roster!$B$5:$B$154,MATCH(B106,Roster!$A$5:$A$154,0)),"Not on roster"))</f>
        <v/>
      </c>
      <c r="G106" s="28" t="str">
        <f aca="false">IF(OR(B106="",C106=""),"",F106&amp;" | "&amp;C106)</f>
        <v/>
      </c>
      <c r="H106" s="27" t="str">
        <f aca="false">IF(G106="","",IFERROR(INDEX(Levels!$C$5:$C$94,MATCH(G106,Levels!$G$5:$G$94,0)),"Not this class's skill"))</f>
        <v/>
      </c>
    </row>
    <row r="107" customFormat="false" ht="15" hidden="false" customHeight="false" outlineLevel="0" collapsed="false">
      <c r="A107" s="23"/>
      <c r="B107" s="22"/>
      <c r="C107" s="22"/>
      <c r="D107" s="22"/>
      <c r="E107" s="22"/>
      <c r="F107" s="27" t="str">
        <f aca="false">IF(B107="","",IFERROR(INDEX(Roster!$B$5:$B$154,MATCH(B107,Roster!$A$5:$A$154,0)),"Not on roster"))</f>
        <v/>
      </c>
      <c r="G107" s="28" t="str">
        <f aca="false">IF(OR(B107="",C107=""),"",F107&amp;" | "&amp;C107)</f>
        <v/>
      </c>
      <c r="H107" s="27" t="str">
        <f aca="false">IF(G107="","",IFERROR(INDEX(Levels!$C$5:$C$94,MATCH(G107,Levels!$G$5:$G$94,0)),"Not this class's skill"))</f>
        <v/>
      </c>
    </row>
    <row r="108" customFormat="false" ht="15" hidden="false" customHeight="false" outlineLevel="0" collapsed="false">
      <c r="A108" s="23"/>
      <c r="B108" s="22"/>
      <c r="C108" s="22"/>
      <c r="D108" s="22"/>
      <c r="E108" s="22"/>
      <c r="F108" s="27" t="str">
        <f aca="false">IF(B108="","",IFERROR(INDEX(Roster!$B$5:$B$154,MATCH(B108,Roster!$A$5:$A$154,0)),"Not on roster"))</f>
        <v/>
      </c>
      <c r="G108" s="28" t="str">
        <f aca="false">IF(OR(B108="",C108=""),"",F108&amp;" | "&amp;C108)</f>
        <v/>
      </c>
      <c r="H108" s="27" t="str">
        <f aca="false">IF(G108="","",IFERROR(INDEX(Levels!$C$5:$C$94,MATCH(G108,Levels!$G$5:$G$94,0)),"Not this class's skill"))</f>
        <v/>
      </c>
    </row>
    <row r="109" customFormat="false" ht="15" hidden="false" customHeight="false" outlineLevel="0" collapsed="false">
      <c r="A109" s="23"/>
      <c r="B109" s="22"/>
      <c r="C109" s="22"/>
      <c r="D109" s="22"/>
      <c r="E109" s="22"/>
      <c r="F109" s="27" t="str">
        <f aca="false">IF(B109="","",IFERROR(INDEX(Roster!$B$5:$B$154,MATCH(B109,Roster!$A$5:$A$154,0)),"Not on roster"))</f>
        <v/>
      </c>
      <c r="G109" s="28" t="str">
        <f aca="false">IF(OR(B109="",C109=""),"",F109&amp;" | "&amp;C109)</f>
        <v/>
      </c>
      <c r="H109" s="27" t="str">
        <f aca="false">IF(G109="","",IFERROR(INDEX(Levels!$C$5:$C$94,MATCH(G109,Levels!$G$5:$G$94,0)),"Not this class's skill"))</f>
        <v/>
      </c>
    </row>
    <row r="110" customFormat="false" ht="15" hidden="false" customHeight="false" outlineLevel="0" collapsed="false">
      <c r="A110" s="23"/>
      <c r="B110" s="22"/>
      <c r="C110" s="22"/>
      <c r="D110" s="22"/>
      <c r="E110" s="22"/>
      <c r="F110" s="27" t="str">
        <f aca="false">IF(B110="","",IFERROR(INDEX(Roster!$B$5:$B$154,MATCH(B110,Roster!$A$5:$A$154,0)),"Not on roster"))</f>
        <v/>
      </c>
      <c r="G110" s="28" t="str">
        <f aca="false">IF(OR(B110="",C110=""),"",F110&amp;" | "&amp;C110)</f>
        <v/>
      </c>
      <c r="H110" s="27" t="str">
        <f aca="false">IF(G110="","",IFERROR(INDEX(Levels!$C$5:$C$94,MATCH(G110,Levels!$G$5:$G$94,0)),"Not this class's skill"))</f>
        <v/>
      </c>
    </row>
    <row r="111" customFormat="false" ht="15" hidden="false" customHeight="false" outlineLevel="0" collapsed="false">
      <c r="A111" s="23"/>
      <c r="B111" s="22"/>
      <c r="C111" s="22"/>
      <c r="D111" s="22"/>
      <c r="E111" s="22"/>
      <c r="F111" s="27" t="str">
        <f aca="false">IF(B111="","",IFERROR(INDEX(Roster!$B$5:$B$154,MATCH(B111,Roster!$A$5:$A$154,0)),"Not on roster"))</f>
        <v/>
      </c>
      <c r="G111" s="28" t="str">
        <f aca="false">IF(OR(B111="",C111=""),"",F111&amp;" | "&amp;C111)</f>
        <v/>
      </c>
      <c r="H111" s="27" t="str">
        <f aca="false">IF(G111="","",IFERROR(INDEX(Levels!$C$5:$C$94,MATCH(G111,Levels!$G$5:$G$94,0)),"Not this class's skill"))</f>
        <v/>
      </c>
    </row>
    <row r="112" customFormat="false" ht="15" hidden="false" customHeight="false" outlineLevel="0" collapsed="false">
      <c r="A112" s="23"/>
      <c r="B112" s="22"/>
      <c r="C112" s="22"/>
      <c r="D112" s="22"/>
      <c r="E112" s="22"/>
      <c r="F112" s="27" t="str">
        <f aca="false">IF(B112="","",IFERROR(INDEX(Roster!$B$5:$B$154,MATCH(B112,Roster!$A$5:$A$154,0)),"Not on roster"))</f>
        <v/>
      </c>
      <c r="G112" s="28" t="str">
        <f aca="false">IF(OR(B112="",C112=""),"",F112&amp;" | "&amp;C112)</f>
        <v/>
      </c>
      <c r="H112" s="27" t="str">
        <f aca="false">IF(G112="","",IFERROR(INDEX(Levels!$C$5:$C$94,MATCH(G112,Levels!$G$5:$G$94,0)),"Not this class's skill"))</f>
        <v/>
      </c>
    </row>
    <row r="113" customFormat="false" ht="15" hidden="false" customHeight="false" outlineLevel="0" collapsed="false">
      <c r="A113" s="23"/>
      <c r="B113" s="22"/>
      <c r="C113" s="22"/>
      <c r="D113" s="22"/>
      <c r="E113" s="22"/>
      <c r="F113" s="27" t="str">
        <f aca="false">IF(B113="","",IFERROR(INDEX(Roster!$B$5:$B$154,MATCH(B113,Roster!$A$5:$A$154,0)),"Not on roster"))</f>
        <v/>
      </c>
      <c r="G113" s="28" t="str">
        <f aca="false">IF(OR(B113="",C113=""),"",F113&amp;" | "&amp;C113)</f>
        <v/>
      </c>
      <c r="H113" s="27" t="str">
        <f aca="false">IF(G113="","",IFERROR(INDEX(Levels!$C$5:$C$94,MATCH(G113,Levels!$G$5:$G$94,0)),"Not this class's skill"))</f>
        <v/>
      </c>
    </row>
    <row r="114" customFormat="false" ht="15" hidden="false" customHeight="false" outlineLevel="0" collapsed="false">
      <c r="A114" s="23"/>
      <c r="B114" s="22"/>
      <c r="C114" s="22"/>
      <c r="D114" s="22"/>
      <c r="E114" s="22"/>
      <c r="F114" s="27" t="str">
        <f aca="false">IF(B114="","",IFERROR(INDEX(Roster!$B$5:$B$154,MATCH(B114,Roster!$A$5:$A$154,0)),"Not on roster"))</f>
        <v/>
      </c>
      <c r="G114" s="28" t="str">
        <f aca="false">IF(OR(B114="",C114=""),"",F114&amp;" | "&amp;C114)</f>
        <v/>
      </c>
      <c r="H114" s="27" t="str">
        <f aca="false">IF(G114="","",IFERROR(INDEX(Levels!$C$5:$C$94,MATCH(G114,Levels!$G$5:$G$94,0)),"Not this class's skill"))</f>
        <v/>
      </c>
    </row>
    <row r="115" customFormat="false" ht="15" hidden="false" customHeight="false" outlineLevel="0" collapsed="false">
      <c r="A115" s="23"/>
      <c r="B115" s="22"/>
      <c r="C115" s="22"/>
      <c r="D115" s="22"/>
      <c r="E115" s="22"/>
      <c r="F115" s="27" t="str">
        <f aca="false">IF(B115="","",IFERROR(INDEX(Roster!$B$5:$B$154,MATCH(B115,Roster!$A$5:$A$154,0)),"Not on roster"))</f>
        <v/>
      </c>
      <c r="G115" s="28" t="str">
        <f aca="false">IF(OR(B115="",C115=""),"",F115&amp;" | "&amp;C115)</f>
        <v/>
      </c>
      <c r="H115" s="27" t="str">
        <f aca="false">IF(G115="","",IFERROR(INDEX(Levels!$C$5:$C$94,MATCH(G115,Levels!$G$5:$G$94,0)),"Not this class's skill"))</f>
        <v/>
      </c>
    </row>
    <row r="116" customFormat="false" ht="15" hidden="false" customHeight="false" outlineLevel="0" collapsed="false">
      <c r="A116" s="23"/>
      <c r="B116" s="22"/>
      <c r="C116" s="22"/>
      <c r="D116" s="22"/>
      <c r="E116" s="22"/>
      <c r="F116" s="27" t="str">
        <f aca="false">IF(B116="","",IFERROR(INDEX(Roster!$B$5:$B$154,MATCH(B116,Roster!$A$5:$A$154,0)),"Not on roster"))</f>
        <v/>
      </c>
      <c r="G116" s="28" t="str">
        <f aca="false">IF(OR(B116="",C116=""),"",F116&amp;" | "&amp;C116)</f>
        <v/>
      </c>
      <c r="H116" s="27" t="str">
        <f aca="false">IF(G116="","",IFERROR(INDEX(Levels!$C$5:$C$94,MATCH(G116,Levels!$G$5:$G$94,0)),"Not this class's skill"))</f>
        <v/>
      </c>
    </row>
    <row r="117" customFormat="false" ht="15" hidden="false" customHeight="false" outlineLevel="0" collapsed="false">
      <c r="A117" s="23"/>
      <c r="B117" s="22"/>
      <c r="C117" s="22"/>
      <c r="D117" s="22"/>
      <c r="E117" s="22"/>
      <c r="F117" s="27" t="str">
        <f aca="false">IF(B117="","",IFERROR(INDEX(Roster!$B$5:$B$154,MATCH(B117,Roster!$A$5:$A$154,0)),"Not on roster"))</f>
        <v/>
      </c>
      <c r="G117" s="28" t="str">
        <f aca="false">IF(OR(B117="",C117=""),"",F117&amp;" | "&amp;C117)</f>
        <v/>
      </c>
      <c r="H117" s="27" t="str">
        <f aca="false">IF(G117="","",IFERROR(INDEX(Levels!$C$5:$C$94,MATCH(G117,Levels!$G$5:$G$94,0)),"Not this class's skill"))</f>
        <v/>
      </c>
    </row>
    <row r="118" customFormat="false" ht="15" hidden="false" customHeight="false" outlineLevel="0" collapsed="false">
      <c r="A118" s="23"/>
      <c r="B118" s="22"/>
      <c r="C118" s="22"/>
      <c r="D118" s="22"/>
      <c r="E118" s="22"/>
      <c r="F118" s="27" t="str">
        <f aca="false">IF(B118="","",IFERROR(INDEX(Roster!$B$5:$B$154,MATCH(B118,Roster!$A$5:$A$154,0)),"Not on roster"))</f>
        <v/>
      </c>
      <c r="G118" s="28" t="str">
        <f aca="false">IF(OR(B118="",C118=""),"",F118&amp;" | "&amp;C118)</f>
        <v/>
      </c>
      <c r="H118" s="27" t="str">
        <f aca="false">IF(G118="","",IFERROR(INDEX(Levels!$C$5:$C$94,MATCH(G118,Levels!$G$5:$G$94,0)),"Not this class's skill"))</f>
        <v/>
      </c>
    </row>
    <row r="119" customFormat="false" ht="15" hidden="false" customHeight="false" outlineLevel="0" collapsed="false">
      <c r="A119" s="23"/>
      <c r="B119" s="22"/>
      <c r="C119" s="22"/>
      <c r="D119" s="22"/>
      <c r="E119" s="22"/>
      <c r="F119" s="27" t="str">
        <f aca="false">IF(B119="","",IFERROR(INDEX(Roster!$B$5:$B$154,MATCH(B119,Roster!$A$5:$A$154,0)),"Not on roster"))</f>
        <v/>
      </c>
      <c r="G119" s="28" t="str">
        <f aca="false">IF(OR(B119="",C119=""),"",F119&amp;" | "&amp;C119)</f>
        <v/>
      </c>
      <c r="H119" s="27" t="str">
        <f aca="false">IF(G119="","",IFERROR(INDEX(Levels!$C$5:$C$94,MATCH(G119,Levels!$G$5:$G$94,0)),"Not this class's skill"))</f>
        <v/>
      </c>
    </row>
    <row r="120" customFormat="false" ht="15" hidden="false" customHeight="false" outlineLevel="0" collapsed="false">
      <c r="A120" s="23"/>
      <c r="B120" s="22"/>
      <c r="C120" s="22"/>
      <c r="D120" s="22"/>
      <c r="E120" s="22"/>
      <c r="F120" s="27" t="str">
        <f aca="false">IF(B120="","",IFERROR(INDEX(Roster!$B$5:$B$154,MATCH(B120,Roster!$A$5:$A$154,0)),"Not on roster"))</f>
        <v/>
      </c>
      <c r="G120" s="28" t="str">
        <f aca="false">IF(OR(B120="",C120=""),"",F120&amp;" | "&amp;C120)</f>
        <v/>
      </c>
      <c r="H120" s="27" t="str">
        <f aca="false">IF(G120="","",IFERROR(INDEX(Levels!$C$5:$C$94,MATCH(G120,Levels!$G$5:$G$94,0)),"Not this class's skill"))</f>
        <v/>
      </c>
    </row>
    <row r="121" customFormat="false" ht="15" hidden="false" customHeight="false" outlineLevel="0" collapsed="false">
      <c r="A121" s="23"/>
      <c r="B121" s="22"/>
      <c r="C121" s="22"/>
      <c r="D121" s="22"/>
      <c r="E121" s="22"/>
      <c r="F121" s="27" t="str">
        <f aca="false">IF(B121="","",IFERROR(INDEX(Roster!$B$5:$B$154,MATCH(B121,Roster!$A$5:$A$154,0)),"Not on roster"))</f>
        <v/>
      </c>
      <c r="G121" s="28" t="str">
        <f aca="false">IF(OR(B121="",C121=""),"",F121&amp;" | "&amp;C121)</f>
        <v/>
      </c>
      <c r="H121" s="27" t="str">
        <f aca="false">IF(G121="","",IFERROR(INDEX(Levels!$C$5:$C$94,MATCH(G121,Levels!$G$5:$G$94,0)),"Not this class's skill"))</f>
        <v/>
      </c>
    </row>
    <row r="122" customFormat="false" ht="15" hidden="false" customHeight="false" outlineLevel="0" collapsed="false">
      <c r="A122" s="23"/>
      <c r="B122" s="22"/>
      <c r="C122" s="22"/>
      <c r="D122" s="22"/>
      <c r="E122" s="22"/>
      <c r="F122" s="27" t="str">
        <f aca="false">IF(B122="","",IFERROR(INDEX(Roster!$B$5:$B$154,MATCH(B122,Roster!$A$5:$A$154,0)),"Not on roster"))</f>
        <v/>
      </c>
      <c r="G122" s="28" t="str">
        <f aca="false">IF(OR(B122="",C122=""),"",F122&amp;" | "&amp;C122)</f>
        <v/>
      </c>
      <c r="H122" s="27" t="str">
        <f aca="false">IF(G122="","",IFERROR(INDEX(Levels!$C$5:$C$94,MATCH(G122,Levels!$G$5:$G$94,0)),"Not this class's skill"))</f>
        <v/>
      </c>
    </row>
    <row r="123" customFormat="false" ht="15" hidden="false" customHeight="false" outlineLevel="0" collapsed="false">
      <c r="A123" s="23"/>
      <c r="B123" s="22"/>
      <c r="C123" s="22"/>
      <c r="D123" s="22"/>
      <c r="E123" s="22"/>
      <c r="F123" s="27" t="str">
        <f aca="false">IF(B123="","",IFERROR(INDEX(Roster!$B$5:$B$154,MATCH(B123,Roster!$A$5:$A$154,0)),"Not on roster"))</f>
        <v/>
      </c>
      <c r="G123" s="28" t="str">
        <f aca="false">IF(OR(B123="",C123=""),"",F123&amp;" | "&amp;C123)</f>
        <v/>
      </c>
      <c r="H123" s="27" t="str">
        <f aca="false">IF(G123="","",IFERROR(INDEX(Levels!$C$5:$C$94,MATCH(G123,Levels!$G$5:$G$94,0)),"Not this class's skill"))</f>
        <v/>
      </c>
    </row>
    <row r="124" customFormat="false" ht="15" hidden="false" customHeight="false" outlineLevel="0" collapsed="false">
      <c r="A124" s="23"/>
      <c r="B124" s="22"/>
      <c r="C124" s="22"/>
      <c r="D124" s="22"/>
      <c r="E124" s="22"/>
      <c r="F124" s="27" t="str">
        <f aca="false">IF(B124="","",IFERROR(INDEX(Roster!$B$5:$B$154,MATCH(B124,Roster!$A$5:$A$154,0)),"Not on roster"))</f>
        <v/>
      </c>
      <c r="G124" s="28" t="str">
        <f aca="false">IF(OR(B124="",C124=""),"",F124&amp;" | "&amp;C124)</f>
        <v/>
      </c>
      <c r="H124" s="27" t="str">
        <f aca="false">IF(G124="","",IFERROR(INDEX(Levels!$C$5:$C$94,MATCH(G124,Levels!$G$5:$G$94,0)),"Not this class's skill"))</f>
        <v/>
      </c>
    </row>
    <row r="125" customFormat="false" ht="15" hidden="false" customHeight="false" outlineLevel="0" collapsed="false">
      <c r="A125" s="23"/>
      <c r="B125" s="22"/>
      <c r="C125" s="22"/>
      <c r="D125" s="22"/>
      <c r="E125" s="22"/>
      <c r="F125" s="27" t="str">
        <f aca="false">IF(B125="","",IFERROR(INDEX(Roster!$B$5:$B$154,MATCH(B125,Roster!$A$5:$A$154,0)),"Not on roster"))</f>
        <v/>
      </c>
      <c r="G125" s="28" t="str">
        <f aca="false">IF(OR(B125="",C125=""),"",F125&amp;" | "&amp;C125)</f>
        <v/>
      </c>
      <c r="H125" s="27" t="str">
        <f aca="false">IF(G125="","",IFERROR(INDEX(Levels!$C$5:$C$94,MATCH(G125,Levels!$G$5:$G$94,0)),"Not this class's skill"))</f>
        <v/>
      </c>
    </row>
    <row r="126" customFormat="false" ht="15" hidden="false" customHeight="false" outlineLevel="0" collapsed="false">
      <c r="A126" s="23"/>
      <c r="B126" s="22"/>
      <c r="C126" s="22"/>
      <c r="D126" s="22"/>
      <c r="E126" s="22"/>
      <c r="F126" s="27" t="str">
        <f aca="false">IF(B126="","",IFERROR(INDEX(Roster!$B$5:$B$154,MATCH(B126,Roster!$A$5:$A$154,0)),"Not on roster"))</f>
        <v/>
      </c>
      <c r="G126" s="28" t="str">
        <f aca="false">IF(OR(B126="",C126=""),"",F126&amp;" | "&amp;C126)</f>
        <v/>
      </c>
      <c r="H126" s="27" t="str">
        <f aca="false">IF(G126="","",IFERROR(INDEX(Levels!$C$5:$C$94,MATCH(G126,Levels!$G$5:$G$94,0)),"Not this class's skill"))</f>
        <v/>
      </c>
    </row>
    <row r="127" customFormat="false" ht="15" hidden="false" customHeight="false" outlineLevel="0" collapsed="false">
      <c r="A127" s="23"/>
      <c r="B127" s="22"/>
      <c r="C127" s="22"/>
      <c r="D127" s="22"/>
      <c r="E127" s="22"/>
      <c r="F127" s="27" t="str">
        <f aca="false">IF(B127="","",IFERROR(INDEX(Roster!$B$5:$B$154,MATCH(B127,Roster!$A$5:$A$154,0)),"Not on roster"))</f>
        <v/>
      </c>
      <c r="G127" s="28" t="str">
        <f aca="false">IF(OR(B127="",C127=""),"",F127&amp;" | "&amp;C127)</f>
        <v/>
      </c>
      <c r="H127" s="27" t="str">
        <f aca="false">IF(G127="","",IFERROR(INDEX(Levels!$C$5:$C$94,MATCH(G127,Levels!$G$5:$G$94,0)),"Not this class's skill"))</f>
        <v/>
      </c>
    </row>
    <row r="128" customFormat="false" ht="15" hidden="false" customHeight="false" outlineLevel="0" collapsed="false">
      <c r="A128" s="23"/>
      <c r="B128" s="22"/>
      <c r="C128" s="22"/>
      <c r="D128" s="22"/>
      <c r="E128" s="22"/>
      <c r="F128" s="27" t="str">
        <f aca="false">IF(B128="","",IFERROR(INDEX(Roster!$B$5:$B$154,MATCH(B128,Roster!$A$5:$A$154,0)),"Not on roster"))</f>
        <v/>
      </c>
      <c r="G128" s="28" t="str">
        <f aca="false">IF(OR(B128="",C128=""),"",F128&amp;" | "&amp;C128)</f>
        <v/>
      </c>
      <c r="H128" s="27" t="str">
        <f aca="false">IF(G128="","",IFERROR(INDEX(Levels!$C$5:$C$94,MATCH(G128,Levels!$G$5:$G$94,0)),"Not this class's skill"))</f>
        <v/>
      </c>
    </row>
    <row r="129" customFormat="false" ht="15" hidden="false" customHeight="false" outlineLevel="0" collapsed="false">
      <c r="A129" s="23"/>
      <c r="B129" s="22"/>
      <c r="C129" s="22"/>
      <c r="D129" s="22"/>
      <c r="E129" s="22"/>
      <c r="F129" s="27" t="str">
        <f aca="false">IF(B129="","",IFERROR(INDEX(Roster!$B$5:$B$154,MATCH(B129,Roster!$A$5:$A$154,0)),"Not on roster"))</f>
        <v/>
      </c>
      <c r="G129" s="28" t="str">
        <f aca="false">IF(OR(B129="",C129=""),"",F129&amp;" | "&amp;C129)</f>
        <v/>
      </c>
      <c r="H129" s="27" t="str">
        <f aca="false">IF(G129="","",IFERROR(INDEX(Levels!$C$5:$C$94,MATCH(G129,Levels!$G$5:$G$94,0)),"Not this class's skill"))</f>
        <v/>
      </c>
    </row>
    <row r="130" customFormat="false" ht="15" hidden="false" customHeight="false" outlineLevel="0" collapsed="false">
      <c r="A130" s="23"/>
      <c r="B130" s="22"/>
      <c r="C130" s="22"/>
      <c r="D130" s="22"/>
      <c r="E130" s="22"/>
      <c r="F130" s="27" t="str">
        <f aca="false">IF(B130="","",IFERROR(INDEX(Roster!$B$5:$B$154,MATCH(B130,Roster!$A$5:$A$154,0)),"Not on roster"))</f>
        <v/>
      </c>
      <c r="G130" s="28" t="str">
        <f aca="false">IF(OR(B130="",C130=""),"",F130&amp;" | "&amp;C130)</f>
        <v/>
      </c>
      <c r="H130" s="27" t="str">
        <f aca="false">IF(G130="","",IFERROR(INDEX(Levels!$C$5:$C$94,MATCH(G130,Levels!$G$5:$G$94,0)),"Not this class's skill"))</f>
        <v/>
      </c>
    </row>
    <row r="131" customFormat="false" ht="15" hidden="false" customHeight="false" outlineLevel="0" collapsed="false">
      <c r="A131" s="23"/>
      <c r="B131" s="22"/>
      <c r="C131" s="22"/>
      <c r="D131" s="22"/>
      <c r="E131" s="22"/>
      <c r="F131" s="27" t="str">
        <f aca="false">IF(B131="","",IFERROR(INDEX(Roster!$B$5:$B$154,MATCH(B131,Roster!$A$5:$A$154,0)),"Not on roster"))</f>
        <v/>
      </c>
      <c r="G131" s="28" t="str">
        <f aca="false">IF(OR(B131="",C131=""),"",F131&amp;" | "&amp;C131)</f>
        <v/>
      </c>
      <c r="H131" s="27" t="str">
        <f aca="false">IF(G131="","",IFERROR(INDEX(Levels!$C$5:$C$94,MATCH(G131,Levels!$G$5:$G$94,0)),"Not this class's skill"))</f>
        <v/>
      </c>
    </row>
    <row r="132" customFormat="false" ht="15" hidden="false" customHeight="false" outlineLevel="0" collapsed="false">
      <c r="A132" s="23"/>
      <c r="B132" s="22"/>
      <c r="C132" s="22"/>
      <c r="D132" s="22"/>
      <c r="E132" s="22"/>
      <c r="F132" s="27" t="str">
        <f aca="false">IF(B132="","",IFERROR(INDEX(Roster!$B$5:$B$154,MATCH(B132,Roster!$A$5:$A$154,0)),"Not on roster"))</f>
        <v/>
      </c>
      <c r="G132" s="28" t="str">
        <f aca="false">IF(OR(B132="",C132=""),"",F132&amp;" | "&amp;C132)</f>
        <v/>
      </c>
      <c r="H132" s="27" t="str">
        <f aca="false">IF(G132="","",IFERROR(INDEX(Levels!$C$5:$C$94,MATCH(G132,Levels!$G$5:$G$94,0)),"Not this class's skill"))</f>
        <v/>
      </c>
    </row>
    <row r="133" customFormat="false" ht="15" hidden="false" customHeight="false" outlineLevel="0" collapsed="false">
      <c r="A133" s="23"/>
      <c r="B133" s="22"/>
      <c r="C133" s="22"/>
      <c r="D133" s="22"/>
      <c r="E133" s="22"/>
      <c r="F133" s="27" t="str">
        <f aca="false">IF(B133="","",IFERROR(INDEX(Roster!$B$5:$B$154,MATCH(B133,Roster!$A$5:$A$154,0)),"Not on roster"))</f>
        <v/>
      </c>
      <c r="G133" s="28" t="str">
        <f aca="false">IF(OR(B133="",C133=""),"",F133&amp;" | "&amp;C133)</f>
        <v/>
      </c>
      <c r="H133" s="27" t="str">
        <f aca="false">IF(G133="","",IFERROR(INDEX(Levels!$C$5:$C$94,MATCH(G133,Levels!$G$5:$G$94,0)),"Not this class's skill"))</f>
        <v/>
      </c>
    </row>
    <row r="134" customFormat="false" ht="15" hidden="false" customHeight="false" outlineLevel="0" collapsed="false">
      <c r="A134" s="23"/>
      <c r="B134" s="22"/>
      <c r="C134" s="22"/>
      <c r="D134" s="22"/>
      <c r="E134" s="22"/>
      <c r="F134" s="27" t="str">
        <f aca="false">IF(B134="","",IFERROR(INDEX(Roster!$B$5:$B$154,MATCH(B134,Roster!$A$5:$A$154,0)),"Not on roster"))</f>
        <v/>
      </c>
      <c r="G134" s="28" t="str">
        <f aca="false">IF(OR(B134="",C134=""),"",F134&amp;" | "&amp;C134)</f>
        <v/>
      </c>
      <c r="H134" s="27" t="str">
        <f aca="false">IF(G134="","",IFERROR(INDEX(Levels!$C$5:$C$94,MATCH(G134,Levels!$G$5:$G$94,0)),"Not this class's skill"))</f>
        <v/>
      </c>
    </row>
    <row r="135" customFormat="false" ht="15" hidden="false" customHeight="false" outlineLevel="0" collapsed="false">
      <c r="A135" s="23"/>
      <c r="B135" s="22"/>
      <c r="C135" s="22"/>
      <c r="D135" s="22"/>
      <c r="E135" s="22"/>
      <c r="F135" s="27" t="str">
        <f aca="false">IF(B135="","",IFERROR(INDEX(Roster!$B$5:$B$154,MATCH(B135,Roster!$A$5:$A$154,0)),"Not on roster"))</f>
        <v/>
      </c>
      <c r="G135" s="28" t="str">
        <f aca="false">IF(OR(B135="",C135=""),"",F135&amp;" | "&amp;C135)</f>
        <v/>
      </c>
      <c r="H135" s="27" t="str">
        <f aca="false">IF(G135="","",IFERROR(INDEX(Levels!$C$5:$C$94,MATCH(G135,Levels!$G$5:$G$94,0)),"Not this class's skill"))</f>
        <v/>
      </c>
    </row>
    <row r="136" customFormat="false" ht="15" hidden="false" customHeight="false" outlineLevel="0" collapsed="false">
      <c r="A136" s="23"/>
      <c r="B136" s="22"/>
      <c r="C136" s="22"/>
      <c r="D136" s="22"/>
      <c r="E136" s="22"/>
      <c r="F136" s="27" t="str">
        <f aca="false">IF(B136="","",IFERROR(INDEX(Roster!$B$5:$B$154,MATCH(B136,Roster!$A$5:$A$154,0)),"Not on roster"))</f>
        <v/>
      </c>
      <c r="G136" s="28" t="str">
        <f aca="false">IF(OR(B136="",C136=""),"",F136&amp;" | "&amp;C136)</f>
        <v/>
      </c>
      <c r="H136" s="27" t="str">
        <f aca="false">IF(G136="","",IFERROR(INDEX(Levels!$C$5:$C$94,MATCH(G136,Levels!$G$5:$G$94,0)),"Not this class's skill"))</f>
        <v/>
      </c>
    </row>
    <row r="137" customFormat="false" ht="15" hidden="false" customHeight="false" outlineLevel="0" collapsed="false">
      <c r="A137" s="23"/>
      <c r="B137" s="22"/>
      <c r="C137" s="22"/>
      <c r="D137" s="22"/>
      <c r="E137" s="22"/>
      <c r="F137" s="27" t="str">
        <f aca="false">IF(B137="","",IFERROR(INDEX(Roster!$B$5:$B$154,MATCH(B137,Roster!$A$5:$A$154,0)),"Not on roster"))</f>
        <v/>
      </c>
      <c r="G137" s="28" t="str">
        <f aca="false">IF(OR(B137="",C137=""),"",F137&amp;" | "&amp;C137)</f>
        <v/>
      </c>
      <c r="H137" s="27" t="str">
        <f aca="false">IF(G137="","",IFERROR(INDEX(Levels!$C$5:$C$94,MATCH(G137,Levels!$G$5:$G$94,0)),"Not this class's skill"))</f>
        <v/>
      </c>
    </row>
    <row r="138" customFormat="false" ht="15" hidden="false" customHeight="false" outlineLevel="0" collapsed="false">
      <c r="A138" s="23"/>
      <c r="B138" s="22"/>
      <c r="C138" s="22"/>
      <c r="D138" s="22"/>
      <c r="E138" s="22"/>
      <c r="F138" s="27" t="str">
        <f aca="false">IF(B138="","",IFERROR(INDEX(Roster!$B$5:$B$154,MATCH(B138,Roster!$A$5:$A$154,0)),"Not on roster"))</f>
        <v/>
      </c>
      <c r="G138" s="28" t="str">
        <f aca="false">IF(OR(B138="",C138=""),"",F138&amp;" | "&amp;C138)</f>
        <v/>
      </c>
      <c r="H138" s="27" t="str">
        <f aca="false">IF(G138="","",IFERROR(INDEX(Levels!$C$5:$C$94,MATCH(G138,Levels!$G$5:$G$94,0)),"Not this class's skill"))</f>
        <v/>
      </c>
    </row>
    <row r="139" customFormat="false" ht="15" hidden="false" customHeight="false" outlineLevel="0" collapsed="false">
      <c r="A139" s="23"/>
      <c r="B139" s="22"/>
      <c r="C139" s="22"/>
      <c r="D139" s="22"/>
      <c r="E139" s="22"/>
      <c r="F139" s="27" t="str">
        <f aca="false">IF(B139="","",IFERROR(INDEX(Roster!$B$5:$B$154,MATCH(B139,Roster!$A$5:$A$154,0)),"Not on roster"))</f>
        <v/>
      </c>
      <c r="G139" s="28" t="str">
        <f aca="false">IF(OR(B139="",C139=""),"",F139&amp;" | "&amp;C139)</f>
        <v/>
      </c>
      <c r="H139" s="27" t="str">
        <f aca="false">IF(G139="","",IFERROR(INDEX(Levels!$C$5:$C$94,MATCH(G139,Levels!$G$5:$G$94,0)),"Not this class's skill"))</f>
        <v/>
      </c>
    </row>
    <row r="140" customFormat="false" ht="15" hidden="false" customHeight="false" outlineLevel="0" collapsed="false">
      <c r="A140" s="23"/>
      <c r="B140" s="22"/>
      <c r="C140" s="22"/>
      <c r="D140" s="22"/>
      <c r="E140" s="22"/>
      <c r="F140" s="27" t="str">
        <f aca="false">IF(B140="","",IFERROR(INDEX(Roster!$B$5:$B$154,MATCH(B140,Roster!$A$5:$A$154,0)),"Not on roster"))</f>
        <v/>
      </c>
      <c r="G140" s="28" t="str">
        <f aca="false">IF(OR(B140="",C140=""),"",F140&amp;" | "&amp;C140)</f>
        <v/>
      </c>
      <c r="H140" s="27" t="str">
        <f aca="false">IF(G140="","",IFERROR(INDEX(Levels!$C$5:$C$94,MATCH(G140,Levels!$G$5:$G$94,0)),"Not this class's skill"))</f>
        <v/>
      </c>
    </row>
    <row r="141" customFormat="false" ht="15" hidden="false" customHeight="false" outlineLevel="0" collapsed="false">
      <c r="A141" s="23"/>
      <c r="B141" s="22"/>
      <c r="C141" s="22"/>
      <c r="D141" s="22"/>
      <c r="E141" s="22"/>
      <c r="F141" s="27" t="str">
        <f aca="false">IF(B141="","",IFERROR(INDEX(Roster!$B$5:$B$154,MATCH(B141,Roster!$A$5:$A$154,0)),"Not on roster"))</f>
        <v/>
      </c>
      <c r="G141" s="28" t="str">
        <f aca="false">IF(OR(B141="",C141=""),"",F141&amp;" | "&amp;C141)</f>
        <v/>
      </c>
      <c r="H141" s="27" t="str">
        <f aca="false">IF(G141="","",IFERROR(INDEX(Levels!$C$5:$C$94,MATCH(G141,Levels!$G$5:$G$94,0)),"Not this class's skill"))</f>
        <v/>
      </c>
    </row>
    <row r="142" customFormat="false" ht="15" hidden="false" customHeight="false" outlineLevel="0" collapsed="false">
      <c r="A142" s="23"/>
      <c r="B142" s="22"/>
      <c r="C142" s="22"/>
      <c r="D142" s="22"/>
      <c r="E142" s="22"/>
      <c r="F142" s="27" t="str">
        <f aca="false">IF(B142="","",IFERROR(INDEX(Roster!$B$5:$B$154,MATCH(B142,Roster!$A$5:$A$154,0)),"Not on roster"))</f>
        <v/>
      </c>
      <c r="G142" s="28" t="str">
        <f aca="false">IF(OR(B142="",C142=""),"",F142&amp;" | "&amp;C142)</f>
        <v/>
      </c>
      <c r="H142" s="27" t="str">
        <f aca="false">IF(G142="","",IFERROR(INDEX(Levels!$C$5:$C$94,MATCH(G142,Levels!$G$5:$G$94,0)),"Not this class's skill"))</f>
        <v/>
      </c>
    </row>
    <row r="143" customFormat="false" ht="15" hidden="false" customHeight="false" outlineLevel="0" collapsed="false">
      <c r="A143" s="23"/>
      <c r="B143" s="22"/>
      <c r="C143" s="22"/>
      <c r="D143" s="22"/>
      <c r="E143" s="22"/>
      <c r="F143" s="27" t="str">
        <f aca="false">IF(B143="","",IFERROR(INDEX(Roster!$B$5:$B$154,MATCH(B143,Roster!$A$5:$A$154,0)),"Not on roster"))</f>
        <v/>
      </c>
      <c r="G143" s="28" t="str">
        <f aca="false">IF(OR(B143="",C143=""),"",F143&amp;" | "&amp;C143)</f>
        <v/>
      </c>
      <c r="H143" s="27" t="str">
        <f aca="false">IF(G143="","",IFERROR(INDEX(Levels!$C$5:$C$94,MATCH(G143,Levels!$G$5:$G$94,0)),"Not this class's skill"))</f>
        <v/>
      </c>
    </row>
    <row r="144" customFormat="false" ht="15" hidden="false" customHeight="false" outlineLevel="0" collapsed="false">
      <c r="A144" s="23"/>
      <c r="B144" s="22"/>
      <c r="C144" s="22"/>
      <c r="D144" s="22"/>
      <c r="E144" s="22"/>
      <c r="F144" s="27" t="str">
        <f aca="false">IF(B144="","",IFERROR(INDEX(Roster!$B$5:$B$154,MATCH(B144,Roster!$A$5:$A$154,0)),"Not on roster"))</f>
        <v/>
      </c>
      <c r="G144" s="28" t="str">
        <f aca="false">IF(OR(B144="",C144=""),"",F144&amp;" | "&amp;C144)</f>
        <v/>
      </c>
      <c r="H144" s="27" t="str">
        <f aca="false">IF(G144="","",IFERROR(INDEX(Levels!$C$5:$C$94,MATCH(G144,Levels!$G$5:$G$94,0)),"Not this class's skill"))</f>
        <v/>
      </c>
    </row>
    <row r="145" customFormat="false" ht="15" hidden="false" customHeight="false" outlineLevel="0" collapsed="false">
      <c r="A145" s="23"/>
      <c r="B145" s="22"/>
      <c r="C145" s="22"/>
      <c r="D145" s="22"/>
      <c r="E145" s="22"/>
      <c r="F145" s="27" t="str">
        <f aca="false">IF(B145="","",IFERROR(INDEX(Roster!$B$5:$B$154,MATCH(B145,Roster!$A$5:$A$154,0)),"Not on roster"))</f>
        <v/>
      </c>
      <c r="G145" s="28" t="str">
        <f aca="false">IF(OR(B145="",C145=""),"",F145&amp;" | "&amp;C145)</f>
        <v/>
      </c>
      <c r="H145" s="27" t="str">
        <f aca="false">IF(G145="","",IFERROR(INDEX(Levels!$C$5:$C$94,MATCH(G145,Levels!$G$5:$G$94,0)),"Not this class's skill"))</f>
        <v/>
      </c>
    </row>
    <row r="146" customFormat="false" ht="15" hidden="false" customHeight="false" outlineLevel="0" collapsed="false">
      <c r="A146" s="23"/>
      <c r="B146" s="22"/>
      <c r="C146" s="22"/>
      <c r="D146" s="22"/>
      <c r="E146" s="22"/>
      <c r="F146" s="27" t="str">
        <f aca="false">IF(B146="","",IFERROR(INDEX(Roster!$B$5:$B$154,MATCH(B146,Roster!$A$5:$A$154,0)),"Not on roster"))</f>
        <v/>
      </c>
      <c r="G146" s="28" t="str">
        <f aca="false">IF(OR(B146="",C146=""),"",F146&amp;" | "&amp;C146)</f>
        <v/>
      </c>
      <c r="H146" s="27" t="str">
        <f aca="false">IF(G146="","",IFERROR(INDEX(Levels!$C$5:$C$94,MATCH(G146,Levels!$G$5:$G$94,0)),"Not this class's skill"))</f>
        <v/>
      </c>
    </row>
    <row r="147" customFormat="false" ht="15" hidden="false" customHeight="false" outlineLevel="0" collapsed="false">
      <c r="A147" s="23"/>
      <c r="B147" s="22"/>
      <c r="C147" s="22"/>
      <c r="D147" s="22"/>
      <c r="E147" s="22"/>
      <c r="F147" s="27" t="str">
        <f aca="false">IF(B147="","",IFERROR(INDEX(Roster!$B$5:$B$154,MATCH(B147,Roster!$A$5:$A$154,0)),"Not on roster"))</f>
        <v/>
      </c>
      <c r="G147" s="28" t="str">
        <f aca="false">IF(OR(B147="",C147=""),"",F147&amp;" | "&amp;C147)</f>
        <v/>
      </c>
      <c r="H147" s="27" t="str">
        <f aca="false">IF(G147="","",IFERROR(INDEX(Levels!$C$5:$C$94,MATCH(G147,Levels!$G$5:$G$94,0)),"Not this class's skill"))</f>
        <v/>
      </c>
    </row>
    <row r="148" customFormat="false" ht="15" hidden="false" customHeight="false" outlineLevel="0" collapsed="false">
      <c r="A148" s="23"/>
      <c r="B148" s="22"/>
      <c r="C148" s="22"/>
      <c r="D148" s="22"/>
      <c r="E148" s="22"/>
      <c r="F148" s="27" t="str">
        <f aca="false">IF(B148="","",IFERROR(INDEX(Roster!$B$5:$B$154,MATCH(B148,Roster!$A$5:$A$154,0)),"Not on roster"))</f>
        <v/>
      </c>
      <c r="G148" s="28" t="str">
        <f aca="false">IF(OR(B148="",C148=""),"",F148&amp;" | "&amp;C148)</f>
        <v/>
      </c>
      <c r="H148" s="27" t="str">
        <f aca="false">IF(G148="","",IFERROR(INDEX(Levels!$C$5:$C$94,MATCH(G148,Levels!$G$5:$G$94,0)),"Not this class's skill"))</f>
        <v/>
      </c>
    </row>
    <row r="149" customFormat="false" ht="15" hidden="false" customHeight="false" outlineLevel="0" collapsed="false">
      <c r="A149" s="23"/>
      <c r="B149" s="22"/>
      <c r="C149" s="22"/>
      <c r="D149" s="22"/>
      <c r="E149" s="22"/>
      <c r="F149" s="27" t="str">
        <f aca="false">IF(B149="","",IFERROR(INDEX(Roster!$B$5:$B$154,MATCH(B149,Roster!$A$5:$A$154,0)),"Not on roster"))</f>
        <v/>
      </c>
      <c r="G149" s="28" t="str">
        <f aca="false">IF(OR(B149="",C149=""),"",F149&amp;" | "&amp;C149)</f>
        <v/>
      </c>
      <c r="H149" s="27" t="str">
        <f aca="false">IF(G149="","",IFERROR(INDEX(Levels!$C$5:$C$94,MATCH(G149,Levels!$G$5:$G$94,0)),"Not this class's skill"))</f>
        <v/>
      </c>
    </row>
    <row r="150" customFormat="false" ht="15" hidden="false" customHeight="false" outlineLevel="0" collapsed="false">
      <c r="A150" s="23"/>
      <c r="B150" s="22"/>
      <c r="C150" s="22"/>
      <c r="D150" s="22"/>
      <c r="E150" s="22"/>
      <c r="F150" s="27" t="str">
        <f aca="false">IF(B150="","",IFERROR(INDEX(Roster!$B$5:$B$154,MATCH(B150,Roster!$A$5:$A$154,0)),"Not on roster"))</f>
        <v/>
      </c>
      <c r="G150" s="28" t="str">
        <f aca="false">IF(OR(B150="",C150=""),"",F150&amp;" | "&amp;C150)</f>
        <v/>
      </c>
      <c r="H150" s="27" t="str">
        <f aca="false">IF(G150="","",IFERROR(INDEX(Levels!$C$5:$C$94,MATCH(G150,Levels!$G$5:$G$94,0)),"Not this class's skill"))</f>
        <v/>
      </c>
    </row>
    <row r="151" customFormat="false" ht="15" hidden="false" customHeight="false" outlineLevel="0" collapsed="false">
      <c r="A151" s="23"/>
      <c r="B151" s="22"/>
      <c r="C151" s="22"/>
      <c r="D151" s="22"/>
      <c r="E151" s="22"/>
      <c r="F151" s="27" t="str">
        <f aca="false">IF(B151="","",IFERROR(INDEX(Roster!$B$5:$B$154,MATCH(B151,Roster!$A$5:$A$154,0)),"Not on roster"))</f>
        <v/>
      </c>
      <c r="G151" s="28" t="str">
        <f aca="false">IF(OR(B151="",C151=""),"",F151&amp;" | "&amp;C151)</f>
        <v/>
      </c>
      <c r="H151" s="27" t="str">
        <f aca="false">IF(G151="","",IFERROR(INDEX(Levels!$C$5:$C$94,MATCH(G151,Levels!$G$5:$G$94,0)),"Not this class's skill"))</f>
        <v/>
      </c>
    </row>
    <row r="152" customFormat="false" ht="15" hidden="false" customHeight="false" outlineLevel="0" collapsed="false">
      <c r="A152" s="23"/>
      <c r="B152" s="22"/>
      <c r="C152" s="22"/>
      <c r="D152" s="22"/>
      <c r="E152" s="22"/>
      <c r="F152" s="27" t="str">
        <f aca="false">IF(B152="","",IFERROR(INDEX(Roster!$B$5:$B$154,MATCH(B152,Roster!$A$5:$A$154,0)),"Not on roster"))</f>
        <v/>
      </c>
      <c r="G152" s="28" t="str">
        <f aca="false">IF(OR(B152="",C152=""),"",F152&amp;" | "&amp;C152)</f>
        <v/>
      </c>
      <c r="H152" s="27" t="str">
        <f aca="false">IF(G152="","",IFERROR(INDEX(Levels!$C$5:$C$94,MATCH(G152,Levels!$G$5:$G$94,0)),"Not this class's skill"))</f>
        <v/>
      </c>
    </row>
    <row r="153" customFormat="false" ht="15" hidden="false" customHeight="false" outlineLevel="0" collapsed="false">
      <c r="A153" s="23"/>
      <c r="B153" s="22"/>
      <c r="C153" s="22"/>
      <c r="D153" s="22"/>
      <c r="E153" s="22"/>
      <c r="F153" s="27" t="str">
        <f aca="false">IF(B153="","",IFERROR(INDEX(Roster!$B$5:$B$154,MATCH(B153,Roster!$A$5:$A$154,0)),"Not on roster"))</f>
        <v/>
      </c>
      <c r="G153" s="28" t="str">
        <f aca="false">IF(OR(B153="",C153=""),"",F153&amp;" | "&amp;C153)</f>
        <v/>
      </c>
      <c r="H153" s="27" t="str">
        <f aca="false">IF(G153="","",IFERROR(INDEX(Levels!$C$5:$C$94,MATCH(G153,Levels!$G$5:$G$94,0)),"Not this class's skill"))</f>
        <v/>
      </c>
    </row>
    <row r="154" customFormat="false" ht="15" hidden="false" customHeight="false" outlineLevel="0" collapsed="false">
      <c r="A154" s="23"/>
      <c r="B154" s="22"/>
      <c r="C154" s="22"/>
      <c r="D154" s="22"/>
      <c r="E154" s="22"/>
      <c r="F154" s="27" t="str">
        <f aca="false">IF(B154="","",IFERROR(INDEX(Roster!$B$5:$B$154,MATCH(B154,Roster!$A$5:$A$154,0)),"Not on roster"))</f>
        <v/>
      </c>
      <c r="G154" s="28" t="str">
        <f aca="false">IF(OR(B154="",C154=""),"",F154&amp;" | "&amp;C154)</f>
        <v/>
      </c>
      <c r="H154" s="27" t="str">
        <f aca="false">IF(G154="","",IFERROR(INDEX(Levels!$C$5:$C$94,MATCH(G154,Levels!$G$5:$G$94,0)),"Not this class's skill"))</f>
        <v/>
      </c>
    </row>
    <row r="155" customFormat="false" ht="15" hidden="false" customHeight="false" outlineLevel="0" collapsed="false">
      <c r="A155" s="23"/>
      <c r="B155" s="22"/>
      <c r="C155" s="22"/>
      <c r="D155" s="22"/>
      <c r="E155" s="22"/>
      <c r="F155" s="27" t="str">
        <f aca="false">IF(B155="","",IFERROR(INDEX(Roster!$B$5:$B$154,MATCH(B155,Roster!$A$5:$A$154,0)),"Not on roster"))</f>
        <v/>
      </c>
      <c r="G155" s="28" t="str">
        <f aca="false">IF(OR(B155="",C155=""),"",F155&amp;" | "&amp;C155)</f>
        <v/>
      </c>
      <c r="H155" s="27" t="str">
        <f aca="false">IF(G155="","",IFERROR(INDEX(Levels!$C$5:$C$94,MATCH(G155,Levels!$G$5:$G$94,0)),"Not this class's skill"))</f>
        <v/>
      </c>
    </row>
    <row r="156" customFormat="false" ht="15" hidden="false" customHeight="false" outlineLevel="0" collapsed="false">
      <c r="A156" s="23"/>
      <c r="B156" s="22"/>
      <c r="C156" s="22"/>
      <c r="D156" s="22"/>
      <c r="E156" s="22"/>
      <c r="F156" s="27" t="str">
        <f aca="false">IF(B156="","",IFERROR(INDEX(Roster!$B$5:$B$154,MATCH(B156,Roster!$A$5:$A$154,0)),"Not on roster"))</f>
        <v/>
      </c>
      <c r="G156" s="28" t="str">
        <f aca="false">IF(OR(B156="",C156=""),"",F156&amp;" | "&amp;C156)</f>
        <v/>
      </c>
      <c r="H156" s="27" t="str">
        <f aca="false">IF(G156="","",IFERROR(INDEX(Levels!$C$5:$C$94,MATCH(G156,Levels!$G$5:$G$94,0)),"Not this class's skill"))</f>
        <v/>
      </c>
    </row>
    <row r="157" customFormat="false" ht="15" hidden="false" customHeight="false" outlineLevel="0" collapsed="false">
      <c r="A157" s="23"/>
      <c r="B157" s="22"/>
      <c r="C157" s="22"/>
      <c r="D157" s="22"/>
      <c r="E157" s="22"/>
      <c r="F157" s="27" t="str">
        <f aca="false">IF(B157="","",IFERROR(INDEX(Roster!$B$5:$B$154,MATCH(B157,Roster!$A$5:$A$154,0)),"Not on roster"))</f>
        <v/>
      </c>
      <c r="G157" s="28" t="str">
        <f aca="false">IF(OR(B157="",C157=""),"",F157&amp;" | "&amp;C157)</f>
        <v/>
      </c>
      <c r="H157" s="27" t="str">
        <f aca="false">IF(G157="","",IFERROR(INDEX(Levels!$C$5:$C$94,MATCH(G157,Levels!$G$5:$G$94,0)),"Not this class's skill"))</f>
        <v/>
      </c>
    </row>
    <row r="158" customFormat="false" ht="15" hidden="false" customHeight="false" outlineLevel="0" collapsed="false">
      <c r="A158" s="23"/>
      <c r="B158" s="22"/>
      <c r="C158" s="22"/>
      <c r="D158" s="22"/>
      <c r="E158" s="22"/>
      <c r="F158" s="27" t="str">
        <f aca="false">IF(B158="","",IFERROR(INDEX(Roster!$B$5:$B$154,MATCH(B158,Roster!$A$5:$A$154,0)),"Not on roster"))</f>
        <v/>
      </c>
      <c r="G158" s="28" t="str">
        <f aca="false">IF(OR(B158="",C158=""),"",F158&amp;" | "&amp;C158)</f>
        <v/>
      </c>
      <c r="H158" s="27" t="str">
        <f aca="false">IF(G158="","",IFERROR(INDEX(Levels!$C$5:$C$94,MATCH(G158,Levels!$G$5:$G$94,0)),"Not this class's skill"))</f>
        <v/>
      </c>
    </row>
    <row r="159" customFormat="false" ht="15" hidden="false" customHeight="false" outlineLevel="0" collapsed="false">
      <c r="A159" s="23"/>
      <c r="B159" s="22"/>
      <c r="C159" s="22"/>
      <c r="D159" s="22"/>
      <c r="E159" s="22"/>
      <c r="F159" s="27" t="str">
        <f aca="false">IF(B159="","",IFERROR(INDEX(Roster!$B$5:$B$154,MATCH(B159,Roster!$A$5:$A$154,0)),"Not on roster"))</f>
        <v/>
      </c>
      <c r="G159" s="28" t="str">
        <f aca="false">IF(OR(B159="",C159=""),"",F159&amp;" | "&amp;C159)</f>
        <v/>
      </c>
      <c r="H159" s="27" t="str">
        <f aca="false">IF(G159="","",IFERROR(INDEX(Levels!$C$5:$C$94,MATCH(G159,Levels!$G$5:$G$94,0)),"Not this class's skill"))</f>
        <v/>
      </c>
    </row>
    <row r="160" customFormat="false" ht="15" hidden="false" customHeight="false" outlineLevel="0" collapsed="false">
      <c r="A160" s="23"/>
      <c r="B160" s="22"/>
      <c r="C160" s="22"/>
      <c r="D160" s="22"/>
      <c r="E160" s="22"/>
      <c r="F160" s="27" t="str">
        <f aca="false">IF(B160="","",IFERROR(INDEX(Roster!$B$5:$B$154,MATCH(B160,Roster!$A$5:$A$154,0)),"Not on roster"))</f>
        <v/>
      </c>
      <c r="G160" s="28" t="str">
        <f aca="false">IF(OR(B160="",C160=""),"",F160&amp;" | "&amp;C160)</f>
        <v/>
      </c>
      <c r="H160" s="27" t="str">
        <f aca="false">IF(G160="","",IFERROR(INDEX(Levels!$C$5:$C$94,MATCH(G160,Levels!$G$5:$G$94,0)),"Not this class's skill"))</f>
        <v/>
      </c>
    </row>
    <row r="161" customFormat="false" ht="15" hidden="false" customHeight="false" outlineLevel="0" collapsed="false">
      <c r="A161" s="23"/>
      <c r="B161" s="22"/>
      <c r="C161" s="22"/>
      <c r="D161" s="22"/>
      <c r="E161" s="22"/>
      <c r="F161" s="27" t="str">
        <f aca="false">IF(B161="","",IFERROR(INDEX(Roster!$B$5:$B$154,MATCH(B161,Roster!$A$5:$A$154,0)),"Not on roster"))</f>
        <v/>
      </c>
      <c r="G161" s="28" t="str">
        <f aca="false">IF(OR(B161="",C161=""),"",F161&amp;" | "&amp;C161)</f>
        <v/>
      </c>
      <c r="H161" s="27" t="str">
        <f aca="false">IF(G161="","",IFERROR(INDEX(Levels!$C$5:$C$94,MATCH(G161,Levels!$G$5:$G$94,0)),"Not this class's skill"))</f>
        <v/>
      </c>
    </row>
    <row r="162" customFormat="false" ht="15" hidden="false" customHeight="false" outlineLevel="0" collapsed="false">
      <c r="A162" s="23"/>
      <c r="B162" s="22"/>
      <c r="C162" s="22"/>
      <c r="D162" s="22"/>
      <c r="E162" s="22"/>
      <c r="F162" s="27" t="str">
        <f aca="false">IF(B162="","",IFERROR(INDEX(Roster!$B$5:$B$154,MATCH(B162,Roster!$A$5:$A$154,0)),"Not on roster"))</f>
        <v/>
      </c>
      <c r="G162" s="28" t="str">
        <f aca="false">IF(OR(B162="",C162=""),"",F162&amp;" | "&amp;C162)</f>
        <v/>
      </c>
      <c r="H162" s="27" t="str">
        <f aca="false">IF(G162="","",IFERROR(INDEX(Levels!$C$5:$C$94,MATCH(G162,Levels!$G$5:$G$94,0)),"Not this class's skill"))</f>
        <v/>
      </c>
    </row>
    <row r="163" customFormat="false" ht="15" hidden="false" customHeight="false" outlineLevel="0" collapsed="false">
      <c r="A163" s="23"/>
      <c r="B163" s="22"/>
      <c r="C163" s="22"/>
      <c r="D163" s="22"/>
      <c r="E163" s="22"/>
      <c r="F163" s="27" t="str">
        <f aca="false">IF(B163="","",IFERROR(INDEX(Roster!$B$5:$B$154,MATCH(B163,Roster!$A$5:$A$154,0)),"Not on roster"))</f>
        <v/>
      </c>
      <c r="G163" s="28" t="str">
        <f aca="false">IF(OR(B163="",C163=""),"",F163&amp;" | "&amp;C163)</f>
        <v/>
      </c>
      <c r="H163" s="27" t="str">
        <f aca="false">IF(G163="","",IFERROR(INDEX(Levels!$C$5:$C$94,MATCH(G163,Levels!$G$5:$G$94,0)),"Not this class's skill"))</f>
        <v/>
      </c>
    </row>
    <row r="164" customFormat="false" ht="15" hidden="false" customHeight="false" outlineLevel="0" collapsed="false">
      <c r="A164" s="23"/>
      <c r="B164" s="22"/>
      <c r="C164" s="22"/>
      <c r="D164" s="22"/>
      <c r="E164" s="22"/>
      <c r="F164" s="27" t="str">
        <f aca="false">IF(B164="","",IFERROR(INDEX(Roster!$B$5:$B$154,MATCH(B164,Roster!$A$5:$A$154,0)),"Not on roster"))</f>
        <v/>
      </c>
      <c r="G164" s="28" t="str">
        <f aca="false">IF(OR(B164="",C164=""),"",F164&amp;" | "&amp;C164)</f>
        <v/>
      </c>
      <c r="H164" s="27" t="str">
        <f aca="false">IF(G164="","",IFERROR(INDEX(Levels!$C$5:$C$94,MATCH(G164,Levels!$G$5:$G$94,0)),"Not this class's skill"))</f>
        <v/>
      </c>
    </row>
    <row r="165" customFormat="false" ht="15" hidden="false" customHeight="false" outlineLevel="0" collapsed="false">
      <c r="A165" s="23"/>
      <c r="B165" s="22"/>
      <c r="C165" s="22"/>
      <c r="D165" s="22"/>
      <c r="E165" s="22"/>
      <c r="F165" s="27" t="str">
        <f aca="false">IF(B165="","",IFERROR(INDEX(Roster!$B$5:$B$154,MATCH(B165,Roster!$A$5:$A$154,0)),"Not on roster"))</f>
        <v/>
      </c>
      <c r="G165" s="28" t="str">
        <f aca="false">IF(OR(B165="",C165=""),"",F165&amp;" | "&amp;C165)</f>
        <v/>
      </c>
      <c r="H165" s="27" t="str">
        <f aca="false">IF(G165="","",IFERROR(INDEX(Levels!$C$5:$C$94,MATCH(G165,Levels!$G$5:$G$94,0)),"Not this class's skill"))</f>
        <v/>
      </c>
    </row>
    <row r="166" customFormat="false" ht="15" hidden="false" customHeight="false" outlineLevel="0" collapsed="false">
      <c r="A166" s="23"/>
      <c r="B166" s="22"/>
      <c r="C166" s="22"/>
      <c r="D166" s="22"/>
      <c r="E166" s="22"/>
      <c r="F166" s="27" t="str">
        <f aca="false">IF(B166="","",IFERROR(INDEX(Roster!$B$5:$B$154,MATCH(B166,Roster!$A$5:$A$154,0)),"Not on roster"))</f>
        <v/>
      </c>
      <c r="G166" s="28" t="str">
        <f aca="false">IF(OR(B166="",C166=""),"",F166&amp;" | "&amp;C166)</f>
        <v/>
      </c>
      <c r="H166" s="27" t="str">
        <f aca="false">IF(G166="","",IFERROR(INDEX(Levels!$C$5:$C$94,MATCH(G166,Levels!$G$5:$G$94,0)),"Not this class's skill"))</f>
        <v/>
      </c>
    </row>
    <row r="167" customFormat="false" ht="15" hidden="false" customHeight="false" outlineLevel="0" collapsed="false">
      <c r="A167" s="23"/>
      <c r="B167" s="22"/>
      <c r="C167" s="22"/>
      <c r="D167" s="22"/>
      <c r="E167" s="22"/>
      <c r="F167" s="27" t="str">
        <f aca="false">IF(B167="","",IFERROR(INDEX(Roster!$B$5:$B$154,MATCH(B167,Roster!$A$5:$A$154,0)),"Not on roster"))</f>
        <v/>
      </c>
      <c r="G167" s="28" t="str">
        <f aca="false">IF(OR(B167="",C167=""),"",F167&amp;" | "&amp;C167)</f>
        <v/>
      </c>
      <c r="H167" s="27" t="str">
        <f aca="false">IF(G167="","",IFERROR(INDEX(Levels!$C$5:$C$94,MATCH(G167,Levels!$G$5:$G$94,0)),"Not this class's skill"))</f>
        <v/>
      </c>
    </row>
    <row r="168" customFormat="false" ht="15" hidden="false" customHeight="false" outlineLevel="0" collapsed="false">
      <c r="A168" s="23"/>
      <c r="B168" s="22"/>
      <c r="C168" s="22"/>
      <c r="D168" s="22"/>
      <c r="E168" s="22"/>
      <c r="F168" s="27" t="str">
        <f aca="false">IF(B168="","",IFERROR(INDEX(Roster!$B$5:$B$154,MATCH(B168,Roster!$A$5:$A$154,0)),"Not on roster"))</f>
        <v/>
      </c>
      <c r="G168" s="28" t="str">
        <f aca="false">IF(OR(B168="",C168=""),"",F168&amp;" | "&amp;C168)</f>
        <v/>
      </c>
      <c r="H168" s="27" t="str">
        <f aca="false">IF(G168="","",IFERROR(INDEX(Levels!$C$5:$C$94,MATCH(G168,Levels!$G$5:$G$94,0)),"Not this class's skill"))</f>
        <v/>
      </c>
    </row>
    <row r="169" customFormat="false" ht="15" hidden="false" customHeight="false" outlineLevel="0" collapsed="false">
      <c r="A169" s="23"/>
      <c r="B169" s="22"/>
      <c r="C169" s="22"/>
      <c r="D169" s="22"/>
      <c r="E169" s="22"/>
      <c r="F169" s="27" t="str">
        <f aca="false">IF(B169="","",IFERROR(INDEX(Roster!$B$5:$B$154,MATCH(B169,Roster!$A$5:$A$154,0)),"Not on roster"))</f>
        <v/>
      </c>
      <c r="G169" s="28" t="str">
        <f aca="false">IF(OR(B169="",C169=""),"",F169&amp;" | "&amp;C169)</f>
        <v/>
      </c>
      <c r="H169" s="27" t="str">
        <f aca="false">IF(G169="","",IFERROR(INDEX(Levels!$C$5:$C$94,MATCH(G169,Levels!$G$5:$G$94,0)),"Not this class's skill"))</f>
        <v/>
      </c>
    </row>
    <row r="170" customFormat="false" ht="15" hidden="false" customHeight="false" outlineLevel="0" collapsed="false">
      <c r="A170" s="23"/>
      <c r="B170" s="22"/>
      <c r="C170" s="22"/>
      <c r="D170" s="22"/>
      <c r="E170" s="22"/>
      <c r="F170" s="27" t="str">
        <f aca="false">IF(B170="","",IFERROR(INDEX(Roster!$B$5:$B$154,MATCH(B170,Roster!$A$5:$A$154,0)),"Not on roster"))</f>
        <v/>
      </c>
      <c r="G170" s="28" t="str">
        <f aca="false">IF(OR(B170="",C170=""),"",F170&amp;" | "&amp;C170)</f>
        <v/>
      </c>
      <c r="H170" s="27" t="str">
        <f aca="false">IF(G170="","",IFERROR(INDEX(Levels!$C$5:$C$94,MATCH(G170,Levels!$G$5:$G$94,0)),"Not this class's skill"))</f>
        <v/>
      </c>
    </row>
    <row r="171" customFormat="false" ht="15" hidden="false" customHeight="false" outlineLevel="0" collapsed="false">
      <c r="A171" s="23"/>
      <c r="B171" s="22"/>
      <c r="C171" s="22"/>
      <c r="D171" s="22"/>
      <c r="E171" s="22"/>
      <c r="F171" s="27" t="str">
        <f aca="false">IF(B171="","",IFERROR(INDEX(Roster!$B$5:$B$154,MATCH(B171,Roster!$A$5:$A$154,0)),"Not on roster"))</f>
        <v/>
      </c>
      <c r="G171" s="28" t="str">
        <f aca="false">IF(OR(B171="",C171=""),"",F171&amp;" | "&amp;C171)</f>
        <v/>
      </c>
      <c r="H171" s="27" t="str">
        <f aca="false">IF(G171="","",IFERROR(INDEX(Levels!$C$5:$C$94,MATCH(G171,Levels!$G$5:$G$94,0)),"Not this class's skill"))</f>
        <v/>
      </c>
    </row>
    <row r="172" customFormat="false" ht="15" hidden="false" customHeight="false" outlineLevel="0" collapsed="false">
      <c r="A172" s="23"/>
      <c r="B172" s="22"/>
      <c r="C172" s="22"/>
      <c r="D172" s="22"/>
      <c r="E172" s="22"/>
      <c r="F172" s="27" t="str">
        <f aca="false">IF(B172="","",IFERROR(INDEX(Roster!$B$5:$B$154,MATCH(B172,Roster!$A$5:$A$154,0)),"Not on roster"))</f>
        <v/>
      </c>
      <c r="G172" s="28" t="str">
        <f aca="false">IF(OR(B172="",C172=""),"",F172&amp;" | "&amp;C172)</f>
        <v/>
      </c>
      <c r="H172" s="27" t="str">
        <f aca="false">IF(G172="","",IFERROR(INDEX(Levels!$C$5:$C$94,MATCH(G172,Levels!$G$5:$G$94,0)),"Not this class's skill"))</f>
        <v/>
      </c>
    </row>
    <row r="173" customFormat="false" ht="15" hidden="false" customHeight="false" outlineLevel="0" collapsed="false">
      <c r="A173" s="23"/>
      <c r="B173" s="22"/>
      <c r="C173" s="22"/>
      <c r="D173" s="22"/>
      <c r="E173" s="22"/>
      <c r="F173" s="27" t="str">
        <f aca="false">IF(B173="","",IFERROR(INDEX(Roster!$B$5:$B$154,MATCH(B173,Roster!$A$5:$A$154,0)),"Not on roster"))</f>
        <v/>
      </c>
      <c r="G173" s="28" t="str">
        <f aca="false">IF(OR(B173="",C173=""),"",F173&amp;" | "&amp;C173)</f>
        <v/>
      </c>
      <c r="H173" s="27" t="str">
        <f aca="false">IF(G173="","",IFERROR(INDEX(Levels!$C$5:$C$94,MATCH(G173,Levels!$G$5:$G$94,0)),"Not this class's skill"))</f>
        <v/>
      </c>
    </row>
    <row r="174" customFormat="false" ht="15" hidden="false" customHeight="false" outlineLevel="0" collapsed="false">
      <c r="A174" s="23"/>
      <c r="B174" s="22"/>
      <c r="C174" s="22"/>
      <c r="D174" s="22"/>
      <c r="E174" s="22"/>
      <c r="F174" s="27" t="str">
        <f aca="false">IF(B174="","",IFERROR(INDEX(Roster!$B$5:$B$154,MATCH(B174,Roster!$A$5:$A$154,0)),"Not on roster"))</f>
        <v/>
      </c>
      <c r="G174" s="28" t="str">
        <f aca="false">IF(OR(B174="",C174=""),"",F174&amp;" | "&amp;C174)</f>
        <v/>
      </c>
      <c r="H174" s="27" t="str">
        <f aca="false">IF(G174="","",IFERROR(INDEX(Levels!$C$5:$C$94,MATCH(G174,Levels!$G$5:$G$94,0)),"Not this class's skill"))</f>
        <v/>
      </c>
    </row>
    <row r="175" customFormat="false" ht="15" hidden="false" customHeight="false" outlineLevel="0" collapsed="false">
      <c r="A175" s="23"/>
      <c r="B175" s="22"/>
      <c r="C175" s="22"/>
      <c r="D175" s="22"/>
      <c r="E175" s="22"/>
      <c r="F175" s="27" t="str">
        <f aca="false">IF(B175="","",IFERROR(INDEX(Roster!$B$5:$B$154,MATCH(B175,Roster!$A$5:$A$154,0)),"Not on roster"))</f>
        <v/>
      </c>
      <c r="G175" s="28" t="str">
        <f aca="false">IF(OR(B175="",C175=""),"",F175&amp;" | "&amp;C175)</f>
        <v/>
      </c>
      <c r="H175" s="27" t="str">
        <f aca="false">IF(G175="","",IFERROR(INDEX(Levels!$C$5:$C$94,MATCH(G175,Levels!$G$5:$G$94,0)),"Not this class's skill"))</f>
        <v/>
      </c>
    </row>
    <row r="176" customFormat="false" ht="15" hidden="false" customHeight="false" outlineLevel="0" collapsed="false">
      <c r="A176" s="23"/>
      <c r="B176" s="22"/>
      <c r="C176" s="22"/>
      <c r="D176" s="22"/>
      <c r="E176" s="22"/>
      <c r="F176" s="27" t="str">
        <f aca="false">IF(B176="","",IFERROR(INDEX(Roster!$B$5:$B$154,MATCH(B176,Roster!$A$5:$A$154,0)),"Not on roster"))</f>
        <v/>
      </c>
      <c r="G176" s="28" t="str">
        <f aca="false">IF(OR(B176="",C176=""),"",F176&amp;" | "&amp;C176)</f>
        <v/>
      </c>
      <c r="H176" s="27" t="str">
        <f aca="false">IF(G176="","",IFERROR(INDEX(Levels!$C$5:$C$94,MATCH(G176,Levels!$G$5:$G$94,0)),"Not this class's skill"))</f>
        <v/>
      </c>
    </row>
    <row r="177" customFormat="false" ht="15" hidden="false" customHeight="false" outlineLevel="0" collapsed="false">
      <c r="A177" s="23"/>
      <c r="B177" s="22"/>
      <c r="C177" s="22"/>
      <c r="D177" s="22"/>
      <c r="E177" s="22"/>
      <c r="F177" s="27" t="str">
        <f aca="false">IF(B177="","",IFERROR(INDEX(Roster!$B$5:$B$154,MATCH(B177,Roster!$A$5:$A$154,0)),"Not on roster"))</f>
        <v/>
      </c>
      <c r="G177" s="28" t="str">
        <f aca="false">IF(OR(B177="",C177=""),"",F177&amp;" | "&amp;C177)</f>
        <v/>
      </c>
      <c r="H177" s="27" t="str">
        <f aca="false">IF(G177="","",IFERROR(INDEX(Levels!$C$5:$C$94,MATCH(G177,Levels!$G$5:$G$94,0)),"Not this class's skill"))</f>
        <v/>
      </c>
    </row>
    <row r="178" customFormat="false" ht="15" hidden="false" customHeight="false" outlineLevel="0" collapsed="false">
      <c r="A178" s="23"/>
      <c r="B178" s="22"/>
      <c r="C178" s="22"/>
      <c r="D178" s="22"/>
      <c r="E178" s="22"/>
      <c r="F178" s="27" t="str">
        <f aca="false">IF(B178="","",IFERROR(INDEX(Roster!$B$5:$B$154,MATCH(B178,Roster!$A$5:$A$154,0)),"Not on roster"))</f>
        <v/>
      </c>
      <c r="G178" s="28" t="str">
        <f aca="false">IF(OR(B178="",C178=""),"",F178&amp;" | "&amp;C178)</f>
        <v/>
      </c>
      <c r="H178" s="27" t="str">
        <f aca="false">IF(G178="","",IFERROR(INDEX(Levels!$C$5:$C$94,MATCH(G178,Levels!$G$5:$G$94,0)),"Not this class's skill"))</f>
        <v/>
      </c>
    </row>
    <row r="179" customFormat="false" ht="15" hidden="false" customHeight="false" outlineLevel="0" collapsed="false">
      <c r="A179" s="23"/>
      <c r="B179" s="22"/>
      <c r="C179" s="22"/>
      <c r="D179" s="22"/>
      <c r="E179" s="22"/>
      <c r="F179" s="27" t="str">
        <f aca="false">IF(B179="","",IFERROR(INDEX(Roster!$B$5:$B$154,MATCH(B179,Roster!$A$5:$A$154,0)),"Not on roster"))</f>
        <v/>
      </c>
      <c r="G179" s="28" t="str">
        <f aca="false">IF(OR(B179="",C179=""),"",F179&amp;" | "&amp;C179)</f>
        <v/>
      </c>
      <c r="H179" s="27" t="str">
        <f aca="false">IF(G179="","",IFERROR(INDEX(Levels!$C$5:$C$94,MATCH(G179,Levels!$G$5:$G$94,0)),"Not this class's skill"))</f>
        <v/>
      </c>
    </row>
    <row r="180" customFormat="false" ht="15" hidden="false" customHeight="false" outlineLevel="0" collapsed="false">
      <c r="A180" s="23"/>
      <c r="B180" s="22"/>
      <c r="C180" s="22"/>
      <c r="D180" s="22"/>
      <c r="E180" s="22"/>
      <c r="F180" s="27" t="str">
        <f aca="false">IF(B180="","",IFERROR(INDEX(Roster!$B$5:$B$154,MATCH(B180,Roster!$A$5:$A$154,0)),"Not on roster"))</f>
        <v/>
      </c>
      <c r="G180" s="28" t="str">
        <f aca="false">IF(OR(B180="",C180=""),"",F180&amp;" | "&amp;C180)</f>
        <v/>
      </c>
      <c r="H180" s="27" t="str">
        <f aca="false">IF(G180="","",IFERROR(INDEX(Levels!$C$5:$C$94,MATCH(G180,Levels!$G$5:$G$94,0)),"Not this class's skill"))</f>
        <v/>
      </c>
    </row>
    <row r="181" customFormat="false" ht="15" hidden="false" customHeight="false" outlineLevel="0" collapsed="false">
      <c r="A181" s="23"/>
      <c r="B181" s="22"/>
      <c r="C181" s="22"/>
      <c r="D181" s="22"/>
      <c r="E181" s="22"/>
      <c r="F181" s="27" t="str">
        <f aca="false">IF(B181="","",IFERROR(INDEX(Roster!$B$5:$B$154,MATCH(B181,Roster!$A$5:$A$154,0)),"Not on roster"))</f>
        <v/>
      </c>
      <c r="G181" s="28" t="str">
        <f aca="false">IF(OR(B181="",C181=""),"",F181&amp;" | "&amp;C181)</f>
        <v/>
      </c>
      <c r="H181" s="27" t="str">
        <f aca="false">IF(G181="","",IFERROR(INDEX(Levels!$C$5:$C$94,MATCH(G181,Levels!$G$5:$G$94,0)),"Not this class's skill"))</f>
        <v/>
      </c>
    </row>
    <row r="182" customFormat="false" ht="15" hidden="false" customHeight="false" outlineLevel="0" collapsed="false">
      <c r="A182" s="23"/>
      <c r="B182" s="22"/>
      <c r="C182" s="22"/>
      <c r="D182" s="22"/>
      <c r="E182" s="22"/>
      <c r="F182" s="27" t="str">
        <f aca="false">IF(B182="","",IFERROR(INDEX(Roster!$B$5:$B$154,MATCH(B182,Roster!$A$5:$A$154,0)),"Not on roster"))</f>
        <v/>
      </c>
      <c r="G182" s="28" t="str">
        <f aca="false">IF(OR(B182="",C182=""),"",F182&amp;" | "&amp;C182)</f>
        <v/>
      </c>
      <c r="H182" s="27" t="str">
        <f aca="false">IF(G182="","",IFERROR(INDEX(Levels!$C$5:$C$94,MATCH(G182,Levels!$G$5:$G$94,0)),"Not this class's skill"))</f>
        <v/>
      </c>
    </row>
    <row r="183" customFormat="false" ht="15" hidden="false" customHeight="false" outlineLevel="0" collapsed="false">
      <c r="A183" s="23"/>
      <c r="B183" s="22"/>
      <c r="C183" s="22"/>
      <c r="D183" s="22"/>
      <c r="E183" s="22"/>
      <c r="F183" s="27" t="str">
        <f aca="false">IF(B183="","",IFERROR(INDEX(Roster!$B$5:$B$154,MATCH(B183,Roster!$A$5:$A$154,0)),"Not on roster"))</f>
        <v/>
      </c>
      <c r="G183" s="28" t="str">
        <f aca="false">IF(OR(B183="",C183=""),"",F183&amp;" | "&amp;C183)</f>
        <v/>
      </c>
      <c r="H183" s="27" t="str">
        <f aca="false">IF(G183="","",IFERROR(INDEX(Levels!$C$5:$C$94,MATCH(G183,Levels!$G$5:$G$94,0)),"Not this class's skill"))</f>
        <v/>
      </c>
    </row>
    <row r="184" customFormat="false" ht="15" hidden="false" customHeight="false" outlineLevel="0" collapsed="false">
      <c r="A184" s="23"/>
      <c r="B184" s="22"/>
      <c r="C184" s="22"/>
      <c r="D184" s="22"/>
      <c r="E184" s="22"/>
      <c r="F184" s="27" t="str">
        <f aca="false">IF(B184="","",IFERROR(INDEX(Roster!$B$5:$B$154,MATCH(B184,Roster!$A$5:$A$154,0)),"Not on roster"))</f>
        <v/>
      </c>
      <c r="G184" s="28" t="str">
        <f aca="false">IF(OR(B184="",C184=""),"",F184&amp;" | "&amp;C184)</f>
        <v/>
      </c>
      <c r="H184" s="27" t="str">
        <f aca="false">IF(G184="","",IFERROR(INDEX(Levels!$C$5:$C$94,MATCH(G184,Levels!$G$5:$G$94,0)),"Not this class's skill"))</f>
        <v/>
      </c>
    </row>
    <row r="185" customFormat="false" ht="15" hidden="false" customHeight="false" outlineLevel="0" collapsed="false">
      <c r="A185" s="23"/>
      <c r="B185" s="22"/>
      <c r="C185" s="22"/>
      <c r="D185" s="22"/>
      <c r="E185" s="22"/>
      <c r="F185" s="27" t="str">
        <f aca="false">IF(B185="","",IFERROR(INDEX(Roster!$B$5:$B$154,MATCH(B185,Roster!$A$5:$A$154,0)),"Not on roster"))</f>
        <v/>
      </c>
      <c r="G185" s="28" t="str">
        <f aca="false">IF(OR(B185="",C185=""),"",F185&amp;" | "&amp;C185)</f>
        <v/>
      </c>
      <c r="H185" s="27" t="str">
        <f aca="false">IF(G185="","",IFERROR(INDEX(Levels!$C$5:$C$94,MATCH(G185,Levels!$G$5:$G$94,0)),"Not this class's skill"))</f>
        <v/>
      </c>
    </row>
    <row r="186" customFormat="false" ht="15" hidden="false" customHeight="false" outlineLevel="0" collapsed="false">
      <c r="A186" s="23"/>
      <c r="B186" s="22"/>
      <c r="C186" s="22"/>
      <c r="D186" s="22"/>
      <c r="E186" s="22"/>
      <c r="F186" s="27" t="str">
        <f aca="false">IF(B186="","",IFERROR(INDEX(Roster!$B$5:$B$154,MATCH(B186,Roster!$A$5:$A$154,0)),"Not on roster"))</f>
        <v/>
      </c>
      <c r="G186" s="28" t="str">
        <f aca="false">IF(OR(B186="",C186=""),"",F186&amp;" | "&amp;C186)</f>
        <v/>
      </c>
      <c r="H186" s="27" t="str">
        <f aca="false">IF(G186="","",IFERROR(INDEX(Levels!$C$5:$C$94,MATCH(G186,Levels!$G$5:$G$94,0)),"Not this class's skill"))</f>
        <v/>
      </c>
    </row>
    <row r="187" customFormat="false" ht="15" hidden="false" customHeight="false" outlineLevel="0" collapsed="false">
      <c r="A187" s="23"/>
      <c r="B187" s="22"/>
      <c r="C187" s="22"/>
      <c r="D187" s="22"/>
      <c r="E187" s="22"/>
      <c r="F187" s="27" t="str">
        <f aca="false">IF(B187="","",IFERROR(INDEX(Roster!$B$5:$B$154,MATCH(B187,Roster!$A$5:$A$154,0)),"Not on roster"))</f>
        <v/>
      </c>
      <c r="G187" s="28" t="str">
        <f aca="false">IF(OR(B187="",C187=""),"",F187&amp;" | "&amp;C187)</f>
        <v/>
      </c>
      <c r="H187" s="27" t="str">
        <f aca="false">IF(G187="","",IFERROR(INDEX(Levels!$C$5:$C$94,MATCH(G187,Levels!$G$5:$G$94,0)),"Not this class's skill"))</f>
        <v/>
      </c>
    </row>
    <row r="188" customFormat="false" ht="15" hidden="false" customHeight="false" outlineLevel="0" collapsed="false">
      <c r="A188" s="23"/>
      <c r="B188" s="22"/>
      <c r="C188" s="22"/>
      <c r="D188" s="22"/>
      <c r="E188" s="22"/>
      <c r="F188" s="27" t="str">
        <f aca="false">IF(B188="","",IFERROR(INDEX(Roster!$B$5:$B$154,MATCH(B188,Roster!$A$5:$A$154,0)),"Not on roster"))</f>
        <v/>
      </c>
      <c r="G188" s="28" t="str">
        <f aca="false">IF(OR(B188="",C188=""),"",F188&amp;" | "&amp;C188)</f>
        <v/>
      </c>
      <c r="H188" s="27" t="str">
        <f aca="false">IF(G188="","",IFERROR(INDEX(Levels!$C$5:$C$94,MATCH(G188,Levels!$G$5:$G$94,0)),"Not this class's skill"))</f>
        <v/>
      </c>
    </row>
    <row r="189" customFormat="false" ht="15" hidden="false" customHeight="false" outlineLevel="0" collapsed="false">
      <c r="A189" s="23"/>
      <c r="B189" s="22"/>
      <c r="C189" s="22"/>
      <c r="D189" s="22"/>
      <c r="E189" s="22"/>
      <c r="F189" s="27" t="str">
        <f aca="false">IF(B189="","",IFERROR(INDEX(Roster!$B$5:$B$154,MATCH(B189,Roster!$A$5:$A$154,0)),"Not on roster"))</f>
        <v/>
      </c>
      <c r="G189" s="28" t="str">
        <f aca="false">IF(OR(B189="",C189=""),"",F189&amp;" | "&amp;C189)</f>
        <v/>
      </c>
      <c r="H189" s="27" t="str">
        <f aca="false">IF(G189="","",IFERROR(INDEX(Levels!$C$5:$C$94,MATCH(G189,Levels!$G$5:$G$94,0)),"Not this class's skill"))</f>
        <v/>
      </c>
    </row>
    <row r="190" customFormat="false" ht="15" hidden="false" customHeight="false" outlineLevel="0" collapsed="false">
      <c r="A190" s="23"/>
      <c r="B190" s="22"/>
      <c r="C190" s="22"/>
      <c r="D190" s="22"/>
      <c r="E190" s="22"/>
      <c r="F190" s="27" t="str">
        <f aca="false">IF(B190="","",IFERROR(INDEX(Roster!$B$5:$B$154,MATCH(B190,Roster!$A$5:$A$154,0)),"Not on roster"))</f>
        <v/>
      </c>
      <c r="G190" s="28" t="str">
        <f aca="false">IF(OR(B190="",C190=""),"",F190&amp;" | "&amp;C190)</f>
        <v/>
      </c>
      <c r="H190" s="27" t="str">
        <f aca="false">IF(G190="","",IFERROR(INDEX(Levels!$C$5:$C$94,MATCH(G190,Levels!$G$5:$G$94,0)),"Not this class's skill"))</f>
        <v/>
      </c>
    </row>
    <row r="191" customFormat="false" ht="15" hidden="false" customHeight="false" outlineLevel="0" collapsed="false">
      <c r="A191" s="23"/>
      <c r="B191" s="22"/>
      <c r="C191" s="22"/>
      <c r="D191" s="22"/>
      <c r="E191" s="22"/>
      <c r="F191" s="27" t="str">
        <f aca="false">IF(B191="","",IFERROR(INDEX(Roster!$B$5:$B$154,MATCH(B191,Roster!$A$5:$A$154,0)),"Not on roster"))</f>
        <v/>
      </c>
      <c r="G191" s="28" t="str">
        <f aca="false">IF(OR(B191="",C191=""),"",F191&amp;" | "&amp;C191)</f>
        <v/>
      </c>
      <c r="H191" s="27" t="str">
        <f aca="false">IF(G191="","",IFERROR(INDEX(Levels!$C$5:$C$94,MATCH(G191,Levels!$G$5:$G$94,0)),"Not this class's skill"))</f>
        <v/>
      </c>
    </row>
    <row r="192" customFormat="false" ht="15" hidden="false" customHeight="false" outlineLevel="0" collapsed="false">
      <c r="A192" s="23"/>
      <c r="B192" s="22"/>
      <c r="C192" s="22"/>
      <c r="D192" s="22"/>
      <c r="E192" s="22"/>
      <c r="F192" s="27" t="str">
        <f aca="false">IF(B192="","",IFERROR(INDEX(Roster!$B$5:$B$154,MATCH(B192,Roster!$A$5:$A$154,0)),"Not on roster"))</f>
        <v/>
      </c>
      <c r="G192" s="28" t="str">
        <f aca="false">IF(OR(B192="",C192=""),"",F192&amp;" | "&amp;C192)</f>
        <v/>
      </c>
      <c r="H192" s="27" t="str">
        <f aca="false">IF(G192="","",IFERROR(INDEX(Levels!$C$5:$C$94,MATCH(G192,Levels!$G$5:$G$94,0)),"Not this class's skill"))</f>
        <v/>
      </c>
    </row>
    <row r="193" customFormat="false" ht="15" hidden="false" customHeight="false" outlineLevel="0" collapsed="false">
      <c r="A193" s="23"/>
      <c r="B193" s="22"/>
      <c r="C193" s="22"/>
      <c r="D193" s="22"/>
      <c r="E193" s="22"/>
      <c r="F193" s="27" t="str">
        <f aca="false">IF(B193="","",IFERROR(INDEX(Roster!$B$5:$B$154,MATCH(B193,Roster!$A$5:$A$154,0)),"Not on roster"))</f>
        <v/>
      </c>
      <c r="G193" s="28" t="str">
        <f aca="false">IF(OR(B193="",C193=""),"",F193&amp;" | "&amp;C193)</f>
        <v/>
      </c>
      <c r="H193" s="27" t="str">
        <f aca="false">IF(G193="","",IFERROR(INDEX(Levels!$C$5:$C$94,MATCH(G193,Levels!$G$5:$G$94,0)),"Not this class's skill"))</f>
        <v/>
      </c>
    </row>
    <row r="194" customFormat="false" ht="15" hidden="false" customHeight="false" outlineLevel="0" collapsed="false">
      <c r="A194" s="23"/>
      <c r="B194" s="22"/>
      <c r="C194" s="22"/>
      <c r="D194" s="22"/>
      <c r="E194" s="22"/>
      <c r="F194" s="27" t="str">
        <f aca="false">IF(B194="","",IFERROR(INDEX(Roster!$B$5:$B$154,MATCH(B194,Roster!$A$5:$A$154,0)),"Not on roster"))</f>
        <v/>
      </c>
      <c r="G194" s="28" t="str">
        <f aca="false">IF(OR(B194="",C194=""),"",F194&amp;" | "&amp;C194)</f>
        <v/>
      </c>
      <c r="H194" s="27" t="str">
        <f aca="false">IF(G194="","",IFERROR(INDEX(Levels!$C$5:$C$94,MATCH(G194,Levels!$G$5:$G$94,0)),"Not this class's skill"))</f>
        <v/>
      </c>
    </row>
    <row r="195" customFormat="false" ht="15" hidden="false" customHeight="false" outlineLevel="0" collapsed="false">
      <c r="A195" s="23"/>
      <c r="B195" s="22"/>
      <c r="C195" s="22"/>
      <c r="D195" s="22"/>
      <c r="E195" s="22"/>
      <c r="F195" s="27" t="str">
        <f aca="false">IF(B195="","",IFERROR(INDEX(Roster!$B$5:$B$154,MATCH(B195,Roster!$A$5:$A$154,0)),"Not on roster"))</f>
        <v/>
      </c>
      <c r="G195" s="28" t="str">
        <f aca="false">IF(OR(B195="",C195=""),"",F195&amp;" | "&amp;C195)</f>
        <v/>
      </c>
      <c r="H195" s="27" t="str">
        <f aca="false">IF(G195="","",IFERROR(INDEX(Levels!$C$5:$C$94,MATCH(G195,Levels!$G$5:$G$94,0)),"Not this class's skill"))</f>
        <v/>
      </c>
    </row>
    <row r="196" customFormat="false" ht="15" hidden="false" customHeight="false" outlineLevel="0" collapsed="false">
      <c r="A196" s="23"/>
      <c r="B196" s="22"/>
      <c r="C196" s="22"/>
      <c r="D196" s="22"/>
      <c r="E196" s="22"/>
      <c r="F196" s="27" t="str">
        <f aca="false">IF(B196="","",IFERROR(INDEX(Roster!$B$5:$B$154,MATCH(B196,Roster!$A$5:$A$154,0)),"Not on roster"))</f>
        <v/>
      </c>
      <c r="G196" s="28" t="str">
        <f aca="false">IF(OR(B196="",C196=""),"",F196&amp;" | "&amp;C196)</f>
        <v/>
      </c>
      <c r="H196" s="27" t="str">
        <f aca="false">IF(G196="","",IFERROR(INDEX(Levels!$C$5:$C$94,MATCH(G196,Levels!$G$5:$G$94,0)),"Not this class's skill"))</f>
        <v/>
      </c>
    </row>
    <row r="197" customFormat="false" ht="15" hidden="false" customHeight="false" outlineLevel="0" collapsed="false">
      <c r="A197" s="23"/>
      <c r="B197" s="22"/>
      <c r="C197" s="22"/>
      <c r="D197" s="22"/>
      <c r="E197" s="22"/>
      <c r="F197" s="27" t="str">
        <f aca="false">IF(B197="","",IFERROR(INDEX(Roster!$B$5:$B$154,MATCH(B197,Roster!$A$5:$A$154,0)),"Not on roster"))</f>
        <v/>
      </c>
      <c r="G197" s="28" t="str">
        <f aca="false">IF(OR(B197="",C197=""),"",F197&amp;" | "&amp;C197)</f>
        <v/>
      </c>
      <c r="H197" s="27" t="str">
        <f aca="false">IF(G197="","",IFERROR(INDEX(Levels!$C$5:$C$94,MATCH(G197,Levels!$G$5:$G$94,0)),"Not this class's skill"))</f>
        <v/>
      </c>
    </row>
    <row r="198" customFormat="false" ht="15" hidden="false" customHeight="false" outlineLevel="0" collapsed="false">
      <c r="A198" s="23"/>
      <c r="B198" s="22"/>
      <c r="C198" s="22"/>
      <c r="D198" s="22"/>
      <c r="E198" s="22"/>
      <c r="F198" s="27" t="str">
        <f aca="false">IF(B198="","",IFERROR(INDEX(Roster!$B$5:$B$154,MATCH(B198,Roster!$A$5:$A$154,0)),"Not on roster"))</f>
        <v/>
      </c>
      <c r="G198" s="28" t="str">
        <f aca="false">IF(OR(B198="",C198=""),"",F198&amp;" | "&amp;C198)</f>
        <v/>
      </c>
      <c r="H198" s="27" t="str">
        <f aca="false">IF(G198="","",IFERROR(INDEX(Levels!$C$5:$C$94,MATCH(G198,Levels!$G$5:$G$94,0)),"Not this class's skill"))</f>
        <v/>
      </c>
    </row>
    <row r="199" customFormat="false" ht="15" hidden="false" customHeight="false" outlineLevel="0" collapsed="false">
      <c r="A199" s="23"/>
      <c r="B199" s="22"/>
      <c r="C199" s="22"/>
      <c r="D199" s="22"/>
      <c r="E199" s="22"/>
      <c r="F199" s="27" t="str">
        <f aca="false">IF(B199="","",IFERROR(INDEX(Roster!$B$5:$B$154,MATCH(B199,Roster!$A$5:$A$154,0)),"Not on roster"))</f>
        <v/>
      </c>
      <c r="G199" s="28" t="str">
        <f aca="false">IF(OR(B199="",C199=""),"",F199&amp;" | "&amp;C199)</f>
        <v/>
      </c>
      <c r="H199" s="27" t="str">
        <f aca="false">IF(G199="","",IFERROR(INDEX(Levels!$C$5:$C$94,MATCH(G199,Levels!$G$5:$G$94,0)),"Not this class's skill"))</f>
        <v/>
      </c>
    </row>
    <row r="200" customFormat="false" ht="15" hidden="false" customHeight="false" outlineLevel="0" collapsed="false">
      <c r="A200" s="23"/>
      <c r="B200" s="22"/>
      <c r="C200" s="22"/>
      <c r="D200" s="22"/>
      <c r="E200" s="22"/>
      <c r="F200" s="27" t="str">
        <f aca="false">IF(B200="","",IFERROR(INDEX(Roster!$B$5:$B$154,MATCH(B200,Roster!$A$5:$A$154,0)),"Not on roster"))</f>
        <v/>
      </c>
      <c r="G200" s="28" t="str">
        <f aca="false">IF(OR(B200="",C200=""),"",F200&amp;" | "&amp;C200)</f>
        <v/>
      </c>
      <c r="H200" s="27" t="str">
        <f aca="false">IF(G200="","",IFERROR(INDEX(Levels!$C$5:$C$94,MATCH(G200,Levels!$G$5:$G$94,0)),"Not this class's skill"))</f>
        <v/>
      </c>
    </row>
    <row r="201" customFormat="false" ht="15" hidden="false" customHeight="false" outlineLevel="0" collapsed="false">
      <c r="A201" s="23"/>
      <c r="B201" s="22"/>
      <c r="C201" s="22"/>
      <c r="D201" s="22"/>
      <c r="E201" s="22"/>
      <c r="F201" s="27" t="str">
        <f aca="false">IF(B201="","",IFERROR(INDEX(Roster!$B$5:$B$154,MATCH(B201,Roster!$A$5:$A$154,0)),"Not on roster"))</f>
        <v/>
      </c>
      <c r="G201" s="28" t="str">
        <f aca="false">IF(OR(B201="",C201=""),"",F201&amp;" | "&amp;C201)</f>
        <v/>
      </c>
      <c r="H201" s="27" t="str">
        <f aca="false">IF(G201="","",IFERROR(INDEX(Levels!$C$5:$C$94,MATCH(G201,Levels!$G$5:$G$94,0)),"Not this class's skill"))</f>
        <v/>
      </c>
    </row>
    <row r="202" customFormat="false" ht="15" hidden="false" customHeight="false" outlineLevel="0" collapsed="false">
      <c r="A202" s="23"/>
      <c r="B202" s="22"/>
      <c r="C202" s="22"/>
      <c r="D202" s="22"/>
      <c r="E202" s="22"/>
      <c r="F202" s="27" t="str">
        <f aca="false">IF(B202="","",IFERROR(INDEX(Roster!$B$5:$B$154,MATCH(B202,Roster!$A$5:$A$154,0)),"Not on roster"))</f>
        <v/>
      </c>
      <c r="G202" s="28" t="str">
        <f aca="false">IF(OR(B202="",C202=""),"",F202&amp;" | "&amp;C202)</f>
        <v/>
      </c>
      <c r="H202" s="27" t="str">
        <f aca="false">IF(G202="","",IFERROR(INDEX(Levels!$C$5:$C$94,MATCH(G202,Levels!$G$5:$G$94,0)),"Not this class's skill"))</f>
        <v/>
      </c>
    </row>
    <row r="203" customFormat="false" ht="15" hidden="false" customHeight="false" outlineLevel="0" collapsed="false">
      <c r="A203" s="23"/>
      <c r="B203" s="22"/>
      <c r="C203" s="22"/>
      <c r="D203" s="22"/>
      <c r="E203" s="22"/>
      <c r="F203" s="27" t="str">
        <f aca="false">IF(B203="","",IFERROR(INDEX(Roster!$B$5:$B$154,MATCH(B203,Roster!$A$5:$A$154,0)),"Not on roster"))</f>
        <v/>
      </c>
      <c r="G203" s="28" t="str">
        <f aca="false">IF(OR(B203="",C203=""),"",F203&amp;" | "&amp;C203)</f>
        <v/>
      </c>
      <c r="H203" s="27" t="str">
        <f aca="false">IF(G203="","",IFERROR(INDEX(Levels!$C$5:$C$94,MATCH(G203,Levels!$G$5:$G$94,0)),"Not this class's skill"))</f>
        <v/>
      </c>
    </row>
    <row r="204" customFormat="false" ht="15" hidden="false" customHeight="false" outlineLevel="0" collapsed="false">
      <c r="A204" s="23"/>
      <c r="B204" s="22"/>
      <c r="C204" s="22"/>
      <c r="D204" s="22"/>
      <c r="E204" s="22"/>
      <c r="F204" s="27" t="str">
        <f aca="false">IF(B204="","",IFERROR(INDEX(Roster!$B$5:$B$154,MATCH(B204,Roster!$A$5:$A$154,0)),"Not on roster"))</f>
        <v/>
      </c>
      <c r="G204" s="28" t="str">
        <f aca="false">IF(OR(B204="",C204=""),"",F204&amp;" | "&amp;C204)</f>
        <v/>
      </c>
      <c r="H204" s="27" t="str">
        <f aca="false">IF(G204="","",IFERROR(INDEX(Levels!$C$5:$C$94,MATCH(G204,Levels!$G$5:$G$94,0)),"Not this class's skill"))</f>
        <v/>
      </c>
    </row>
    <row r="205" customFormat="false" ht="15" hidden="false" customHeight="false" outlineLevel="0" collapsed="false">
      <c r="A205" s="23"/>
      <c r="B205" s="22"/>
      <c r="C205" s="22"/>
      <c r="D205" s="22"/>
      <c r="E205" s="22"/>
      <c r="F205" s="27" t="str">
        <f aca="false">IF(B205="","",IFERROR(INDEX(Roster!$B$5:$B$154,MATCH(B205,Roster!$A$5:$A$154,0)),"Not on roster"))</f>
        <v/>
      </c>
      <c r="G205" s="28" t="str">
        <f aca="false">IF(OR(B205="",C205=""),"",F205&amp;" | "&amp;C205)</f>
        <v/>
      </c>
      <c r="H205" s="27" t="str">
        <f aca="false">IF(G205="","",IFERROR(INDEX(Levels!$C$5:$C$94,MATCH(G205,Levels!$G$5:$G$94,0)),"Not this class's skill"))</f>
        <v/>
      </c>
    </row>
    <row r="206" customFormat="false" ht="15" hidden="false" customHeight="false" outlineLevel="0" collapsed="false">
      <c r="A206" s="23"/>
      <c r="B206" s="22"/>
      <c r="C206" s="22"/>
      <c r="D206" s="22"/>
      <c r="E206" s="22"/>
      <c r="F206" s="27" t="str">
        <f aca="false">IF(B206="","",IFERROR(INDEX(Roster!$B$5:$B$154,MATCH(B206,Roster!$A$5:$A$154,0)),"Not on roster"))</f>
        <v/>
      </c>
      <c r="G206" s="28" t="str">
        <f aca="false">IF(OR(B206="",C206=""),"",F206&amp;" | "&amp;C206)</f>
        <v/>
      </c>
      <c r="H206" s="27" t="str">
        <f aca="false">IF(G206="","",IFERROR(INDEX(Levels!$C$5:$C$94,MATCH(G206,Levels!$G$5:$G$94,0)),"Not this class's skill"))</f>
        <v/>
      </c>
    </row>
    <row r="207" customFormat="false" ht="15" hidden="false" customHeight="false" outlineLevel="0" collapsed="false">
      <c r="A207" s="23"/>
      <c r="B207" s="22"/>
      <c r="C207" s="22"/>
      <c r="D207" s="22"/>
      <c r="E207" s="22"/>
      <c r="F207" s="27" t="str">
        <f aca="false">IF(B207="","",IFERROR(INDEX(Roster!$B$5:$B$154,MATCH(B207,Roster!$A$5:$A$154,0)),"Not on roster"))</f>
        <v/>
      </c>
      <c r="G207" s="28" t="str">
        <f aca="false">IF(OR(B207="",C207=""),"",F207&amp;" | "&amp;C207)</f>
        <v/>
      </c>
      <c r="H207" s="27" t="str">
        <f aca="false">IF(G207="","",IFERROR(INDEX(Levels!$C$5:$C$94,MATCH(G207,Levels!$G$5:$G$94,0)),"Not this class's skill"))</f>
        <v/>
      </c>
    </row>
    <row r="208" customFormat="false" ht="15" hidden="false" customHeight="false" outlineLevel="0" collapsed="false">
      <c r="A208" s="23"/>
      <c r="B208" s="22"/>
      <c r="C208" s="22"/>
      <c r="D208" s="22"/>
      <c r="E208" s="22"/>
      <c r="F208" s="27" t="str">
        <f aca="false">IF(B208="","",IFERROR(INDEX(Roster!$B$5:$B$154,MATCH(B208,Roster!$A$5:$A$154,0)),"Not on roster"))</f>
        <v/>
      </c>
      <c r="G208" s="28" t="str">
        <f aca="false">IF(OR(B208="",C208=""),"",F208&amp;" | "&amp;C208)</f>
        <v/>
      </c>
      <c r="H208" s="27" t="str">
        <f aca="false">IF(G208="","",IFERROR(INDEX(Levels!$C$5:$C$94,MATCH(G208,Levels!$G$5:$G$94,0)),"Not this class's skill"))</f>
        <v/>
      </c>
    </row>
    <row r="209" customFormat="false" ht="15" hidden="false" customHeight="false" outlineLevel="0" collapsed="false">
      <c r="A209" s="23"/>
      <c r="B209" s="22"/>
      <c r="C209" s="22"/>
      <c r="D209" s="22"/>
      <c r="E209" s="22"/>
      <c r="F209" s="27" t="str">
        <f aca="false">IF(B209="","",IFERROR(INDEX(Roster!$B$5:$B$154,MATCH(B209,Roster!$A$5:$A$154,0)),"Not on roster"))</f>
        <v/>
      </c>
      <c r="G209" s="28" t="str">
        <f aca="false">IF(OR(B209="",C209=""),"",F209&amp;" | "&amp;C209)</f>
        <v/>
      </c>
      <c r="H209" s="27" t="str">
        <f aca="false">IF(G209="","",IFERROR(INDEX(Levels!$C$5:$C$94,MATCH(G209,Levels!$G$5:$G$94,0)),"Not this class's skill"))</f>
        <v/>
      </c>
    </row>
    <row r="210" customFormat="false" ht="15" hidden="false" customHeight="false" outlineLevel="0" collapsed="false">
      <c r="A210" s="23"/>
      <c r="B210" s="22"/>
      <c r="C210" s="22"/>
      <c r="D210" s="22"/>
      <c r="E210" s="22"/>
      <c r="F210" s="27" t="str">
        <f aca="false">IF(B210="","",IFERROR(INDEX(Roster!$B$5:$B$154,MATCH(B210,Roster!$A$5:$A$154,0)),"Not on roster"))</f>
        <v/>
      </c>
      <c r="G210" s="28" t="str">
        <f aca="false">IF(OR(B210="",C210=""),"",F210&amp;" | "&amp;C210)</f>
        <v/>
      </c>
      <c r="H210" s="27" t="str">
        <f aca="false">IF(G210="","",IFERROR(INDEX(Levels!$C$5:$C$94,MATCH(G210,Levels!$G$5:$G$94,0)),"Not this class's skill"))</f>
        <v/>
      </c>
    </row>
    <row r="211" customFormat="false" ht="15" hidden="false" customHeight="false" outlineLevel="0" collapsed="false">
      <c r="A211" s="23"/>
      <c r="B211" s="22"/>
      <c r="C211" s="22"/>
      <c r="D211" s="22"/>
      <c r="E211" s="22"/>
      <c r="F211" s="27" t="str">
        <f aca="false">IF(B211="","",IFERROR(INDEX(Roster!$B$5:$B$154,MATCH(B211,Roster!$A$5:$A$154,0)),"Not on roster"))</f>
        <v/>
      </c>
      <c r="G211" s="28" t="str">
        <f aca="false">IF(OR(B211="",C211=""),"",F211&amp;" | "&amp;C211)</f>
        <v/>
      </c>
      <c r="H211" s="27" t="str">
        <f aca="false">IF(G211="","",IFERROR(INDEX(Levels!$C$5:$C$94,MATCH(G211,Levels!$G$5:$G$94,0)),"Not this class's skill"))</f>
        <v/>
      </c>
    </row>
    <row r="212" customFormat="false" ht="15" hidden="false" customHeight="false" outlineLevel="0" collapsed="false">
      <c r="A212" s="23"/>
      <c r="B212" s="22"/>
      <c r="C212" s="22"/>
      <c r="D212" s="22"/>
      <c r="E212" s="22"/>
      <c r="F212" s="27" t="str">
        <f aca="false">IF(B212="","",IFERROR(INDEX(Roster!$B$5:$B$154,MATCH(B212,Roster!$A$5:$A$154,0)),"Not on roster"))</f>
        <v/>
      </c>
      <c r="G212" s="28" t="str">
        <f aca="false">IF(OR(B212="",C212=""),"",F212&amp;" | "&amp;C212)</f>
        <v/>
      </c>
      <c r="H212" s="27" t="str">
        <f aca="false">IF(G212="","",IFERROR(INDEX(Levels!$C$5:$C$94,MATCH(G212,Levels!$G$5:$G$94,0)),"Not this class's skill"))</f>
        <v/>
      </c>
    </row>
    <row r="213" customFormat="false" ht="15" hidden="false" customHeight="false" outlineLevel="0" collapsed="false">
      <c r="A213" s="23"/>
      <c r="B213" s="22"/>
      <c r="C213" s="22"/>
      <c r="D213" s="22"/>
      <c r="E213" s="22"/>
      <c r="F213" s="27" t="str">
        <f aca="false">IF(B213="","",IFERROR(INDEX(Roster!$B$5:$B$154,MATCH(B213,Roster!$A$5:$A$154,0)),"Not on roster"))</f>
        <v/>
      </c>
      <c r="G213" s="28" t="str">
        <f aca="false">IF(OR(B213="",C213=""),"",F213&amp;" | "&amp;C213)</f>
        <v/>
      </c>
      <c r="H213" s="27" t="str">
        <f aca="false">IF(G213="","",IFERROR(INDEX(Levels!$C$5:$C$94,MATCH(G213,Levels!$G$5:$G$94,0)),"Not this class's skill"))</f>
        <v/>
      </c>
    </row>
    <row r="214" customFormat="false" ht="15" hidden="false" customHeight="false" outlineLevel="0" collapsed="false">
      <c r="A214" s="23"/>
      <c r="B214" s="22"/>
      <c r="C214" s="22"/>
      <c r="D214" s="22"/>
      <c r="E214" s="22"/>
      <c r="F214" s="27" t="str">
        <f aca="false">IF(B214="","",IFERROR(INDEX(Roster!$B$5:$B$154,MATCH(B214,Roster!$A$5:$A$154,0)),"Not on roster"))</f>
        <v/>
      </c>
      <c r="G214" s="28" t="str">
        <f aca="false">IF(OR(B214="",C214=""),"",F214&amp;" | "&amp;C214)</f>
        <v/>
      </c>
      <c r="H214" s="27" t="str">
        <f aca="false">IF(G214="","",IFERROR(INDEX(Levels!$C$5:$C$94,MATCH(G214,Levels!$G$5:$G$94,0)),"Not this class's skill"))</f>
        <v/>
      </c>
    </row>
    <row r="215" customFormat="false" ht="15" hidden="false" customHeight="false" outlineLevel="0" collapsed="false">
      <c r="A215" s="23"/>
      <c r="B215" s="22"/>
      <c r="C215" s="22"/>
      <c r="D215" s="22"/>
      <c r="E215" s="22"/>
      <c r="F215" s="27" t="str">
        <f aca="false">IF(B215="","",IFERROR(INDEX(Roster!$B$5:$B$154,MATCH(B215,Roster!$A$5:$A$154,0)),"Not on roster"))</f>
        <v/>
      </c>
      <c r="G215" s="28" t="str">
        <f aca="false">IF(OR(B215="",C215=""),"",F215&amp;" | "&amp;C215)</f>
        <v/>
      </c>
      <c r="H215" s="27" t="str">
        <f aca="false">IF(G215="","",IFERROR(INDEX(Levels!$C$5:$C$94,MATCH(G215,Levels!$G$5:$G$94,0)),"Not this class's skill"))</f>
        <v/>
      </c>
    </row>
    <row r="216" customFormat="false" ht="15" hidden="false" customHeight="false" outlineLevel="0" collapsed="false">
      <c r="A216" s="23"/>
      <c r="B216" s="22"/>
      <c r="C216" s="22"/>
      <c r="D216" s="22"/>
      <c r="E216" s="22"/>
      <c r="F216" s="27" t="str">
        <f aca="false">IF(B216="","",IFERROR(INDEX(Roster!$B$5:$B$154,MATCH(B216,Roster!$A$5:$A$154,0)),"Not on roster"))</f>
        <v/>
      </c>
      <c r="G216" s="28" t="str">
        <f aca="false">IF(OR(B216="",C216=""),"",F216&amp;" | "&amp;C216)</f>
        <v/>
      </c>
      <c r="H216" s="27" t="str">
        <f aca="false">IF(G216="","",IFERROR(INDEX(Levels!$C$5:$C$94,MATCH(G216,Levels!$G$5:$G$94,0)),"Not this class's skill"))</f>
        <v/>
      </c>
    </row>
    <row r="217" customFormat="false" ht="15" hidden="false" customHeight="false" outlineLevel="0" collapsed="false">
      <c r="A217" s="23"/>
      <c r="B217" s="22"/>
      <c r="C217" s="22"/>
      <c r="D217" s="22"/>
      <c r="E217" s="22"/>
      <c r="F217" s="27" t="str">
        <f aca="false">IF(B217="","",IFERROR(INDEX(Roster!$B$5:$B$154,MATCH(B217,Roster!$A$5:$A$154,0)),"Not on roster"))</f>
        <v/>
      </c>
      <c r="G217" s="28" t="str">
        <f aca="false">IF(OR(B217="",C217=""),"",F217&amp;" | "&amp;C217)</f>
        <v/>
      </c>
      <c r="H217" s="27" t="str">
        <f aca="false">IF(G217="","",IFERROR(INDEX(Levels!$C$5:$C$94,MATCH(G217,Levels!$G$5:$G$94,0)),"Not this class's skill"))</f>
        <v/>
      </c>
    </row>
    <row r="218" customFormat="false" ht="15" hidden="false" customHeight="false" outlineLevel="0" collapsed="false">
      <c r="A218" s="23"/>
      <c r="B218" s="22"/>
      <c r="C218" s="22"/>
      <c r="D218" s="22"/>
      <c r="E218" s="22"/>
      <c r="F218" s="27" t="str">
        <f aca="false">IF(B218="","",IFERROR(INDEX(Roster!$B$5:$B$154,MATCH(B218,Roster!$A$5:$A$154,0)),"Not on roster"))</f>
        <v/>
      </c>
      <c r="G218" s="28" t="str">
        <f aca="false">IF(OR(B218="",C218=""),"",F218&amp;" | "&amp;C218)</f>
        <v/>
      </c>
      <c r="H218" s="27" t="str">
        <f aca="false">IF(G218="","",IFERROR(INDEX(Levels!$C$5:$C$94,MATCH(G218,Levels!$G$5:$G$94,0)),"Not this class's skill"))</f>
        <v/>
      </c>
    </row>
    <row r="219" customFormat="false" ht="15" hidden="false" customHeight="false" outlineLevel="0" collapsed="false">
      <c r="A219" s="23"/>
      <c r="B219" s="22"/>
      <c r="C219" s="22"/>
      <c r="D219" s="22"/>
      <c r="E219" s="22"/>
      <c r="F219" s="27" t="str">
        <f aca="false">IF(B219="","",IFERROR(INDEX(Roster!$B$5:$B$154,MATCH(B219,Roster!$A$5:$A$154,0)),"Not on roster"))</f>
        <v/>
      </c>
      <c r="G219" s="28" t="str">
        <f aca="false">IF(OR(B219="",C219=""),"",F219&amp;" | "&amp;C219)</f>
        <v/>
      </c>
      <c r="H219" s="27" t="str">
        <f aca="false">IF(G219="","",IFERROR(INDEX(Levels!$C$5:$C$94,MATCH(G219,Levels!$G$5:$G$94,0)),"Not this class's skill"))</f>
        <v/>
      </c>
    </row>
    <row r="220" customFormat="false" ht="15" hidden="false" customHeight="false" outlineLevel="0" collapsed="false">
      <c r="A220" s="23"/>
      <c r="B220" s="22"/>
      <c r="C220" s="22"/>
      <c r="D220" s="22"/>
      <c r="E220" s="22"/>
      <c r="F220" s="27" t="str">
        <f aca="false">IF(B220="","",IFERROR(INDEX(Roster!$B$5:$B$154,MATCH(B220,Roster!$A$5:$A$154,0)),"Not on roster"))</f>
        <v/>
      </c>
      <c r="G220" s="28" t="str">
        <f aca="false">IF(OR(B220="",C220=""),"",F220&amp;" | "&amp;C220)</f>
        <v/>
      </c>
      <c r="H220" s="27" t="str">
        <f aca="false">IF(G220="","",IFERROR(INDEX(Levels!$C$5:$C$94,MATCH(G220,Levels!$G$5:$G$94,0)),"Not this class's skill"))</f>
        <v/>
      </c>
    </row>
    <row r="221" customFormat="false" ht="15" hidden="false" customHeight="false" outlineLevel="0" collapsed="false">
      <c r="A221" s="23"/>
      <c r="B221" s="22"/>
      <c r="C221" s="22"/>
      <c r="D221" s="22"/>
      <c r="E221" s="22"/>
      <c r="F221" s="27" t="str">
        <f aca="false">IF(B221="","",IFERROR(INDEX(Roster!$B$5:$B$154,MATCH(B221,Roster!$A$5:$A$154,0)),"Not on roster"))</f>
        <v/>
      </c>
      <c r="G221" s="28" t="str">
        <f aca="false">IF(OR(B221="",C221=""),"",F221&amp;" | "&amp;C221)</f>
        <v/>
      </c>
      <c r="H221" s="27" t="str">
        <f aca="false">IF(G221="","",IFERROR(INDEX(Levels!$C$5:$C$94,MATCH(G221,Levels!$G$5:$G$94,0)),"Not this class's skill"))</f>
        <v/>
      </c>
    </row>
    <row r="222" customFormat="false" ht="15" hidden="false" customHeight="false" outlineLevel="0" collapsed="false">
      <c r="A222" s="23"/>
      <c r="B222" s="22"/>
      <c r="C222" s="22"/>
      <c r="D222" s="22"/>
      <c r="E222" s="22"/>
      <c r="F222" s="27" t="str">
        <f aca="false">IF(B222="","",IFERROR(INDEX(Roster!$B$5:$B$154,MATCH(B222,Roster!$A$5:$A$154,0)),"Not on roster"))</f>
        <v/>
      </c>
      <c r="G222" s="28" t="str">
        <f aca="false">IF(OR(B222="",C222=""),"",F222&amp;" | "&amp;C222)</f>
        <v/>
      </c>
      <c r="H222" s="27" t="str">
        <f aca="false">IF(G222="","",IFERROR(INDEX(Levels!$C$5:$C$94,MATCH(G222,Levels!$G$5:$G$94,0)),"Not this class's skill"))</f>
        <v/>
      </c>
    </row>
    <row r="223" customFormat="false" ht="15" hidden="false" customHeight="false" outlineLevel="0" collapsed="false">
      <c r="A223" s="23"/>
      <c r="B223" s="22"/>
      <c r="C223" s="22"/>
      <c r="D223" s="22"/>
      <c r="E223" s="22"/>
      <c r="F223" s="27" t="str">
        <f aca="false">IF(B223="","",IFERROR(INDEX(Roster!$B$5:$B$154,MATCH(B223,Roster!$A$5:$A$154,0)),"Not on roster"))</f>
        <v/>
      </c>
      <c r="G223" s="28" t="str">
        <f aca="false">IF(OR(B223="",C223=""),"",F223&amp;" | "&amp;C223)</f>
        <v/>
      </c>
      <c r="H223" s="27" t="str">
        <f aca="false">IF(G223="","",IFERROR(INDEX(Levels!$C$5:$C$94,MATCH(G223,Levels!$G$5:$G$94,0)),"Not this class's skill"))</f>
        <v/>
      </c>
    </row>
    <row r="224" customFormat="false" ht="15" hidden="false" customHeight="false" outlineLevel="0" collapsed="false">
      <c r="A224" s="23"/>
      <c r="B224" s="22"/>
      <c r="C224" s="22"/>
      <c r="D224" s="22"/>
      <c r="E224" s="22"/>
      <c r="F224" s="27" t="str">
        <f aca="false">IF(B224="","",IFERROR(INDEX(Roster!$B$5:$B$154,MATCH(B224,Roster!$A$5:$A$154,0)),"Not on roster"))</f>
        <v/>
      </c>
      <c r="G224" s="28" t="str">
        <f aca="false">IF(OR(B224="",C224=""),"",F224&amp;" | "&amp;C224)</f>
        <v/>
      </c>
      <c r="H224" s="27" t="str">
        <f aca="false">IF(G224="","",IFERROR(INDEX(Levels!$C$5:$C$94,MATCH(G224,Levels!$G$5:$G$94,0)),"Not this class's skill"))</f>
        <v/>
      </c>
    </row>
    <row r="225" customFormat="false" ht="15" hidden="false" customHeight="false" outlineLevel="0" collapsed="false">
      <c r="A225" s="23"/>
      <c r="B225" s="22"/>
      <c r="C225" s="22"/>
      <c r="D225" s="22"/>
      <c r="E225" s="22"/>
      <c r="F225" s="27" t="str">
        <f aca="false">IF(B225="","",IFERROR(INDEX(Roster!$B$5:$B$154,MATCH(B225,Roster!$A$5:$A$154,0)),"Not on roster"))</f>
        <v/>
      </c>
      <c r="G225" s="28" t="str">
        <f aca="false">IF(OR(B225="",C225=""),"",F225&amp;" | "&amp;C225)</f>
        <v/>
      </c>
      <c r="H225" s="27" t="str">
        <f aca="false">IF(G225="","",IFERROR(INDEX(Levels!$C$5:$C$94,MATCH(G225,Levels!$G$5:$G$94,0)),"Not this class's skill"))</f>
        <v/>
      </c>
    </row>
    <row r="226" customFormat="false" ht="15" hidden="false" customHeight="false" outlineLevel="0" collapsed="false">
      <c r="A226" s="23"/>
      <c r="B226" s="22"/>
      <c r="C226" s="22"/>
      <c r="D226" s="22"/>
      <c r="E226" s="22"/>
      <c r="F226" s="27" t="str">
        <f aca="false">IF(B226="","",IFERROR(INDEX(Roster!$B$5:$B$154,MATCH(B226,Roster!$A$5:$A$154,0)),"Not on roster"))</f>
        <v/>
      </c>
      <c r="G226" s="28" t="str">
        <f aca="false">IF(OR(B226="",C226=""),"",F226&amp;" | "&amp;C226)</f>
        <v/>
      </c>
      <c r="H226" s="27" t="str">
        <f aca="false">IF(G226="","",IFERROR(INDEX(Levels!$C$5:$C$94,MATCH(G226,Levels!$G$5:$G$94,0)),"Not this class's skill"))</f>
        <v/>
      </c>
    </row>
    <row r="227" customFormat="false" ht="15" hidden="false" customHeight="false" outlineLevel="0" collapsed="false">
      <c r="A227" s="23"/>
      <c r="B227" s="22"/>
      <c r="C227" s="22"/>
      <c r="D227" s="22"/>
      <c r="E227" s="22"/>
      <c r="F227" s="27" t="str">
        <f aca="false">IF(B227="","",IFERROR(INDEX(Roster!$B$5:$B$154,MATCH(B227,Roster!$A$5:$A$154,0)),"Not on roster"))</f>
        <v/>
      </c>
      <c r="G227" s="28" t="str">
        <f aca="false">IF(OR(B227="",C227=""),"",F227&amp;" | "&amp;C227)</f>
        <v/>
      </c>
      <c r="H227" s="27" t="str">
        <f aca="false">IF(G227="","",IFERROR(INDEX(Levels!$C$5:$C$94,MATCH(G227,Levels!$G$5:$G$94,0)),"Not this class's skill"))</f>
        <v/>
      </c>
    </row>
    <row r="228" customFormat="false" ht="15" hidden="false" customHeight="false" outlineLevel="0" collapsed="false">
      <c r="A228" s="23"/>
      <c r="B228" s="22"/>
      <c r="C228" s="22"/>
      <c r="D228" s="22"/>
      <c r="E228" s="22"/>
      <c r="F228" s="27" t="str">
        <f aca="false">IF(B228="","",IFERROR(INDEX(Roster!$B$5:$B$154,MATCH(B228,Roster!$A$5:$A$154,0)),"Not on roster"))</f>
        <v/>
      </c>
      <c r="G228" s="28" t="str">
        <f aca="false">IF(OR(B228="",C228=""),"",F228&amp;" | "&amp;C228)</f>
        <v/>
      </c>
      <c r="H228" s="27" t="str">
        <f aca="false">IF(G228="","",IFERROR(INDEX(Levels!$C$5:$C$94,MATCH(G228,Levels!$G$5:$G$94,0)),"Not this class's skill"))</f>
        <v/>
      </c>
    </row>
    <row r="229" customFormat="false" ht="15" hidden="false" customHeight="false" outlineLevel="0" collapsed="false">
      <c r="A229" s="23"/>
      <c r="B229" s="22"/>
      <c r="C229" s="22"/>
      <c r="D229" s="22"/>
      <c r="E229" s="22"/>
      <c r="F229" s="27" t="str">
        <f aca="false">IF(B229="","",IFERROR(INDEX(Roster!$B$5:$B$154,MATCH(B229,Roster!$A$5:$A$154,0)),"Not on roster"))</f>
        <v/>
      </c>
      <c r="G229" s="28" t="str">
        <f aca="false">IF(OR(B229="",C229=""),"",F229&amp;" | "&amp;C229)</f>
        <v/>
      </c>
      <c r="H229" s="27" t="str">
        <f aca="false">IF(G229="","",IFERROR(INDEX(Levels!$C$5:$C$94,MATCH(G229,Levels!$G$5:$G$94,0)),"Not this class's skill"))</f>
        <v/>
      </c>
    </row>
    <row r="230" customFormat="false" ht="15" hidden="false" customHeight="false" outlineLevel="0" collapsed="false">
      <c r="A230" s="23"/>
      <c r="B230" s="22"/>
      <c r="C230" s="22"/>
      <c r="D230" s="22"/>
      <c r="E230" s="22"/>
      <c r="F230" s="27" t="str">
        <f aca="false">IF(B230="","",IFERROR(INDEX(Roster!$B$5:$B$154,MATCH(B230,Roster!$A$5:$A$154,0)),"Not on roster"))</f>
        <v/>
      </c>
      <c r="G230" s="28" t="str">
        <f aca="false">IF(OR(B230="",C230=""),"",F230&amp;" | "&amp;C230)</f>
        <v/>
      </c>
      <c r="H230" s="27" t="str">
        <f aca="false">IF(G230="","",IFERROR(INDEX(Levels!$C$5:$C$94,MATCH(G230,Levels!$G$5:$G$94,0)),"Not this class's skill"))</f>
        <v/>
      </c>
    </row>
    <row r="231" customFormat="false" ht="15" hidden="false" customHeight="false" outlineLevel="0" collapsed="false">
      <c r="A231" s="23"/>
      <c r="B231" s="22"/>
      <c r="C231" s="22"/>
      <c r="D231" s="22"/>
      <c r="E231" s="22"/>
      <c r="F231" s="27" t="str">
        <f aca="false">IF(B231="","",IFERROR(INDEX(Roster!$B$5:$B$154,MATCH(B231,Roster!$A$5:$A$154,0)),"Not on roster"))</f>
        <v/>
      </c>
      <c r="G231" s="28" t="str">
        <f aca="false">IF(OR(B231="",C231=""),"",F231&amp;" | "&amp;C231)</f>
        <v/>
      </c>
      <c r="H231" s="27" t="str">
        <f aca="false">IF(G231="","",IFERROR(INDEX(Levels!$C$5:$C$94,MATCH(G231,Levels!$G$5:$G$94,0)),"Not this class's skill"))</f>
        <v/>
      </c>
    </row>
    <row r="232" customFormat="false" ht="15" hidden="false" customHeight="false" outlineLevel="0" collapsed="false">
      <c r="A232" s="23"/>
      <c r="B232" s="22"/>
      <c r="C232" s="22"/>
      <c r="D232" s="22"/>
      <c r="E232" s="22"/>
      <c r="F232" s="27" t="str">
        <f aca="false">IF(B232="","",IFERROR(INDEX(Roster!$B$5:$B$154,MATCH(B232,Roster!$A$5:$A$154,0)),"Not on roster"))</f>
        <v/>
      </c>
      <c r="G232" s="28" t="str">
        <f aca="false">IF(OR(B232="",C232=""),"",F232&amp;" | "&amp;C232)</f>
        <v/>
      </c>
      <c r="H232" s="27" t="str">
        <f aca="false">IF(G232="","",IFERROR(INDEX(Levels!$C$5:$C$94,MATCH(G232,Levels!$G$5:$G$94,0)),"Not this class's skill"))</f>
        <v/>
      </c>
    </row>
    <row r="233" customFormat="false" ht="15" hidden="false" customHeight="false" outlineLevel="0" collapsed="false">
      <c r="A233" s="23"/>
      <c r="B233" s="22"/>
      <c r="C233" s="22"/>
      <c r="D233" s="22"/>
      <c r="E233" s="22"/>
      <c r="F233" s="27" t="str">
        <f aca="false">IF(B233="","",IFERROR(INDEX(Roster!$B$5:$B$154,MATCH(B233,Roster!$A$5:$A$154,0)),"Not on roster"))</f>
        <v/>
      </c>
      <c r="G233" s="28" t="str">
        <f aca="false">IF(OR(B233="",C233=""),"",F233&amp;" | "&amp;C233)</f>
        <v/>
      </c>
      <c r="H233" s="27" t="str">
        <f aca="false">IF(G233="","",IFERROR(INDEX(Levels!$C$5:$C$94,MATCH(G233,Levels!$G$5:$G$94,0)),"Not this class's skill"))</f>
        <v/>
      </c>
    </row>
    <row r="234" customFormat="false" ht="15" hidden="false" customHeight="false" outlineLevel="0" collapsed="false">
      <c r="A234" s="23"/>
      <c r="B234" s="22"/>
      <c r="C234" s="22"/>
      <c r="D234" s="22"/>
      <c r="E234" s="22"/>
      <c r="F234" s="27" t="str">
        <f aca="false">IF(B234="","",IFERROR(INDEX(Roster!$B$5:$B$154,MATCH(B234,Roster!$A$5:$A$154,0)),"Not on roster"))</f>
        <v/>
      </c>
      <c r="G234" s="28" t="str">
        <f aca="false">IF(OR(B234="",C234=""),"",F234&amp;" | "&amp;C234)</f>
        <v/>
      </c>
      <c r="H234" s="27" t="str">
        <f aca="false">IF(G234="","",IFERROR(INDEX(Levels!$C$5:$C$94,MATCH(G234,Levels!$G$5:$G$94,0)),"Not this class's skill"))</f>
        <v/>
      </c>
    </row>
    <row r="235" customFormat="false" ht="15" hidden="false" customHeight="false" outlineLevel="0" collapsed="false">
      <c r="A235" s="23"/>
      <c r="B235" s="22"/>
      <c r="C235" s="22"/>
      <c r="D235" s="22"/>
      <c r="E235" s="22"/>
      <c r="F235" s="27" t="str">
        <f aca="false">IF(B235="","",IFERROR(INDEX(Roster!$B$5:$B$154,MATCH(B235,Roster!$A$5:$A$154,0)),"Not on roster"))</f>
        <v/>
      </c>
      <c r="G235" s="28" t="str">
        <f aca="false">IF(OR(B235="",C235=""),"",F235&amp;" | "&amp;C235)</f>
        <v/>
      </c>
      <c r="H235" s="27" t="str">
        <f aca="false">IF(G235="","",IFERROR(INDEX(Levels!$C$5:$C$94,MATCH(G235,Levels!$G$5:$G$94,0)),"Not this class's skill"))</f>
        <v/>
      </c>
    </row>
    <row r="236" customFormat="false" ht="15" hidden="false" customHeight="false" outlineLevel="0" collapsed="false">
      <c r="A236" s="23"/>
      <c r="B236" s="22"/>
      <c r="C236" s="22"/>
      <c r="D236" s="22"/>
      <c r="E236" s="22"/>
      <c r="F236" s="27" t="str">
        <f aca="false">IF(B236="","",IFERROR(INDEX(Roster!$B$5:$B$154,MATCH(B236,Roster!$A$5:$A$154,0)),"Not on roster"))</f>
        <v/>
      </c>
      <c r="G236" s="28" t="str">
        <f aca="false">IF(OR(B236="",C236=""),"",F236&amp;" | "&amp;C236)</f>
        <v/>
      </c>
      <c r="H236" s="27" t="str">
        <f aca="false">IF(G236="","",IFERROR(INDEX(Levels!$C$5:$C$94,MATCH(G236,Levels!$G$5:$G$94,0)),"Not this class's skill"))</f>
        <v/>
      </c>
    </row>
    <row r="237" customFormat="false" ht="15" hidden="false" customHeight="false" outlineLevel="0" collapsed="false">
      <c r="A237" s="23"/>
      <c r="B237" s="22"/>
      <c r="C237" s="22"/>
      <c r="D237" s="22"/>
      <c r="E237" s="22"/>
      <c r="F237" s="27" t="str">
        <f aca="false">IF(B237="","",IFERROR(INDEX(Roster!$B$5:$B$154,MATCH(B237,Roster!$A$5:$A$154,0)),"Not on roster"))</f>
        <v/>
      </c>
      <c r="G237" s="28" t="str">
        <f aca="false">IF(OR(B237="",C237=""),"",F237&amp;" | "&amp;C237)</f>
        <v/>
      </c>
      <c r="H237" s="27" t="str">
        <f aca="false">IF(G237="","",IFERROR(INDEX(Levels!$C$5:$C$94,MATCH(G237,Levels!$G$5:$G$94,0)),"Not this class's skill"))</f>
        <v/>
      </c>
    </row>
    <row r="238" customFormat="false" ht="15" hidden="false" customHeight="false" outlineLevel="0" collapsed="false">
      <c r="A238" s="23"/>
      <c r="B238" s="22"/>
      <c r="C238" s="22"/>
      <c r="D238" s="22"/>
      <c r="E238" s="22"/>
      <c r="F238" s="27" t="str">
        <f aca="false">IF(B238="","",IFERROR(INDEX(Roster!$B$5:$B$154,MATCH(B238,Roster!$A$5:$A$154,0)),"Not on roster"))</f>
        <v/>
      </c>
      <c r="G238" s="28" t="str">
        <f aca="false">IF(OR(B238="",C238=""),"",F238&amp;" | "&amp;C238)</f>
        <v/>
      </c>
      <c r="H238" s="27" t="str">
        <f aca="false">IF(G238="","",IFERROR(INDEX(Levels!$C$5:$C$94,MATCH(G238,Levels!$G$5:$G$94,0)),"Not this class's skill"))</f>
        <v/>
      </c>
    </row>
    <row r="239" customFormat="false" ht="15" hidden="false" customHeight="false" outlineLevel="0" collapsed="false">
      <c r="A239" s="23"/>
      <c r="B239" s="22"/>
      <c r="C239" s="22"/>
      <c r="D239" s="22"/>
      <c r="E239" s="22"/>
      <c r="F239" s="27" t="str">
        <f aca="false">IF(B239="","",IFERROR(INDEX(Roster!$B$5:$B$154,MATCH(B239,Roster!$A$5:$A$154,0)),"Not on roster"))</f>
        <v/>
      </c>
      <c r="G239" s="28" t="str">
        <f aca="false">IF(OR(B239="",C239=""),"",F239&amp;" | "&amp;C239)</f>
        <v/>
      </c>
      <c r="H239" s="27" t="str">
        <f aca="false">IF(G239="","",IFERROR(INDEX(Levels!$C$5:$C$94,MATCH(G239,Levels!$G$5:$G$94,0)),"Not this class's skill"))</f>
        <v/>
      </c>
    </row>
    <row r="240" customFormat="false" ht="15" hidden="false" customHeight="false" outlineLevel="0" collapsed="false">
      <c r="A240" s="23"/>
      <c r="B240" s="22"/>
      <c r="C240" s="22"/>
      <c r="D240" s="22"/>
      <c r="E240" s="22"/>
      <c r="F240" s="27" t="str">
        <f aca="false">IF(B240="","",IFERROR(INDEX(Roster!$B$5:$B$154,MATCH(B240,Roster!$A$5:$A$154,0)),"Not on roster"))</f>
        <v/>
      </c>
      <c r="G240" s="28" t="str">
        <f aca="false">IF(OR(B240="",C240=""),"",F240&amp;" | "&amp;C240)</f>
        <v/>
      </c>
      <c r="H240" s="27" t="str">
        <f aca="false">IF(G240="","",IFERROR(INDEX(Levels!$C$5:$C$94,MATCH(G240,Levels!$G$5:$G$94,0)),"Not this class's skill"))</f>
        <v/>
      </c>
    </row>
    <row r="241" customFormat="false" ht="15" hidden="false" customHeight="false" outlineLevel="0" collapsed="false">
      <c r="A241" s="23"/>
      <c r="B241" s="22"/>
      <c r="C241" s="22"/>
      <c r="D241" s="22"/>
      <c r="E241" s="22"/>
      <c r="F241" s="27" t="str">
        <f aca="false">IF(B241="","",IFERROR(INDEX(Roster!$B$5:$B$154,MATCH(B241,Roster!$A$5:$A$154,0)),"Not on roster"))</f>
        <v/>
      </c>
      <c r="G241" s="28" t="str">
        <f aca="false">IF(OR(B241="",C241=""),"",F241&amp;" | "&amp;C241)</f>
        <v/>
      </c>
      <c r="H241" s="27" t="str">
        <f aca="false">IF(G241="","",IFERROR(INDEX(Levels!$C$5:$C$94,MATCH(G241,Levels!$G$5:$G$94,0)),"Not this class's skill"))</f>
        <v/>
      </c>
    </row>
    <row r="242" customFormat="false" ht="15" hidden="false" customHeight="false" outlineLevel="0" collapsed="false">
      <c r="A242" s="23"/>
      <c r="B242" s="22"/>
      <c r="C242" s="22"/>
      <c r="D242" s="22"/>
      <c r="E242" s="22"/>
      <c r="F242" s="27" t="str">
        <f aca="false">IF(B242="","",IFERROR(INDEX(Roster!$B$5:$B$154,MATCH(B242,Roster!$A$5:$A$154,0)),"Not on roster"))</f>
        <v/>
      </c>
      <c r="G242" s="28" t="str">
        <f aca="false">IF(OR(B242="",C242=""),"",F242&amp;" | "&amp;C242)</f>
        <v/>
      </c>
      <c r="H242" s="27" t="str">
        <f aca="false">IF(G242="","",IFERROR(INDEX(Levels!$C$5:$C$94,MATCH(G242,Levels!$G$5:$G$94,0)),"Not this class's skill"))</f>
        <v/>
      </c>
    </row>
    <row r="243" customFormat="false" ht="15" hidden="false" customHeight="false" outlineLevel="0" collapsed="false">
      <c r="A243" s="23"/>
      <c r="B243" s="22"/>
      <c r="C243" s="22"/>
      <c r="D243" s="22"/>
      <c r="E243" s="22"/>
      <c r="F243" s="27" t="str">
        <f aca="false">IF(B243="","",IFERROR(INDEX(Roster!$B$5:$B$154,MATCH(B243,Roster!$A$5:$A$154,0)),"Not on roster"))</f>
        <v/>
      </c>
      <c r="G243" s="28" t="str">
        <f aca="false">IF(OR(B243="",C243=""),"",F243&amp;" | "&amp;C243)</f>
        <v/>
      </c>
      <c r="H243" s="27" t="str">
        <f aca="false">IF(G243="","",IFERROR(INDEX(Levels!$C$5:$C$94,MATCH(G243,Levels!$G$5:$G$94,0)),"Not this class's skill"))</f>
        <v/>
      </c>
    </row>
    <row r="244" customFormat="false" ht="15" hidden="false" customHeight="false" outlineLevel="0" collapsed="false">
      <c r="A244" s="23"/>
      <c r="B244" s="22"/>
      <c r="C244" s="22"/>
      <c r="D244" s="22"/>
      <c r="E244" s="22"/>
      <c r="F244" s="27" t="str">
        <f aca="false">IF(B244="","",IFERROR(INDEX(Roster!$B$5:$B$154,MATCH(B244,Roster!$A$5:$A$154,0)),"Not on roster"))</f>
        <v/>
      </c>
      <c r="G244" s="28" t="str">
        <f aca="false">IF(OR(B244="",C244=""),"",F244&amp;" | "&amp;C244)</f>
        <v/>
      </c>
      <c r="H244" s="27" t="str">
        <f aca="false">IF(G244="","",IFERROR(INDEX(Levels!$C$5:$C$94,MATCH(G244,Levels!$G$5:$G$94,0)),"Not this class's skill"))</f>
        <v/>
      </c>
    </row>
    <row r="245" customFormat="false" ht="15" hidden="false" customHeight="false" outlineLevel="0" collapsed="false">
      <c r="A245" s="23"/>
      <c r="B245" s="22"/>
      <c r="C245" s="22"/>
      <c r="D245" s="22"/>
      <c r="E245" s="22"/>
      <c r="F245" s="27" t="str">
        <f aca="false">IF(B245="","",IFERROR(INDEX(Roster!$B$5:$B$154,MATCH(B245,Roster!$A$5:$A$154,0)),"Not on roster"))</f>
        <v/>
      </c>
      <c r="G245" s="28" t="str">
        <f aca="false">IF(OR(B245="",C245=""),"",F245&amp;" | "&amp;C245)</f>
        <v/>
      </c>
      <c r="H245" s="27" t="str">
        <f aca="false">IF(G245="","",IFERROR(INDEX(Levels!$C$5:$C$94,MATCH(G245,Levels!$G$5:$G$94,0)),"Not this class's skill"))</f>
        <v/>
      </c>
    </row>
    <row r="246" customFormat="false" ht="15" hidden="false" customHeight="false" outlineLevel="0" collapsed="false">
      <c r="A246" s="23"/>
      <c r="B246" s="22"/>
      <c r="C246" s="22"/>
      <c r="D246" s="22"/>
      <c r="E246" s="22"/>
      <c r="F246" s="27" t="str">
        <f aca="false">IF(B246="","",IFERROR(INDEX(Roster!$B$5:$B$154,MATCH(B246,Roster!$A$5:$A$154,0)),"Not on roster"))</f>
        <v/>
      </c>
      <c r="G246" s="28" t="str">
        <f aca="false">IF(OR(B246="",C246=""),"",F246&amp;" | "&amp;C246)</f>
        <v/>
      </c>
      <c r="H246" s="27" t="str">
        <f aca="false">IF(G246="","",IFERROR(INDEX(Levels!$C$5:$C$94,MATCH(G246,Levels!$G$5:$G$94,0)),"Not this class's skill"))</f>
        <v/>
      </c>
    </row>
    <row r="247" customFormat="false" ht="15" hidden="false" customHeight="false" outlineLevel="0" collapsed="false">
      <c r="A247" s="23"/>
      <c r="B247" s="22"/>
      <c r="C247" s="22"/>
      <c r="D247" s="22"/>
      <c r="E247" s="22"/>
      <c r="F247" s="27" t="str">
        <f aca="false">IF(B247="","",IFERROR(INDEX(Roster!$B$5:$B$154,MATCH(B247,Roster!$A$5:$A$154,0)),"Not on roster"))</f>
        <v/>
      </c>
      <c r="G247" s="28" t="str">
        <f aca="false">IF(OR(B247="",C247=""),"",F247&amp;" | "&amp;C247)</f>
        <v/>
      </c>
      <c r="H247" s="27" t="str">
        <f aca="false">IF(G247="","",IFERROR(INDEX(Levels!$C$5:$C$94,MATCH(G247,Levels!$G$5:$G$94,0)),"Not this class's skill"))</f>
        <v/>
      </c>
    </row>
    <row r="248" customFormat="false" ht="15" hidden="false" customHeight="false" outlineLevel="0" collapsed="false">
      <c r="A248" s="23"/>
      <c r="B248" s="22"/>
      <c r="C248" s="22"/>
      <c r="D248" s="22"/>
      <c r="E248" s="22"/>
      <c r="F248" s="27" t="str">
        <f aca="false">IF(B248="","",IFERROR(INDEX(Roster!$B$5:$B$154,MATCH(B248,Roster!$A$5:$A$154,0)),"Not on roster"))</f>
        <v/>
      </c>
      <c r="G248" s="28" t="str">
        <f aca="false">IF(OR(B248="",C248=""),"",F248&amp;" | "&amp;C248)</f>
        <v/>
      </c>
      <c r="H248" s="27" t="str">
        <f aca="false">IF(G248="","",IFERROR(INDEX(Levels!$C$5:$C$94,MATCH(G248,Levels!$G$5:$G$94,0)),"Not this class's skill"))</f>
        <v/>
      </c>
    </row>
    <row r="249" customFormat="false" ht="15" hidden="false" customHeight="false" outlineLevel="0" collapsed="false">
      <c r="A249" s="23"/>
      <c r="B249" s="22"/>
      <c r="C249" s="22"/>
      <c r="D249" s="22"/>
      <c r="E249" s="22"/>
      <c r="F249" s="27" t="str">
        <f aca="false">IF(B249="","",IFERROR(INDEX(Roster!$B$5:$B$154,MATCH(B249,Roster!$A$5:$A$154,0)),"Not on roster"))</f>
        <v/>
      </c>
      <c r="G249" s="28" t="str">
        <f aca="false">IF(OR(B249="",C249=""),"",F249&amp;" | "&amp;C249)</f>
        <v/>
      </c>
      <c r="H249" s="27" t="str">
        <f aca="false">IF(G249="","",IFERROR(INDEX(Levels!$C$5:$C$94,MATCH(G249,Levels!$G$5:$G$94,0)),"Not this class's skill"))</f>
        <v/>
      </c>
    </row>
    <row r="250" customFormat="false" ht="15" hidden="false" customHeight="false" outlineLevel="0" collapsed="false">
      <c r="A250" s="23"/>
      <c r="B250" s="22"/>
      <c r="C250" s="22"/>
      <c r="D250" s="22"/>
      <c r="E250" s="22"/>
      <c r="F250" s="27" t="str">
        <f aca="false">IF(B250="","",IFERROR(INDEX(Roster!$B$5:$B$154,MATCH(B250,Roster!$A$5:$A$154,0)),"Not on roster"))</f>
        <v/>
      </c>
      <c r="G250" s="28" t="str">
        <f aca="false">IF(OR(B250="",C250=""),"",F250&amp;" | "&amp;C250)</f>
        <v/>
      </c>
      <c r="H250" s="27" t="str">
        <f aca="false">IF(G250="","",IFERROR(INDEX(Levels!$C$5:$C$94,MATCH(G250,Levels!$G$5:$G$94,0)),"Not this class's skill"))</f>
        <v/>
      </c>
    </row>
    <row r="251" customFormat="false" ht="15" hidden="false" customHeight="false" outlineLevel="0" collapsed="false">
      <c r="A251" s="23"/>
      <c r="B251" s="22"/>
      <c r="C251" s="22"/>
      <c r="D251" s="22"/>
      <c r="E251" s="22"/>
      <c r="F251" s="27" t="str">
        <f aca="false">IF(B251="","",IFERROR(INDEX(Roster!$B$5:$B$154,MATCH(B251,Roster!$A$5:$A$154,0)),"Not on roster"))</f>
        <v/>
      </c>
      <c r="G251" s="28" t="str">
        <f aca="false">IF(OR(B251="",C251=""),"",F251&amp;" | "&amp;C251)</f>
        <v/>
      </c>
      <c r="H251" s="27" t="str">
        <f aca="false">IF(G251="","",IFERROR(INDEX(Levels!$C$5:$C$94,MATCH(G251,Levels!$G$5:$G$94,0)),"Not this class's skill"))</f>
        <v/>
      </c>
    </row>
    <row r="252" customFormat="false" ht="15" hidden="false" customHeight="false" outlineLevel="0" collapsed="false">
      <c r="A252" s="23"/>
      <c r="B252" s="22"/>
      <c r="C252" s="22"/>
      <c r="D252" s="22"/>
      <c r="E252" s="22"/>
      <c r="F252" s="27" t="str">
        <f aca="false">IF(B252="","",IFERROR(INDEX(Roster!$B$5:$B$154,MATCH(B252,Roster!$A$5:$A$154,0)),"Not on roster"))</f>
        <v/>
      </c>
      <c r="G252" s="28" t="str">
        <f aca="false">IF(OR(B252="",C252=""),"",F252&amp;" | "&amp;C252)</f>
        <v/>
      </c>
      <c r="H252" s="27" t="str">
        <f aca="false">IF(G252="","",IFERROR(INDEX(Levels!$C$5:$C$94,MATCH(G252,Levels!$G$5:$G$94,0)),"Not this class's skill"))</f>
        <v/>
      </c>
    </row>
    <row r="253" customFormat="false" ht="15" hidden="false" customHeight="false" outlineLevel="0" collapsed="false">
      <c r="A253" s="23"/>
      <c r="B253" s="22"/>
      <c r="C253" s="22"/>
      <c r="D253" s="22"/>
      <c r="E253" s="22"/>
      <c r="F253" s="27" t="str">
        <f aca="false">IF(B253="","",IFERROR(INDEX(Roster!$B$5:$B$154,MATCH(B253,Roster!$A$5:$A$154,0)),"Not on roster"))</f>
        <v/>
      </c>
      <c r="G253" s="28" t="str">
        <f aca="false">IF(OR(B253="",C253=""),"",F253&amp;" | "&amp;C253)</f>
        <v/>
      </c>
      <c r="H253" s="27" t="str">
        <f aca="false">IF(G253="","",IFERROR(INDEX(Levels!$C$5:$C$94,MATCH(G253,Levels!$G$5:$G$94,0)),"Not this class's skill"))</f>
        <v/>
      </c>
    </row>
    <row r="254" customFormat="false" ht="15" hidden="false" customHeight="false" outlineLevel="0" collapsed="false">
      <c r="A254" s="23"/>
      <c r="B254" s="22"/>
      <c r="C254" s="22"/>
      <c r="D254" s="22"/>
      <c r="E254" s="22"/>
      <c r="F254" s="27" t="str">
        <f aca="false">IF(B254="","",IFERROR(INDEX(Roster!$B$5:$B$154,MATCH(B254,Roster!$A$5:$A$154,0)),"Not on roster"))</f>
        <v/>
      </c>
      <c r="G254" s="28" t="str">
        <f aca="false">IF(OR(B254="",C254=""),"",F254&amp;" | "&amp;C254)</f>
        <v/>
      </c>
      <c r="H254" s="27" t="str">
        <f aca="false">IF(G254="","",IFERROR(INDEX(Levels!$C$5:$C$94,MATCH(G254,Levels!$G$5:$G$94,0)),"Not this class's skill"))</f>
        <v/>
      </c>
    </row>
    <row r="255" customFormat="false" ht="15" hidden="false" customHeight="false" outlineLevel="0" collapsed="false">
      <c r="A255" s="23"/>
      <c r="B255" s="22"/>
      <c r="C255" s="22"/>
      <c r="D255" s="22"/>
      <c r="E255" s="22"/>
      <c r="F255" s="27" t="str">
        <f aca="false">IF(B255="","",IFERROR(INDEX(Roster!$B$5:$B$154,MATCH(B255,Roster!$A$5:$A$154,0)),"Not on roster"))</f>
        <v/>
      </c>
      <c r="G255" s="28" t="str">
        <f aca="false">IF(OR(B255="",C255=""),"",F255&amp;" | "&amp;C255)</f>
        <v/>
      </c>
      <c r="H255" s="27" t="str">
        <f aca="false">IF(G255="","",IFERROR(INDEX(Levels!$C$5:$C$94,MATCH(G255,Levels!$G$5:$G$94,0)),"Not this class's skill"))</f>
        <v/>
      </c>
    </row>
    <row r="256" customFormat="false" ht="15" hidden="false" customHeight="false" outlineLevel="0" collapsed="false">
      <c r="A256" s="23"/>
      <c r="B256" s="22"/>
      <c r="C256" s="22"/>
      <c r="D256" s="22"/>
      <c r="E256" s="22"/>
      <c r="F256" s="27" t="str">
        <f aca="false">IF(B256="","",IFERROR(INDEX(Roster!$B$5:$B$154,MATCH(B256,Roster!$A$5:$A$154,0)),"Not on roster"))</f>
        <v/>
      </c>
      <c r="G256" s="28" t="str">
        <f aca="false">IF(OR(B256="",C256=""),"",F256&amp;" | "&amp;C256)</f>
        <v/>
      </c>
      <c r="H256" s="27" t="str">
        <f aca="false">IF(G256="","",IFERROR(INDEX(Levels!$C$5:$C$94,MATCH(G256,Levels!$G$5:$G$94,0)),"Not this class's skill"))</f>
        <v/>
      </c>
    </row>
    <row r="257" customFormat="false" ht="15" hidden="false" customHeight="false" outlineLevel="0" collapsed="false">
      <c r="A257" s="23"/>
      <c r="B257" s="22"/>
      <c r="C257" s="22"/>
      <c r="D257" s="22"/>
      <c r="E257" s="22"/>
      <c r="F257" s="27" t="str">
        <f aca="false">IF(B257="","",IFERROR(INDEX(Roster!$B$5:$B$154,MATCH(B257,Roster!$A$5:$A$154,0)),"Not on roster"))</f>
        <v/>
      </c>
      <c r="G257" s="28" t="str">
        <f aca="false">IF(OR(B257="",C257=""),"",F257&amp;" | "&amp;C257)</f>
        <v/>
      </c>
      <c r="H257" s="27" t="str">
        <f aca="false">IF(G257="","",IFERROR(INDEX(Levels!$C$5:$C$94,MATCH(G257,Levels!$G$5:$G$94,0)),"Not this class's skill"))</f>
        <v/>
      </c>
    </row>
    <row r="258" customFormat="false" ht="15" hidden="false" customHeight="false" outlineLevel="0" collapsed="false">
      <c r="A258" s="23"/>
      <c r="B258" s="22"/>
      <c r="C258" s="22"/>
      <c r="D258" s="22"/>
      <c r="E258" s="22"/>
      <c r="F258" s="27" t="str">
        <f aca="false">IF(B258="","",IFERROR(INDEX(Roster!$B$5:$B$154,MATCH(B258,Roster!$A$5:$A$154,0)),"Not on roster"))</f>
        <v/>
      </c>
      <c r="G258" s="28" t="str">
        <f aca="false">IF(OR(B258="",C258=""),"",F258&amp;" | "&amp;C258)</f>
        <v/>
      </c>
      <c r="H258" s="27" t="str">
        <f aca="false">IF(G258="","",IFERROR(INDEX(Levels!$C$5:$C$94,MATCH(G258,Levels!$G$5:$G$94,0)),"Not this class's skill"))</f>
        <v/>
      </c>
    </row>
    <row r="259" customFormat="false" ht="15" hidden="false" customHeight="false" outlineLevel="0" collapsed="false">
      <c r="A259" s="23"/>
      <c r="B259" s="22"/>
      <c r="C259" s="22"/>
      <c r="D259" s="22"/>
      <c r="E259" s="22"/>
      <c r="F259" s="27" t="str">
        <f aca="false">IF(B259="","",IFERROR(INDEX(Roster!$B$5:$B$154,MATCH(B259,Roster!$A$5:$A$154,0)),"Not on roster"))</f>
        <v/>
      </c>
      <c r="G259" s="28" t="str">
        <f aca="false">IF(OR(B259="",C259=""),"",F259&amp;" | "&amp;C259)</f>
        <v/>
      </c>
      <c r="H259" s="27" t="str">
        <f aca="false">IF(G259="","",IFERROR(INDEX(Levels!$C$5:$C$94,MATCH(G259,Levels!$G$5:$G$94,0)),"Not this class's skill"))</f>
        <v/>
      </c>
    </row>
    <row r="260" customFormat="false" ht="15" hidden="false" customHeight="false" outlineLevel="0" collapsed="false">
      <c r="A260" s="23"/>
      <c r="B260" s="22"/>
      <c r="C260" s="22"/>
      <c r="D260" s="22"/>
      <c r="E260" s="22"/>
      <c r="F260" s="27" t="str">
        <f aca="false">IF(B260="","",IFERROR(INDEX(Roster!$B$5:$B$154,MATCH(B260,Roster!$A$5:$A$154,0)),"Not on roster"))</f>
        <v/>
      </c>
      <c r="G260" s="28" t="str">
        <f aca="false">IF(OR(B260="",C260=""),"",F260&amp;" | "&amp;C260)</f>
        <v/>
      </c>
      <c r="H260" s="27" t="str">
        <f aca="false">IF(G260="","",IFERROR(INDEX(Levels!$C$5:$C$94,MATCH(G260,Levels!$G$5:$G$94,0)),"Not this class's skill"))</f>
        <v/>
      </c>
    </row>
    <row r="261" customFormat="false" ht="15" hidden="false" customHeight="false" outlineLevel="0" collapsed="false">
      <c r="A261" s="23"/>
      <c r="B261" s="22"/>
      <c r="C261" s="22"/>
      <c r="D261" s="22"/>
      <c r="E261" s="22"/>
      <c r="F261" s="27" t="str">
        <f aca="false">IF(B261="","",IFERROR(INDEX(Roster!$B$5:$B$154,MATCH(B261,Roster!$A$5:$A$154,0)),"Not on roster"))</f>
        <v/>
      </c>
      <c r="G261" s="28" t="str">
        <f aca="false">IF(OR(B261="",C261=""),"",F261&amp;" | "&amp;C261)</f>
        <v/>
      </c>
      <c r="H261" s="27" t="str">
        <f aca="false">IF(G261="","",IFERROR(INDEX(Levels!$C$5:$C$94,MATCH(G261,Levels!$G$5:$G$94,0)),"Not this class's skill"))</f>
        <v/>
      </c>
    </row>
    <row r="262" customFormat="false" ht="15" hidden="false" customHeight="false" outlineLevel="0" collapsed="false">
      <c r="A262" s="23"/>
      <c r="B262" s="22"/>
      <c r="C262" s="22"/>
      <c r="D262" s="22"/>
      <c r="E262" s="22"/>
      <c r="F262" s="27" t="str">
        <f aca="false">IF(B262="","",IFERROR(INDEX(Roster!$B$5:$B$154,MATCH(B262,Roster!$A$5:$A$154,0)),"Not on roster"))</f>
        <v/>
      </c>
      <c r="G262" s="28" t="str">
        <f aca="false">IF(OR(B262="",C262=""),"",F262&amp;" | "&amp;C262)</f>
        <v/>
      </c>
      <c r="H262" s="27" t="str">
        <f aca="false">IF(G262="","",IFERROR(INDEX(Levels!$C$5:$C$94,MATCH(G262,Levels!$G$5:$G$94,0)),"Not this class's skill"))</f>
        <v/>
      </c>
    </row>
    <row r="263" customFormat="false" ht="15" hidden="false" customHeight="false" outlineLevel="0" collapsed="false">
      <c r="A263" s="23"/>
      <c r="B263" s="22"/>
      <c r="C263" s="22"/>
      <c r="D263" s="22"/>
      <c r="E263" s="22"/>
      <c r="F263" s="27" t="str">
        <f aca="false">IF(B263="","",IFERROR(INDEX(Roster!$B$5:$B$154,MATCH(B263,Roster!$A$5:$A$154,0)),"Not on roster"))</f>
        <v/>
      </c>
      <c r="G263" s="28" t="str">
        <f aca="false">IF(OR(B263="",C263=""),"",F263&amp;" | "&amp;C263)</f>
        <v/>
      </c>
      <c r="H263" s="27" t="str">
        <f aca="false">IF(G263="","",IFERROR(INDEX(Levels!$C$5:$C$94,MATCH(G263,Levels!$G$5:$G$94,0)),"Not this class's skill"))</f>
        <v/>
      </c>
    </row>
    <row r="264" customFormat="false" ht="15" hidden="false" customHeight="false" outlineLevel="0" collapsed="false">
      <c r="A264" s="23"/>
      <c r="B264" s="22"/>
      <c r="C264" s="22"/>
      <c r="D264" s="22"/>
      <c r="E264" s="22"/>
      <c r="F264" s="27" t="str">
        <f aca="false">IF(B264="","",IFERROR(INDEX(Roster!$B$5:$B$154,MATCH(B264,Roster!$A$5:$A$154,0)),"Not on roster"))</f>
        <v/>
      </c>
      <c r="G264" s="28" t="str">
        <f aca="false">IF(OR(B264="",C264=""),"",F264&amp;" | "&amp;C264)</f>
        <v/>
      </c>
      <c r="H264" s="27" t="str">
        <f aca="false">IF(G264="","",IFERROR(INDEX(Levels!$C$5:$C$94,MATCH(G264,Levels!$G$5:$G$94,0)),"Not this class's skill"))</f>
        <v/>
      </c>
    </row>
    <row r="265" customFormat="false" ht="15" hidden="false" customHeight="false" outlineLevel="0" collapsed="false">
      <c r="A265" s="23"/>
      <c r="B265" s="22"/>
      <c r="C265" s="22"/>
      <c r="D265" s="22"/>
      <c r="E265" s="22"/>
      <c r="F265" s="27" t="str">
        <f aca="false">IF(B265="","",IFERROR(INDEX(Roster!$B$5:$B$154,MATCH(B265,Roster!$A$5:$A$154,0)),"Not on roster"))</f>
        <v/>
      </c>
      <c r="G265" s="28" t="str">
        <f aca="false">IF(OR(B265="",C265=""),"",F265&amp;" | "&amp;C265)</f>
        <v/>
      </c>
      <c r="H265" s="27" t="str">
        <f aca="false">IF(G265="","",IFERROR(INDEX(Levels!$C$5:$C$94,MATCH(G265,Levels!$G$5:$G$94,0)),"Not this class's skill"))</f>
        <v/>
      </c>
    </row>
    <row r="266" customFormat="false" ht="15" hidden="false" customHeight="false" outlineLevel="0" collapsed="false">
      <c r="A266" s="23"/>
      <c r="B266" s="22"/>
      <c r="C266" s="22"/>
      <c r="D266" s="22"/>
      <c r="E266" s="22"/>
      <c r="F266" s="27" t="str">
        <f aca="false">IF(B266="","",IFERROR(INDEX(Roster!$B$5:$B$154,MATCH(B266,Roster!$A$5:$A$154,0)),"Not on roster"))</f>
        <v/>
      </c>
      <c r="G266" s="28" t="str">
        <f aca="false">IF(OR(B266="",C266=""),"",F266&amp;" | "&amp;C266)</f>
        <v/>
      </c>
      <c r="H266" s="27" t="str">
        <f aca="false">IF(G266="","",IFERROR(INDEX(Levels!$C$5:$C$94,MATCH(G266,Levels!$G$5:$G$94,0)),"Not this class's skill"))</f>
        <v/>
      </c>
    </row>
    <row r="267" customFormat="false" ht="15" hidden="false" customHeight="false" outlineLevel="0" collapsed="false">
      <c r="A267" s="23"/>
      <c r="B267" s="22"/>
      <c r="C267" s="22"/>
      <c r="D267" s="22"/>
      <c r="E267" s="22"/>
      <c r="F267" s="27" t="str">
        <f aca="false">IF(B267="","",IFERROR(INDEX(Roster!$B$5:$B$154,MATCH(B267,Roster!$A$5:$A$154,0)),"Not on roster"))</f>
        <v/>
      </c>
      <c r="G267" s="28" t="str">
        <f aca="false">IF(OR(B267="",C267=""),"",F267&amp;" | "&amp;C267)</f>
        <v/>
      </c>
      <c r="H267" s="27" t="str">
        <f aca="false">IF(G267="","",IFERROR(INDEX(Levels!$C$5:$C$94,MATCH(G267,Levels!$G$5:$G$94,0)),"Not this class's skill"))</f>
        <v/>
      </c>
    </row>
    <row r="268" customFormat="false" ht="15" hidden="false" customHeight="false" outlineLevel="0" collapsed="false">
      <c r="A268" s="23"/>
      <c r="B268" s="22"/>
      <c r="C268" s="22"/>
      <c r="D268" s="22"/>
      <c r="E268" s="22"/>
      <c r="F268" s="27" t="str">
        <f aca="false">IF(B268="","",IFERROR(INDEX(Roster!$B$5:$B$154,MATCH(B268,Roster!$A$5:$A$154,0)),"Not on roster"))</f>
        <v/>
      </c>
      <c r="G268" s="28" t="str">
        <f aca="false">IF(OR(B268="",C268=""),"",F268&amp;" | "&amp;C268)</f>
        <v/>
      </c>
      <c r="H268" s="27" t="str">
        <f aca="false">IF(G268="","",IFERROR(INDEX(Levels!$C$5:$C$94,MATCH(G268,Levels!$G$5:$G$94,0)),"Not this class's skill"))</f>
        <v/>
      </c>
    </row>
    <row r="269" customFormat="false" ht="15" hidden="false" customHeight="false" outlineLevel="0" collapsed="false">
      <c r="A269" s="23"/>
      <c r="B269" s="22"/>
      <c r="C269" s="22"/>
      <c r="D269" s="22"/>
      <c r="E269" s="22"/>
      <c r="F269" s="27" t="str">
        <f aca="false">IF(B269="","",IFERROR(INDEX(Roster!$B$5:$B$154,MATCH(B269,Roster!$A$5:$A$154,0)),"Not on roster"))</f>
        <v/>
      </c>
      <c r="G269" s="28" t="str">
        <f aca="false">IF(OR(B269="",C269=""),"",F269&amp;" | "&amp;C269)</f>
        <v/>
      </c>
      <c r="H269" s="27" t="str">
        <f aca="false">IF(G269="","",IFERROR(INDEX(Levels!$C$5:$C$94,MATCH(G269,Levels!$G$5:$G$94,0)),"Not this class's skill"))</f>
        <v/>
      </c>
    </row>
    <row r="270" customFormat="false" ht="15" hidden="false" customHeight="false" outlineLevel="0" collapsed="false">
      <c r="A270" s="23"/>
      <c r="B270" s="22"/>
      <c r="C270" s="22"/>
      <c r="D270" s="22"/>
      <c r="E270" s="22"/>
      <c r="F270" s="27" t="str">
        <f aca="false">IF(B270="","",IFERROR(INDEX(Roster!$B$5:$B$154,MATCH(B270,Roster!$A$5:$A$154,0)),"Not on roster"))</f>
        <v/>
      </c>
      <c r="G270" s="28" t="str">
        <f aca="false">IF(OR(B270="",C270=""),"",F270&amp;" | "&amp;C270)</f>
        <v/>
      </c>
      <c r="H270" s="27" t="str">
        <f aca="false">IF(G270="","",IFERROR(INDEX(Levels!$C$5:$C$94,MATCH(G270,Levels!$G$5:$G$94,0)),"Not this class's skill"))</f>
        <v/>
      </c>
    </row>
    <row r="271" customFormat="false" ht="15" hidden="false" customHeight="false" outlineLevel="0" collapsed="false">
      <c r="A271" s="23"/>
      <c r="B271" s="22"/>
      <c r="C271" s="22"/>
      <c r="D271" s="22"/>
      <c r="E271" s="22"/>
      <c r="F271" s="27" t="str">
        <f aca="false">IF(B271="","",IFERROR(INDEX(Roster!$B$5:$B$154,MATCH(B271,Roster!$A$5:$A$154,0)),"Not on roster"))</f>
        <v/>
      </c>
      <c r="G271" s="28" t="str">
        <f aca="false">IF(OR(B271="",C271=""),"",F271&amp;" | "&amp;C271)</f>
        <v/>
      </c>
      <c r="H271" s="27" t="str">
        <f aca="false">IF(G271="","",IFERROR(INDEX(Levels!$C$5:$C$94,MATCH(G271,Levels!$G$5:$G$94,0)),"Not this class's skill"))</f>
        <v/>
      </c>
    </row>
    <row r="272" customFormat="false" ht="15" hidden="false" customHeight="false" outlineLevel="0" collapsed="false">
      <c r="A272" s="23"/>
      <c r="B272" s="22"/>
      <c r="C272" s="22"/>
      <c r="D272" s="22"/>
      <c r="E272" s="22"/>
      <c r="F272" s="27" t="str">
        <f aca="false">IF(B272="","",IFERROR(INDEX(Roster!$B$5:$B$154,MATCH(B272,Roster!$A$5:$A$154,0)),"Not on roster"))</f>
        <v/>
      </c>
      <c r="G272" s="28" t="str">
        <f aca="false">IF(OR(B272="",C272=""),"",F272&amp;" | "&amp;C272)</f>
        <v/>
      </c>
      <c r="H272" s="27" t="str">
        <f aca="false">IF(G272="","",IFERROR(INDEX(Levels!$C$5:$C$94,MATCH(G272,Levels!$G$5:$G$94,0)),"Not this class's skill"))</f>
        <v/>
      </c>
    </row>
    <row r="273" customFormat="false" ht="15" hidden="false" customHeight="false" outlineLevel="0" collapsed="false">
      <c r="A273" s="23"/>
      <c r="B273" s="22"/>
      <c r="C273" s="22"/>
      <c r="D273" s="22"/>
      <c r="E273" s="22"/>
      <c r="F273" s="27" t="str">
        <f aca="false">IF(B273="","",IFERROR(INDEX(Roster!$B$5:$B$154,MATCH(B273,Roster!$A$5:$A$154,0)),"Not on roster"))</f>
        <v/>
      </c>
      <c r="G273" s="28" t="str">
        <f aca="false">IF(OR(B273="",C273=""),"",F273&amp;" | "&amp;C273)</f>
        <v/>
      </c>
      <c r="H273" s="27" t="str">
        <f aca="false">IF(G273="","",IFERROR(INDEX(Levels!$C$5:$C$94,MATCH(G273,Levels!$G$5:$G$94,0)),"Not this class's skill"))</f>
        <v/>
      </c>
    </row>
    <row r="274" customFormat="false" ht="15" hidden="false" customHeight="false" outlineLevel="0" collapsed="false">
      <c r="A274" s="23"/>
      <c r="B274" s="22"/>
      <c r="C274" s="22"/>
      <c r="D274" s="22"/>
      <c r="E274" s="22"/>
      <c r="F274" s="27" t="str">
        <f aca="false">IF(B274="","",IFERROR(INDEX(Roster!$B$5:$B$154,MATCH(B274,Roster!$A$5:$A$154,0)),"Not on roster"))</f>
        <v/>
      </c>
      <c r="G274" s="28" t="str">
        <f aca="false">IF(OR(B274="",C274=""),"",F274&amp;" | "&amp;C274)</f>
        <v/>
      </c>
      <c r="H274" s="27" t="str">
        <f aca="false">IF(G274="","",IFERROR(INDEX(Levels!$C$5:$C$94,MATCH(G274,Levels!$G$5:$G$94,0)),"Not this class's skill"))</f>
        <v/>
      </c>
    </row>
    <row r="275" customFormat="false" ht="15" hidden="false" customHeight="false" outlineLevel="0" collapsed="false">
      <c r="A275" s="23"/>
      <c r="B275" s="22"/>
      <c r="C275" s="22"/>
      <c r="D275" s="22"/>
      <c r="E275" s="22"/>
      <c r="F275" s="27" t="str">
        <f aca="false">IF(B275="","",IFERROR(INDEX(Roster!$B$5:$B$154,MATCH(B275,Roster!$A$5:$A$154,0)),"Not on roster"))</f>
        <v/>
      </c>
      <c r="G275" s="28" t="str">
        <f aca="false">IF(OR(B275="",C275=""),"",F275&amp;" | "&amp;C275)</f>
        <v/>
      </c>
      <c r="H275" s="27" t="str">
        <f aca="false">IF(G275="","",IFERROR(INDEX(Levels!$C$5:$C$94,MATCH(G275,Levels!$G$5:$G$94,0)),"Not this class's skill"))</f>
        <v/>
      </c>
    </row>
    <row r="276" customFormat="false" ht="15" hidden="false" customHeight="false" outlineLevel="0" collapsed="false">
      <c r="A276" s="23"/>
      <c r="B276" s="22"/>
      <c r="C276" s="22"/>
      <c r="D276" s="22"/>
      <c r="E276" s="22"/>
      <c r="F276" s="27" t="str">
        <f aca="false">IF(B276="","",IFERROR(INDEX(Roster!$B$5:$B$154,MATCH(B276,Roster!$A$5:$A$154,0)),"Not on roster"))</f>
        <v/>
      </c>
      <c r="G276" s="28" t="str">
        <f aca="false">IF(OR(B276="",C276=""),"",F276&amp;" | "&amp;C276)</f>
        <v/>
      </c>
      <c r="H276" s="27" t="str">
        <f aca="false">IF(G276="","",IFERROR(INDEX(Levels!$C$5:$C$94,MATCH(G276,Levels!$G$5:$G$94,0)),"Not this class's skill"))</f>
        <v/>
      </c>
    </row>
    <row r="277" customFormat="false" ht="15" hidden="false" customHeight="false" outlineLevel="0" collapsed="false">
      <c r="A277" s="23"/>
      <c r="B277" s="22"/>
      <c r="C277" s="22"/>
      <c r="D277" s="22"/>
      <c r="E277" s="22"/>
      <c r="F277" s="27" t="str">
        <f aca="false">IF(B277="","",IFERROR(INDEX(Roster!$B$5:$B$154,MATCH(B277,Roster!$A$5:$A$154,0)),"Not on roster"))</f>
        <v/>
      </c>
      <c r="G277" s="28" t="str">
        <f aca="false">IF(OR(B277="",C277=""),"",F277&amp;" | "&amp;C277)</f>
        <v/>
      </c>
      <c r="H277" s="27" t="str">
        <f aca="false">IF(G277="","",IFERROR(INDEX(Levels!$C$5:$C$94,MATCH(G277,Levels!$G$5:$G$94,0)),"Not this class's skill"))</f>
        <v/>
      </c>
    </row>
    <row r="278" customFormat="false" ht="15" hidden="false" customHeight="false" outlineLevel="0" collapsed="false">
      <c r="A278" s="23"/>
      <c r="B278" s="22"/>
      <c r="C278" s="22"/>
      <c r="D278" s="22"/>
      <c r="E278" s="22"/>
      <c r="F278" s="27" t="str">
        <f aca="false">IF(B278="","",IFERROR(INDEX(Roster!$B$5:$B$154,MATCH(B278,Roster!$A$5:$A$154,0)),"Not on roster"))</f>
        <v/>
      </c>
      <c r="G278" s="28" t="str">
        <f aca="false">IF(OR(B278="",C278=""),"",F278&amp;" | "&amp;C278)</f>
        <v/>
      </c>
      <c r="H278" s="27" t="str">
        <f aca="false">IF(G278="","",IFERROR(INDEX(Levels!$C$5:$C$94,MATCH(G278,Levels!$G$5:$G$94,0)),"Not this class's skill"))</f>
        <v/>
      </c>
    </row>
    <row r="279" customFormat="false" ht="15" hidden="false" customHeight="false" outlineLevel="0" collapsed="false">
      <c r="A279" s="23"/>
      <c r="B279" s="22"/>
      <c r="C279" s="22"/>
      <c r="D279" s="22"/>
      <c r="E279" s="22"/>
      <c r="F279" s="27" t="str">
        <f aca="false">IF(B279="","",IFERROR(INDEX(Roster!$B$5:$B$154,MATCH(B279,Roster!$A$5:$A$154,0)),"Not on roster"))</f>
        <v/>
      </c>
      <c r="G279" s="28" t="str">
        <f aca="false">IF(OR(B279="",C279=""),"",F279&amp;" | "&amp;C279)</f>
        <v/>
      </c>
      <c r="H279" s="27" t="str">
        <f aca="false">IF(G279="","",IFERROR(INDEX(Levels!$C$5:$C$94,MATCH(G279,Levels!$G$5:$G$94,0)),"Not this class's skill"))</f>
        <v/>
      </c>
    </row>
    <row r="280" customFormat="false" ht="15" hidden="false" customHeight="false" outlineLevel="0" collapsed="false">
      <c r="A280" s="23"/>
      <c r="B280" s="22"/>
      <c r="C280" s="22"/>
      <c r="D280" s="22"/>
      <c r="E280" s="22"/>
      <c r="F280" s="27" t="str">
        <f aca="false">IF(B280="","",IFERROR(INDEX(Roster!$B$5:$B$154,MATCH(B280,Roster!$A$5:$A$154,0)),"Not on roster"))</f>
        <v/>
      </c>
      <c r="G280" s="28" t="str">
        <f aca="false">IF(OR(B280="",C280=""),"",F280&amp;" | "&amp;C280)</f>
        <v/>
      </c>
      <c r="H280" s="27" t="str">
        <f aca="false">IF(G280="","",IFERROR(INDEX(Levels!$C$5:$C$94,MATCH(G280,Levels!$G$5:$G$94,0)),"Not this class's skill"))</f>
        <v/>
      </c>
    </row>
    <row r="281" customFormat="false" ht="15" hidden="false" customHeight="false" outlineLevel="0" collapsed="false">
      <c r="A281" s="23"/>
      <c r="B281" s="22"/>
      <c r="C281" s="22"/>
      <c r="D281" s="22"/>
      <c r="E281" s="22"/>
      <c r="F281" s="27" t="str">
        <f aca="false">IF(B281="","",IFERROR(INDEX(Roster!$B$5:$B$154,MATCH(B281,Roster!$A$5:$A$154,0)),"Not on roster"))</f>
        <v/>
      </c>
      <c r="G281" s="28" t="str">
        <f aca="false">IF(OR(B281="",C281=""),"",F281&amp;" | "&amp;C281)</f>
        <v/>
      </c>
      <c r="H281" s="27" t="str">
        <f aca="false">IF(G281="","",IFERROR(INDEX(Levels!$C$5:$C$94,MATCH(G281,Levels!$G$5:$G$94,0)),"Not this class's skill"))</f>
        <v/>
      </c>
    </row>
    <row r="282" customFormat="false" ht="15" hidden="false" customHeight="false" outlineLevel="0" collapsed="false">
      <c r="A282" s="23"/>
      <c r="B282" s="22"/>
      <c r="C282" s="22"/>
      <c r="D282" s="22"/>
      <c r="E282" s="22"/>
      <c r="F282" s="27" t="str">
        <f aca="false">IF(B282="","",IFERROR(INDEX(Roster!$B$5:$B$154,MATCH(B282,Roster!$A$5:$A$154,0)),"Not on roster"))</f>
        <v/>
      </c>
      <c r="G282" s="28" t="str">
        <f aca="false">IF(OR(B282="",C282=""),"",F282&amp;" | "&amp;C282)</f>
        <v/>
      </c>
      <c r="H282" s="27" t="str">
        <f aca="false">IF(G282="","",IFERROR(INDEX(Levels!$C$5:$C$94,MATCH(G282,Levels!$G$5:$G$94,0)),"Not this class's skill"))</f>
        <v/>
      </c>
    </row>
    <row r="283" customFormat="false" ht="15" hidden="false" customHeight="false" outlineLevel="0" collapsed="false">
      <c r="A283" s="23"/>
      <c r="B283" s="22"/>
      <c r="C283" s="22"/>
      <c r="D283" s="22"/>
      <c r="E283" s="22"/>
      <c r="F283" s="27" t="str">
        <f aca="false">IF(B283="","",IFERROR(INDEX(Roster!$B$5:$B$154,MATCH(B283,Roster!$A$5:$A$154,0)),"Not on roster"))</f>
        <v/>
      </c>
      <c r="G283" s="28" t="str">
        <f aca="false">IF(OR(B283="",C283=""),"",F283&amp;" | "&amp;C283)</f>
        <v/>
      </c>
      <c r="H283" s="27" t="str">
        <f aca="false">IF(G283="","",IFERROR(INDEX(Levels!$C$5:$C$94,MATCH(G283,Levels!$G$5:$G$94,0)),"Not this class's skill"))</f>
        <v/>
      </c>
    </row>
    <row r="284" customFormat="false" ht="15" hidden="false" customHeight="false" outlineLevel="0" collapsed="false">
      <c r="A284" s="23"/>
      <c r="B284" s="22"/>
      <c r="C284" s="22"/>
      <c r="D284" s="22"/>
      <c r="E284" s="22"/>
      <c r="F284" s="27" t="str">
        <f aca="false">IF(B284="","",IFERROR(INDEX(Roster!$B$5:$B$154,MATCH(B284,Roster!$A$5:$A$154,0)),"Not on roster"))</f>
        <v/>
      </c>
      <c r="G284" s="28" t="str">
        <f aca="false">IF(OR(B284="",C284=""),"",F284&amp;" | "&amp;C284)</f>
        <v/>
      </c>
      <c r="H284" s="27" t="str">
        <f aca="false">IF(G284="","",IFERROR(INDEX(Levels!$C$5:$C$94,MATCH(G284,Levels!$G$5:$G$94,0)),"Not this class's skill"))</f>
        <v/>
      </c>
    </row>
    <row r="285" customFormat="false" ht="15" hidden="false" customHeight="false" outlineLevel="0" collapsed="false">
      <c r="A285" s="23"/>
      <c r="B285" s="22"/>
      <c r="C285" s="22"/>
      <c r="D285" s="22"/>
      <c r="E285" s="22"/>
      <c r="F285" s="27" t="str">
        <f aca="false">IF(B285="","",IFERROR(INDEX(Roster!$B$5:$B$154,MATCH(B285,Roster!$A$5:$A$154,0)),"Not on roster"))</f>
        <v/>
      </c>
      <c r="G285" s="28" t="str">
        <f aca="false">IF(OR(B285="",C285=""),"",F285&amp;" | "&amp;C285)</f>
        <v/>
      </c>
      <c r="H285" s="27" t="str">
        <f aca="false">IF(G285="","",IFERROR(INDEX(Levels!$C$5:$C$94,MATCH(G285,Levels!$G$5:$G$94,0)),"Not this class's skill"))</f>
        <v/>
      </c>
    </row>
    <row r="286" customFormat="false" ht="15" hidden="false" customHeight="false" outlineLevel="0" collapsed="false">
      <c r="A286" s="23"/>
      <c r="B286" s="22"/>
      <c r="C286" s="22"/>
      <c r="D286" s="22"/>
      <c r="E286" s="22"/>
      <c r="F286" s="27" t="str">
        <f aca="false">IF(B286="","",IFERROR(INDEX(Roster!$B$5:$B$154,MATCH(B286,Roster!$A$5:$A$154,0)),"Not on roster"))</f>
        <v/>
      </c>
      <c r="G286" s="28" t="str">
        <f aca="false">IF(OR(B286="",C286=""),"",F286&amp;" | "&amp;C286)</f>
        <v/>
      </c>
      <c r="H286" s="27" t="str">
        <f aca="false">IF(G286="","",IFERROR(INDEX(Levels!$C$5:$C$94,MATCH(G286,Levels!$G$5:$G$94,0)),"Not this class's skill"))</f>
        <v/>
      </c>
    </row>
    <row r="287" customFormat="false" ht="15" hidden="false" customHeight="false" outlineLevel="0" collapsed="false">
      <c r="A287" s="23"/>
      <c r="B287" s="22"/>
      <c r="C287" s="22"/>
      <c r="D287" s="22"/>
      <c r="E287" s="22"/>
      <c r="F287" s="27" t="str">
        <f aca="false">IF(B287="","",IFERROR(INDEX(Roster!$B$5:$B$154,MATCH(B287,Roster!$A$5:$A$154,0)),"Not on roster"))</f>
        <v/>
      </c>
      <c r="G287" s="28" t="str">
        <f aca="false">IF(OR(B287="",C287=""),"",F287&amp;" | "&amp;C287)</f>
        <v/>
      </c>
      <c r="H287" s="27" t="str">
        <f aca="false">IF(G287="","",IFERROR(INDEX(Levels!$C$5:$C$94,MATCH(G287,Levels!$G$5:$G$94,0)),"Not this class's skill"))</f>
        <v/>
      </c>
    </row>
    <row r="288" customFormat="false" ht="15" hidden="false" customHeight="false" outlineLevel="0" collapsed="false">
      <c r="A288" s="23"/>
      <c r="B288" s="22"/>
      <c r="C288" s="22"/>
      <c r="D288" s="22"/>
      <c r="E288" s="22"/>
      <c r="F288" s="27" t="str">
        <f aca="false">IF(B288="","",IFERROR(INDEX(Roster!$B$5:$B$154,MATCH(B288,Roster!$A$5:$A$154,0)),"Not on roster"))</f>
        <v/>
      </c>
      <c r="G288" s="28" t="str">
        <f aca="false">IF(OR(B288="",C288=""),"",F288&amp;" | "&amp;C288)</f>
        <v/>
      </c>
      <c r="H288" s="27" t="str">
        <f aca="false">IF(G288="","",IFERROR(INDEX(Levels!$C$5:$C$94,MATCH(G288,Levels!$G$5:$G$94,0)),"Not this class's skill"))</f>
        <v/>
      </c>
    </row>
    <row r="289" customFormat="false" ht="15" hidden="false" customHeight="false" outlineLevel="0" collapsed="false">
      <c r="A289" s="23"/>
      <c r="B289" s="22"/>
      <c r="C289" s="22"/>
      <c r="D289" s="22"/>
      <c r="E289" s="22"/>
      <c r="F289" s="27" t="str">
        <f aca="false">IF(B289="","",IFERROR(INDEX(Roster!$B$5:$B$154,MATCH(B289,Roster!$A$5:$A$154,0)),"Not on roster"))</f>
        <v/>
      </c>
      <c r="G289" s="28" t="str">
        <f aca="false">IF(OR(B289="",C289=""),"",F289&amp;" | "&amp;C289)</f>
        <v/>
      </c>
      <c r="H289" s="27" t="str">
        <f aca="false">IF(G289="","",IFERROR(INDEX(Levels!$C$5:$C$94,MATCH(G289,Levels!$G$5:$G$94,0)),"Not this class's skill"))</f>
        <v/>
      </c>
    </row>
    <row r="290" customFormat="false" ht="15" hidden="false" customHeight="false" outlineLevel="0" collapsed="false">
      <c r="A290" s="23"/>
      <c r="B290" s="22"/>
      <c r="C290" s="22"/>
      <c r="D290" s="22"/>
      <c r="E290" s="22"/>
      <c r="F290" s="27" t="str">
        <f aca="false">IF(B290="","",IFERROR(INDEX(Roster!$B$5:$B$154,MATCH(B290,Roster!$A$5:$A$154,0)),"Not on roster"))</f>
        <v/>
      </c>
      <c r="G290" s="28" t="str">
        <f aca="false">IF(OR(B290="",C290=""),"",F290&amp;" | "&amp;C290)</f>
        <v/>
      </c>
      <c r="H290" s="27" t="str">
        <f aca="false">IF(G290="","",IFERROR(INDEX(Levels!$C$5:$C$94,MATCH(G290,Levels!$G$5:$G$94,0)),"Not this class's skill"))</f>
        <v/>
      </c>
    </row>
    <row r="291" customFormat="false" ht="15" hidden="false" customHeight="false" outlineLevel="0" collapsed="false">
      <c r="A291" s="23"/>
      <c r="B291" s="22"/>
      <c r="C291" s="22"/>
      <c r="D291" s="22"/>
      <c r="E291" s="22"/>
      <c r="F291" s="27" t="str">
        <f aca="false">IF(B291="","",IFERROR(INDEX(Roster!$B$5:$B$154,MATCH(B291,Roster!$A$5:$A$154,0)),"Not on roster"))</f>
        <v/>
      </c>
      <c r="G291" s="28" t="str">
        <f aca="false">IF(OR(B291="",C291=""),"",F291&amp;" | "&amp;C291)</f>
        <v/>
      </c>
      <c r="H291" s="27" t="str">
        <f aca="false">IF(G291="","",IFERROR(INDEX(Levels!$C$5:$C$94,MATCH(G291,Levels!$G$5:$G$94,0)),"Not this class's skill"))</f>
        <v/>
      </c>
    </row>
    <row r="292" customFormat="false" ht="15" hidden="false" customHeight="false" outlineLevel="0" collapsed="false">
      <c r="A292" s="23"/>
      <c r="B292" s="22"/>
      <c r="C292" s="22"/>
      <c r="D292" s="22"/>
      <c r="E292" s="22"/>
      <c r="F292" s="27" t="str">
        <f aca="false">IF(B292="","",IFERROR(INDEX(Roster!$B$5:$B$154,MATCH(B292,Roster!$A$5:$A$154,0)),"Not on roster"))</f>
        <v/>
      </c>
      <c r="G292" s="28" t="str">
        <f aca="false">IF(OR(B292="",C292=""),"",F292&amp;" | "&amp;C292)</f>
        <v/>
      </c>
      <c r="H292" s="27" t="str">
        <f aca="false">IF(G292="","",IFERROR(INDEX(Levels!$C$5:$C$94,MATCH(G292,Levels!$G$5:$G$94,0)),"Not this class's skill"))</f>
        <v/>
      </c>
    </row>
    <row r="293" customFormat="false" ht="15" hidden="false" customHeight="false" outlineLevel="0" collapsed="false">
      <c r="A293" s="23"/>
      <c r="B293" s="22"/>
      <c r="C293" s="22"/>
      <c r="D293" s="22"/>
      <c r="E293" s="22"/>
      <c r="F293" s="27" t="str">
        <f aca="false">IF(B293="","",IFERROR(INDEX(Roster!$B$5:$B$154,MATCH(B293,Roster!$A$5:$A$154,0)),"Not on roster"))</f>
        <v/>
      </c>
      <c r="G293" s="28" t="str">
        <f aca="false">IF(OR(B293="",C293=""),"",F293&amp;" | "&amp;C293)</f>
        <v/>
      </c>
      <c r="H293" s="27" t="str">
        <f aca="false">IF(G293="","",IFERROR(INDEX(Levels!$C$5:$C$94,MATCH(G293,Levels!$G$5:$G$94,0)),"Not this class's skill"))</f>
        <v/>
      </c>
    </row>
    <row r="294" customFormat="false" ht="15" hidden="false" customHeight="false" outlineLevel="0" collapsed="false">
      <c r="A294" s="23"/>
      <c r="B294" s="22"/>
      <c r="C294" s="22"/>
      <c r="D294" s="22"/>
      <c r="E294" s="22"/>
      <c r="F294" s="27" t="str">
        <f aca="false">IF(B294="","",IFERROR(INDEX(Roster!$B$5:$B$154,MATCH(B294,Roster!$A$5:$A$154,0)),"Not on roster"))</f>
        <v/>
      </c>
      <c r="G294" s="28" t="str">
        <f aca="false">IF(OR(B294="",C294=""),"",F294&amp;" | "&amp;C294)</f>
        <v/>
      </c>
      <c r="H294" s="27" t="str">
        <f aca="false">IF(G294="","",IFERROR(INDEX(Levels!$C$5:$C$94,MATCH(G294,Levels!$G$5:$G$94,0)),"Not this class's skill"))</f>
        <v/>
      </c>
    </row>
    <row r="295" customFormat="false" ht="15" hidden="false" customHeight="false" outlineLevel="0" collapsed="false">
      <c r="A295" s="23"/>
      <c r="B295" s="22"/>
      <c r="C295" s="22"/>
      <c r="D295" s="22"/>
      <c r="E295" s="22"/>
      <c r="F295" s="27" t="str">
        <f aca="false">IF(B295="","",IFERROR(INDEX(Roster!$B$5:$B$154,MATCH(B295,Roster!$A$5:$A$154,0)),"Not on roster"))</f>
        <v/>
      </c>
      <c r="G295" s="28" t="str">
        <f aca="false">IF(OR(B295="",C295=""),"",F295&amp;" | "&amp;C295)</f>
        <v/>
      </c>
      <c r="H295" s="27" t="str">
        <f aca="false">IF(G295="","",IFERROR(INDEX(Levels!$C$5:$C$94,MATCH(G295,Levels!$G$5:$G$94,0)),"Not this class's skill"))</f>
        <v/>
      </c>
    </row>
    <row r="296" customFormat="false" ht="15" hidden="false" customHeight="false" outlineLevel="0" collapsed="false">
      <c r="A296" s="23"/>
      <c r="B296" s="22"/>
      <c r="C296" s="22"/>
      <c r="D296" s="22"/>
      <c r="E296" s="22"/>
      <c r="F296" s="27" t="str">
        <f aca="false">IF(B296="","",IFERROR(INDEX(Roster!$B$5:$B$154,MATCH(B296,Roster!$A$5:$A$154,0)),"Not on roster"))</f>
        <v/>
      </c>
      <c r="G296" s="28" t="str">
        <f aca="false">IF(OR(B296="",C296=""),"",F296&amp;" | "&amp;C296)</f>
        <v/>
      </c>
      <c r="H296" s="27" t="str">
        <f aca="false">IF(G296="","",IFERROR(INDEX(Levels!$C$5:$C$94,MATCH(G296,Levels!$G$5:$G$94,0)),"Not this class's skill"))</f>
        <v/>
      </c>
    </row>
    <row r="297" customFormat="false" ht="15" hidden="false" customHeight="false" outlineLevel="0" collapsed="false">
      <c r="A297" s="23"/>
      <c r="B297" s="22"/>
      <c r="C297" s="22"/>
      <c r="D297" s="22"/>
      <c r="E297" s="22"/>
      <c r="F297" s="27" t="str">
        <f aca="false">IF(B297="","",IFERROR(INDEX(Roster!$B$5:$B$154,MATCH(B297,Roster!$A$5:$A$154,0)),"Not on roster"))</f>
        <v/>
      </c>
      <c r="G297" s="28" t="str">
        <f aca="false">IF(OR(B297="",C297=""),"",F297&amp;" | "&amp;C297)</f>
        <v/>
      </c>
      <c r="H297" s="27" t="str">
        <f aca="false">IF(G297="","",IFERROR(INDEX(Levels!$C$5:$C$94,MATCH(G297,Levels!$G$5:$G$94,0)),"Not this class's skill"))</f>
        <v/>
      </c>
    </row>
    <row r="298" customFormat="false" ht="15" hidden="false" customHeight="false" outlineLevel="0" collapsed="false">
      <c r="A298" s="23"/>
      <c r="B298" s="22"/>
      <c r="C298" s="22"/>
      <c r="D298" s="22"/>
      <c r="E298" s="22"/>
      <c r="F298" s="27" t="str">
        <f aca="false">IF(B298="","",IFERROR(INDEX(Roster!$B$5:$B$154,MATCH(B298,Roster!$A$5:$A$154,0)),"Not on roster"))</f>
        <v/>
      </c>
      <c r="G298" s="28" t="str">
        <f aca="false">IF(OR(B298="",C298=""),"",F298&amp;" | "&amp;C298)</f>
        <v/>
      </c>
      <c r="H298" s="27" t="str">
        <f aca="false">IF(G298="","",IFERROR(INDEX(Levels!$C$5:$C$94,MATCH(G298,Levels!$G$5:$G$94,0)),"Not this class's skill"))</f>
        <v/>
      </c>
    </row>
    <row r="299" customFormat="false" ht="15" hidden="false" customHeight="false" outlineLevel="0" collapsed="false">
      <c r="A299" s="23"/>
      <c r="B299" s="22"/>
      <c r="C299" s="22"/>
      <c r="D299" s="22"/>
      <c r="E299" s="22"/>
      <c r="F299" s="27" t="str">
        <f aca="false">IF(B299="","",IFERROR(INDEX(Roster!$B$5:$B$154,MATCH(B299,Roster!$A$5:$A$154,0)),"Not on roster"))</f>
        <v/>
      </c>
      <c r="G299" s="28" t="str">
        <f aca="false">IF(OR(B299="",C299=""),"",F299&amp;" | "&amp;C299)</f>
        <v/>
      </c>
      <c r="H299" s="27" t="str">
        <f aca="false">IF(G299="","",IFERROR(INDEX(Levels!$C$5:$C$94,MATCH(G299,Levels!$G$5:$G$94,0)),"Not this class's skill"))</f>
        <v/>
      </c>
    </row>
    <row r="300" customFormat="false" ht="15" hidden="false" customHeight="false" outlineLevel="0" collapsed="false">
      <c r="A300" s="23"/>
      <c r="B300" s="22"/>
      <c r="C300" s="22"/>
      <c r="D300" s="22"/>
      <c r="E300" s="22"/>
      <c r="F300" s="27" t="str">
        <f aca="false">IF(B300="","",IFERROR(INDEX(Roster!$B$5:$B$154,MATCH(B300,Roster!$A$5:$A$154,0)),"Not on roster"))</f>
        <v/>
      </c>
      <c r="G300" s="28" t="str">
        <f aca="false">IF(OR(B300="",C300=""),"",F300&amp;" | "&amp;C300)</f>
        <v/>
      </c>
      <c r="H300" s="27" t="str">
        <f aca="false">IF(G300="","",IFERROR(INDEX(Levels!$C$5:$C$94,MATCH(G300,Levels!$G$5:$G$94,0)),"Not this class's skill"))</f>
        <v/>
      </c>
    </row>
    <row r="301" customFormat="false" ht="15" hidden="false" customHeight="false" outlineLevel="0" collapsed="false">
      <c r="A301" s="23"/>
      <c r="B301" s="22"/>
      <c r="C301" s="22"/>
      <c r="D301" s="22"/>
      <c r="E301" s="22"/>
      <c r="F301" s="27" t="str">
        <f aca="false">IF(B301="","",IFERROR(INDEX(Roster!$B$5:$B$154,MATCH(B301,Roster!$A$5:$A$154,0)),"Not on roster"))</f>
        <v/>
      </c>
      <c r="G301" s="28" t="str">
        <f aca="false">IF(OR(B301="",C301=""),"",F301&amp;" | "&amp;C301)</f>
        <v/>
      </c>
      <c r="H301" s="27" t="str">
        <f aca="false">IF(G301="","",IFERROR(INDEX(Levels!$C$5:$C$94,MATCH(G301,Levels!$G$5:$G$94,0)),"Not this class's skill"))</f>
        <v/>
      </c>
    </row>
    <row r="302" customFormat="false" ht="15" hidden="false" customHeight="false" outlineLevel="0" collapsed="false">
      <c r="A302" s="23"/>
      <c r="B302" s="22"/>
      <c r="C302" s="22"/>
      <c r="D302" s="22"/>
      <c r="E302" s="22"/>
      <c r="F302" s="27" t="str">
        <f aca="false">IF(B302="","",IFERROR(INDEX(Roster!$B$5:$B$154,MATCH(B302,Roster!$A$5:$A$154,0)),"Not on roster"))</f>
        <v/>
      </c>
      <c r="G302" s="28" t="str">
        <f aca="false">IF(OR(B302="",C302=""),"",F302&amp;" | "&amp;C302)</f>
        <v/>
      </c>
      <c r="H302" s="27" t="str">
        <f aca="false">IF(G302="","",IFERROR(INDEX(Levels!$C$5:$C$94,MATCH(G302,Levels!$G$5:$G$94,0)),"Not this class's skill"))</f>
        <v/>
      </c>
    </row>
    <row r="303" customFormat="false" ht="15" hidden="false" customHeight="false" outlineLevel="0" collapsed="false">
      <c r="A303" s="23"/>
      <c r="B303" s="22"/>
      <c r="C303" s="22"/>
      <c r="D303" s="22"/>
      <c r="E303" s="22"/>
      <c r="F303" s="27" t="str">
        <f aca="false">IF(B303="","",IFERROR(INDEX(Roster!$B$5:$B$154,MATCH(B303,Roster!$A$5:$A$154,0)),"Not on roster"))</f>
        <v/>
      </c>
      <c r="G303" s="28" t="str">
        <f aca="false">IF(OR(B303="",C303=""),"",F303&amp;" | "&amp;C303)</f>
        <v/>
      </c>
      <c r="H303" s="27" t="str">
        <f aca="false">IF(G303="","",IFERROR(INDEX(Levels!$C$5:$C$94,MATCH(G303,Levels!$G$5:$G$94,0)),"Not this class's skill"))</f>
        <v/>
      </c>
    </row>
    <row r="304" customFormat="false" ht="15" hidden="false" customHeight="false" outlineLevel="0" collapsed="false">
      <c r="A304" s="23"/>
      <c r="B304" s="22"/>
      <c r="C304" s="22"/>
      <c r="D304" s="22"/>
      <c r="E304" s="22"/>
      <c r="F304" s="27" t="str">
        <f aca="false">IF(B304="","",IFERROR(INDEX(Roster!$B$5:$B$154,MATCH(B304,Roster!$A$5:$A$154,0)),"Not on roster"))</f>
        <v/>
      </c>
      <c r="G304" s="28" t="str">
        <f aca="false">IF(OR(B304="",C304=""),"",F304&amp;" | "&amp;C304)</f>
        <v/>
      </c>
      <c r="H304" s="27" t="str">
        <f aca="false">IF(G304="","",IFERROR(INDEX(Levels!$C$5:$C$94,MATCH(G304,Levels!$G$5:$G$94,0)),"Not this class's skill"))</f>
        <v/>
      </c>
    </row>
    <row r="305" customFormat="false" ht="15" hidden="false" customHeight="false" outlineLevel="0" collapsed="false">
      <c r="A305" s="23"/>
      <c r="B305" s="22"/>
      <c r="C305" s="22"/>
      <c r="D305" s="22"/>
      <c r="E305" s="22"/>
      <c r="F305" s="27" t="str">
        <f aca="false">IF(B305="","",IFERROR(INDEX(Roster!$B$5:$B$154,MATCH(B305,Roster!$A$5:$A$154,0)),"Not on roster"))</f>
        <v/>
      </c>
      <c r="G305" s="28" t="str">
        <f aca="false">IF(OR(B305="",C305=""),"",F305&amp;" | "&amp;C305)</f>
        <v/>
      </c>
      <c r="H305" s="27" t="str">
        <f aca="false">IF(G305="","",IFERROR(INDEX(Levels!$C$5:$C$94,MATCH(G305,Levels!$G$5:$G$94,0)),"Not this class's skill"))</f>
        <v/>
      </c>
    </row>
    <row r="306" customFormat="false" ht="15" hidden="false" customHeight="false" outlineLevel="0" collapsed="false">
      <c r="A306" s="23"/>
      <c r="B306" s="22"/>
      <c r="C306" s="22"/>
      <c r="D306" s="22"/>
      <c r="E306" s="22"/>
      <c r="F306" s="27" t="str">
        <f aca="false">IF(B306="","",IFERROR(INDEX(Roster!$B$5:$B$154,MATCH(B306,Roster!$A$5:$A$154,0)),"Not on roster"))</f>
        <v/>
      </c>
      <c r="G306" s="28" t="str">
        <f aca="false">IF(OR(B306="",C306=""),"",F306&amp;" | "&amp;C306)</f>
        <v/>
      </c>
      <c r="H306" s="27" t="str">
        <f aca="false">IF(G306="","",IFERROR(INDEX(Levels!$C$5:$C$94,MATCH(G306,Levels!$G$5:$G$94,0)),"Not this class's skill"))</f>
        <v/>
      </c>
    </row>
    <row r="307" customFormat="false" ht="15" hidden="false" customHeight="false" outlineLevel="0" collapsed="false">
      <c r="A307" s="23"/>
      <c r="B307" s="22"/>
      <c r="C307" s="22"/>
      <c r="D307" s="22"/>
      <c r="E307" s="22"/>
      <c r="F307" s="27" t="str">
        <f aca="false">IF(B307="","",IFERROR(INDEX(Roster!$B$5:$B$154,MATCH(B307,Roster!$A$5:$A$154,0)),"Not on roster"))</f>
        <v/>
      </c>
      <c r="G307" s="28" t="str">
        <f aca="false">IF(OR(B307="",C307=""),"",F307&amp;" | "&amp;C307)</f>
        <v/>
      </c>
      <c r="H307" s="27" t="str">
        <f aca="false">IF(G307="","",IFERROR(INDEX(Levels!$C$5:$C$94,MATCH(G307,Levels!$G$5:$G$94,0)),"Not this class's skill"))</f>
        <v/>
      </c>
    </row>
    <row r="308" customFormat="false" ht="15" hidden="false" customHeight="false" outlineLevel="0" collapsed="false">
      <c r="A308" s="23"/>
      <c r="B308" s="22"/>
      <c r="C308" s="22"/>
      <c r="D308" s="22"/>
      <c r="E308" s="22"/>
      <c r="F308" s="27" t="str">
        <f aca="false">IF(B308="","",IFERROR(INDEX(Roster!$B$5:$B$154,MATCH(B308,Roster!$A$5:$A$154,0)),"Not on roster"))</f>
        <v/>
      </c>
      <c r="G308" s="28" t="str">
        <f aca="false">IF(OR(B308="",C308=""),"",F308&amp;" | "&amp;C308)</f>
        <v/>
      </c>
      <c r="H308" s="27" t="str">
        <f aca="false">IF(G308="","",IFERROR(INDEX(Levels!$C$5:$C$94,MATCH(G308,Levels!$G$5:$G$94,0)),"Not this class's skill"))</f>
        <v/>
      </c>
    </row>
    <row r="309" customFormat="false" ht="15" hidden="false" customHeight="false" outlineLevel="0" collapsed="false">
      <c r="A309" s="23"/>
      <c r="B309" s="22"/>
      <c r="C309" s="22"/>
      <c r="D309" s="22"/>
      <c r="E309" s="22"/>
      <c r="F309" s="27" t="str">
        <f aca="false">IF(B309="","",IFERROR(INDEX(Roster!$B$5:$B$154,MATCH(B309,Roster!$A$5:$A$154,0)),"Not on roster"))</f>
        <v/>
      </c>
      <c r="G309" s="28" t="str">
        <f aca="false">IF(OR(B309="",C309=""),"",F309&amp;" | "&amp;C309)</f>
        <v/>
      </c>
      <c r="H309" s="27" t="str">
        <f aca="false">IF(G309="","",IFERROR(INDEX(Levels!$C$5:$C$94,MATCH(G309,Levels!$G$5:$G$94,0)),"Not this class's skill"))</f>
        <v/>
      </c>
    </row>
    <row r="310" customFormat="false" ht="15" hidden="false" customHeight="false" outlineLevel="0" collapsed="false">
      <c r="A310" s="23"/>
      <c r="B310" s="22"/>
      <c r="C310" s="22"/>
      <c r="D310" s="22"/>
      <c r="E310" s="22"/>
      <c r="F310" s="27" t="str">
        <f aca="false">IF(B310="","",IFERROR(INDEX(Roster!$B$5:$B$154,MATCH(B310,Roster!$A$5:$A$154,0)),"Not on roster"))</f>
        <v/>
      </c>
      <c r="G310" s="28" t="str">
        <f aca="false">IF(OR(B310="",C310=""),"",F310&amp;" | "&amp;C310)</f>
        <v/>
      </c>
      <c r="H310" s="27" t="str">
        <f aca="false">IF(G310="","",IFERROR(INDEX(Levels!$C$5:$C$94,MATCH(G310,Levels!$G$5:$G$94,0)),"Not this class's skill"))</f>
        <v/>
      </c>
    </row>
    <row r="311" customFormat="false" ht="15" hidden="false" customHeight="false" outlineLevel="0" collapsed="false">
      <c r="A311" s="23"/>
      <c r="B311" s="22"/>
      <c r="C311" s="22"/>
      <c r="D311" s="22"/>
      <c r="E311" s="22"/>
      <c r="F311" s="27" t="str">
        <f aca="false">IF(B311="","",IFERROR(INDEX(Roster!$B$5:$B$154,MATCH(B311,Roster!$A$5:$A$154,0)),"Not on roster"))</f>
        <v/>
      </c>
      <c r="G311" s="28" t="str">
        <f aca="false">IF(OR(B311="",C311=""),"",F311&amp;" | "&amp;C311)</f>
        <v/>
      </c>
      <c r="H311" s="27" t="str">
        <f aca="false">IF(G311="","",IFERROR(INDEX(Levels!$C$5:$C$94,MATCH(G311,Levels!$G$5:$G$94,0)),"Not this class's skill"))</f>
        <v/>
      </c>
    </row>
    <row r="312" customFormat="false" ht="15" hidden="false" customHeight="false" outlineLevel="0" collapsed="false">
      <c r="A312" s="23"/>
      <c r="B312" s="22"/>
      <c r="C312" s="22"/>
      <c r="D312" s="22"/>
      <c r="E312" s="22"/>
      <c r="F312" s="27" t="str">
        <f aca="false">IF(B312="","",IFERROR(INDEX(Roster!$B$5:$B$154,MATCH(B312,Roster!$A$5:$A$154,0)),"Not on roster"))</f>
        <v/>
      </c>
      <c r="G312" s="28" t="str">
        <f aca="false">IF(OR(B312="",C312=""),"",F312&amp;" | "&amp;C312)</f>
        <v/>
      </c>
      <c r="H312" s="27" t="str">
        <f aca="false">IF(G312="","",IFERROR(INDEX(Levels!$C$5:$C$94,MATCH(G312,Levels!$G$5:$G$94,0)),"Not this class's skill"))</f>
        <v/>
      </c>
    </row>
    <row r="313" customFormat="false" ht="15" hidden="false" customHeight="false" outlineLevel="0" collapsed="false">
      <c r="A313" s="23"/>
      <c r="B313" s="22"/>
      <c r="C313" s="22"/>
      <c r="D313" s="22"/>
      <c r="E313" s="22"/>
      <c r="F313" s="27" t="str">
        <f aca="false">IF(B313="","",IFERROR(INDEX(Roster!$B$5:$B$154,MATCH(B313,Roster!$A$5:$A$154,0)),"Not on roster"))</f>
        <v/>
      </c>
      <c r="G313" s="28" t="str">
        <f aca="false">IF(OR(B313="",C313=""),"",F313&amp;" | "&amp;C313)</f>
        <v/>
      </c>
      <c r="H313" s="27" t="str">
        <f aca="false">IF(G313="","",IFERROR(INDEX(Levels!$C$5:$C$94,MATCH(G313,Levels!$G$5:$G$94,0)),"Not this class's skill"))</f>
        <v/>
      </c>
    </row>
    <row r="314" customFormat="false" ht="15" hidden="false" customHeight="false" outlineLevel="0" collapsed="false">
      <c r="A314" s="23"/>
      <c r="B314" s="22"/>
      <c r="C314" s="22"/>
      <c r="D314" s="22"/>
      <c r="E314" s="22"/>
      <c r="F314" s="27" t="str">
        <f aca="false">IF(B314="","",IFERROR(INDEX(Roster!$B$5:$B$154,MATCH(B314,Roster!$A$5:$A$154,0)),"Not on roster"))</f>
        <v/>
      </c>
      <c r="G314" s="28" t="str">
        <f aca="false">IF(OR(B314="",C314=""),"",F314&amp;" | "&amp;C314)</f>
        <v/>
      </c>
      <c r="H314" s="27" t="str">
        <f aca="false">IF(G314="","",IFERROR(INDEX(Levels!$C$5:$C$94,MATCH(G314,Levels!$G$5:$G$94,0)),"Not this class's skill"))</f>
        <v/>
      </c>
    </row>
    <row r="315" customFormat="false" ht="15" hidden="false" customHeight="false" outlineLevel="0" collapsed="false">
      <c r="A315" s="23"/>
      <c r="B315" s="22"/>
      <c r="C315" s="22"/>
      <c r="D315" s="22"/>
      <c r="E315" s="22"/>
      <c r="F315" s="27" t="str">
        <f aca="false">IF(B315="","",IFERROR(INDEX(Roster!$B$5:$B$154,MATCH(B315,Roster!$A$5:$A$154,0)),"Not on roster"))</f>
        <v/>
      </c>
      <c r="G315" s="28" t="str">
        <f aca="false">IF(OR(B315="",C315=""),"",F315&amp;" | "&amp;C315)</f>
        <v/>
      </c>
      <c r="H315" s="27" t="str">
        <f aca="false">IF(G315="","",IFERROR(INDEX(Levels!$C$5:$C$94,MATCH(G315,Levels!$G$5:$G$94,0)),"Not this class's skill"))</f>
        <v/>
      </c>
    </row>
    <row r="316" customFormat="false" ht="15" hidden="false" customHeight="false" outlineLevel="0" collapsed="false">
      <c r="A316" s="23"/>
      <c r="B316" s="22"/>
      <c r="C316" s="22"/>
      <c r="D316" s="22"/>
      <c r="E316" s="22"/>
      <c r="F316" s="27" t="str">
        <f aca="false">IF(B316="","",IFERROR(INDEX(Roster!$B$5:$B$154,MATCH(B316,Roster!$A$5:$A$154,0)),"Not on roster"))</f>
        <v/>
      </c>
      <c r="G316" s="28" t="str">
        <f aca="false">IF(OR(B316="",C316=""),"",F316&amp;" | "&amp;C316)</f>
        <v/>
      </c>
      <c r="H316" s="27" t="str">
        <f aca="false">IF(G316="","",IFERROR(INDEX(Levels!$C$5:$C$94,MATCH(G316,Levels!$G$5:$G$94,0)),"Not this class's skill"))</f>
        <v/>
      </c>
    </row>
    <row r="317" customFormat="false" ht="15" hidden="false" customHeight="false" outlineLevel="0" collapsed="false">
      <c r="A317" s="23"/>
      <c r="B317" s="22"/>
      <c r="C317" s="22"/>
      <c r="D317" s="22"/>
      <c r="E317" s="22"/>
      <c r="F317" s="27" t="str">
        <f aca="false">IF(B317="","",IFERROR(INDEX(Roster!$B$5:$B$154,MATCH(B317,Roster!$A$5:$A$154,0)),"Not on roster"))</f>
        <v/>
      </c>
      <c r="G317" s="28" t="str">
        <f aca="false">IF(OR(B317="",C317=""),"",F317&amp;" | "&amp;C317)</f>
        <v/>
      </c>
      <c r="H317" s="27" t="str">
        <f aca="false">IF(G317="","",IFERROR(INDEX(Levels!$C$5:$C$94,MATCH(G317,Levels!$G$5:$G$94,0)),"Not this class's skill"))</f>
        <v/>
      </c>
    </row>
    <row r="318" customFormat="false" ht="15" hidden="false" customHeight="false" outlineLevel="0" collapsed="false">
      <c r="A318" s="23"/>
      <c r="B318" s="22"/>
      <c r="C318" s="22"/>
      <c r="D318" s="22"/>
      <c r="E318" s="22"/>
      <c r="F318" s="27" t="str">
        <f aca="false">IF(B318="","",IFERROR(INDEX(Roster!$B$5:$B$154,MATCH(B318,Roster!$A$5:$A$154,0)),"Not on roster"))</f>
        <v/>
      </c>
      <c r="G318" s="28" t="str">
        <f aca="false">IF(OR(B318="",C318=""),"",F318&amp;" | "&amp;C318)</f>
        <v/>
      </c>
      <c r="H318" s="27" t="str">
        <f aca="false">IF(G318="","",IFERROR(INDEX(Levels!$C$5:$C$94,MATCH(G318,Levels!$G$5:$G$94,0)),"Not this class's skill"))</f>
        <v/>
      </c>
    </row>
    <row r="319" customFormat="false" ht="15" hidden="false" customHeight="false" outlineLevel="0" collapsed="false">
      <c r="A319" s="23"/>
      <c r="B319" s="22"/>
      <c r="C319" s="22"/>
      <c r="D319" s="22"/>
      <c r="E319" s="22"/>
      <c r="F319" s="27" t="str">
        <f aca="false">IF(B319="","",IFERROR(INDEX(Roster!$B$5:$B$154,MATCH(B319,Roster!$A$5:$A$154,0)),"Not on roster"))</f>
        <v/>
      </c>
      <c r="G319" s="28" t="str">
        <f aca="false">IF(OR(B319="",C319=""),"",F319&amp;" | "&amp;C319)</f>
        <v/>
      </c>
      <c r="H319" s="27" t="str">
        <f aca="false">IF(G319="","",IFERROR(INDEX(Levels!$C$5:$C$94,MATCH(G319,Levels!$G$5:$G$94,0)),"Not this class's skill"))</f>
        <v/>
      </c>
    </row>
    <row r="320" customFormat="false" ht="15" hidden="false" customHeight="false" outlineLevel="0" collapsed="false">
      <c r="A320" s="23"/>
      <c r="B320" s="22"/>
      <c r="C320" s="22"/>
      <c r="D320" s="22"/>
      <c r="E320" s="22"/>
      <c r="F320" s="27" t="str">
        <f aca="false">IF(B320="","",IFERROR(INDEX(Roster!$B$5:$B$154,MATCH(B320,Roster!$A$5:$A$154,0)),"Not on roster"))</f>
        <v/>
      </c>
      <c r="G320" s="28" t="str">
        <f aca="false">IF(OR(B320="",C320=""),"",F320&amp;" | "&amp;C320)</f>
        <v/>
      </c>
      <c r="H320" s="27" t="str">
        <f aca="false">IF(G320="","",IFERROR(INDEX(Levels!$C$5:$C$94,MATCH(G320,Levels!$G$5:$G$94,0)),"Not this class's skill"))</f>
        <v/>
      </c>
    </row>
    <row r="321" customFormat="false" ht="15" hidden="false" customHeight="false" outlineLevel="0" collapsed="false">
      <c r="A321" s="23"/>
      <c r="B321" s="22"/>
      <c r="C321" s="22"/>
      <c r="D321" s="22"/>
      <c r="E321" s="22"/>
      <c r="F321" s="27" t="str">
        <f aca="false">IF(B321="","",IFERROR(INDEX(Roster!$B$5:$B$154,MATCH(B321,Roster!$A$5:$A$154,0)),"Not on roster"))</f>
        <v/>
      </c>
      <c r="G321" s="28" t="str">
        <f aca="false">IF(OR(B321="",C321=""),"",F321&amp;" | "&amp;C321)</f>
        <v/>
      </c>
      <c r="H321" s="27" t="str">
        <f aca="false">IF(G321="","",IFERROR(INDEX(Levels!$C$5:$C$94,MATCH(G321,Levels!$G$5:$G$94,0)),"Not this class's skill"))</f>
        <v/>
      </c>
    </row>
    <row r="322" customFormat="false" ht="15" hidden="false" customHeight="false" outlineLevel="0" collapsed="false">
      <c r="A322" s="23"/>
      <c r="B322" s="22"/>
      <c r="C322" s="22"/>
      <c r="D322" s="22"/>
      <c r="E322" s="22"/>
      <c r="F322" s="27" t="str">
        <f aca="false">IF(B322="","",IFERROR(INDEX(Roster!$B$5:$B$154,MATCH(B322,Roster!$A$5:$A$154,0)),"Not on roster"))</f>
        <v/>
      </c>
      <c r="G322" s="28" t="str">
        <f aca="false">IF(OR(B322="",C322=""),"",F322&amp;" | "&amp;C322)</f>
        <v/>
      </c>
      <c r="H322" s="27" t="str">
        <f aca="false">IF(G322="","",IFERROR(INDEX(Levels!$C$5:$C$94,MATCH(G322,Levels!$G$5:$G$94,0)),"Not this class's skill"))</f>
        <v/>
      </c>
    </row>
    <row r="323" customFormat="false" ht="15" hidden="false" customHeight="false" outlineLevel="0" collapsed="false">
      <c r="A323" s="23"/>
      <c r="B323" s="22"/>
      <c r="C323" s="22"/>
      <c r="D323" s="22"/>
      <c r="E323" s="22"/>
      <c r="F323" s="27" t="str">
        <f aca="false">IF(B323="","",IFERROR(INDEX(Roster!$B$5:$B$154,MATCH(B323,Roster!$A$5:$A$154,0)),"Not on roster"))</f>
        <v/>
      </c>
      <c r="G323" s="28" t="str">
        <f aca="false">IF(OR(B323="",C323=""),"",F323&amp;" | "&amp;C323)</f>
        <v/>
      </c>
      <c r="H323" s="27" t="str">
        <f aca="false">IF(G323="","",IFERROR(INDEX(Levels!$C$5:$C$94,MATCH(G323,Levels!$G$5:$G$94,0)),"Not this class's skill"))</f>
        <v/>
      </c>
    </row>
    <row r="324" customFormat="false" ht="15" hidden="false" customHeight="false" outlineLevel="0" collapsed="false">
      <c r="A324" s="23"/>
      <c r="B324" s="22"/>
      <c r="C324" s="22"/>
      <c r="D324" s="22"/>
      <c r="E324" s="22"/>
      <c r="F324" s="27" t="str">
        <f aca="false">IF(B324="","",IFERROR(INDEX(Roster!$B$5:$B$154,MATCH(B324,Roster!$A$5:$A$154,0)),"Not on roster"))</f>
        <v/>
      </c>
      <c r="G324" s="28" t="str">
        <f aca="false">IF(OR(B324="",C324=""),"",F324&amp;" | "&amp;C324)</f>
        <v/>
      </c>
      <c r="H324" s="27" t="str">
        <f aca="false">IF(G324="","",IFERROR(INDEX(Levels!$C$5:$C$94,MATCH(G324,Levels!$G$5:$G$94,0)),"Not this class's skill"))</f>
        <v/>
      </c>
    </row>
    <row r="325" customFormat="false" ht="15" hidden="false" customHeight="false" outlineLevel="0" collapsed="false">
      <c r="A325" s="23"/>
      <c r="B325" s="22"/>
      <c r="C325" s="22"/>
      <c r="D325" s="22"/>
      <c r="E325" s="22"/>
      <c r="F325" s="27" t="str">
        <f aca="false">IF(B325="","",IFERROR(INDEX(Roster!$B$5:$B$154,MATCH(B325,Roster!$A$5:$A$154,0)),"Not on roster"))</f>
        <v/>
      </c>
      <c r="G325" s="28" t="str">
        <f aca="false">IF(OR(B325="",C325=""),"",F325&amp;" | "&amp;C325)</f>
        <v/>
      </c>
      <c r="H325" s="27" t="str">
        <f aca="false">IF(G325="","",IFERROR(INDEX(Levels!$C$5:$C$94,MATCH(G325,Levels!$G$5:$G$94,0)),"Not this class's skill"))</f>
        <v/>
      </c>
    </row>
    <row r="326" customFormat="false" ht="15" hidden="false" customHeight="false" outlineLevel="0" collapsed="false">
      <c r="A326" s="23"/>
      <c r="B326" s="22"/>
      <c r="C326" s="22"/>
      <c r="D326" s="22"/>
      <c r="E326" s="22"/>
      <c r="F326" s="27" t="str">
        <f aca="false">IF(B326="","",IFERROR(INDEX(Roster!$B$5:$B$154,MATCH(B326,Roster!$A$5:$A$154,0)),"Not on roster"))</f>
        <v/>
      </c>
      <c r="G326" s="28" t="str">
        <f aca="false">IF(OR(B326="",C326=""),"",F326&amp;" | "&amp;C326)</f>
        <v/>
      </c>
      <c r="H326" s="27" t="str">
        <f aca="false">IF(G326="","",IFERROR(INDEX(Levels!$C$5:$C$94,MATCH(G326,Levels!$G$5:$G$94,0)),"Not this class's skill"))</f>
        <v/>
      </c>
    </row>
    <row r="327" customFormat="false" ht="15" hidden="false" customHeight="false" outlineLevel="0" collapsed="false">
      <c r="A327" s="23"/>
      <c r="B327" s="22"/>
      <c r="C327" s="22"/>
      <c r="D327" s="22"/>
      <c r="E327" s="22"/>
      <c r="F327" s="27" t="str">
        <f aca="false">IF(B327="","",IFERROR(INDEX(Roster!$B$5:$B$154,MATCH(B327,Roster!$A$5:$A$154,0)),"Not on roster"))</f>
        <v/>
      </c>
      <c r="G327" s="28" t="str">
        <f aca="false">IF(OR(B327="",C327=""),"",F327&amp;" | "&amp;C327)</f>
        <v/>
      </c>
      <c r="H327" s="27" t="str">
        <f aca="false">IF(G327="","",IFERROR(INDEX(Levels!$C$5:$C$94,MATCH(G327,Levels!$G$5:$G$94,0)),"Not this class's skill"))</f>
        <v/>
      </c>
    </row>
    <row r="328" customFormat="false" ht="15" hidden="false" customHeight="false" outlineLevel="0" collapsed="false">
      <c r="A328" s="23"/>
      <c r="B328" s="22"/>
      <c r="C328" s="22"/>
      <c r="D328" s="22"/>
      <c r="E328" s="22"/>
      <c r="F328" s="27" t="str">
        <f aca="false">IF(B328="","",IFERROR(INDEX(Roster!$B$5:$B$154,MATCH(B328,Roster!$A$5:$A$154,0)),"Not on roster"))</f>
        <v/>
      </c>
      <c r="G328" s="28" t="str">
        <f aca="false">IF(OR(B328="",C328=""),"",F328&amp;" | "&amp;C328)</f>
        <v/>
      </c>
      <c r="H328" s="27" t="str">
        <f aca="false">IF(G328="","",IFERROR(INDEX(Levels!$C$5:$C$94,MATCH(G328,Levels!$G$5:$G$94,0)),"Not this class's skill"))</f>
        <v/>
      </c>
    </row>
    <row r="329" customFormat="false" ht="15" hidden="false" customHeight="false" outlineLevel="0" collapsed="false">
      <c r="A329" s="23"/>
      <c r="B329" s="22"/>
      <c r="C329" s="22"/>
      <c r="D329" s="22"/>
      <c r="E329" s="22"/>
      <c r="F329" s="27" t="str">
        <f aca="false">IF(B329="","",IFERROR(INDEX(Roster!$B$5:$B$154,MATCH(B329,Roster!$A$5:$A$154,0)),"Not on roster"))</f>
        <v/>
      </c>
      <c r="G329" s="28" t="str">
        <f aca="false">IF(OR(B329="",C329=""),"",F329&amp;" | "&amp;C329)</f>
        <v/>
      </c>
      <c r="H329" s="27" t="str">
        <f aca="false">IF(G329="","",IFERROR(INDEX(Levels!$C$5:$C$94,MATCH(G329,Levels!$G$5:$G$94,0)),"Not this class's skill"))</f>
        <v/>
      </c>
    </row>
    <row r="330" customFormat="false" ht="15" hidden="false" customHeight="false" outlineLevel="0" collapsed="false">
      <c r="A330" s="23"/>
      <c r="B330" s="22"/>
      <c r="C330" s="22"/>
      <c r="D330" s="22"/>
      <c r="E330" s="22"/>
      <c r="F330" s="27" t="str">
        <f aca="false">IF(B330="","",IFERROR(INDEX(Roster!$B$5:$B$154,MATCH(B330,Roster!$A$5:$A$154,0)),"Not on roster"))</f>
        <v/>
      </c>
      <c r="G330" s="28" t="str">
        <f aca="false">IF(OR(B330="",C330=""),"",F330&amp;" | "&amp;C330)</f>
        <v/>
      </c>
      <c r="H330" s="27" t="str">
        <f aca="false">IF(G330="","",IFERROR(INDEX(Levels!$C$5:$C$94,MATCH(G330,Levels!$G$5:$G$94,0)),"Not this class's skill"))</f>
        <v/>
      </c>
    </row>
    <row r="331" customFormat="false" ht="15" hidden="false" customHeight="false" outlineLevel="0" collapsed="false">
      <c r="A331" s="23"/>
      <c r="B331" s="22"/>
      <c r="C331" s="22"/>
      <c r="D331" s="22"/>
      <c r="E331" s="22"/>
      <c r="F331" s="27" t="str">
        <f aca="false">IF(B331="","",IFERROR(INDEX(Roster!$B$5:$B$154,MATCH(B331,Roster!$A$5:$A$154,0)),"Not on roster"))</f>
        <v/>
      </c>
      <c r="G331" s="28" t="str">
        <f aca="false">IF(OR(B331="",C331=""),"",F331&amp;" | "&amp;C331)</f>
        <v/>
      </c>
      <c r="H331" s="27" t="str">
        <f aca="false">IF(G331="","",IFERROR(INDEX(Levels!$C$5:$C$94,MATCH(G331,Levels!$G$5:$G$94,0)),"Not this class's skill"))</f>
        <v/>
      </c>
    </row>
    <row r="332" customFormat="false" ht="15" hidden="false" customHeight="false" outlineLevel="0" collapsed="false">
      <c r="A332" s="23"/>
      <c r="B332" s="22"/>
      <c r="C332" s="22"/>
      <c r="D332" s="22"/>
      <c r="E332" s="22"/>
      <c r="F332" s="27" t="str">
        <f aca="false">IF(B332="","",IFERROR(INDEX(Roster!$B$5:$B$154,MATCH(B332,Roster!$A$5:$A$154,0)),"Not on roster"))</f>
        <v/>
      </c>
      <c r="G332" s="28" t="str">
        <f aca="false">IF(OR(B332="",C332=""),"",F332&amp;" | "&amp;C332)</f>
        <v/>
      </c>
      <c r="H332" s="27" t="str">
        <f aca="false">IF(G332="","",IFERROR(INDEX(Levels!$C$5:$C$94,MATCH(G332,Levels!$G$5:$G$94,0)),"Not this class's skill"))</f>
        <v/>
      </c>
    </row>
    <row r="333" customFormat="false" ht="15" hidden="false" customHeight="false" outlineLevel="0" collapsed="false">
      <c r="A333" s="23"/>
      <c r="B333" s="22"/>
      <c r="C333" s="22"/>
      <c r="D333" s="22"/>
      <c r="E333" s="22"/>
      <c r="F333" s="27" t="str">
        <f aca="false">IF(B333="","",IFERROR(INDEX(Roster!$B$5:$B$154,MATCH(B333,Roster!$A$5:$A$154,0)),"Not on roster"))</f>
        <v/>
      </c>
      <c r="G333" s="28" t="str">
        <f aca="false">IF(OR(B333="",C333=""),"",F333&amp;" | "&amp;C333)</f>
        <v/>
      </c>
      <c r="H333" s="27" t="str">
        <f aca="false">IF(G333="","",IFERROR(INDEX(Levels!$C$5:$C$94,MATCH(G333,Levels!$G$5:$G$94,0)),"Not this class's skill"))</f>
        <v/>
      </c>
    </row>
    <row r="334" customFormat="false" ht="15" hidden="false" customHeight="false" outlineLevel="0" collapsed="false">
      <c r="A334" s="23"/>
      <c r="B334" s="22"/>
      <c r="C334" s="22"/>
      <c r="D334" s="22"/>
      <c r="E334" s="22"/>
      <c r="F334" s="27" t="str">
        <f aca="false">IF(B334="","",IFERROR(INDEX(Roster!$B$5:$B$154,MATCH(B334,Roster!$A$5:$A$154,0)),"Not on roster"))</f>
        <v/>
      </c>
      <c r="G334" s="28" t="str">
        <f aca="false">IF(OR(B334="",C334=""),"",F334&amp;" | "&amp;C334)</f>
        <v/>
      </c>
      <c r="H334" s="27" t="str">
        <f aca="false">IF(G334="","",IFERROR(INDEX(Levels!$C$5:$C$94,MATCH(G334,Levels!$G$5:$G$94,0)),"Not this class's skill"))</f>
        <v/>
      </c>
    </row>
    <row r="335" customFormat="false" ht="15" hidden="false" customHeight="false" outlineLevel="0" collapsed="false">
      <c r="A335" s="23"/>
      <c r="B335" s="22"/>
      <c r="C335" s="22"/>
      <c r="D335" s="22"/>
      <c r="E335" s="22"/>
      <c r="F335" s="27" t="str">
        <f aca="false">IF(B335="","",IFERROR(INDEX(Roster!$B$5:$B$154,MATCH(B335,Roster!$A$5:$A$154,0)),"Not on roster"))</f>
        <v/>
      </c>
      <c r="G335" s="28" t="str">
        <f aca="false">IF(OR(B335="",C335=""),"",F335&amp;" | "&amp;C335)</f>
        <v/>
      </c>
      <c r="H335" s="27" t="str">
        <f aca="false">IF(G335="","",IFERROR(INDEX(Levels!$C$5:$C$94,MATCH(G335,Levels!$G$5:$G$94,0)),"Not this class's skill"))</f>
        <v/>
      </c>
    </row>
    <row r="336" customFormat="false" ht="15" hidden="false" customHeight="false" outlineLevel="0" collapsed="false">
      <c r="A336" s="23"/>
      <c r="B336" s="22"/>
      <c r="C336" s="22"/>
      <c r="D336" s="22"/>
      <c r="E336" s="22"/>
      <c r="F336" s="27" t="str">
        <f aca="false">IF(B336="","",IFERROR(INDEX(Roster!$B$5:$B$154,MATCH(B336,Roster!$A$5:$A$154,0)),"Not on roster"))</f>
        <v/>
      </c>
      <c r="G336" s="28" t="str">
        <f aca="false">IF(OR(B336="",C336=""),"",F336&amp;" | "&amp;C336)</f>
        <v/>
      </c>
      <c r="H336" s="27" t="str">
        <f aca="false">IF(G336="","",IFERROR(INDEX(Levels!$C$5:$C$94,MATCH(G336,Levels!$G$5:$G$94,0)),"Not this class's skill"))</f>
        <v/>
      </c>
    </row>
    <row r="337" customFormat="false" ht="15" hidden="false" customHeight="false" outlineLevel="0" collapsed="false">
      <c r="A337" s="23"/>
      <c r="B337" s="22"/>
      <c r="C337" s="22"/>
      <c r="D337" s="22"/>
      <c r="E337" s="22"/>
      <c r="F337" s="27" t="str">
        <f aca="false">IF(B337="","",IFERROR(INDEX(Roster!$B$5:$B$154,MATCH(B337,Roster!$A$5:$A$154,0)),"Not on roster"))</f>
        <v/>
      </c>
      <c r="G337" s="28" t="str">
        <f aca="false">IF(OR(B337="",C337=""),"",F337&amp;" | "&amp;C337)</f>
        <v/>
      </c>
      <c r="H337" s="27" t="str">
        <f aca="false">IF(G337="","",IFERROR(INDEX(Levels!$C$5:$C$94,MATCH(G337,Levels!$G$5:$G$94,0)),"Not this class's skill"))</f>
        <v/>
      </c>
    </row>
    <row r="338" customFormat="false" ht="15" hidden="false" customHeight="false" outlineLevel="0" collapsed="false">
      <c r="A338" s="23"/>
      <c r="B338" s="22"/>
      <c r="C338" s="22"/>
      <c r="D338" s="22"/>
      <c r="E338" s="22"/>
      <c r="F338" s="27" t="str">
        <f aca="false">IF(B338="","",IFERROR(INDEX(Roster!$B$5:$B$154,MATCH(B338,Roster!$A$5:$A$154,0)),"Not on roster"))</f>
        <v/>
      </c>
      <c r="G338" s="28" t="str">
        <f aca="false">IF(OR(B338="",C338=""),"",F338&amp;" | "&amp;C338)</f>
        <v/>
      </c>
      <c r="H338" s="27" t="str">
        <f aca="false">IF(G338="","",IFERROR(INDEX(Levels!$C$5:$C$94,MATCH(G338,Levels!$G$5:$G$94,0)),"Not this class's skill"))</f>
        <v/>
      </c>
    </row>
    <row r="339" customFormat="false" ht="15" hidden="false" customHeight="false" outlineLevel="0" collapsed="false">
      <c r="A339" s="23"/>
      <c r="B339" s="22"/>
      <c r="C339" s="22"/>
      <c r="D339" s="22"/>
      <c r="E339" s="22"/>
      <c r="F339" s="27" t="str">
        <f aca="false">IF(B339="","",IFERROR(INDEX(Roster!$B$5:$B$154,MATCH(B339,Roster!$A$5:$A$154,0)),"Not on roster"))</f>
        <v/>
      </c>
      <c r="G339" s="28" t="str">
        <f aca="false">IF(OR(B339="",C339=""),"",F339&amp;" | "&amp;C339)</f>
        <v/>
      </c>
      <c r="H339" s="27" t="str">
        <f aca="false">IF(G339="","",IFERROR(INDEX(Levels!$C$5:$C$94,MATCH(G339,Levels!$G$5:$G$94,0)),"Not this class's skill"))</f>
        <v/>
      </c>
    </row>
    <row r="340" customFormat="false" ht="15" hidden="false" customHeight="false" outlineLevel="0" collapsed="false">
      <c r="A340" s="23"/>
      <c r="B340" s="22"/>
      <c r="C340" s="22"/>
      <c r="D340" s="22"/>
      <c r="E340" s="22"/>
      <c r="F340" s="27" t="str">
        <f aca="false">IF(B340="","",IFERROR(INDEX(Roster!$B$5:$B$154,MATCH(B340,Roster!$A$5:$A$154,0)),"Not on roster"))</f>
        <v/>
      </c>
      <c r="G340" s="28" t="str">
        <f aca="false">IF(OR(B340="",C340=""),"",F340&amp;" | "&amp;C340)</f>
        <v/>
      </c>
      <c r="H340" s="27" t="str">
        <f aca="false">IF(G340="","",IFERROR(INDEX(Levels!$C$5:$C$94,MATCH(G340,Levels!$G$5:$G$94,0)),"Not this class's skill"))</f>
        <v/>
      </c>
    </row>
    <row r="341" customFormat="false" ht="15" hidden="false" customHeight="false" outlineLevel="0" collapsed="false">
      <c r="A341" s="23"/>
      <c r="B341" s="22"/>
      <c r="C341" s="22"/>
      <c r="D341" s="22"/>
      <c r="E341" s="22"/>
      <c r="F341" s="27" t="str">
        <f aca="false">IF(B341="","",IFERROR(INDEX(Roster!$B$5:$B$154,MATCH(B341,Roster!$A$5:$A$154,0)),"Not on roster"))</f>
        <v/>
      </c>
      <c r="G341" s="28" t="str">
        <f aca="false">IF(OR(B341="",C341=""),"",F341&amp;" | "&amp;C341)</f>
        <v/>
      </c>
      <c r="H341" s="27" t="str">
        <f aca="false">IF(G341="","",IFERROR(INDEX(Levels!$C$5:$C$94,MATCH(G341,Levels!$G$5:$G$94,0)),"Not this class's skill"))</f>
        <v/>
      </c>
    </row>
    <row r="342" customFormat="false" ht="15" hidden="false" customHeight="false" outlineLevel="0" collapsed="false">
      <c r="A342" s="23"/>
      <c r="B342" s="22"/>
      <c r="C342" s="22"/>
      <c r="D342" s="22"/>
      <c r="E342" s="22"/>
      <c r="F342" s="27" t="str">
        <f aca="false">IF(B342="","",IFERROR(INDEX(Roster!$B$5:$B$154,MATCH(B342,Roster!$A$5:$A$154,0)),"Not on roster"))</f>
        <v/>
      </c>
      <c r="G342" s="28" t="str">
        <f aca="false">IF(OR(B342="",C342=""),"",F342&amp;" | "&amp;C342)</f>
        <v/>
      </c>
      <c r="H342" s="27" t="str">
        <f aca="false">IF(G342="","",IFERROR(INDEX(Levels!$C$5:$C$94,MATCH(G342,Levels!$G$5:$G$94,0)),"Not this class's skill"))</f>
        <v/>
      </c>
    </row>
    <row r="343" customFormat="false" ht="15" hidden="false" customHeight="false" outlineLevel="0" collapsed="false">
      <c r="A343" s="23"/>
      <c r="B343" s="22"/>
      <c r="C343" s="22"/>
      <c r="D343" s="22"/>
      <c r="E343" s="22"/>
      <c r="F343" s="27" t="str">
        <f aca="false">IF(B343="","",IFERROR(INDEX(Roster!$B$5:$B$154,MATCH(B343,Roster!$A$5:$A$154,0)),"Not on roster"))</f>
        <v/>
      </c>
      <c r="G343" s="28" t="str">
        <f aca="false">IF(OR(B343="",C343=""),"",F343&amp;" | "&amp;C343)</f>
        <v/>
      </c>
      <c r="H343" s="27" t="str">
        <f aca="false">IF(G343="","",IFERROR(INDEX(Levels!$C$5:$C$94,MATCH(G343,Levels!$G$5:$G$94,0)),"Not this class's skill"))</f>
        <v/>
      </c>
    </row>
    <row r="344" customFormat="false" ht="15" hidden="false" customHeight="false" outlineLevel="0" collapsed="false">
      <c r="A344" s="23"/>
      <c r="B344" s="22"/>
      <c r="C344" s="22"/>
      <c r="D344" s="22"/>
      <c r="E344" s="22"/>
      <c r="F344" s="27" t="str">
        <f aca="false">IF(B344="","",IFERROR(INDEX(Roster!$B$5:$B$154,MATCH(B344,Roster!$A$5:$A$154,0)),"Not on roster"))</f>
        <v/>
      </c>
      <c r="G344" s="28" t="str">
        <f aca="false">IF(OR(B344="",C344=""),"",F344&amp;" | "&amp;C344)</f>
        <v/>
      </c>
      <c r="H344" s="27" t="str">
        <f aca="false">IF(G344="","",IFERROR(INDEX(Levels!$C$5:$C$94,MATCH(G344,Levels!$G$5:$G$94,0)),"Not this class's skill"))</f>
        <v/>
      </c>
    </row>
    <row r="345" customFormat="false" ht="15" hidden="false" customHeight="false" outlineLevel="0" collapsed="false">
      <c r="A345" s="23"/>
      <c r="B345" s="22"/>
      <c r="C345" s="22"/>
      <c r="D345" s="22"/>
      <c r="E345" s="22"/>
      <c r="F345" s="27" t="str">
        <f aca="false">IF(B345="","",IFERROR(INDEX(Roster!$B$5:$B$154,MATCH(B345,Roster!$A$5:$A$154,0)),"Not on roster"))</f>
        <v/>
      </c>
      <c r="G345" s="28" t="str">
        <f aca="false">IF(OR(B345="",C345=""),"",F345&amp;" | "&amp;C345)</f>
        <v/>
      </c>
      <c r="H345" s="27" t="str">
        <f aca="false">IF(G345="","",IFERROR(INDEX(Levels!$C$5:$C$94,MATCH(G345,Levels!$G$5:$G$94,0)),"Not this class's skill"))</f>
        <v/>
      </c>
    </row>
    <row r="346" customFormat="false" ht="15" hidden="false" customHeight="false" outlineLevel="0" collapsed="false">
      <c r="A346" s="23"/>
      <c r="B346" s="22"/>
      <c r="C346" s="22"/>
      <c r="D346" s="22"/>
      <c r="E346" s="22"/>
      <c r="F346" s="27" t="str">
        <f aca="false">IF(B346="","",IFERROR(INDEX(Roster!$B$5:$B$154,MATCH(B346,Roster!$A$5:$A$154,0)),"Not on roster"))</f>
        <v/>
      </c>
      <c r="G346" s="28" t="str">
        <f aca="false">IF(OR(B346="",C346=""),"",F346&amp;" | "&amp;C346)</f>
        <v/>
      </c>
      <c r="H346" s="27" t="str">
        <f aca="false">IF(G346="","",IFERROR(INDEX(Levels!$C$5:$C$94,MATCH(G346,Levels!$G$5:$G$94,0)),"Not this class's skill"))</f>
        <v/>
      </c>
    </row>
    <row r="347" customFormat="false" ht="15" hidden="false" customHeight="false" outlineLevel="0" collapsed="false">
      <c r="A347" s="23"/>
      <c r="B347" s="22"/>
      <c r="C347" s="22"/>
      <c r="D347" s="22"/>
      <c r="E347" s="22"/>
      <c r="F347" s="27" t="str">
        <f aca="false">IF(B347="","",IFERROR(INDEX(Roster!$B$5:$B$154,MATCH(B347,Roster!$A$5:$A$154,0)),"Not on roster"))</f>
        <v/>
      </c>
      <c r="G347" s="28" t="str">
        <f aca="false">IF(OR(B347="",C347=""),"",F347&amp;" | "&amp;C347)</f>
        <v/>
      </c>
      <c r="H347" s="27" t="str">
        <f aca="false">IF(G347="","",IFERROR(INDEX(Levels!$C$5:$C$94,MATCH(G347,Levels!$G$5:$G$94,0)),"Not this class's skill"))</f>
        <v/>
      </c>
    </row>
    <row r="348" customFormat="false" ht="15" hidden="false" customHeight="false" outlineLevel="0" collapsed="false">
      <c r="A348" s="23"/>
      <c r="B348" s="22"/>
      <c r="C348" s="22"/>
      <c r="D348" s="22"/>
      <c r="E348" s="22"/>
      <c r="F348" s="27" t="str">
        <f aca="false">IF(B348="","",IFERROR(INDEX(Roster!$B$5:$B$154,MATCH(B348,Roster!$A$5:$A$154,0)),"Not on roster"))</f>
        <v/>
      </c>
      <c r="G348" s="28" t="str">
        <f aca="false">IF(OR(B348="",C348=""),"",F348&amp;" | "&amp;C348)</f>
        <v/>
      </c>
      <c r="H348" s="27" t="str">
        <f aca="false">IF(G348="","",IFERROR(INDEX(Levels!$C$5:$C$94,MATCH(G348,Levels!$G$5:$G$94,0)),"Not this class's skill"))</f>
        <v/>
      </c>
    </row>
    <row r="349" customFormat="false" ht="15" hidden="false" customHeight="false" outlineLevel="0" collapsed="false">
      <c r="A349" s="23"/>
      <c r="B349" s="22"/>
      <c r="C349" s="22"/>
      <c r="D349" s="22"/>
      <c r="E349" s="22"/>
      <c r="F349" s="27" t="str">
        <f aca="false">IF(B349="","",IFERROR(INDEX(Roster!$B$5:$B$154,MATCH(B349,Roster!$A$5:$A$154,0)),"Not on roster"))</f>
        <v/>
      </c>
      <c r="G349" s="28" t="str">
        <f aca="false">IF(OR(B349="",C349=""),"",F349&amp;" | "&amp;C349)</f>
        <v/>
      </c>
      <c r="H349" s="27" t="str">
        <f aca="false">IF(G349="","",IFERROR(INDEX(Levels!$C$5:$C$94,MATCH(G349,Levels!$G$5:$G$94,0)),"Not this class's skill"))</f>
        <v/>
      </c>
    </row>
    <row r="350" customFormat="false" ht="15" hidden="false" customHeight="false" outlineLevel="0" collapsed="false">
      <c r="A350" s="23"/>
      <c r="B350" s="22"/>
      <c r="C350" s="22"/>
      <c r="D350" s="22"/>
      <c r="E350" s="22"/>
      <c r="F350" s="27" t="str">
        <f aca="false">IF(B350="","",IFERROR(INDEX(Roster!$B$5:$B$154,MATCH(B350,Roster!$A$5:$A$154,0)),"Not on roster"))</f>
        <v/>
      </c>
      <c r="G350" s="28" t="str">
        <f aca="false">IF(OR(B350="",C350=""),"",F350&amp;" | "&amp;C350)</f>
        <v/>
      </c>
      <c r="H350" s="27" t="str">
        <f aca="false">IF(G350="","",IFERROR(INDEX(Levels!$C$5:$C$94,MATCH(G350,Levels!$G$5:$G$94,0)),"Not this class's skill"))</f>
        <v/>
      </c>
    </row>
    <row r="351" customFormat="false" ht="15" hidden="false" customHeight="false" outlineLevel="0" collapsed="false">
      <c r="A351" s="23"/>
      <c r="B351" s="22"/>
      <c r="C351" s="22"/>
      <c r="D351" s="22"/>
      <c r="E351" s="22"/>
      <c r="F351" s="27" t="str">
        <f aca="false">IF(B351="","",IFERROR(INDEX(Roster!$B$5:$B$154,MATCH(B351,Roster!$A$5:$A$154,0)),"Not on roster"))</f>
        <v/>
      </c>
      <c r="G351" s="28" t="str">
        <f aca="false">IF(OR(B351="",C351=""),"",F351&amp;" | "&amp;C351)</f>
        <v/>
      </c>
      <c r="H351" s="27" t="str">
        <f aca="false">IF(G351="","",IFERROR(INDEX(Levels!$C$5:$C$94,MATCH(G351,Levels!$G$5:$G$94,0)),"Not this class's skill"))</f>
        <v/>
      </c>
    </row>
    <row r="352" customFormat="false" ht="15" hidden="false" customHeight="false" outlineLevel="0" collapsed="false">
      <c r="A352" s="23"/>
      <c r="B352" s="22"/>
      <c r="C352" s="22"/>
      <c r="D352" s="22"/>
      <c r="E352" s="22"/>
      <c r="F352" s="27" t="str">
        <f aca="false">IF(B352="","",IFERROR(INDEX(Roster!$B$5:$B$154,MATCH(B352,Roster!$A$5:$A$154,0)),"Not on roster"))</f>
        <v/>
      </c>
      <c r="G352" s="28" t="str">
        <f aca="false">IF(OR(B352="",C352=""),"",F352&amp;" | "&amp;C352)</f>
        <v/>
      </c>
      <c r="H352" s="27" t="str">
        <f aca="false">IF(G352="","",IFERROR(INDEX(Levels!$C$5:$C$94,MATCH(G352,Levels!$G$5:$G$94,0)),"Not this class's skill"))</f>
        <v/>
      </c>
    </row>
    <row r="353" customFormat="false" ht="15" hidden="false" customHeight="false" outlineLevel="0" collapsed="false">
      <c r="A353" s="23"/>
      <c r="B353" s="22"/>
      <c r="C353" s="22"/>
      <c r="D353" s="22"/>
      <c r="E353" s="22"/>
      <c r="F353" s="27" t="str">
        <f aca="false">IF(B353="","",IFERROR(INDEX(Roster!$B$5:$B$154,MATCH(B353,Roster!$A$5:$A$154,0)),"Not on roster"))</f>
        <v/>
      </c>
      <c r="G353" s="28" t="str">
        <f aca="false">IF(OR(B353="",C353=""),"",F353&amp;" | "&amp;C353)</f>
        <v/>
      </c>
      <c r="H353" s="27" t="str">
        <f aca="false">IF(G353="","",IFERROR(INDEX(Levels!$C$5:$C$94,MATCH(G353,Levels!$G$5:$G$94,0)),"Not this class's skill"))</f>
        <v/>
      </c>
    </row>
    <row r="354" customFormat="false" ht="15" hidden="false" customHeight="false" outlineLevel="0" collapsed="false">
      <c r="A354" s="23"/>
      <c r="B354" s="22"/>
      <c r="C354" s="22"/>
      <c r="D354" s="22"/>
      <c r="E354" s="22"/>
      <c r="F354" s="27" t="str">
        <f aca="false">IF(B354="","",IFERROR(INDEX(Roster!$B$5:$B$154,MATCH(B354,Roster!$A$5:$A$154,0)),"Not on roster"))</f>
        <v/>
      </c>
      <c r="G354" s="28" t="str">
        <f aca="false">IF(OR(B354="",C354=""),"",F354&amp;" | "&amp;C354)</f>
        <v/>
      </c>
      <c r="H354" s="27" t="str">
        <f aca="false">IF(G354="","",IFERROR(INDEX(Levels!$C$5:$C$94,MATCH(G354,Levels!$G$5:$G$94,0)),"Not this class's skill"))</f>
        <v/>
      </c>
    </row>
    <row r="355" customFormat="false" ht="15" hidden="false" customHeight="false" outlineLevel="0" collapsed="false">
      <c r="A355" s="23"/>
      <c r="B355" s="22"/>
      <c r="C355" s="22"/>
      <c r="D355" s="22"/>
      <c r="E355" s="22"/>
      <c r="F355" s="27" t="str">
        <f aca="false">IF(B355="","",IFERROR(INDEX(Roster!$B$5:$B$154,MATCH(B355,Roster!$A$5:$A$154,0)),"Not on roster"))</f>
        <v/>
      </c>
      <c r="G355" s="28" t="str">
        <f aca="false">IF(OR(B355="",C355=""),"",F355&amp;" | "&amp;C355)</f>
        <v/>
      </c>
      <c r="H355" s="27" t="str">
        <f aca="false">IF(G355="","",IFERROR(INDEX(Levels!$C$5:$C$94,MATCH(G355,Levels!$G$5:$G$94,0)),"Not this class's skill"))</f>
        <v/>
      </c>
    </row>
    <row r="356" customFormat="false" ht="15" hidden="false" customHeight="false" outlineLevel="0" collapsed="false">
      <c r="A356" s="23"/>
      <c r="B356" s="22"/>
      <c r="C356" s="22"/>
      <c r="D356" s="22"/>
      <c r="E356" s="22"/>
      <c r="F356" s="27" t="str">
        <f aca="false">IF(B356="","",IFERROR(INDEX(Roster!$B$5:$B$154,MATCH(B356,Roster!$A$5:$A$154,0)),"Not on roster"))</f>
        <v/>
      </c>
      <c r="G356" s="28" t="str">
        <f aca="false">IF(OR(B356="",C356=""),"",F356&amp;" | "&amp;C356)</f>
        <v/>
      </c>
      <c r="H356" s="27" t="str">
        <f aca="false">IF(G356="","",IFERROR(INDEX(Levels!$C$5:$C$94,MATCH(G356,Levels!$G$5:$G$94,0)),"Not this class's skill"))</f>
        <v/>
      </c>
    </row>
    <row r="357" customFormat="false" ht="15" hidden="false" customHeight="false" outlineLevel="0" collapsed="false">
      <c r="A357" s="23"/>
      <c r="B357" s="22"/>
      <c r="C357" s="22"/>
      <c r="D357" s="22"/>
      <c r="E357" s="22"/>
      <c r="F357" s="27" t="str">
        <f aca="false">IF(B357="","",IFERROR(INDEX(Roster!$B$5:$B$154,MATCH(B357,Roster!$A$5:$A$154,0)),"Not on roster"))</f>
        <v/>
      </c>
      <c r="G357" s="28" t="str">
        <f aca="false">IF(OR(B357="",C357=""),"",F357&amp;" | "&amp;C357)</f>
        <v/>
      </c>
      <c r="H357" s="27" t="str">
        <f aca="false">IF(G357="","",IFERROR(INDEX(Levels!$C$5:$C$94,MATCH(G357,Levels!$G$5:$G$94,0)),"Not this class's skill"))</f>
        <v/>
      </c>
    </row>
    <row r="358" customFormat="false" ht="15" hidden="false" customHeight="false" outlineLevel="0" collapsed="false">
      <c r="A358" s="23"/>
      <c r="B358" s="22"/>
      <c r="C358" s="22"/>
      <c r="D358" s="22"/>
      <c r="E358" s="22"/>
      <c r="F358" s="27" t="str">
        <f aca="false">IF(B358="","",IFERROR(INDEX(Roster!$B$5:$B$154,MATCH(B358,Roster!$A$5:$A$154,0)),"Not on roster"))</f>
        <v/>
      </c>
      <c r="G358" s="28" t="str">
        <f aca="false">IF(OR(B358="",C358=""),"",F358&amp;" | "&amp;C358)</f>
        <v/>
      </c>
      <c r="H358" s="27" t="str">
        <f aca="false">IF(G358="","",IFERROR(INDEX(Levels!$C$5:$C$94,MATCH(G358,Levels!$G$5:$G$94,0)),"Not this class's skill"))</f>
        <v/>
      </c>
    </row>
    <row r="359" customFormat="false" ht="15" hidden="false" customHeight="false" outlineLevel="0" collapsed="false">
      <c r="A359" s="23"/>
      <c r="B359" s="22"/>
      <c r="C359" s="22"/>
      <c r="D359" s="22"/>
      <c r="E359" s="22"/>
      <c r="F359" s="27" t="str">
        <f aca="false">IF(B359="","",IFERROR(INDEX(Roster!$B$5:$B$154,MATCH(B359,Roster!$A$5:$A$154,0)),"Not on roster"))</f>
        <v/>
      </c>
      <c r="G359" s="28" t="str">
        <f aca="false">IF(OR(B359="",C359=""),"",F359&amp;" | "&amp;C359)</f>
        <v/>
      </c>
      <c r="H359" s="27" t="str">
        <f aca="false">IF(G359="","",IFERROR(INDEX(Levels!$C$5:$C$94,MATCH(G359,Levels!$G$5:$G$94,0)),"Not this class's skill"))</f>
        <v/>
      </c>
    </row>
    <row r="360" customFormat="false" ht="15" hidden="false" customHeight="false" outlineLevel="0" collapsed="false">
      <c r="A360" s="23"/>
      <c r="B360" s="22"/>
      <c r="C360" s="22"/>
      <c r="D360" s="22"/>
      <c r="E360" s="22"/>
      <c r="F360" s="27" t="str">
        <f aca="false">IF(B360="","",IFERROR(INDEX(Roster!$B$5:$B$154,MATCH(B360,Roster!$A$5:$A$154,0)),"Not on roster"))</f>
        <v/>
      </c>
      <c r="G360" s="28" t="str">
        <f aca="false">IF(OR(B360="",C360=""),"",F360&amp;" | "&amp;C360)</f>
        <v/>
      </c>
      <c r="H360" s="27" t="str">
        <f aca="false">IF(G360="","",IFERROR(INDEX(Levels!$C$5:$C$94,MATCH(G360,Levels!$G$5:$G$94,0)),"Not this class's skill"))</f>
        <v/>
      </c>
    </row>
    <row r="361" customFormat="false" ht="15" hidden="false" customHeight="false" outlineLevel="0" collapsed="false">
      <c r="A361" s="23"/>
      <c r="B361" s="22"/>
      <c r="C361" s="22"/>
      <c r="D361" s="22"/>
      <c r="E361" s="22"/>
      <c r="F361" s="27" t="str">
        <f aca="false">IF(B361="","",IFERROR(INDEX(Roster!$B$5:$B$154,MATCH(B361,Roster!$A$5:$A$154,0)),"Not on roster"))</f>
        <v/>
      </c>
      <c r="G361" s="28" t="str">
        <f aca="false">IF(OR(B361="",C361=""),"",F361&amp;" | "&amp;C361)</f>
        <v/>
      </c>
      <c r="H361" s="27" t="str">
        <f aca="false">IF(G361="","",IFERROR(INDEX(Levels!$C$5:$C$94,MATCH(G361,Levels!$G$5:$G$94,0)),"Not this class's skill"))</f>
        <v/>
      </c>
    </row>
    <row r="362" customFormat="false" ht="15" hidden="false" customHeight="false" outlineLevel="0" collapsed="false">
      <c r="A362" s="23"/>
      <c r="B362" s="22"/>
      <c r="C362" s="22"/>
      <c r="D362" s="22"/>
      <c r="E362" s="22"/>
      <c r="F362" s="27" t="str">
        <f aca="false">IF(B362="","",IFERROR(INDEX(Roster!$B$5:$B$154,MATCH(B362,Roster!$A$5:$A$154,0)),"Not on roster"))</f>
        <v/>
      </c>
      <c r="G362" s="28" t="str">
        <f aca="false">IF(OR(B362="",C362=""),"",F362&amp;" | "&amp;C362)</f>
        <v/>
      </c>
      <c r="H362" s="27" t="str">
        <f aca="false">IF(G362="","",IFERROR(INDEX(Levels!$C$5:$C$94,MATCH(G362,Levels!$G$5:$G$94,0)),"Not this class's skill"))</f>
        <v/>
      </c>
    </row>
    <row r="363" customFormat="false" ht="15" hidden="false" customHeight="false" outlineLevel="0" collapsed="false">
      <c r="A363" s="23"/>
      <c r="B363" s="22"/>
      <c r="C363" s="22"/>
      <c r="D363" s="22"/>
      <c r="E363" s="22"/>
      <c r="F363" s="27" t="str">
        <f aca="false">IF(B363="","",IFERROR(INDEX(Roster!$B$5:$B$154,MATCH(B363,Roster!$A$5:$A$154,0)),"Not on roster"))</f>
        <v/>
      </c>
      <c r="G363" s="28" t="str">
        <f aca="false">IF(OR(B363="",C363=""),"",F363&amp;" | "&amp;C363)</f>
        <v/>
      </c>
      <c r="H363" s="27" t="str">
        <f aca="false">IF(G363="","",IFERROR(INDEX(Levels!$C$5:$C$94,MATCH(G363,Levels!$G$5:$G$94,0)),"Not this class's skill"))</f>
        <v/>
      </c>
    </row>
    <row r="364" customFormat="false" ht="15" hidden="false" customHeight="false" outlineLevel="0" collapsed="false">
      <c r="A364" s="23"/>
      <c r="B364" s="22"/>
      <c r="C364" s="22"/>
      <c r="D364" s="22"/>
      <c r="E364" s="22"/>
      <c r="F364" s="27" t="str">
        <f aca="false">IF(B364="","",IFERROR(INDEX(Roster!$B$5:$B$154,MATCH(B364,Roster!$A$5:$A$154,0)),"Not on roster"))</f>
        <v/>
      </c>
      <c r="G364" s="28" t="str">
        <f aca="false">IF(OR(B364="",C364=""),"",F364&amp;" | "&amp;C364)</f>
        <v/>
      </c>
      <c r="H364" s="27" t="str">
        <f aca="false">IF(G364="","",IFERROR(INDEX(Levels!$C$5:$C$94,MATCH(G364,Levels!$G$5:$G$94,0)),"Not this class's skill"))</f>
        <v/>
      </c>
    </row>
    <row r="365" customFormat="false" ht="15" hidden="false" customHeight="false" outlineLevel="0" collapsed="false">
      <c r="A365" s="23"/>
      <c r="B365" s="22"/>
      <c r="C365" s="22"/>
      <c r="D365" s="22"/>
      <c r="E365" s="22"/>
      <c r="F365" s="27" t="str">
        <f aca="false">IF(B365="","",IFERROR(INDEX(Roster!$B$5:$B$154,MATCH(B365,Roster!$A$5:$A$154,0)),"Not on roster"))</f>
        <v/>
      </c>
      <c r="G365" s="28" t="str">
        <f aca="false">IF(OR(B365="",C365=""),"",F365&amp;" | "&amp;C365)</f>
        <v/>
      </c>
      <c r="H365" s="27" t="str">
        <f aca="false">IF(G365="","",IFERROR(INDEX(Levels!$C$5:$C$94,MATCH(G365,Levels!$G$5:$G$94,0)),"Not this class's skill"))</f>
        <v/>
      </c>
    </row>
    <row r="366" customFormat="false" ht="15" hidden="false" customHeight="false" outlineLevel="0" collapsed="false">
      <c r="A366" s="23"/>
      <c r="B366" s="22"/>
      <c r="C366" s="22"/>
      <c r="D366" s="22"/>
      <c r="E366" s="22"/>
      <c r="F366" s="27" t="str">
        <f aca="false">IF(B366="","",IFERROR(INDEX(Roster!$B$5:$B$154,MATCH(B366,Roster!$A$5:$A$154,0)),"Not on roster"))</f>
        <v/>
      </c>
      <c r="G366" s="28" t="str">
        <f aca="false">IF(OR(B366="",C366=""),"",F366&amp;" | "&amp;C366)</f>
        <v/>
      </c>
      <c r="H366" s="27" t="str">
        <f aca="false">IF(G366="","",IFERROR(INDEX(Levels!$C$5:$C$94,MATCH(G366,Levels!$G$5:$G$94,0)),"Not this class's skill"))</f>
        <v/>
      </c>
    </row>
    <row r="367" customFormat="false" ht="15" hidden="false" customHeight="false" outlineLevel="0" collapsed="false">
      <c r="A367" s="23"/>
      <c r="B367" s="22"/>
      <c r="C367" s="22"/>
      <c r="D367" s="22"/>
      <c r="E367" s="22"/>
      <c r="F367" s="27" t="str">
        <f aca="false">IF(B367="","",IFERROR(INDEX(Roster!$B$5:$B$154,MATCH(B367,Roster!$A$5:$A$154,0)),"Not on roster"))</f>
        <v/>
      </c>
      <c r="G367" s="28" t="str">
        <f aca="false">IF(OR(B367="",C367=""),"",F367&amp;" | "&amp;C367)</f>
        <v/>
      </c>
      <c r="H367" s="27" t="str">
        <f aca="false">IF(G367="","",IFERROR(INDEX(Levels!$C$5:$C$94,MATCH(G367,Levels!$G$5:$G$94,0)),"Not this class's skill"))</f>
        <v/>
      </c>
    </row>
    <row r="368" customFormat="false" ht="15" hidden="false" customHeight="false" outlineLevel="0" collapsed="false">
      <c r="A368" s="23"/>
      <c r="B368" s="22"/>
      <c r="C368" s="22"/>
      <c r="D368" s="22"/>
      <c r="E368" s="22"/>
      <c r="F368" s="27" t="str">
        <f aca="false">IF(B368="","",IFERROR(INDEX(Roster!$B$5:$B$154,MATCH(B368,Roster!$A$5:$A$154,0)),"Not on roster"))</f>
        <v/>
      </c>
      <c r="G368" s="28" t="str">
        <f aca="false">IF(OR(B368="",C368=""),"",F368&amp;" | "&amp;C368)</f>
        <v/>
      </c>
      <c r="H368" s="27" t="str">
        <f aca="false">IF(G368="","",IFERROR(INDEX(Levels!$C$5:$C$94,MATCH(G368,Levels!$G$5:$G$94,0)),"Not this class's skill"))</f>
        <v/>
      </c>
    </row>
    <row r="369" customFormat="false" ht="15" hidden="false" customHeight="false" outlineLevel="0" collapsed="false">
      <c r="A369" s="23"/>
      <c r="B369" s="22"/>
      <c r="C369" s="22"/>
      <c r="D369" s="22"/>
      <c r="E369" s="22"/>
      <c r="F369" s="27" t="str">
        <f aca="false">IF(B369="","",IFERROR(INDEX(Roster!$B$5:$B$154,MATCH(B369,Roster!$A$5:$A$154,0)),"Not on roster"))</f>
        <v/>
      </c>
      <c r="G369" s="28" t="str">
        <f aca="false">IF(OR(B369="",C369=""),"",F369&amp;" | "&amp;C369)</f>
        <v/>
      </c>
      <c r="H369" s="27" t="str">
        <f aca="false">IF(G369="","",IFERROR(INDEX(Levels!$C$5:$C$94,MATCH(G369,Levels!$G$5:$G$94,0)),"Not this class's skill"))</f>
        <v/>
      </c>
    </row>
    <row r="370" customFormat="false" ht="15" hidden="false" customHeight="false" outlineLevel="0" collapsed="false">
      <c r="A370" s="23"/>
      <c r="B370" s="22"/>
      <c r="C370" s="22"/>
      <c r="D370" s="22"/>
      <c r="E370" s="22"/>
      <c r="F370" s="27" t="str">
        <f aca="false">IF(B370="","",IFERROR(INDEX(Roster!$B$5:$B$154,MATCH(B370,Roster!$A$5:$A$154,0)),"Not on roster"))</f>
        <v/>
      </c>
      <c r="G370" s="28" t="str">
        <f aca="false">IF(OR(B370="",C370=""),"",F370&amp;" | "&amp;C370)</f>
        <v/>
      </c>
      <c r="H370" s="27" t="str">
        <f aca="false">IF(G370="","",IFERROR(INDEX(Levels!$C$5:$C$94,MATCH(G370,Levels!$G$5:$G$94,0)),"Not this class's skill"))</f>
        <v/>
      </c>
    </row>
    <row r="371" customFormat="false" ht="15" hidden="false" customHeight="false" outlineLevel="0" collapsed="false">
      <c r="A371" s="23"/>
      <c r="B371" s="22"/>
      <c r="C371" s="22"/>
      <c r="D371" s="22"/>
      <c r="E371" s="22"/>
      <c r="F371" s="27" t="str">
        <f aca="false">IF(B371="","",IFERROR(INDEX(Roster!$B$5:$B$154,MATCH(B371,Roster!$A$5:$A$154,0)),"Not on roster"))</f>
        <v/>
      </c>
      <c r="G371" s="28" t="str">
        <f aca="false">IF(OR(B371="",C371=""),"",F371&amp;" | "&amp;C371)</f>
        <v/>
      </c>
      <c r="H371" s="27" t="str">
        <f aca="false">IF(G371="","",IFERROR(INDEX(Levels!$C$5:$C$94,MATCH(G371,Levels!$G$5:$G$94,0)),"Not this class's skill"))</f>
        <v/>
      </c>
    </row>
    <row r="372" customFormat="false" ht="15" hidden="false" customHeight="false" outlineLevel="0" collapsed="false">
      <c r="A372" s="23"/>
      <c r="B372" s="22"/>
      <c r="C372" s="22"/>
      <c r="D372" s="22"/>
      <c r="E372" s="22"/>
      <c r="F372" s="27" t="str">
        <f aca="false">IF(B372="","",IFERROR(INDEX(Roster!$B$5:$B$154,MATCH(B372,Roster!$A$5:$A$154,0)),"Not on roster"))</f>
        <v/>
      </c>
      <c r="G372" s="28" t="str">
        <f aca="false">IF(OR(B372="",C372=""),"",F372&amp;" | "&amp;C372)</f>
        <v/>
      </c>
      <c r="H372" s="27" t="str">
        <f aca="false">IF(G372="","",IFERROR(INDEX(Levels!$C$5:$C$94,MATCH(G372,Levels!$G$5:$G$94,0)),"Not this class's skill"))</f>
        <v/>
      </c>
    </row>
    <row r="373" customFormat="false" ht="15" hidden="false" customHeight="false" outlineLevel="0" collapsed="false">
      <c r="A373" s="23"/>
      <c r="B373" s="22"/>
      <c r="C373" s="22"/>
      <c r="D373" s="22"/>
      <c r="E373" s="22"/>
      <c r="F373" s="27" t="str">
        <f aca="false">IF(B373="","",IFERROR(INDEX(Roster!$B$5:$B$154,MATCH(B373,Roster!$A$5:$A$154,0)),"Not on roster"))</f>
        <v/>
      </c>
      <c r="G373" s="28" t="str">
        <f aca="false">IF(OR(B373="",C373=""),"",F373&amp;" | "&amp;C373)</f>
        <v/>
      </c>
      <c r="H373" s="27" t="str">
        <f aca="false">IF(G373="","",IFERROR(INDEX(Levels!$C$5:$C$94,MATCH(G373,Levels!$G$5:$G$94,0)),"Not this class's skill"))</f>
        <v/>
      </c>
    </row>
    <row r="374" customFormat="false" ht="15" hidden="false" customHeight="false" outlineLevel="0" collapsed="false">
      <c r="A374" s="23"/>
      <c r="B374" s="22"/>
      <c r="C374" s="22"/>
      <c r="D374" s="22"/>
      <c r="E374" s="22"/>
      <c r="F374" s="27" t="str">
        <f aca="false">IF(B374="","",IFERROR(INDEX(Roster!$B$5:$B$154,MATCH(B374,Roster!$A$5:$A$154,0)),"Not on roster"))</f>
        <v/>
      </c>
      <c r="G374" s="28" t="str">
        <f aca="false">IF(OR(B374="",C374=""),"",F374&amp;" | "&amp;C374)</f>
        <v/>
      </c>
      <c r="H374" s="27" t="str">
        <f aca="false">IF(G374="","",IFERROR(INDEX(Levels!$C$5:$C$94,MATCH(G374,Levels!$G$5:$G$94,0)),"Not this class's skill"))</f>
        <v/>
      </c>
    </row>
    <row r="375" customFormat="false" ht="15" hidden="false" customHeight="false" outlineLevel="0" collapsed="false">
      <c r="A375" s="23"/>
      <c r="B375" s="22"/>
      <c r="C375" s="22"/>
      <c r="D375" s="22"/>
      <c r="E375" s="22"/>
      <c r="F375" s="27" t="str">
        <f aca="false">IF(B375="","",IFERROR(INDEX(Roster!$B$5:$B$154,MATCH(B375,Roster!$A$5:$A$154,0)),"Not on roster"))</f>
        <v/>
      </c>
      <c r="G375" s="28" t="str">
        <f aca="false">IF(OR(B375="",C375=""),"",F375&amp;" | "&amp;C375)</f>
        <v/>
      </c>
      <c r="H375" s="27" t="str">
        <f aca="false">IF(G375="","",IFERROR(INDEX(Levels!$C$5:$C$94,MATCH(G375,Levels!$G$5:$G$94,0)),"Not this class's skill"))</f>
        <v/>
      </c>
    </row>
    <row r="376" customFormat="false" ht="15" hidden="false" customHeight="false" outlineLevel="0" collapsed="false">
      <c r="A376" s="23"/>
      <c r="B376" s="22"/>
      <c r="C376" s="22"/>
      <c r="D376" s="22"/>
      <c r="E376" s="22"/>
      <c r="F376" s="27" t="str">
        <f aca="false">IF(B376="","",IFERROR(INDEX(Roster!$B$5:$B$154,MATCH(B376,Roster!$A$5:$A$154,0)),"Not on roster"))</f>
        <v/>
      </c>
      <c r="G376" s="28" t="str">
        <f aca="false">IF(OR(B376="",C376=""),"",F376&amp;" | "&amp;C376)</f>
        <v/>
      </c>
      <c r="H376" s="27" t="str">
        <f aca="false">IF(G376="","",IFERROR(INDEX(Levels!$C$5:$C$94,MATCH(G376,Levels!$G$5:$G$94,0)),"Not this class's skill"))</f>
        <v/>
      </c>
    </row>
    <row r="377" customFormat="false" ht="15" hidden="false" customHeight="false" outlineLevel="0" collapsed="false">
      <c r="A377" s="23"/>
      <c r="B377" s="22"/>
      <c r="C377" s="22"/>
      <c r="D377" s="22"/>
      <c r="E377" s="22"/>
      <c r="F377" s="27" t="str">
        <f aca="false">IF(B377="","",IFERROR(INDEX(Roster!$B$5:$B$154,MATCH(B377,Roster!$A$5:$A$154,0)),"Not on roster"))</f>
        <v/>
      </c>
      <c r="G377" s="28" t="str">
        <f aca="false">IF(OR(B377="",C377=""),"",F377&amp;" | "&amp;C377)</f>
        <v/>
      </c>
      <c r="H377" s="27" t="str">
        <f aca="false">IF(G377="","",IFERROR(INDEX(Levels!$C$5:$C$94,MATCH(G377,Levels!$G$5:$G$94,0)),"Not this class's skill"))</f>
        <v/>
      </c>
    </row>
    <row r="378" customFormat="false" ht="15" hidden="false" customHeight="false" outlineLevel="0" collapsed="false">
      <c r="A378" s="23"/>
      <c r="B378" s="22"/>
      <c r="C378" s="22"/>
      <c r="D378" s="22"/>
      <c r="E378" s="22"/>
      <c r="F378" s="27" t="str">
        <f aca="false">IF(B378="","",IFERROR(INDEX(Roster!$B$5:$B$154,MATCH(B378,Roster!$A$5:$A$154,0)),"Not on roster"))</f>
        <v/>
      </c>
      <c r="G378" s="28" t="str">
        <f aca="false">IF(OR(B378="",C378=""),"",F378&amp;" | "&amp;C378)</f>
        <v/>
      </c>
      <c r="H378" s="27" t="str">
        <f aca="false">IF(G378="","",IFERROR(INDEX(Levels!$C$5:$C$94,MATCH(G378,Levels!$G$5:$G$94,0)),"Not this class's skill"))</f>
        <v/>
      </c>
    </row>
    <row r="379" customFormat="false" ht="15" hidden="false" customHeight="false" outlineLevel="0" collapsed="false">
      <c r="A379" s="23"/>
      <c r="B379" s="22"/>
      <c r="C379" s="22"/>
      <c r="D379" s="22"/>
      <c r="E379" s="22"/>
      <c r="F379" s="27" t="str">
        <f aca="false">IF(B379="","",IFERROR(INDEX(Roster!$B$5:$B$154,MATCH(B379,Roster!$A$5:$A$154,0)),"Not on roster"))</f>
        <v/>
      </c>
      <c r="G379" s="28" t="str">
        <f aca="false">IF(OR(B379="",C379=""),"",F379&amp;" | "&amp;C379)</f>
        <v/>
      </c>
      <c r="H379" s="27" t="str">
        <f aca="false">IF(G379="","",IFERROR(INDEX(Levels!$C$5:$C$94,MATCH(G379,Levels!$G$5:$G$94,0)),"Not this class's skill"))</f>
        <v/>
      </c>
    </row>
    <row r="380" customFormat="false" ht="15" hidden="false" customHeight="false" outlineLevel="0" collapsed="false">
      <c r="A380" s="23"/>
      <c r="B380" s="22"/>
      <c r="C380" s="22"/>
      <c r="D380" s="22"/>
      <c r="E380" s="22"/>
      <c r="F380" s="27" t="str">
        <f aca="false">IF(B380="","",IFERROR(INDEX(Roster!$B$5:$B$154,MATCH(B380,Roster!$A$5:$A$154,0)),"Not on roster"))</f>
        <v/>
      </c>
      <c r="G380" s="28" t="str">
        <f aca="false">IF(OR(B380="",C380=""),"",F380&amp;" | "&amp;C380)</f>
        <v/>
      </c>
      <c r="H380" s="27" t="str">
        <f aca="false">IF(G380="","",IFERROR(INDEX(Levels!$C$5:$C$94,MATCH(G380,Levels!$G$5:$G$94,0)),"Not this class's skill"))</f>
        <v/>
      </c>
    </row>
    <row r="381" customFormat="false" ht="15" hidden="false" customHeight="false" outlineLevel="0" collapsed="false">
      <c r="A381" s="23"/>
      <c r="B381" s="22"/>
      <c r="C381" s="22"/>
      <c r="D381" s="22"/>
      <c r="E381" s="22"/>
      <c r="F381" s="27" t="str">
        <f aca="false">IF(B381="","",IFERROR(INDEX(Roster!$B$5:$B$154,MATCH(B381,Roster!$A$5:$A$154,0)),"Not on roster"))</f>
        <v/>
      </c>
      <c r="G381" s="28" t="str">
        <f aca="false">IF(OR(B381="",C381=""),"",F381&amp;" | "&amp;C381)</f>
        <v/>
      </c>
      <c r="H381" s="27" t="str">
        <f aca="false">IF(G381="","",IFERROR(INDEX(Levels!$C$5:$C$94,MATCH(G381,Levels!$G$5:$G$94,0)),"Not this class's skill"))</f>
        <v/>
      </c>
    </row>
    <row r="382" customFormat="false" ht="15" hidden="false" customHeight="false" outlineLevel="0" collapsed="false">
      <c r="A382" s="23"/>
      <c r="B382" s="22"/>
      <c r="C382" s="22"/>
      <c r="D382" s="22"/>
      <c r="E382" s="22"/>
      <c r="F382" s="27" t="str">
        <f aca="false">IF(B382="","",IFERROR(INDEX(Roster!$B$5:$B$154,MATCH(B382,Roster!$A$5:$A$154,0)),"Not on roster"))</f>
        <v/>
      </c>
      <c r="G382" s="28" t="str">
        <f aca="false">IF(OR(B382="",C382=""),"",F382&amp;" | "&amp;C382)</f>
        <v/>
      </c>
      <c r="H382" s="27" t="str">
        <f aca="false">IF(G382="","",IFERROR(INDEX(Levels!$C$5:$C$94,MATCH(G382,Levels!$G$5:$G$94,0)),"Not this class's skill"))</f>
        <v/>
      </c>
    </row>
    <row r="383" customFormat="false" ht="15" hidden="false" customHeight="false" outlineLevel="0" collapsed="false">
      <c r="A383" s="23"/>
      <c r="B383" s="22"/>
      <c r="C383" s="22"/>
      <c r="D383" s="22"/>
      <c r="E383" s="22"/>
      <c r="F383" s="27" t="str">
        <f aca="false">IF(B383="","",IFERROR(INDEX(Roster!$B$5:$B$154,MATCH(B383,Roster!$A$5:$A$154,0)),"Not on roster"))</f>
        <v/>
      </c>
      <c r="G383" s="28" t="str">
        <f aca="false">IF(OR(B383="",C383=""),"",F383&amp;" | "&amp;C383)</f>
        <v/>
      </c>
      <c r="H383" s="27" t="str">
        <f aca="false">IF(G383="","",IFERROR(INDEX(Levels!$C$5:$C$94,MATCH(G383,Levels!$G$5:$G$94,0)),"Not this class's skill"))</f>
        <v/>
      </c>
    </row>
    <row r="384" customFormat="false" ht="15" hidden="false" customHeight="false" outlineLevel="0" collapsed="false">
      <c r="A384" s="23"/>
      <c r="B384" s="22"/>
      <c r="C384" s="22"/>
      <c r="D384" s="22"/>
      <c r="E384" s="22"/>
      <c r="F384" s="27" t="str">
        <f aca="false">IF(B384="","",IFERROR(INDEX(Roster!$B$5:$B$154,MATCH(B384,Roster!$A$5:$A$154,0)),"Not on roster"))</f>
        <v/>
      </c>
      <c r="G384" s="28" t="str">
        <f aca="false">IF(OR(B384="",C384=""),"",F384&amp;" | "&amp;C384)</f>
        <v/>
      </c>
      <c r="H384" s="27" t="str">
        <f aca="false">IF(G384="","",IFERROR(INDEX(Levels!$C$5:$C$94,MATCH(G384,Levels!$G$5:$G$94,0)),"Not this class's skill"))</f>
        <v/>
      </c>
    </row>
    <row r="385" customFormat="false" ht="15" hidden="false" customHeight="false" outlineLevel="0" collapsed="false">
      <c r="A385" s="23"/>
      <c r="B385" s="22"/>
      <c r="C385" s="22"/>
      <c r="D385" s="22"/>
      <c r="E385" s="22"/>
      <c r="F385" s="27" t="str">
        <f aca="false">IF(B385="","",IFERROR(INDEX(Roster!$B$5:$B$154,MATCH(B385,Roster!$A$5:$A$154,0)),"Not on roster"))</f>
        <v/>
      </c>
      <c r="G385" s="28" t="str">
        <f aca="false">IF(OR(B385="",C385=""),"",F385&amp;" | "&amp;C385)</f>
        <v/>
      </c>
      <c r="H385" s="27" t="str">
        <f aca="false">IF(G385="","",IFERROR(INDEX(Levels!$C$5:$C$94,MATCH(G385,Levels!$G$5:$G$94,0)),"Not this class's skill"))</f>
        <v/>
      </c>
    </row>
    <row r="386" customFormat="false" ht="15" hidden="false" customHeight="false" outlineLevel="0" collapsed="false">
      <c r="A386" s="23"/>
      <c r="B386" s="22"/>
      <c r="C386" s="22"/>
      <c r="D386" s="22"/>
      <c r="E386" s="22"/>
      <c r="F386" s="27" t="str">
        <f aca="false">IF(B386="","",IFERROR(INDEX(Roster!$B$5:$B$154,MATCH(B386,Roster!$A$5:$A$154,0)),"Not on roster"))</f>
        <v/>
      </c>
      <c r="G386" s="28" t="str">
        <f aca="false">IF(OR(B386="",C386=""),"",F386&amp;" | "&amp;C386)</f>
        <v/>
      </c>
      <c r="H386" s="27" t="str">
        <f aca="false">IF(G386="","",IFERROR(INDEX(Levels!$C$5:$C$94,MATCH(G386,Levels!$G$5:$G$94,0)),"Not this class's skill"))</f>
        <v/>
      </c>
    </row>
    <row r="387" customFormat="false" ht="15" hidden="false" customHeight="false" outlineLevel="0" collapsed="false">
      <c r="A387" s="23"/>
      <c r="B387" s="22"/>
      <c r="C387" s="22"/>
      <c r="D387" s="22"/>
      <c r="E387" s="22"/>
      <c r="F387" s="27" t="str">
        <f aca="false">IF(B387="","",IFERROR(INDEX(Roster!$B$5:$B$154,MATCH(B387,Roster!$A$5:$A$154,0)),"Not on roster"))</f>
        <v/>
      </c>
      <c r="G387" s="28" t="str">
        <f aca="false">IF(OR(B387="",C387=""),"",F387&amp;" | "&amp;C387)</f>
        <v/>
      </c>
      <c r="H387" s="27" t="str">
        <f aca="false">IF(G387="","",IFERROR(INDEX(Levels!$C$5:$C$94,MATCH(G387,Levels!$G$5:$G$94,0)),"Not this class's skill"))</f>
        <v/>
      </c>
    </row>
    <row r="388" customFormat="false" ht="15" hidden="false" customHeight="false" outlineLevel="0" collapsed="false">
      <c r="A388" s="23"/>
      <c r="B388" s="22"/>
      <c r="C388" s="22"/>
      <c r="D388" s="22"/>
      <c r="E388" s="22"/>
      <c r="F388" s="27" t="str">
        <f aca="false">IF(B388="","",IFERROR(INDEX(Roster!$B$5:$B$154,MATCH(B388,Roster!$A$5:$A$154,0)),"Not on roster"))</f>
        <v/>
      </c>
      <c r="G388" s="28" t="str">
        <f aca="false">IF(OR(B388="",C388=""),"",F388&amp;" | "&amp;C388)</f>
        <v/>
      </c>
      <c r="H388" s="27" t="str">
        <f aca="false">IF(G388="","",IFERROR(INDEX(Levels!$C$5:$C$94,MATCH(G388,Levels!$G$5:$G$94,0)),"Not this class's skill"))</f>
        <v/>
      </c>
    </row>
    <row r="389" customFormat="false" ht="15" hidden="false" customHeight="false" outlineLevel="0" collapsed="false">
      <c r="A389" s="23"/>
      <c r="B389" s="22"/>
      <c r="C389" s="22"/>
      <c r="D389" s="22"/>
      <c r="E389" s="22"/>
      <c r="F389" s="27" t="str">
        <f aca="false">IF(B389="","",IFERROR(INDEX(Roster!$B$5:$B$154,MATCH(B389,Roster!$A$5:$A$154,0)),"Not on roster"))</f>
        <v/>
      </c>
      <c r="G389" s="28" t="str">
        <f aca="false">IF(OR(B389="",C389=""),"",F389&amp;" | "&amp;C389)</f>
        <v/>
      </c>
      <c r="H389" s="27" t="str">
        <f aca="false">IF(G389="","",IFERROR(INDEX(Levels!$C$5:$C$94,MATCH(G389,Levels!$G$5:$G$94,0)),"Not this class's skill"))</f>
        <v/>
      </c>
    </row>
    <row r="390" customFormat="false" ht="15" hidden="false" customHeight="false" outlineLevel="0" collapsed="false">
      <c r="A390" s="23"/>
      <c r="B390" s="22"/>
      <c r="C390" s="22"/>
      <c r="D390" s="22"/>
      <c r="E390" s="22"/>
      <c r="F390" s="27" t="str">
        <f aca="false">IF(B390="","",IFERROR(INDEX(Roster!$B$5:$B$154,MATCH(B390,Roster!$A$5:$A$154,0)),"Not on roster"))</f>
        <v/>
      </c>
      <c r="G390" s="28" t="str">
        <f aca="false">IF(OR(B390="",C390=""),"",F390&amp;" | "&amp;C390)</f>
        <v/>
      </c>
      <c r="H390" s="27" t="str">
        <f aca="false">IF(G390="","",IFERROR(INDEX(Levels!$C$5:$C$94,MATCH(G390,Levels!$G$5:$G$94,0)),"Not this class's skill"))</f>
        <v/>
      </c>
    </row>
    <row r="391" customFormat="false" ht="15" hidden="false" customHeight="false" outlineLevel="0" collapsed="false">
      <c r="A391" s="23"/>
      <c r="B391" s="22"/>
      <c r="C391" s="22"/>
      <c r="D391" s="22"/>
      <c r="E391" s="22"/>
      <c r="F391" s="27" t="str">
        <f aca="false">IF(B391="","",IFERROR(INDEX(Roster!$B$5:$B$154,MATCH(B391,Roster!$A$5:$A$154,0)),"Not on roster"))</f>
        <v/>
      </c>
      <c r="G391" s="28" t="str">
        <f aca="false">IF(OR(B391="",C391=""),"",F391&amp;" | "&amp;C391)</f>
        <v/>
      </c>
      <c r="H391" s="27" t="str">
        <f aca="false">IF(G391="","",IFERROR(INDEX(Levels!$C$5:$C$94,MATCH(G391,Levels!$G$5:$G$94,0)),"Not this class's skill"))</f>
        <v/>
      </c>
    </row>
    <row r="392" customFormat="false" ht="15" hidden="false" customHeight="false" outlineLevel="0" collapsed="false">
      <c r="A392" s="23"/>
      <c r="B392" s="22"/>
      <c r="C392" s="22"/>
      <c r="D392" s="22"/>
      <c r="E392" s="22"/>
      <c r="F392" s="27" t="str">
        <f aca="false">IF(B392="","",IFERROR(INDEX(Roster!$B$5:$B$154,MATCH(B392,Roster!$A$5:$A$154,0)),"Not on roster"))</f>
        <v/>
      </c>
      <c r="G392" s="28" t="str">
        <f aca="false">IF(OR(B392="",C392=""),"",F392&amp;" | "&amp;C392)</f>
        <v/>
      </c>
      <c r="H392" s="27" t="str">
        <f aca="false">IF(G392="","",IFERROR(INDEX(Levels!$C$5:$C$94,MATCH(G392,Levels!$G$5:$G$94,0)),"Not this class's skill"))</f>
        <v/>
      </c>
    </row>
    <row r="393" customFormat="false" ht="15" hidden="false" customHeight="false" outlineLevel="0" collapsed="false">
      <c r="A393" s="23"/>
      <c r="B393" s="22"/>
      <c r="C393" s="22"/>
      <c r="D393" s="22"/>
      <c r="E393" s="22"/>
      <c r="F393" s="27" t="str">
        <f aca="false">IF(B393="","",IFERROR(INDEX(Roster!$B$5:$B$154,MATCH(B393,Roster!$A$5:$A$154,0)),"Not on roster"))</f>
        <v/>
      </c>
      <c r="G393" s="28" t="str">
        <f aca="false">IF(OR(B393="",C393=""),"",F393&amp;" | "&amp;C393)</f>
        <v/>
      </c>
      <c r="H393" s="27" t="str">
        <f aca="false">IF(G393="","",IFERROR(INDEX(Levels!$C$5:$C$94,MATCH(G393,Levels!$G$5:$G$94,0)),"Not this class's skill"))</f>
        <v/>
      </c>
    </row>
    <row r="394" customFormat="false" ht="15" hidden="false" customHeight="false" outlineLevel="0" collapsed="false">
      <c r="A394" s="23"/>
      <c r="B394" s="22"/>
      <c r="C394" s="22"/>
      <c r="D394" s="22"/>
      <c r="E394" s="22"/>
      <c r="F394" s="27" t="str">
        <f aca="false">IF(B394="","",IFERROR(INDEX(Roster!$B$5:$B$154,MATCH(B394,Roster!$A$5:$A$154,0)),"Not on roster"))</f>
        <v/>
      </c>
      <c r="G394" s="28" t="str">
        <f aca="false">IF(OR(B394="",C394=""),"",F394&amp;" | "&amp;C394)</f>
        <v/>
      </c>
      <c r="H394" s="27" t="str">
        <f aca="false">IF(G394="","",IFERROR(INDEX(Levels!$C$5:$C$94,MATCH(G394,Levels!$G$5:$G$94,0)),"Not this class's skill"))</f>
        <v/>
      </c>
    </row>
    <row r="395" customFormat="false" ht="15" hidden="false" customHeight="false" outlineLevel="0" collapsed="false">
      <c r="A395" s="23"/>
      <c r="B395" s="22"/>
      <c r="C395" s="22"/>
      <c r="D395" s="22"/>
      <c r="E395" s="22"/>
      <c r="F395" s="27" t="str">
        <f aca="false">IF(B395="","",IFERROR(INDEX(Roster!$B$5:$B$154,MATCH(B395,Roster!$A$5:$A$154,0)),"Not on roster"))</f>
        <v/>
      </c>
      <c r="G395" s="28" t="str">
        <f aca="false">IF(OR(B395="",C395=""),"",F395&amp;" | "&amp;C395)</f>
        <v/>
      </c>
      <c r="H395" s="27" t="str">
        <f aca="false">IF(G395="","",IFERROR(INDEX(Levels!$C$5:$C$94,MATCH(G395,Levels!$G$5:$G$94,0)),"Not this class's skill"))</f>
        <v/>
      </c>
    </row>
    <row r="396" customFormat="false" ht="15" hidden="false" customHeight="false" outlineLevel="0" collapsed="false">
      <c r="A396" s="23"/>
      <c r="B396" s="22"/>
      <c r="C396" s="22"/>
      <c r="D396" s="22"/>
      <c r="E396" s="22"/>
      <c r="F396" s="27" t="str">
        <f aca="false">IF(B396="","",IFERROR(INDEX(Roster!$B$5:$B$154,MATCH(B396,Roster!$A$5:$A$154,0)),"Not on roster"))</f>
        <v/>
      </c>
      <c r="G396" s="28" t="str">
        <f aca="false">IF(OR(B396="",C396=""),"",F396&amp;" | "&amp;C396)</f>
        <v/>
      </c>
      <c r="H396" s="27" t="str">
        <f aca="false">IF(G396="","",IFERROR(INDEX(Levels!$C$5:$C$94,MATCH(G396,Levels!$G$5:$G$94,0)),"Not this class's skill"))</f>
        <v/>
      </c>
    </row>
    <row r="397" customFormat="false" ht="15" hidden="false" customHeight="false" outlineLevel="0" collapsed="false">
      <c r="A397" s="23"/>
      <c r="B397" s="22"/>
      <c r="C397" s="22"/>
      <c r="D397" s="22"/>
      <c r="E397" s="22"/>
      <c r="F397" s="27" t="str">
        <f aca="false">IF(B397="","",IFERROR(INDEX(Roster!$B$5:$B$154,MATCH(B397,Roster!$A$5:$A$154,0)),"Not on roster"))</f>
        <v/>
      </c>
      <c r="G397" s="28" t="str">
        <f aca="false">IF(OR(B397="",C397=""),"",F397&amp;" | "&amp;C397)</f>
        <v/>
      </c>
      <c r="H397" s="27" t="str">
        <f aca="false">IF(G397="","",IFERROR(INDEX(Levels!$C$5:$C$94,MATCH(G397,Levels!$G$5:$G$94,0)),"Not this class's skill"))</f>
        <v/>
      </c>
    </row>
    <row r="398" customFormat="false" ht="15" hidden="false" customHeight="false" outlineLevel="0" collapsed="false">
      <c r="A398" s="23"/>
      <c r="B398" s="22"/>
      <c r="C398" s="22"/>
      <c r="D398" s="22"/>
      <c r="E398" s="22"/>
      <c r="F398" s="27" t="str">
        <f aca="false">IF(B398="","",IFERROR(INDEX(Roster!$B$5:$B$154,MATCH(B398,Roster!$A$5:$A$154,0)),"Not on roster"))</f>
        <v/>
      </c>
      <c r="G398" s="28" t="str">
        <f aca="false">IF(OR(B398="",C398=""),"",F398&amp;" | "&amp;C398)</f>
        <v/>
      </c>
      <c r="H398" s="27" t="str">
        <f aca="false">IF(G398="","",IFERROR(INDEX(Levels!$C$5:$C$94,MATCH(G398,Levels!$G$5:$G$94,0)),"Not this class's skill"))</f>
        <v/>
      </c>
    </row>
    <row r="399" customFormat="false" ht="15" hidden="false" customHeight="false" outlineLevel="0" collapsed="false">
      <c r="A399" s="23"/>
      <c r="B399" s="22"/>
      <c r="C399" s="22"/>
      <c r="D399" s="22"/>
      <c r="E399" s="22"/>
      <c r="F399" s="27" t="str">
        <f aca="false">IF(B399="","",IFERROR(INDEX(Roster!$B$5:$B$154,MATCH(B399,Roster!$A$5:$A$154,0)),"Not on roster"))</f>
        <v/>
      </c>
      <c r="G399" s="28" t="str">
        <f aca="false">IF(OR(B399="",C399=""),"",F399&amp;" | "&amp;C399)</f>
        <v/>
      </c>
      <c r="H399" s="27" t="str">
        <f aca="false">IF(G399="","",IFERROR(INDEX(Levels!$C$5:$C$94,MATCH(G399,Levels!$G$5:$G$94,0)),"Not this class's skill"))</f>
        <v/>
      </c>
    </row>
    <row r="400" customFormat="false" ht="15" hidden="false" customHeight="false" outlineLevel="0" collapsed="false">
      <c r="A400" s="23"/>
      <c r="B400" s="22"/>
      <c r="C400" s="22"/>
      <c r="D400" s="22"/>
      <c r="E400" s="22"/>
      <c r="F400" s="27" t="str">
        <f aca="false">IF(B400="","",IFERROR(INDEX(Roster!$B$5:$B$154,MATCH(B400,Roster!$A$5:$A$154,0)),"Not on roster"))</f>
        <v/>
      </c>
      <c r="G400" s="28" t="str">
        <f aca="false">IF(OR(B400="",C400=""),"",F400&amp;" | "&amp;C400)</f>
        <v/>
      </c>
      <c r="H400" s="27" t="str">
        <f aca="false">IF(G400="","",IFERROR(INDEX(Levels!$C$5:$C$94,MATCH(G400,Levels!$G$5:$G$94,0)),"Not this class's skill"))</f>
        <v/>
      </c>
    </row>
    <row r="401" customFormat="false" ht="15" hidden="false" customHeight="false" outlineLevel="0" collapsed="false">
      <c r="A401" s="23"/>
      <c r="B401" s="22"/>
      <c r="C401" s="22"/>
      <c r="D401" s="22"/>
      <c r="E401" s="22"/>
      <c r="F401" s="27" t="str">
        <f aca="false">IF(B401="","",IFERROR(INDEX(Roster!$B$5:$B$154,MATCH(B401,Roster!$A$5:$A$154,0)),"Not on roster"))</f>
        <v/>
      </c>
      <c r="G401" s="28" t="str">
        <f aca="false">IF(OR(B401="",C401=""),"",F401&amp;" | "&amp;C401)</f>
        <v/>
      </c>
      <c r="H401" s="27" t="str">
        <f aca="false">IF(G401="","",IFERROR(INDEX(Levels!$C$5:$C$94,MATCH(G401,Levels!$G$5:$G$94,0)),"Not this class's skill"))</f>
        <v/>
      </c>
    </row>
    <row r="402" customFormat="false" ht="15" hidden="false" customHeight="false" outlineLevel="0" collapsed="false">
      <c r="A402" s="23"/>
      <c r="B402" s="22"/>
      <c r="C402" s="22"/>
      <c r="D402" s="22"/>
      <c r="E402" s="22"/>
      <c r="F402" s="27" t="str">
        <f aca="false">IF(B402="","",IFERROR(INDEX(Roster!$B$5:$B$154,MATCH(B402,Roster!$A$5:$A$154,0)),"Not on roster"))</f>
        <v/>
      </c>
      <c r="G402" s="28" t="str">
        <f aca="false">IF(OR(B402="",C402=""),"",F402&amp;" | "&amp;C402)</f>
        <v/>
      </c>
      <c r="H402" s="27" t="str">
        <f aca="false">IF(G402="","",IFERROR(INDEX(Levels!$C$5:$C$94,MATCH(G402,Levels!$G$5:$G$94,0)),"Not this class's skill"))</f>
        <v/>
      </c>
    </row>
    <row r="403" customFormat="false" ht="15" hidden="false" customHeight="false" outlineLevel="0" collapsed="false">
      <c r="A403" s="23"/>
      <c r="B403" s="22"/>
      <c r="C403" s="22"/>
      <c r="D403" s="22"/>
      <c r="E403" s="22"/>
      <c r="F403" s="27" t="str">
        <f aca="false">IF(B403="","",IFERROR(INDEX(Roster!$B$5:$B$154,MATCH(B403,Roster!$A$5:$A$154,0)),"Not on roster"))</f>
        <v/>
      </c>
      <c r="G403" s="28" t="str">
        <f aca="false">IF(OR(B403="",C403=""),"",F403&amp;" | "&amp;C403)</f>
        <v/>
      </c>
      <c r="H403" s="27" t="str">
        <f aca="false">IF(G403="","",IFERROR(INDEX(Levels!$C$5:$C$94,MATCH(G403,Levels!$G$5:$G$94,0)),"Not this class's skill"))</f>
        <v/>
      </c>
    </row>
    <row r="404" customFormat="false" ht="15" hidden="false" customHeight="false" outlineLevel="0" collapsed="false">
      <c r="A404" s="23"/>
      <c r="B404" s="22"/>
      <c r="C404" s="22"/>
      <c r="D404" s="22"/>
      <c r="E404" s="22"/>
      <c r="F404" s="27" t="str">
        <f aca="false">IF(B404="","",IFERROR(INDEX(Roster!$B$5:$B$154,MATCH(B404,Roster!$A$5:$A$154,0)),"Not on roster"))</f>
        <v/>
      </c>
      <c r="G404" s="28" t="str">
        <f aca="false">IF(OR(B404="",C404=""),"",F404&amp;" | "&amp;C404)</f>
        <v/>
      </c>
      <c r="H404" s="27" t="str">
        <f aca="false">IF(G404="","",IFERROR(INDEX(Levels!$C$5:$C$94,MATCH(G404,Levels!$G$5:$G$94,0)),"Not this class's skill"))</f>
        <v/>
      </c>
    </row>
    <row r="405" customFormat="false" ht="15" hidden="false" customHeight="false" outlineLevel="0" collapsed="false">
      <c r="A405" s="23"/>
      <c r="B405" s="22"/>
      <c r="C405" s="22"/>
      <c r="D405" s="22"/>
      <c r="E405" s="22"/>
      <c r="F405" s="27" t="str">
        <f aca="false">IF(B405="","",IFERROR(INDEX(Roster!$B$5:$B$154,MATCH(B405,Roster!$A$5:$A$154,0)),"Not on roster"))</f>
        <v/>
      </c>
      <c r="G405" s="28" t="str">
        <f aca="false">IF(OR(B405="",C405=""),"",F405&amp;" | "&amp;C405)</f>
        <v/>
      </c>
      <c r="H405" s="27" t="str">
        <f aca="false">IF(G405="","",IFERROR(INDEX(Levels!$C$5:$C$94,MATCH(G405,Levels!$G$5:$G$94,0)),"Not this class's skill"))</f>
        <v/>
      </c>
    </row>
    <row r="406" customFormat="false" ht="15" hidden="false" customHeight="false" outlineLevel="0" collapsed="false">
      <c r="A406" s="23"/>
      <c r="B406" s="22"/>
      <c r="C406" s="22"/>
      <c r="D406" s="22"/>
      <c r="E406" s="22"/>
      <c r="F406" s="27" t="str">
        <f aca="false">IF(B406="","",IFERROR(INDEX(Roster!$B$5:$B$154,MATCH(B406,Roster!$A$5:$A$154,0)),"Not on roster"))</f>
        <v/>
      </c>
      <c r="G406" s="28" t="str">
        <f aca="false">IF(OR(B406="",C406=""),"",F406&amp;" | "&amp;C406)</f>
        <v/>
      </c>
      <c r="H406" s="27" t="str">
        <f aca="false">IF(G406="","",IFERROR(INDEX(Levels!$C$5:$C$94,MATCH(G406,Levels!$G$5:$G$94,0)),"Not this class's skill"))</f>
        <v/>
      </c>
    </row>
    <row r="407" customFormat="false" ht="15" hidden="false" customHeight="false" outlineLevel="0" collapsed="false">
      <c r="A407" s="23"/>
      <c r="B407" s="22"/>
      <c r="C407" s="22"/>
      <c r="D407" s="22"/>
      <c r="E407" s="22"/>
      <c r="F407" s="27" t="str">
        <f aca="false">IF(B407="","",IFERROR(INDEX(Roster!$B$5:$B$154,MATCH(B407,Roster!$A$5:$A$154,0)),"Not on roster"))</f>
        <v/>
      </c>
      <c r="G407" s="28" t="str">
        <f aca="false">IF(OR(B407="",C407=""),"",F407&amp;" | "&amp;C407)</f>
        <v/>
      </c>
      <c r="H407" s="27" t="str">
        <f aca="false">IF(G407="","",IFERROR(INDEX(Levels!$C$5:$C$94,MATCH(G407,Levels!$G$5:$G$94,0)),"Not this class's skill"))</f>
        <v/>
      </c>
    </row>
    <row r="408" customFormat="false" ht="15" hidden="false" customHeight="false" outlineLevel="0" collapsed="false">
      <c r="A408" s="23"/>
      <c r="B408" s="22"/>
      <c r="C408" s="22"/>
      <c r="D408" s="22"/>
      <c r="E408" s="22"/>
      <c r="F408" s="27" t="str">
        <f aca="false">IF(B408="","",IFERROR(INDEX(Roster!$B$5:$B$154,MATCH(B408,Roster!$A$5:$A$154,0)),"Not on roster"))</f>
        <v/>
      </c>
      <c r="G408" s="28" t="str">
        <f aca="false">IF(OR(B408="",C408=""),"",F408&amp;" | "&amp;C408)</f>
        <v/>
      </c>
      <c r="H408" s="27" t="str">
        <f aca="false">IF(G408="","",IFERROR(INDEX(Levels!$C$5:$C$94,MATCH(G408,Levels!$G$5:$G$94,0)),"Not this class's skill"))</f>
        <v/>
      </c>
    </row>
    <row r="409" customFormat="false" ht="15" hidden="false" customHeight="false" outlineLevel="0" collapsed="false">
      <c r="A409" s="23"/>
      <c r="B409" s="22"/>
      <c r="C409" s="22"/>
      <c r="D409" s="22"/>
      <c r="E409" s="22"/>
      <c r="F409" s="27" t="str">
        <f aca="false">IF(B409="","",IFERROR(INDEX(Roster!$B$5:$B$154,MATCH(B409,Roster!$A$5:$A$154,0)),"Not on roster"))</f>
        <v/>
      </c>
      <c r="G409" s="28" t="str">
        <f aca="false">IF(OR(B409="",C409=""),"",F409&amp;" | "&amp;C409)</f>
        <v/>
      </c>
      <c r="H409" s="27" t="str">
        <f aca="false">IF(G409="","",IFERROR(INDEX(Levels!$C$5:$C$94,MATCH(G409,Levels!$G$5:$G$94,0)),"Not this class's skill"))</f>
        <v/>
      </c>
    </row>
    <row r="410" customFormat="false" ht="15" hidden="false" customHeight="false" outlineLevel="0" collapsed="false">
      <c r="A410" s="23"/>
      <c r="B410" s="22"/>
      <c r="C410" s="22"/>
      <c r="D410" s="22"/>
      <c r="E410" s="22"/>
      <c r="F410" s="27" t="str">
        <f aca="false">IF(B410="","",IFERROR(INDEX(Roster!$B$5:$B$154,MATCH(B410,Roster!$A$5:$A$154,0)),"Not on roster"))</f>
        <v/>
      </c>
      <c r="G410" s="28" t="str">
        <f aca="false">IF(OR(B410="",C410=""),"",F410&amp;" | "&amp;C410)</f>
        <v/>
      </c>
      <c r="H410" s="27" t="str">
        <f aca="false">IF(G410="","",IFERROR(INDEX(Levels!$C$5:$C$94,MATCH(G410,Levels!$G$5:$G$94,0)),"Not this class's skill"))</f>
        <v/>
      </c>
    </row>
    <row r="411" customFormat="false" ht="15" hidden="false" customHeight="false" outlineLevel="0" collapsed="false">
      <c r="A411" s="23"/>
      <c r="B411" s="22"/>
      <c r="C411" s="22"/>
      <c r="D411" s="22"/>
      <c r="E411" s="22"/>
      <c r="F411" s="27" t="str">
        <f aca="false">IF(B411="","",IFERROR(INDEX(Roster!$B$5:$B$154,MATCH(B411,Roster!$A$5:$A$154,0)),"Not on roster"))</f>
        <v/>
      </c>
      <c r="G411" s="28" t="str">
        <f aca="false">IF(OR(B411="",C411=""),"",F411&amp;" | "&amp;C411)</f>
        <v/>
      </c>
      <c r="H411" s="27" t="str">
        <f aca="false">IF(G411="","",IFERROR(INDEX(Levels!$C$5:$C$94,MATCH(G411,Levels!$G$5:$G$94,0)),"Not this class's skill"))</f>
        <v/>
      </c>
    </row>
    <row r="412" customFormat="false" ht="15" hidden="false" customHeight="false" outlineLevel="0" collapsed="false">
      <c r="A412" s="23"/>
      <c r="B412" s="22"/>
      <c r="C412" s="22"/>
      <c r="D412" s="22"/>
      <c r="E412" s="22"/>
      <c r="F412" s="27" t="str">
        <f aca="false">IF(B412="","",IFERROR(INDEX(Roster!$B$5:$B$154,MATCH(B412,Roster!$A$5:$A$154,0)),"Not on roster"))</f>
        <v/>
      </c>
      <c r="G412" s="28" t="str">
        <f aca="false">IF(OR(B412="",C412=""),"",F412&amp;" | "&amp;C412)</f>
        <v/>
      </c>
      <c r="H412" s="27" t="str">
        <f aca="false">IF(G412="","",IFERROR(INDEX(Levels!$C$5:$C$94,MATCH(G412,Levels!$G$5:$G$94,0)),"Not this class's skill"))</f>
        <v/>
      </c>
    </row>
    <row r="413" customFormat="false" ht="15" hidden="false" customHeight="false" outlineLevel="0" collapsed="false">
      <c r="A413" s="23"/>
      <c r="B413" s="22"/>
      <c r="C413" s="22"/>
      <c r="D413" s="22"/>
      <c r="E413" s="22"/>
      <c r="F413" s="27" t="str">
        <f aca="false">IF(B413="","",IFERROR(INDEX(Roster!$B$5:$B$154,MATCH(B413,Roster!$A$5:$A$154,0)),"Not on roster"))</f>
        <v/>
      </c>
      <c r="G413" s="28" t="str">
        <f aca="false">IF(OR(B413="",C413=""),"",F413&amp;" | "&amp;C413)</f>
        <v/>
      </c>
      <c r="H413" s="27" t="str">
        <f aca="false">IF(G413="","",IFERROR(INDEX(Levels!$C$5:$C$94,MATCH(G413,Levels!$G$5:$G$94,0)),"Not this class's skill"))</f>
        <v/>
      </c>
    </row>
    <row r="414" customFormat="false" ht="15" hidden="false" customHeight="false" outlineLevel="0" collapsed="false">
      <c r="A414" s="23"/>
      <c r="B414" s="22"/>
      <c r="C414" s="22"/>
      <c r="D414" s="22"/>
      <c r="E414" s="22"/>
      <c r="F414" s="27" t="str">
        <f aca="false">IF(B414="","",IFERROR(INDEX(Roster!$B$5:$B$154,MATCH(B414,Roster!$A$5:$A$154,0)),"Not on roster"))</f>
        <v/>
      </c>
      <c r="G414" s="28" t="str">
        <f aca="false">IF(OR(B414="",C414=""),"",F414&amp;" | "&amp;C414)</f>
        <v/>
      </c>
      <c r="H414" s="27" t="str">
        <f aca="false">IF(G414="","",IFERROR(INDEX(Levels!$C$5:$C$94,MATCH(G414,Levels!$G$5:$G$94,0)),"Not this class's skill"))</f>
        <v/>
      </c>
    </row>
    <row r="415" customFormat="false" ht="15" hidden="false" customHeight="false" outlineLevel="0" collapsed="false">
      <c r="A415" s="23"/>
      <c r="B415" s="22"/>
      <c r="C415" s="22"/>
      <c r="D415" s="22"/>
      <c r="E415" s="22"/>
      <c r="F415" s="27" t="str">
        <f aca="false">IF(B415="","",IFERROR(INDEX(Roster!$B$5:$B$154,MATCH(B415,Roster!$A$5:$A$154,0)),"Not on roster"))</f>
        <v/>
      </c>
      <c r="G415" s="28" t="str">
        <f aca="false">IF(OR(B415="",C415=""),"",F415&amp;" | "&amp;C415)</f>
        <v/>
      </c>
      <c r="H415" s="27" t="str">
        <f aca="false">IF(G415="","",IFERROR(INDEX(Levels!$C$5:$C$94,MATCH(G415,Levels!$G$5:$G$94,0)),"Not this class's skill"))</f>
        <v/>
      </c>
    </row>
    <row r="416" customFormat="false" ht="15" hidden="false" customHeight="false" outlineLevel="0" collapsed="false">
      <c r="A416" s="23"/>
      <c r="B416" s="22"/>
      <c r="C416" s="22"/>
      <c r="D416" s="22"/>
      <c r="E416" s="22"/>
      <c r="F416" s="27" t="str">
        <f aca="false">IF(B416="","",IFERROR(INDEX(Roster!$B$5:$B$154,MATCH(B416,Roster!$A$5:$A$154,0)),"Not on roster"))</f>
        <v/>
      </c>
      <c r="G416" s="28" t="str">
        <f aca="false">IF(OR(B416="",C416=""),"",F416&amp;" | "&amp;C416)</f>
        <v/>
      </c>
      <c r="H416" s="27" t="str">
        <f aca="false">IF(G416="","",IFERROR(INDEX(Levels!$C$5:$C$94,MATCH(G416,Levels!$G$5:$G$94,0)),"Not this class's skill"))</f>
        <v/>
      </c>
    </row>
    <row r="417" customFormat="false" ht="15" hidden="false" customHeight="false" outlineLevel="0" collapsed="false">
      <c r="A417" s="23"/>
      <c r="B417" s="22"/>
      <c r="C417" s="22"/>
      <c r="D417" s="22"/>
      <c r="E417" s="22"/>
      <c r="F417" s="27" t="str">
        <f aca="false">IF(B417="","",IFERROR(INDEX(Roster!$B$5:$B$154,MATCH(B417,Roster!$A$5:$A$154,0)),"Not on roster"))</f>
        <v/>
      </c>
      <c r="G417" s="28" t="str">
        <f aca="false">IF(OR(B417="",C417=""),"",F417&amp;" | "&amp;C417)</f>
        <v/>
      </c>
      <c r="H417" s="27" t="str">
        <f aca="false">IF(G417="","",IFERROR(INDEX(Levels!$C$5:$C$94,MATCH(G417,Levels!$G$5:$G$94,0)),"Not this class's skill"))</f>
        <v/>
      </c>
    </row>
    <row r="418" customFormat="false" ht="15" hidden="false" customHeight="false" outlineLevel="0" collapsed="false">
      <c r="A418" s="23"/>
      <c r="B418" s="22"/>
      <c r="C418" s="22"/>
      <c r="D418" s="22"/>
      <c r="E418" s="22"/>
      <c r="F418" s="27" t="str">
        <f aca="false">IF(B418="","",IFERROR(INDEX(Roster!$B$5:$B$154,MATCH(B418,Roster!$A$5:$A$154,0)),"Not on roster"))</f>
        <v/>
      </c>
      <c r="G418" s="28" t="str">
        <f aca="false">IF(OR(B418="",C418=""),"",F418&amp;" | "&amp;C418)</f>
        <v/>
      </c>
      <c r="H418" s="27" t="str">
        <f aca="false">IF(G418="","",IFERROR(INDEX(Levels!$C$5:$C$94,MATCH(G418,Levels!$G$5:$G$94,0)),"Not this class's skill"))</f>
        <v/>
      </c>
    </row>
    <row r="419" customFormat="false" ht="15" hidden="false" customHeight="false" outlineLevel="0" collapsed="false">
      <c r="A419" s="23"/>
      <c r="B419" s="22"/>
      <c r="C419" s="22"/>
      <c r="D419" s="22"/>
      <c r="E419" s="22"/>
      <c r="F419" s="27" t="str">
        <f aca="false">IF(B419="","",IFERROR(INDEX(Roster!$B$5:$B$154,MATCH(B419,Roster!$A$5:$A$154,0)),"Not on roster"))</f>
        <v/>
      </c>
      <c r="G419" s="28" t="str">
        <f aca="false">IF(OR(B419="",C419=""),"",F419&amp;" | "&amp;C419)</f>
        <v/>
      </c>
      <c r="H419" s="27" t="str">
        <f aca="false">IF(G419="","",IFERROR(INDEX(Levels!$C$5:$C$94,MATCH(G419,Levels!$G$5:$G$94,0)),"Not this class's skill"))</f>
        <v/>
      </c>
    </row>
    <row r="420" customFormat="false" ht="15" hidden="false" customHeight="false" outlineLevel="0" collapsed="false">
      <c r="A420" s="23"/>
      <c r="B420" s="22"/>
      <c r="C420" s="22"/>
      <c r="D420" s="22"/>
      <c r="E420" s="22"/>
      <c r="F420" s="27" t="str">
        <f aca="false">IF(B420="","",IFERROR(INDEX(Roster!$B$5:$B$154,MATCH(B420,Roster!$A$5:$A$154,0)),"Not on roster"))</f>
        <v/>
      </c>
      <c r="G420" s="28" t="str">
        <f aca="false">IF(OR(B420="",C420=""),"",F420&amp;" | "&amp;C420)</f>
        <v/>
      </c>
      <c r="H420" s="27" t="str">
        <f aca="false">IF(G420="","",IFERROR(INDEX(Levels!$C$5:$C$94,MATCH(G420,Levels!$G$5:$G$94,0)),"Not this class's skill"))</f>
        <v/>
      </c>
    </row>
    <row r="421" customFormat="false" ht="15" hidden="false" customHeight="false" outlineLevel="0" collapsed="false">
      <c r="A421" s="23"/>
      <c r="B421" s="22"/>
      <c r="C421" s="22"/>
      <c r="D421" s="22"/>
      <c r="E421" s="22"/>
      <c r="F421" s="27" t="str">
        <f aca="false">IF(B421="","",IFERROR(INDEX(Roster!$B$5:$B$154,MATCH(B421,Roster!$A$5:$A$154,0)),"Not on roster"))</f>
        <v/>
      </c>
      <c r="G421" s="28" t="str">
        <f aca="false">IF(OR(B421="",C421=""),"",F421&amp;" | "&amp;C421)</f>
        <v/>
      </c>
      <c r="H421" s="27" t="str">
        <f aca="false">IF(G421="","",IFERROR(INDEX(Levels!$C$5:$C$94,MATCH(G421,Levels!$G$5:$G$94,0)),"Not this class's skill"))</f>
        <v/>
      </c>
    </row>
    <row r="422" customFormat="false" ht="15" hidden="false" customHeight="false" outlineLevel="0" collapsed="false">
      <c r="A422" s="23"/>
      <c r="B422" s="22"/>
      <c r="C422" s="22"/>
      <c r="D422" s="22"/>
      <c r="E422" s="22"/>
      <c r="F422" s="27" t="str">
        <f aca="false">IF(B422="","",IFERROR(INDEX(Roster!$B$5:$B$154,MATCH(B422,Roster!$A$5:$A$154,0)),"Not on roster"))</f>
        <v/>
      </c>
      <c r="G422" s="28" t="str">
        <f aca="false">IF(OR(B422="",C422=""),"",F422&amp;" | "&amp;C422)</f>
        <v/>
      </c>
      <c r="H422" s="27" t="str">
        <f aca="false">IF(G422="","",IFERROR(INDEX(Levels!$C$5:$C$94,MATCH(G422,Levels!$G$5:$G$94,0)),"Not this class's skill"))</f>
        <v/>
      </c>
    </row>
    <row r="423" customFormat="false" ht="15" hidden="false" customHeight="false" outlineLevel="0" collapsed="false">
      <c r="A423" s="23"/>
      <c r="B423" s="22"/>
      <c r="C423" s="22"/>
      <c r="D423" s="22"/>
      <c r="E423" s="22"/>
      <c r="F423" s="27" t="str">
        <f aca="false">IF(B423="","",IFERROR(INDEX(Roster!$B$5:$B$154,MATCH(B423,Roster!$A$5:$A$154,0)),"Not on roster"))</f>
        <v/>
      </c>
      <c r="G423" s="28" t="str">
        <f aca="false">IF(OR(B423="",C423=""),"",F423&amp;" | "&amp;C423)</f>
        <v/>
      </c>
      <c r="H423" s="27" t="str">
        <f aca="false">IF(G423="","",IFERROR(INDEX(Levels!$C$5:$C$94,MATCH(G423,Levels!$G$5:$G$94,0)),"Not this class's skill"))</f>
        <v/>
      </c>
    </row>
    <row r="424" customFormat="false" ht="15" hidden="false" customHeight="false" outlineLevel="0" collapsed="false">
      <c r="A424" s="23"/>
      <c r="B424" s="22"/>
      <c r="C424" s="22"/>
      <c r="D424" s="22"/>
      <c r="E424" s="22"/>
      <c r="F424" s="27" t="str">
        <f aca="false">IF(B424="","",IFERROR(INDEX(Roster!$B$5:$B$154,MATCH(B424,Roster!$A$5:$A$154,0)),"Not on roster"))</f>
        <v/>
      </c>
      <c r="G424" s="28" t="str">
        <f aca="false">IF(OR(B424="",C424=""),"",F424&amp;" | "&amp;C424)</f>
        <v/>
      </c>
      <c r="H424" s="27" t="str">
        <f aca="false">IF(G424="","",IFERROR(INDEX(Levels!$C$5:$C$94,MATCH(G424,Levels!$G$5:$G$94,0)),"Not this class's skill"))</f>
        <v/>
      </c>
    </row>
    <row r="425" customFormat="false" ht="15" hidden="false" customHeight="false" outlineLevel="0" collapsed="false">
      <c r="A425" s="23"/>
      <c r="B425" s="22"/>
      <c r="C425" s="22"/>
      <c r="D425" s="22"/>
      <c r="E425" s="22"/>
      <c r="F425" s="27" t="str">
        <f aca="false">IF(B425="","",IFERROR(INDEX(Roster!$B$5:$B$154,MATCH(B425,Roster!$A$5:$A$154,0)),"Not on roster"))</f>
        <v/>
      </c>
      <c r="G425" s="28" t="str">
        <f aca="false">IF(OR(B425="",C425=""),"",F425&amp;" | "&amp;C425)</f>
        <v/>
      </c>
      <c r="H425" s="27" t="str">
        <f aca="false">IF(G425="","",IFERROR(INDEX(Levels!$C$5:$C$94,MATCH(G425,Levels!$G$5:$G$94,0)),"Not this class's skill"))</f>
        <v/>
      </c>
    </row>
    <row r="426" customFormat="false" ht="15" hidden="false" customHeight="false" outlineLevel="0" collapsed="false">
      <c r="A426" s="23"/>
      <c r="B426" s="22"/>
      <c r="C426" s="22"/>
      <c r="D426" s="22"/>
      <c r="E426" s="22"/>
      <c r="F426" s="27" t="str">
        <f aca="false">IF(B426="","",IFERROR(INDEX(Roster!$B$5:$B$154,MATCH(B426,Roster!$A$5:$A$154,0)),"Not on roster"))</f>
        <v/>
      </c>
      <c r="G426" s="28" t="str">
        <f aca="false">IF(OR(B426="",C426=""),"",F426&amp;" | "&amp;C426)</f>
        <v/>
      </c>
      <c r="H426" s="27" t="str">
        <f aca="false">IF(G426="","",IFERROR(INDEX(Levels!$C$5:$C$94,MATCH(G426,Levels!$G$5:$G$94,0)),"Not this class's skill"))</f>
        <v/>
      </c>
    </row>
    <row r="427" customFormat="false" ht="15" hidden="false" customHeight="false" outlineLevel="0" collapsed="false">
      <c r="A427" s="23"/>
      <c r="B427" s="22"/>
      <c r="C427" s="22"/>
      <c r="D427" s="22"/>
      <c r="E427" s="22"/>
      <c r="F427" s="27" t="str">
        <f aca="false">IF(B427="","",IFERROR(INDEX(Roster!$B$5:$B$154,MATCH(B427,Roster!$A$5:$A$154,0)),"Not on roster"))</f>
        <v/>
      </c>
      <c r="G427" s="28" t="str">
        <f aca="false">IF(OR(B427="",C427=""),"",F427&amp;" | "&amp;C427)</f>
        <v/>
      </c>
      <c r="H427" s="27" t="str">
        <f aca="false">IF(G427="","",IFERROR(INDEX(Levels!$C$5:$C$94,MATCH(G427,Levels!$G$5:$G$94,0)),"Not this class's skill"))</f>
        <v/>
      </c>
    </row>
    <row r="428" customFormat="false" ht="15" hidden="false" customHeight="false" outlineLevel="0" collapsed="false">
      <c r="A428" s="23"/>
      <c r="B428" s="22"/>
      <c r="C428" s="22"/>
      <c r="D428" s="22"/>
      <c r="E428" s="22"/>
      <c r="F428" s="27" t="str">
        <f aca="false">IF(B428="","",IFERROR(INDEX(Roster!$B$5:$B$154,MATCH(B428,Roster!$A$5:$A$154,0)),"Not on roster"))</f>
        <v/>
      </c>
      <c r="G428" s="28" t="str">
        <f aca="false">IF(OR(B428="",C428=""),"",F428&amp;" | "&amp;C428)</f>
        <v/>
      </c>
      <c r="H428" s="27" t="str">
        <f aca="false">IF(G428="","",IFERROR(INDEX(Levels!$C$5:$C$94,MATCH(G428,Levels!$G$5:$G$94,0)),"Not this class's skill"))</f>
        <v/>
      </c>
    </row>
    <row r="429" customFormat="false" ht="15" hidden="false" customHeight="false" outlineLevel="0" collapsed="false">
      <c r="A429" s="23"/>
      <c r="B429" s="22"/>
      <c r="C429" s="22"/>
      <c r="D429" s="22"/>
      <c r="E429" s="22"/>
      <c r="F429" s="27" t="str">
        <f aca="false">IF(B429="","",IFERROR(INDEX(Roster!$B$5:$B$154,MATCH(B429,Roster!$A$5:$A$154,0)),"Not on roster"))</f>
        <v/>
      </c>
      <c r="G429" s="28" t="str">
        <f aca="false">IF(OR(B429="",C429=""),"",F429&amp;" | "&amp;C429)</f>
        <v/>
      </c>
      <c r="H429" s="27" t="str">
        <f aca="false">IF(G429="","",IFERROR(INDEX(Levels!$C$5:$C$94,MATCH(G429,Levels!$G$5:$G$94,0)),"Not this class's skill"))</f>
        <v/>
      </c>
    </row>
    <row r="430" customFormat="false" ht="15" hidden="false" customHeight="false" outlineLevel="0" collapsed="false">
      <c r="A430" s="23"/>
      <c r="B430" s="22"/>
      <c r="C430" s="22"/>
      <c r="D430" s="22"/>
      <c r="E430" s="22"/>
      <c r="F430" s="27" t="str">
        <f aca="false">IF(B430="","",IFERROR(INDEX(Roster!$B$5:$B$154,MATCH(B430,Roster!$A$5:$A$154,0)),"Not on roster"))</f>
        <v/>
      </c>
      <c r="G430" s="28" t="str">
        <f aca="false">IF(OR(B430="",C430=""),"",F430&amp;" | "&amp;C430)</f>
        <v/>
      </c>
      <c r="H430" s="27" t="str">
        <f aca="false">IF(G430="","",IFERROR(INDEX(Levels!$C$5:$C$94,MATCH(G430,Levels!$G$5:$G$94,0)),"Not this class's skill"))</f>
        <v/>
      </c>
    </row>
    <row r="431" customFormat="false" ht="15" hidden="false" customHeight="false" outlineLevel="0" collapsed="false">
      <c r="A431" s="23"/>
      <c r="B431" s="22"/>
      <c r="C431" s="22"/>
      <c r="D431" s="22"/>
      <c r="E431" s="22"/>
      <c r="F431" s="27" t="str">
        <f aca="false">IF(B431="","",IFERROR(INDEX(Roster!$B$5:$B$154,MATCH(B431,Roster!$A$5:$A$154,0)),"Not on roster"))</f>
        <v/>
      </c>
      <c r="G431" s="28" t="str">
        <f aca="false">IF(OR(B431="",C431=""),"",F431&amp;" | "&amp;C431)</f>
        <v/>
      </c>
      <c r="H431" s="27" t="str">
        <f aca="false">IF(G431="","",IFERROR(INDEX(Levels!$C$5:$C$94,MATCH(G431,Levels!$G$5:$G$94,0)),"Not this class's skill"))</f>
        <v/>
      </c>
    </row>
    <row r="432" customFormat="false" ht="15" hidden="false" customHeight="false" outlineLevel="0" collapsed="false">
      <c r="A432" s="23"/>
      <c r="B432" s="22"/>
      <c r="C432" s="22"/>
      <c r="D432" s="22"/>
      <c r="E432" s="22"/>
      <c r="F432" s="27" t="str">
        <f aca="false">IF(B432="","",IFERROR(INDEX(Roster!$B$5:$B$154,MATCH(B432,Roster!$A$5:$A$154,0)),"Not on roster"))</f>
        <v/>
      </c>
      <c r="G432" s="28" t="str">
        <f aca="false">IF(OR(B432="",C432=""),"",F432&amp;" | "&amp;C432)</f>
        <v/>
      </c>
      <c r="H432" s="27" t="str">
        <f aca="false">IF(G432="","",IFERROR(INDEX(Levels!$C$5:$C$94,MATCH(G432,Levels!$G$5:$G$94,0)),"Not this class's skill"))</f>
        <v/>
      </c>
    </row>
    <row r="433" customFormat="false" ht="15" hidden="false" customHeight="false" outlineLevel="0" collapsed="false">
      <c r="A433" s="23"/>
      <c r="B433" s="22"/>
      <c r="C433" s="22"/>
      <c r="D433" s="22"/>
      <c r="E433" s="22"/>
      <c r="F433" s="27" t="str">
        <f aca="false">IF(B433="","",IFERROR(INDEX(Roster!$B$5:$B$154,MATCH(B433,Roster!$A$5:$A$154,0)),"Not on roster"))</f>
        <v/>
      </c>
      <c r="G433" s="28" t="str">
        <f aca="false">IF(OR(B433="",C433=""),"",F433&amp;" | "&amp;C433)</f>
        <v/>
      </c>
      <c r="H433" s="27" t="str">
        <f aca="false">IF(G433="","",IFERROR(INDEX(Levels!$C$5:$C$94,MATCH(G433,Levels!$G$5:$G$94,0)),"Not this class's skill"))</f>
        <v/>
      </c>
    </row>
    <row r="434" customFormat="false" ht="15" hidden="false" customHeight="false" outlineLevel="0" collapsed="false">
      <c r="A434" s="23"/>
      <c r="B434" s="22"/>
      <c r="C434" s="22"/>
      <c r="D434" s="22"/>
      <c r="E434" s="22"/>
      <c r="F434" s="27" t="str">
        <f aca="false">IF(B434="","",IFERROR(INDEX(Roster!$B$5:$B$154,MATCH(B434,Roster!$A$5:$A$154,0)),"Not on roster"))</f>
        <v/>
      </c>
      <c r="G434" s="28" t="str">
        <f aca="false">IF(OR(B434="",C434=""),"",F434&amp;" | "&amp;C434)</f>
        <v/>
      </c>
      <c r="H434" s="27" t="str">
        <f aca="false">IF(G434="","",IFERROR(INDEX(Levels!$C$5:$C$94,MATCH(G434,Levels!$G$5:$G$94,0)),"Not this class's skill"))</f>
        <v/>
      </c>
    </row>
    <row r="435" customFormat="false" ht="15" hidden="false" customHeight="false" outlineLevel="0" collapsed="false">
      <c r="A435" s="23"/>
      <c r="B435" s="22"/>
      <c r="C435" s="22"/>
      <c r="D435" s="22"/>
      <c r="E435" s="22"/>
      <c r="F435" s="27" t="str">
        <f aca="false">IF(B435="","",IFERROR(INDEX(Roster!$B$5:$B$154,MATCH(B435,Roster!$A$5:$A$154,0)),"Not on roster"))</f>
        <v/>
      </c>
      <c r="G435" s="28" t="str">
        <f aca="false">IF(OR(B435="",C435=""),"",F435&amp;" | "&amp;C435)</f>
        <v/>
      </c>
      <c r="H435" s="27" t="str">
        <f aca="false">IF(G435="","",IFERROR(INDEX(Levels!$C$5:$C$94,MATCH(G435,Levels!$G$5:$G$94,0)),"Not this class's skill"))</f>
        <v/>
      </c>
    </row>
    <row r="436" customFormat="false" ht="15" hidden="false" customHeight="false" outlineLevel="0" collapsed="false">
      <c r="A436" s="23"/>
      <c r="B436" s="22"/>
      <c r="C436" s="22"/>
      <c r="D436" s="22"/>
      <c r="E436" s="22"/>
      <c r="F436" s="27" t="str">
        <f aca="false">IF(B436="","",IFERROR(INDEX(Roster!$B$5:$B$154,MATCH(B436,Roster!$A$5:$A$154,0)),"Not on roster"))</f>
        <v/>
      </c>
      <c r="G436" s="28" t="str">
        <f aca="false">IF(OR(B436="",C436=""),"",F436&amp;" | "&amp;C436)</f>
        <v/>
      </c>
      <c r="H436" s="27" t="str">
        <f aca="false">IF(G436="","",IFERROR(INDEX(Levels!$C$5:$C$94,MATCH(G436,Levels!$G$5:$G$94,0)),"Not this class's skill"))</f>
        <v/>
      </c>
    </row>
    <row r="437" customFormat="false" ht="15" hidden="false" customHeight="false" outlineLevel="0" collapsed="false">
      <c r="A437" s="23"/>
      <c r="B437" s="22"/>
      <c r="C437" s="22"/>
      <c r="D437" s="22"/>
      <c r="E437" s="22"/>
      <c r="F437" s="27" t="str">
        <f aca="false">IF(B437="","",IFERROR(INDEX(Roster!$B$5:$B$154,MATCH(B437,Roster!$A$5:$A$154,0)),"Not on roster"))</f>
        <v/>
      </c>
      <c r="G437" s="28" t="str">
        <f aca="false">IF(OR(B437="",C437=""),"",F437&amp;" | "&amp;C437)</f>
        <v/>
      </c>
      <c r="H437" s="27" t="str">
        <f aca="false">IF(G437="","",IFERROR(INDEX(Levels!$C$5:$C$94,MATCH(G437,Levels!$G$5:$G$94,0)),"Not this class's skill"))</f>
        <v/>
      </c>
    </row>
    <row r="438" customFormat="false" ht="15" hidden="false" customHeight="false" outlineLevel="0" collapsed="false">
      <c r="A438" s="23"/>
      <c r="B438" s="22"/>
      <c r="C438" s="22"/>
      <c r="D438" s="22"/>
      <c r="E438" s="22"/>
      <c r="F438" s="27" t="str">
        <f aca="false">IF(B438="","",IFERROR(INDEX(Roster!$B$5:$B$154,MATCH(B438,Roster!$A$5:$A$154,0)),"Not on roster"))</f>
        <v/>
      </c>
      <c r="G438" s="28" t="str">
        <f aca="false">IF(OR(B438="",C438=""),"",F438&amp;" | "&amp;C438)</f>
        <v/>
      </c>
      <c r="H438" s="27" t="str">
        <f aca="false">IF(G438="","",IFERROR(INDEX(Levels!$C$5:$C$94,MATCH(G438,Levels!$G$5:$G$94,0)),"Not this class's skill"))</f>
        <v/>
      </c>
    </row>
    <row r="439" customFormat="false" ht="15" hidden="false" customHeight="false" outlineLevel="0" collapsed="false">
      <c r="A439" s="23"/>
      <c r="B439" s="22"/>
      <c r="C439" s="22"/>
      <c r="D439" s="22"/>
      <c r="E439" s="22"/>
      <c r="F439" s="27" t="str">
        <f aca="false">IF(B439="","",IFERROR(INDEX(Roster!$B$5:$B$154,MATCH(B439,Roster!$A$5:$A$154,0)),"Not on roster"))</f>
        <v/>
      </c>
      <c r="G439" s="28" t="str">
        <f aca="false">IF(OR(B439="",C439=""),"",F439&amp;" | "&amp;C439)</f>
        <v/>
      </c>
      <c r="H439" s="27" t="str">
        <f aca="false">IF(G439="","",IFERROR(INDEX(Levels!$C$5:$C$94,MATCH(G439,Levels!$G$5:$G$94,0)),"Not this class's skill"))</f>
        <v/>
      </c>
    </row>
    <row r="440" customFormat="false" ht="15" hidden="false" customHeight="false" outlineLevel="0" collapsed="false">
      <c r="A440" s="23"/>
      <c r="B440" s="22"/>
      <c r="C440" s="22"/>
      <c r="D440" s="22"/>
      <c r="E440" s="22"/>
      <c r="F440" s="27" t="str">
        <f aca="false">IF(B440="","",IFERROR(INDEX(Roster!$B$5:$B$154,MATCH(B440,Roster!$A$5:$A$154,0)),"Not on roster"))</f>
        <v/>
      </c>
      <c r="G440" s="28" t="str">
        <f aca="false">IF(OR(B440="",C440=""),"",F440&amp;" | "&amp;C440)</f>
        <v/>
      </c>
      <c r="H440" s="27" t="str">
        <f aca="false">IF(G440="","",IFERROR(INDEX(Levels!$C$5:$C$94,MATCH(G440,Levels!$G$5:$G$94,0)),"Not this class's skill"))</f>
        <v/>
      </c>
    </row>
    <row r="441" customFormat="false" ht="15" hidden="false" customHeight="false" outlineLevel="0" collapsed="false">
      <c r="A441" s="23"/>
      <c r="B441" s="22"/>
      <c r="C441" s="22"/>
      <c r="D441" s="22"/>
      <c r="E441" s="22"/>
      <c r="F441" s="27" t="str">
        <f aca="false">IF(B441="","",IFERROR(INDEX(Roster!$B$5:$B$154,MATCH(B441,Roster!$A$5:$A$154,0)),"Not on roster"))</f>
        <v/>
      </c>
      <c r="G441" s="28" t="str">
        <f aca="false">IF(OR(B441="",C441=""),"",F441&amp;" | "&amp;C441)</f>
        <v/>
      </c>
      <c r="H441" s="27" t="str">
        <f aca="false">IF(G441="","",IFERROR(INDEX(Levels!$C$5:$C$94,MATCH(G441,Levels!$G$5:$G$94,0)),"Not this class's skill"))</f>
        <v/>
      </c>
    </row>
    <row r="442" customFormat="false" ht="15" hidden="false" customHeight="false" outlineLevel="0" collapsed="false">
      <c r="A442" s="23"/>
      <c r="B442" s="22"/>
      <c r="C442" s="22"/>
      <c r="D442" s="22"/>
      <c r="E442" s="22"/>
      <c r="F442" s="27" t="str">
        <f aca="false">IF(B442="","",IFERROR(INDEX(Roster!$B$5:$B$154,MATCH(B442,Roster!$A$5:$A$154,0)),"Not on roster"))</f>
        <v/>
      </c>
      <c r="G442" s="28" t="str">
        <f aca="false">IF(OR(B442="",C442=""),"",F442&amp;" | "&amp;C442)</f>
        <v/>
      </c>
      <c r="H442" s="27" t="str">
        <f aca="false">IF(G442="","",IFERROR(INDEX(Levels!$C$5:$C$94,MATCH(G442,Levels!$G$5:$G$94,0)),"Not this class's skill"))</f>
        <v/>
      </c>
    </row>
    <row r="443" customFormat="false" ht="15" hidden="false" customHeight="false" outlineLevel="0" collapsed="false">
      <c r="A443" s="23"/>
      <c r="B443" s="22"/>
      <c r="C443" s="22"/>
      <c r="D443" s="22"/>
      <c r="E443" s="22"/>
      <c r="F443" s="27" t="str">
        <f aca="false">IF(B443="","",IFERROR(INDEX(Roster!$B$5:$B$154,MATCH(B443,Roster!$A$5:$A$154,0)),"Not on roster"))</f>
        <v/>
      </c>
      <c r="G443" s="28" t="str">
        <f aca="false">IF(OR(B443="",C443=""),"",F443&amp;" | "&amp;C443)</f>
        <v/>
      </c>
      <c r="H443" s="27" t="str">
        <f aca="false">IF(G443="","",IFERROR(INDEX(Levels!$C$5:$C$94,MATCH(G443,Levels!$G$5:$G$94,0)),"Not this class's skill"))</f>
        <v/>
      </c>
    </row>
    <row r="444" customFormat="false" ht="15" hidden="false" customHeight="false" outlineLevel="0" collapsed="false">
      <c r="A444" s="23"/>
      <c r="B444" s="22"/>
      <c r="C444" s="22"/>
      <c r="D444" s="22"/>
      <c r="E444" s="22"/>
      <c r="F444" s="27" t="str">
        <f aca="false">IF(B444="","",IFERROR(INDEX(Roster!$B$5:$B$154,MATCH(B444,Roster!$A$5:$A$154,0)),"Not on roster"))</f>
        <v/>
      </c>
      <c r="G444" s="28" t="str">
        <f aca="false">IF(OR(B444="",C444=""),"",F444&amp;" | "&amp;C444)</f>
        <v/>
      </c>
      <c r="H444" s="27" t="str">
        <f aca="false">IF(G444="","",IFERROR(INDEX(Levels!$C$5:$C$94,MATCH(G444,Levels!$G$5:$G$94,0)),"Not this class's skill"))</f>
        <v/>
      </c>
    </row>
    <row r="445" customFormat="false" ht="15" hidden="false" customHeight="false" outlineLevel="0" collapsed="false">
      <c r="A445" s="23"/>
      <c r="B445" s="22"/>
      <c r="C445" s="22"/>
      <c r="D445" s="22"/>
      <c r="E445" s="22"/>
      <c r="F445" s="27" t="str">
        <f aca="false">IF(B445="","",IFERROR(INDEX(Roster!$B$5:$B$154,MATCH(B445,Roster!$A$5:$A$154,0)),"Not on roster"))</f>
        <v/>
      </c>
      <c r="G445" s="28" t="str">
        <f aca="false">IF(OR(B445="",C445=""),"",F445&amp;" | "&amp;C445)</f>
        <v/>
      </c>
      <c r="H445" s="27" t="str">
        <f aca="false">IF(G445="","",IFERROR(INDEX(Levels!$C$5:$C$94,MATCH(G445,Levels!$G$5:$G$94,0)),"Not this class's skill"))</f>
        <v/>
      </c>
    </row>
    <row r="446" customFormat="false" ht="15" hidden="false" customHeight="false" outlineLevel="0" collapsed="false">
      <c r="A446" s="23"/>
      <c r="B446" s="22"/>
      <c r="C446" s="22"/>
      <c r="D446" s="22"/>
      <c r="E446" s="22"/>
      <c r="F446" s="27" t="str">
        <f aca="false">IF(B446="","",IFERROR(INDEX(Roster!$B$5:$B$154,MATCH(B446,Roster!$A$5:$A$154,0)),"Not on roster"))</f>
        <v/>
      </c>
      <c r="G446" s="28" t="str">
        <f aca="false">IF(OR(B446="",C446=""),"",F446&amp;" | "&amp;C446)</f>
        <v/>
      </c>
      <c r="H446" s="27" t="str">
        <f aca="false">IF(G446="","",IFERROR(INDEX(Levels!$C$5:$C$94,MATCH(G446,Levels!$G$5:$G$94,0)),"Not this class's skill"))</f>
        <v/>
      </c>
    </row>
    <row r="447" customFormat="false" ht="15" hidden="false" customHeight="false" outlineLevel="0" collapsed="false">
      <c r="A447" s="23"/>
      <c r="B447" s="22"/>
      <c r="C447" s="22"/>
      <c r="D447" s="22"/>
      <c r="E447" s="22"/>
      <c r="F447" s="27" t="str">
        <f aca="false">IF(B447="","",IFERROR(INDEX(Roster!$B$5:$B$154,MATCH(B447,Roster!$A$5:$A$154,0)),"Not on roster"))</f>
        <v/>
      </c>
      <c r="G447" s="28" t="str">
        <f aca="false">IF(OR(B447="",C447=""),"",F447&amp;" | "&amp;C447)</f>
        <v/>
      </c>
      <c r="H447" s="27" t="str">
        <f aca="false">IF(G447="","",IFERROR(INDEX(Levels!$C$5:$C$94,MATCH(G447,Levels!$G$5:$G$94,0)),"Not this class's skill"))</f>
        <v/>
      </c>
    </row>
    <row r="448" customFormat="false" ht="15" hidden="false" customHeight="false" outlineLevel="0" collapsed="false">
      <c r="A448" s="23"/>
      <c r="B448" s="22"/>
      <c r="C448" s="22"/>
      <c r="D448" s="22"/>
      <c r="E448" s="22"/>
      <c r="F448" s="27" t="str">
        <f aca="false">IF(B448="","",IFERROR(INDEX(Roster!$B$5:$B$154,MATCH(B448,Roster!$A$5:$A$154,0)),"Not on roster"))</f>
        <v/>
      </c>
      <c r="G448" s="28" t="str">
        <f aca="false">IF(OR(B448="",C448=""),"",F448&amp;" | "&amp;C448)</f>
        <v/>
      </c>
      <c r="H448" s="27" t="str">
        <f aca="false">IF(G448="","",IFERROR(INDEX(Levels!$C$5:$C$94,MATCH(G448,Levels!$G$5:$G$94,0)),"Not this class's skill"))</f>
        <v/>
      </c>
    </row>
    <row r="449" customFormat="false" ht="15" hidden="false" customHeight="false" outlineLevel="0" collapsed="false">
      <c r="A449" s="23"/>
      <c r="B449" s="22"/>
      <c r="C449" s="22"/>
      <c r="D449" s="22"/>
      <c r="E449" s="22"/>
      <c r="F449" s="27" t="str">
        <f aca="false">IF(B449="","",IFERROR(INDEX(Roster!$B$5:$B$154,MATCH(B449,Roster!$A$5:$A$154,0)),"Not on roster"))</f>
        <v/>
      </c>
      <c r="G449" s="28" t="str">
        <f aca="false">IF(OR(B449="",C449=""),"",F449&amp;" | "&amp;C449)</f>
        <v/>
      </c>
      <c r="H449" s="27" t="str">
        <f aca="false">IF(G449="","",IFERROR(INDEX(Levels!$C$5:$C$94,MATCH(G449,Levels!$G$5:$G$94,0)),"Not this class's skill"))</f>
        <v/>
      </c>
    </row>
    <row r="450" customFormat="false" ht="15" hidden="false" customHeight="false" outlineLevel="0" collapsed="false">
      <c r="A450" s="23"/>
      <c r="B450" s="22"/>
      <c r="C450" s="22"/>
      <c r="D450" s="22"/>
      <c r="E450" s="22"/>
      <c r="F450" s="27" t="str">
        <f aca="false">IF(B450="","",IFERROR(INDEX(Roster!$B$5:$B$154,MATCH(B450,Roster!$A$5:$A$154,0)),"Not on roster"))</f>
        <v/>
      </c>
      <c r="G450" s="28" t="str">
        <f aca="false">IF(OR(B450="",C450=""),"",F450&amp;" | "&amp;C450)</f>
        <v/>
      </c>
      <c r="H450" s="27" t="str">
        <f aca="false">IF(G450="","",IFERROR(INDEX(Levels!$C$5:$C$94,MATCH(G450,Levels!$G$5:$G$94,0)),"Not this class's skill"))</f>
        <v/>
      </c>
    </row>
    <row r="451" customFormat="false" ht="15" hidden="false" customHeight="false" outlineLevel="0" collapsed="false">
      <c r="A451" s="23"/>
      <c r="B451" s="22"/>
      <c r="C451" s="22"/>
      <c r="D451" s="22"/>
      <c r="E451" s="22"/>
      <c r="F451" s="27" t="str">
        <f aca="false">IF(B451="","",IFERROR(INDEX(Roster!$B$5:$B$154,MATCH(B451,Roster!$A$5:$A$154,0)),"Not on roster"))</f>
        <v/>
      </c>
      <c r="G451" s="28" t="str">
        <f aca="false">IF(OR(B451="",C451=""),"",F451&amp;" | "&amp;C451)</f>
        <v/>
      </c>
      <c r="H451" s="27" t="str">
        <f aca="false">IF(G451="","",IFERROR(INDEX(Levels!$C$5:$C$94,MATCH(G451,Levels!$G$5:$G$94,0)),"Not this class's skill"))</f>
        <v/>
      </c>
    </row>
    <row r="452" customFormat="false" ht="15" hidden="false" customHeight="false" outlineLevel="0" collapsed="false">
      <c r="A452" s="23"/>
      <c r="B452" s="22"/>
      <c r="C452" s="22"/>
      <c r="D452" s="22"/>
      <c r="E452" s="22"/>
      <c r="F452" s="27" t="str">
        <f aca="false">IF(B452="","",IFERROR(INDEX(Roster!$B$5:$B$154,MATCH(B452,Roster!$A$5:$A$154,0)),"Not on roster"))</f>
        <v/>
      </c>
      <c r="G452" s="28" t="str">
        <f aca="false">IF(OR(B452="",C452=""),"",F452&amp;" | "&amp;C452)</f>
        <v/>
      </c>
      <c r="H452" s="27" t="str">
        <f aca="false">IF(G452="","",IFERROR(INDEX(Levels!$C$5:$C$94,MATCH(G452,Levels!$G$5:$G$94,0)),"Not this class's skill"))</f>
        <v/>
      </c>
    </row>
    <row r="453" customFormat="false" ht="15" hidden="false" customHeight="false" outlineLevel="0" collapsed="false">
      <c r="A453" s="23"/>
      <c r="B453" s="22"/>
      <c r="C453" s="22"/>
      <c r="D453" s="22"/>
      <c r="E453" s="22"/>
      <c r="F453" s="27" t="str">
        <f aca="false">IF(B453="","",IFERROR(INDEX(Roster!$B$5:$B$154,MATCH(B453,Roster!$A$5:$A$154,0)),"Not on roster"))</f>
        <v/>
      </c>
      <c r="G453" s="28" t="str">
        <f aca="false">IF(OR(B453="",C453=""),"",F453&amp;" | "&amp;C453)</f>
        <v/>
      </c>
      <c r="H453" s="27" t="str">
        <f aca="false">IF(G453="","",IFERROR(INDEX(Levels!$C$5:$C$94,MATCH(G453,Levels!$G$5:$G$94,0)),"Not this class's skill"))</f>
        <v/>
      </c>
    </row>
    <row r="454" customFormat="false" ht="15" hidden="false" customHeight="false" outlineLevel="0" collapsed="false">
      <c r="A454" s="23"/>
      <c r="B454" s="22"/>
      <c r="C454" s="22"/>
      <c r="D454" s="22"/>
      <c r="E454" s="22"/>
      <c r="F454" s="27" t="str">
        <f aca="false">IF(B454="","",IFERROR(INDEX(Roster!$B$5:$B$154,MATCH(B454,Roster!$A$5:$A$154,0)),"Not on roster"))</f>
        <v/>
      </c>
      <c r="G454" s="28" t="str">
        <f aca="false">IF(OR(B454="",C454=""),"",F454&amp;" | "&amp;C454)</f>
        <v/>
      </c>
      <c r="H454" s="27" t="str">
        <f aca="false">IF(G454="","",IFERROR(INDEX(Levels!$C$5:$C$94,MATCH(G454,Levels!$G$5:$G$94,0)),"Not this class's skill"))</f>
        <v/>
      </c>
    </row>
    <row r="455" customFormat="false" ht="15" hidden="false" customHeight="false" outlineLevel="0" collapsed="false">
      <c r="A455" s="23"/>
      <c r="B455" s="22"/>
      <c r="C455" s="22"/>
      <c r="D455" s="22"/>
      <c r="E455" s="22"/>
      <c r="F455" s="27" t="str">
        <f aca="false">IF(B455="","",IFERROR(INDEX(Roster!$B$5:$B$154,MATCH(B455,Roster!$A$5:$A$154,0)),"Not on roster"))</f>
        <v/>
      </c>
      <c r="G455" s="28" t="str">
        <f aca="false">IF(OR(B455="",C455=""),"",F455&amp;" | "&amp;C455)</f>
        <v/>
      </c>
      <c r="H455" s="27" t="str">
        <f aca="false">IF(G455="","",IFERROR(INDEX(Levels!$C$5:$C$94,MATCH(G455,Levels!$G$5:$G$94,0)),"Not this class's skill"))</f>
        <v/>
      </c>
    </row>
    <row r="456" customFormat="false" ht="15" hidden="false" customHeight="false" outlineLevel="0" collapsed="false">
      <c r="A456" s="23"/>
      <c r="B456" s="22"/>
      <c r="C456" s="22"/>
      <c r="D456" s="22"/>
      <c r="E456" s="22"/>
      <c r="F456" s="27" t="str">
        <f aca="false">IF(B456="","",IFERROR(INDEX(Roster!$B$5:$B$154,MATCH(B456,Roster!$A$5:$A$154,0)),"Not on roster"))</f>
        <v/>
      </c>
      <c r="G456" s="28" t="str">
        <f aca="false">IF(OR(B456="",C456=""),"",F456&amp;" | "&amp;C456)</f>
        <v/>
      </c>
      <c r="H456" s="27" t="str">
        <f aca="false">IF(G456="","",IFERROR(INDEX(Levels!$C$5:$C$94,MATCH(G456,Levels!$G$5:$G$94,0)),"Not this class's skill"))</f>
        <v/>
      </c>
    </row>
    <row r="457" customFormat="false" ht="15" hidden="false" customHeight="false" outlineLevel="0" collapsed="false">
      <c r="A457" s="23"/>
      <c r="B457" s="22"/>
      <c r="C457" s="22"/>
      <c r="D457" s="22"/>
      <c r="E457" s="22"/>
      <c r="F457" s="27" t="str">
        <f aca="false">IF(B457="","",IFERROR(INDEX(Roster!$B$5:$B$154,MATCH(B457,Roster!$A$5:$A$154,0)),"Not on roster"))</f>
        <v/>
      </c>
      <c r="G457" s="28" t="str">
        <f aca="false">IF(OR(B457="",C457=""),"",F457&amp;" | "&amp;C457)</f>
        <v/>
      </c>
      <c r="H457" s="27" t="str">
        <f aca="false">IF(G457="","",IFERROR(INDEX(Levels!$C$5:$C$94,MATCH(G457,Levels!$G$5:$G$94,0)),"Not this class's skill"))</f>
        <v/>
      </c>
    </row>
    <row r="458" customFormat="false" ht="15" hidden="false" customHeight="false" outlineLevel="0" collapsed="false">
      <c r="A458" s="23"/>
      <c r="B458" s="22"/>
      <c r="C458" s="22"/>
      <c r="D458" s="22"/>
      <c r="E458" s="22"/>
      <c r="F458" s="27" t="str">
        <f aca="false">IF(B458="","",IFERROR(INDEX(Roster!$B$5:$B$154,MATCH(B458,Roster!$A$5:$A$154,0)),"Not on roster"))</f>
        <v/>
      </c>
      <c r="G458" s="28" t="str">
        <f aca="false">IF(OR(B458="",C458=""),"",F458&amp;" | "&amp;C458)</f>
        <v/>
      </c>
      <c r="H458" s="27" t="str">
        <f aca="false">IF(G458="","",IFERROR(INDEX(Levels!$C$5:$C$94,MATCH(G458,Levels!$G$5:$G$94,0)),"Not this class's skill"))</f>
        <v/>
      </c>
    </row>
    <row r="459" customFormat="false" ht="15" hidden="false" customHeight="false" outlineLevel="0" collapsed="false">
      <c r="A459" s="23"/>
      <c r="B459" s="22"/>
      <c r="C459" s="22"/>
      <c r="D459" s="22"/>
      <c r="E459" s="22"/>
      <c r="F459" s="27" t="str">
        <f aca="false">IF(B459="","",IFERROR(INDEX(Roster!$B$5:$B$154,MATCH(B459,Roster!$A$5:$A$154,0)),"Not on roster"))</f>
        <v/>
      </c>
      <c r="G459" s="28" t="str">
        <f aca="false">IF(OR(B459="",C459=""),"",F459&amp;" | "&amp;C459)</f>
        <v/>
      </c>
      <c r="H459" s="27" t="str">
        <f aca="false">IF(G459="","",IFERROR(INDEX(Levels!$C$5:$C$94,MATCH(G459,Levels!$G$5:$G$94,0)),"Not this class's skill"))</f>
        <v/>
      </c>
    </row>
    <row r="460" customFormat="false" ht="15" hidden="false" customHeight="false" outlineLevel="0" collapsed="false">
      <c r="A460" s="23"/>
      <c r="B460" s="22"/>
      <c r="C460" s="22"/>
      <c r="D460" s="22"/>
      <c r="E460" s="22"/>
      <c r="F460" s="27" t="str">
        <f aca="false">IF(B460="","",IFERROR(INDEX(Roster!$B$5:$B$154,MATCH(B460,Roster!$A$5:$A$154,0)),"Not on roster"))</f>
        <v/>
      </c>
      <c r="G460" s="28" t="str">
        <f aca="false">IF(OR(B460="",C460=""),"",F460&amp;" | "&amp;C460)</f>
        <v/>
      </c>
      <c r="H460" s="27" t="str">
        <f aca="false">IF(G460="","",IFERROR(INDEX(Levels!$C$5:$C$94,MATCH(G460,Levels!$G$5:$G$94,0)),"Not this class's skill"))</f>
        <v/>
      </c>
    </row>
    <row r="461" customFormat="false" ht="15" hidden="false" customHeight="false" outlineLevel="0" collapsed="false">
      <c r="A461" s="23"/>
      <c r="B461" s="22"/>
      <c r="C461" s="22"/>
      <c r="D461" s="22"/>
      <c r="E461" s="22"/>
      <c r="F461" s="27" t="str">
        <f aca="false">IF(B461="","",IFERROR(INDEX(Roster!$B$5:$B$154,MATCH(B461,Roster!$A$5:$A$154,0)),"Not on roster"))</f>
        <v/>
      </c>
      <c r="G461" s="28" t="str">
        <f aca="false">IF(OR(B461="",C461=""),"",F461&amp;" | "&amp;C461)</f>
        <v/>
      </c>
      <c r="H461" s="27" t="str">
        <f aca="false">IF(G461="","",IFERROR(INDEX(Levels!$C$5:$C$94,MATCH(G461,Levels!$G$5:$G$94,0)),"Not this class's skill"))</f>
        <v/>
      </c>
    </row>
    <row r="462" customFormat="false" ht="15" hidden="false" customHeight="false" outlineLevel="0" collapsed="false">
      <c r="A462" s="23"/>
      <c r="B462" s="22"/>
      <c r="C462" s="22"/>
      <c r="D462" s="22"/>
      <c r="E462" s="22"/>
      <c r="F462" s="27" t="str">
        <f aca="false">IF(B462="","",IFERROR(INDEX(Roster!$B$5:$B$154,MATCH(B462,Roster!$A$5:$A$154,0)),"Not on roster"))</f>
        <v/>
      </c>
      <c r="G462" s="28" t="str">
        <f aca="false">IF(OR(B462="",C462=""),"",F462&amp;" | "&amp;C462)</f>
        <v/>
      </c>
      <c r="H462" s="27" t="str">
        <f aca="false">IF(G462="","",IFERROR(INDEX(Levels!$C$5:$C$94,MATCH(G462,Levels!$G$5:$G$94,0)),"Not this class's skill"))</f>
        <v/>
      </c>
    </row>
    <row r="463" customFormat="false" ht="15" hidden="false" customHeight="false" outlineLevel="0" collapsed="false">
      <c r="A463" s="23"/>
      <c r="B463" s="22"/>
      <c r="C463" s="22"/>
      <c r="D463" s="22"/>
      <c r="E463" s="22"/>
      <c r="F463" s="27" t="str">
        <f aca="false">IF(B463="","",IFERROR(INDEX(Roster!$B$5:$B$154,MATCH(B463,Roster!$A$5:$A$154,0)),"Not on roster"))</f>
        <v/>
      </c>
      <c r="G463" s="28" t="str">
        <f aca="false">IF(OR(B463="",C463=""),"",F463&amp;" | "&amp;C463)</f>
        <v/>
      </c>
      <c r="H463" s="27" t="str">
        <f aca="false">IF(G463="","",IFERROR(INDEX(Levels!$C$5:$C$94,MATCH(G463,Levels!$G$5:$G$94,0)),"Not this class's skill"))</f>
        <v/>
      </c>
    </row>
    <row r="464" customFormat="false" ht="15" hidden="false" customHeight="false" outlineLevel="0" collapsed="false">
      <c r="A464" s="23"/>
      <c r="B464" s="22"/>
      <c r="C464" s="22"/>
      <c r="D464" s="22"/>
      <c r="E464" s="22"/>
      <c r="F464" s="27" t="str">
        <f aca="false">IF(B464="","",IFERROR(INDEX(Roster!$B$5:$B$154,MATCH(B464,Roster!$A$5:$A$154,0)),"Not on roster"))</f>
        <v/>
      </c>
      <c r="G464" s="28" t="str">
        <f aca="false">IF(OR(B464="",C464=""),"",F464&amp;" | "&amp;C464)</f>
        <v/>
      </c>
      <c r="H464" s="27" t="str">
        <f aca="false">IF(G464="","",IFERROR(INDEX(Levels!$C$5:$C$94,MATCH(G464,Levels!$G$5:$G$94,0)),"Not this class's skill"))</f>
        <v/>
      </c>
    </row>
    <row r="465" customFormat="false" ht="15" hidden="false" customHeight="false" outlineLevel="0" collapsed="false">
      <c r="A465" s="23"/>
      <c r="B465" s="22"/>
      <c r="C465" s="22"/>
      <c r="D465" s="22"/>
      <c r="E465" s="22"/>
      <c r="F465" s="27" t="str">
        <f aca="false">IF(B465="","",IFERROR(INDEX(Roster!$B$5:$B$154,MATCH(B465,Roster!$A$5:$A$154,0)),"Not on roster"))</f>
        <v/>
      </c>
      <c r="G465" s="28" t="str">
        <f aca="false">IF(OR(B465="",C465=""),"",F465&amp;" | "&amp;C465)</f>
        <v/>
      </c>
      <c r="H465" s="27" t="str">
        <f aca="false">IF(G465="","",IFERROR(INDEX(Levels!$C$5:$C$94,MATCH(G465,Levels!$G$5:$G$94,0)),"Not this class's skill"))</f>
        <v/>
      </c>
    </row>
    <row r="466" customFormat="false" ht="15" hidden="false" customHeight="false" outlineLevel="0" collapsed="false">
      <c r="A466" s="23"/>
      <c r="B466" s="22"/>
      <c r="C466" s="22"/>
      <c r="D466" s="22"/>
      <c r="E466" s="22"/>
      <c r="F466" s="27" t="str">
        <f aca="false">IF(B466="","",IFERROR(INDEX(Roster!$B$5:$B$154,MATCH(B466,Roster!$A$5:$A$154,0)),"Not on roster"))</f>
        <v/>
      </c>
      <c r="G466" s="28" t="str">
        <f aca="false">IF(OR(B466="",C466=""),"",F466&amp;" | "&amp;C466)</f>
        <v/>
      </c>
      <c r="H466" s="27" t="str">
        <f aca="false">IF(G466="","",IFERROR(INDEX(Levels!$C$5:$C$94,MATCH(G466,Levels!$G$5:$G$94,0)),"Not this class's skill"))</f>
        <v/>
      </c>
    </row>
    <row r="467" customFormat="false" ht="15" hidden="false" customHeight="false" outlineLevel="0" collapsed="false">
      <c r="A467" s="23"/>
      <c r="B467" s="22"/>
      <c r="C467" s="22"/>
      <c r="D467" s="22"/>
      <c r="E467" s="22"/>
      <c r="F467" s="27" t="str">
        <f aca="false">IF(B467="","",IFERROR(INDEX(Roster!$B$5:$B$154,MATCH(B467,Roster!$A$5:$A$154,0)),"Not on roster"))</f>
        <v/>
      </c>
      <c r="G467" s="28" t="str">
        <f aca="false">IF(OR(B467="",C467=""),"",F467&amp;" | "&amp;C467)</f>
        <v/>
      </c>
      <c r="H467" s="27" t="str">
        <f aca="false">IF(G467="","",IFERROR(INDEX(Levels!$C$5:$C$94,MATCH(G467,Levels!$G$5:$G$94,0)),"Not this class's skill"))</f>
        <v/>
      </c>
    </row>
    <row r="468" customFormat="false" ht="15" hidden="false" customHeight="false" outlineLevel="0" collapsed="false">
      <c r="A468" s="23"/>
      <c r="B468" s="22"/>
      <c r="C468" s="22"/>
      <c r="D468" s="22"/>
      <c r="E468" s="22"/>
      <c r="F468" s="27" t="str">
        <f aca="false">IF(B468="","",IFERROR(INDEX(Roster!$B$5:$B$154,MATCH(B468,Roster!$A$5:$A$154,0)),"Not on roster"))</f>
        <v/>
      </c>
      <c r="G468" s="28" t="str">
        <f aca="false">IF(OR(B468="",C468=""),"",F468&amp;" | "&amp;C468)</f>
        <v/>
      </c>
      <c r="H468" s="27" t="str">
        <f aca="false">IF(G468="","",IFERROR(INDEX(Levels!$C$5:$C$94,MATCH(G468,Levels!$G$5:$G$94,0)),"Not this class's skill"))</f>
        <v/>
      </c>
    </row>
    <row r="469" customFormat="false" ht="15" hidden="false" customHeight="false" outlineLevel="0" collapsed="false">
      <c r="A469" s="23"/>
      <c r="B469" s="22"/>
      <c r="C469" s="22"/>
      <c r="D469" s="22"/>
      <c r="E469" s="22"/>
      <c r="F469" s="27" t="str">
        <f aca="false">IF(B469="","",IFERROR(INDEX(Roster!$B$5:$B$154,MATCH(B469,Roster!$A$5:$A$154,0)),"Not on roster"))</f>
        <v/>
      </c>
      <c r="G469" s="28" t="str">
        <f aca="false">IF(OR(B469="",C469=""),"",F469&amp;" | "&amp;C469)</f>
        <v/>
      </c>
      <c r="H469" s="27" t="str">
        <f aca="false">IF(G469="","",IFERROR(INDEX(Levels!$C$5:$C$94,MATCH(G469,Levels!$G$5:$G$94,0)),"Not this class's skill"))</f>
        <v/>
      </c>
    </row>
    <row r="470" customFormat="false" ht="15" hidden="false" customHeight="false" outlineLevel="0" collapsed="false">
      <c r="A470" s="23"/>
      <c r="B470" s="22"/>
      <c r="C470" s="22"/>
      <c r="D470" s="22"/>
      <c r="E470" s="22"/>
      <c r="F470" s="27" t="str">
        <f aca="false">IF(B470="","",IFERROR(INDEX(Roster!$B$5:$B$154,MATCH(B470,Roster!$A$5:$A$154,0)),"Not on roster"))</f>
        <v/>
      </c>
      <c r="G470" s="28" t="str">
        <f aca="false">IF(OR(B470="",C470=""),"",F470&amp;" | "&amp;C470)</f>
        <v/>
      </c>
      <c r="H470" s="27" t="str">
        <f aca="false">IF(G470="","",IFERROR(INDEX(Levels!$C$5:$C$94,MATCH(G470,Levels!$G$5:$G$94,0)),"Not this class's skill"))</f>
        <v/>
      </c>
    </row>
    <row r="471" customFormat="false" ht="15" hidden="false" customHeight="false" outlineLevel="0" collapsed="false">
      <c r="A471" s="23"/>
      <c r="B471" s="22"/>
      <c r="C471" s="22"/>
      <c r="D471" s="22"/>
      <c r="E471" s="22"/>
      <c r="F471" s="27" t="str">
        <f aca="false">IF(B471="","",IFERROR(INDEX(Roster!$B$5:$B$154,MATCH(B471,Roster!$A$5:$A$154,0)),"Not on roster"))</f>
        <v/>
      </c>
      <c r="G471" s="28" t="str">
        <f aca="false">IF(OR(B471="",C471=""),"",F471&amp;" | "&amp;C471)</f>
        <v/>
      </c>
      <c r="H471" s="27" t="str">
        <f aca="false">IF(G471="","",IFERROR(INDEX(Levels!$C$5:$C$94,MATCH(G471,Levels!$G$5:$G$94,0)),"Not this class's skill"))</f>
        <v/>
      </c>
    </row>
    <row r="472" customFormat="false" ht="15" hidden="false" customHeight="false" outlineLevel="0" collapsed="false">
      <c r="A472" s="23"/>
      <c r="B472" s="22"/>
      <c r="C472" s="22"/>
      <c r="D472" s="22"/>
      <c r="E472" s="22"/>
      <c r="F472" s="27" t="str">
        <f aca="false">IF(B472="","",IFERROR(INDEX(Roster!$B$5:$B$154,MATCH(B472,Roster!$A$5:$A$154,0)),"Not on roster"))</f>
        <v/>
      </c>
      <c r="G472" s="28" t="str">
        <f aca="false">IF(OR(B472="",C472=""),"",F472&amp;" | "&amp;C472)</f>
        <v/>
      </c>
      <c r="H472" s="27" t="str">
        <f aca="false">IF(G472="","",IFERROR(INDEX(Levels!$C$5:$C$94,MATCH(G472,Levels!$G$5:$G$94,0)),"Not this class's skill"))</f>
        <v/>
      </c>
    </row>
    <row r="473" customFormat="false" ht="15" hidden="false" customHeight="false" outlineLevel="0" collapsed="false">
      <c r="A473" s="23"/>
      <c r="B473" s="22"/>
      <c r="C473" s="22"/>
      <c r="D473" s="22"/>
      <c r="E473" s="22"/>
      <c r="F473" s="27" t="str">
        <f aca="false">IF(B473="","",IFERROR(INDEX(Roster!$B$5:$B$154,MATCH(B473,Roster!$A$5:$A$154,0)),"Not on roster"))</f>
        <v/>
      </c>
      <c r="G473" s="28" t="str">
        <f aca="false">IF(OR(B473="",C473=""),"",F473&amp;" | "&amp;C473)</f>
        <v/>
      </c>
      <c r="H473" s="27" t="str">
        <f aca="false">IF(G473="","",IFERROR(INDEX(Levels!$C$5:$C$94,MATCH(G473,Levels!$G$5:$G$94,0)),"Not this class's skill"))</f>
        <v/>
      </c>
    </row>
    <row r="474" customFormat="false" ht="15" hidden="false" customHeight="false" outlineLevel="0" collapsed="false">
      <c r="A474" s="23"/>
      <c r="B474" s="22"/>
      <c r="C474" s="22"/>
      <c r="D474" s="22"/>
      <c r="E474" s="22"/>
      <c r="F474" s="27" t="str">
        <f aca="false">IF(B474="","",IFERROR(INDEX(Roster!$B$5:$B$154,MATCH(B474,Roster!$A$5:$A$154,0)),"Not on roster"))</f>
        <v/>
      </c>
      <c r="G474" s="28" t="str">
        <f aca="false">IF(OR(B474="",C474=""),"",F474&amp;" | "&amp;C474)</f>
        <v/>
      </c>
      <c r="H474" s="27" t="str">
        <f aca="false">IF(G474="","",IFERROR(INDEX(Levels!$C$5:$C$94,MATCH(G474,Levels!$G$5:$G$94,0)),"Not this class's skill"))</f>
        <v/>
      </c>
    </row>
    <row r="475" customFormat="false" ht="15" hidden="false" customHeight="false" outlineLevel="0" collapsed="false">
      <c r="A475" s="23"/>
      <c r="B475" s="22"/>
      <c r="C475" s="22"/>
      <c r="D475" s="22"/>
      <c r="E475" s="22"/>
      <c r="F475" s="27" t="str">
        <f aca="false">IF(B475="","",IFERROR(INDEX(Roster!$B$5:$B$154,MATCH(B475,Roster!$A$5:$A$154,0)),"Not on roster"))</f>
        <v/>
      </c>
      <c r="G475" s="28" t="str">
        <f aca="false">IF(OR(B475="",C475=""),"",F475&amp;" | "&amp;C475)</f>
        <v/>
      </c>
      <c r="H475" s="27" t="str">
        <f aca="false">IF(G475="","",IFERROR(INDEX(Levels!$C$5:$C$94,MATCH(G475,Levels!$G$5:$G$94,0)),"Not this class's skill"))</f>
        <v/>
      </c>
    </row>
    <row r="476" customFormat="false" ht="15" hidden="false" customHeight="false" outlineLevel="0" collapsed="false">
      <c r="A476" s="23"/>
      <c r="B476" s="22"/>
      <c r="C476" s="22"/>
      <c r="D476" s="22"/>
      <c r="E476" s="22"/>
      <c r="F476" s="27" t="str">
        <f aca="false">IF(B476="","",IFERROR(INDEX(Roster!$B$5:$B$154,MATCH(B476,Roster!$A$5:$A$154,0)),"Not on roster"))</f>
        <v/>
      </c>
      <c r="G476" s="28" t="str">
        <f aca="false">IF(OR(B476="",C476=""),"",F476&amp;" | "&amp;C476)</f>
        <v/>
      </c>
      <c r="H476" s="27" t="str">
        <f aca="false">IF(G476="","",IFERROR(INDEX(Levels!$C$5:$C$94,MATCH(G476,Levels!$G$5:$G$94,0)),"Not this class's skill"))</f>
        <v/>
      </c>
    </row>
    <row r="477" customFormat="false" ht="15" hidden="false" customHeight="false" outlineLevel="0" collapsed="false">
      <c r="A477" s="23"/>
      <c r="B477" s="22"/>
      <c r="C477" s="22"/>
      <c r="D477" s="22"/>
      <c r="E477" s="22"/>
      <c r="F477" s="27" t="str">
        <f aca="false">IF(B477="","",IFERROR(INDEX(Roster!$B$5:$B$154,MATCH(B477,Roster!$A$5:$A$154,0)),"Not on roster"))</f>
        <v/>
      </c>
      <c r="G477" s="28" t="str">
        <f aca="false">IF(OR(B477="",C477=""),"",F477&amp;" | "&amp;C477)</f>
        <v/>
      </c>
      <c r="H477" s="27" t="str">
        <f aca="false">IF(G477="","",IFERROR(INDEX(Levels!$C$5:$C$94,MATCH(G477,Levels!$G$5:$G$94,0)),"Not this class's skill"))</f>
        <v/>
      </c>
    </row>
    <row r="478" customFormat="false" ht="15" hidden="false" customHeight="false" outlineLevel="0" collapsed="false">
      <c r="A478" s="23"/>
      <c r="B478" s="22"/>
      <c r="C478" s="22"/>
      <c r="D478" s="22"/>
      <c r="E478" s="22"/>
      <c r="F478" s="27" t="str">
        <f aca="false">IF(B478="","",IFERROR(INDEX(Roster!$B$5:$B$154,MATCH(B478,Roster!$A$5:$A$154,0)),"Not on roster"))</f>
        <v/>
      </c>
      <c r="G478" s="28" t="str">
        <f aca="false">IF(OR(B478="",C478=""),"",F478&amp;" | "&amp;C478)</f>
        <v/>
      </c>
      <c r="H478" s="27" t="str">
        <f aca="false">IF(G478="","",IFERROR(INDEX(Levels!$C$5:$C$94,MATCH(G478,Levels!$G$5:$G$94,0)),"Not this class's skill"))</f>
        <v/>
      </c>
    </row>
    <row r="479" customFormat="false" ht="15" hidden="false" customHeight="false" outlineLevel="0" collapsed="false">
      <c r="A479" s="23"/>
      <c r="B479" s="22"/>
      <c r="C479" s="22"/>
      <c r="D479" s="22"/>
      <c r="E479" s="22"/>
      <c r="F479" s="27" t="str">
        <f aca="false">IF(B479="","",IFERROR(INDEX(Roster!$B$5:$B$154,MATCH(B479,Roster!$A$5:$A$154,0)),"Not on roster"))</f>
        <v/>
      </c>
      <c r="G479" s="28" t="str">
        <f aca="false">IF(OR(B479="",C479=""),"",F479&amp;" | "&amp;C479)</f>
        <v/>
      </c>
      <c r="H479" s="27" t="str">
        <f aca="false">IF(G479="","",IFERROR(INDEX(Levels!$C$5:$C$94,MATCH(G479,Levels!$G$5:$G$94,0)),"Not this class's skill"))</f>
        <v/>
      </c>
    </row>
    <row r="480" customFormat="false" ht="15" hidden="false" customHeight="false" outlineLevel="0" collapsed="false">
      <c r="A480" s="23"/>
      <c r="B480" s="22"/>
      <c r="C480" s="22"/>
      <c r="D480" s="22"/>
      <c r="E480" s="22"/>
      <c r="F480" s="27" t="str">
        <f aca="false">IF(B480="","",IFERROR(INDEX(Roster!$B$5:$B$154,MATCH(B480,Roster!$A$5:$A$154,0)),"Not on roster"))</f>
        <v/>
      </c>
      <c r="G480" s="28" t="str">
        <f aca="false">IF(OR(B480="",C480=""),"",F480&amp;" | "&amp;C480)</f>
        <v/>
      </c>
      <c r="H480" s="27" t="str">
        <f aca="false">IF(G480="","",IFERROR(INDEX(Levels!$C$5:$C$94,MATCH(G480,Levels!$G$5:$G$94,0)),"Not this class's skill"))</f>
        <v/>
      </c>
    </row>
    <row r="481" customFormat="false" ht="15" hidden="false" customHeight="false" outlineLevel="0" collapsed="false">
      <c r="A481" s="23"/>
      <c r="B481" s="22"/>
      <c r="C481" s="22"/>
      <c r="D481" s="22"/>
      <c r="E481" s="22"/>
      <c r="F481" s="27" t="str">
        <f aca="false">IF(B481="","",IFERROR(INDEX(Roster!$B$5:$B$154,MATCH(B481,Roster!$A$5:$A$154,0)),"Not on roster"))</f>
        <v/>
      </c>
      <c r="G481" s="28" t="str">
        <f aca="false">IF(OR(B481="",C481=""),"",F481&amp;" | "&amp;C481)</f>
        <v/>
      </c>
      <c r="H481" s="27" t="str">
        <f aca="false">IF(G481="","",IFERROR(INDEX(Levels!$C$5:$C$94,MATCH(G481,Levels!$G$5:$G$94,0)),"Not this class's skill"))</f>
        <v/>
      </c>
    </row>
    <row r="482" customFormat="false" ht="15" hidden="false" customHeight="false" outlineLevel="0" collapsed="false">
      <c r="A482" s="23"/>
      <c r="B482" s="22"/>
      <c r="C482" s="22"/>
      <c r="D482" s="22"/>
      <c r="E482" s="22"/>
      <c r="F482" s="27" t="str">
        <f aca="false">IF(B482="","",IFERROR(INDEX(Roster!$B$5:$B$154,MATCH(B482,Roster!$A$5:$A$154,0)),"Not on roster"))</f>
        <v/>
      </c>
      <c r="G482" s="28" t="str">
        <f aca="false">IF(OR(B482="",C482=""),"",F482&amp;" | "&amp;C482)</f>
        <v/>
      </c>
      <c r="H482" s="27" t="str">
        <f aca="false">IF(G482="","",IFERROR(INDEX(Levels!$C$5:$C$94,MATCH(G482,Levels!$G$5:$G$94,0)),"Not this class's skill"))</f>
        <v/>
      </c>
    </row>
    <row r="483" customFormat="false" ht="15" hidden="false" customHeight="false" outlineLevel="0" collapsed="false">
      <c r="A483" s="23"/>
      <c r="B483" s="22"/>
      <c r="C483" s="22"/>
      <c r="D483" s="22"/>
      <c r="E483" s="22"/>
      <c r="F483" s="27" t="str">
        <f aca="false">IF(B483="","",IFERROR(INDEX(Roster!$B$5:$B$154,MATCH(B483,Roster!$A$5:$A$154,0)),"Not on roster"))</f>
        <v/>
      </c>
      <c r="G483" s="28" t="str">
        <f aca="false">IF(OR(B483="",C483=""),"",F483&amp;" | "&amp;C483)</f>
        <v/>
      </c>
      <c r="H483" s="27" t="str">
        <f aca="false">IF(G483="","",IFERROR(INDEX(Levels!$C$5:$C$94,MATCH(G483,Levels!$G$5:$G$94,0)),"Not this class's skill"))</f>
        <v/>
      </c>
    </row>
    <row r="484" customFormat="false" ht="15" hidden="false" customHeight="false" outlineLevel="0" collapsed="false">
      <c r="A484" s="23"/>
      <c r="B484" s="22"/>
      <c r="C484" s="22"/>
      <c r="D484" s="22"/>
      <c r="E484" s="22"/>
      <c r="F484" s="27" t="str">
        <f aca="false">IF(B484="","",IFERROR(INDEX(Roster!$B$5:$B$154,MATCH(B484,Roster!$A$5:$A$154,0)),"Not on roster"))</f>
        <v/>
      </c>
      <c r="G484" s="28" t="str">
        <f aca="false">IF(OR(B484="",C484=""),"",F484&amp;" | "&amp;C484)</f>
        <v/>
      </c>
      <c r="H484" s="27" t="str">
        <f aca="false">IF(G484="","",IFERROR(INDEX(Levels!$C$5:$C$94,MATCH(G484,Levels!$G$5:$G$94,0)),"Not this class's skill"))</f>
        <v/>
      </c>
    </row>
    <row r="485" customFormat="false" ht="15" hidden="false" customHeight="false" outlineLevel="0" collapsed="false">
      <c r="A485" s="23"/>
      <c r="B485" s="22"/>
      <c r="C485" s="22"/>
      <c r="D485" s="22"/>
      <c r="E485" s="22"/>
      <c r="F485" s="27" t="str">
        <f aca="false">IF(B485="","",IFERROR(INDEX(Roster!$B$5:$B$154,MATCH(B485,Roster!$A$5:$A$154,0)),"Not on roster"))</f>
        <v/>
      </c>
      <c r="G485" s="28" t="str">
        <f aca="false">IF(OR(B485="",C485=""),"",F485&amp;" | "&amp;C485)</f>
        <v/>
      </c>
      <c r="H485" s="27" t="str">
        <f aca="false">IF(G485="","",IFERROR(INDEX(Levels!$C$5:$C$94,MATCH(G485,Levels!$G$5:$G$94,0)),"Not this class's skill"))</f>
        <v/>
      </c>
    </row>
    <row r="486" customFormat="false" ht="15" hidden="false" customHeight="false" outlineLevel="0" collapsed="false">
      <c r="A486" s="23"/>
      <c r="B486" s="22"/>
      <c r="C486" s="22"/>
      <c r="D486" s="22"/>
      <c r="E486" s="22"/>
      <c r="F486" s="27" t="str">
        <f aca="false">IF(B486="","",IFERROR(INDEX(Roster!$B$5:$B$154,MATCH(B486,Roster!$A$5:$A$154,0)),"Not on roster"))</f>
        <v/>
      </c>
      <c r="G486" s="28" t="str">
        <f aca="false">IF(OR(B486="",C486=""),"",F486&amp;" | "&amp;C486)</f>
        <v/>
      </c>
      <c r="H486" s="27" t="str">
        <f aca="false">IF(G486="","",IFERROR(INDEX(Levels!$C$5:$C$94,MATCH(G486,Levels!$G$5:$G$94,0)),"Not this class's skill"))</f>
        <v/>
      </c>
    </row>
    <row r="487" customFormat="false" ht="15" hidden="false" customHeight="false" outlineLevel="0" collapsed="false">
      <c r="A487" s="23"/>
      <c r="B487" s="22"/>
      <c r="C487" s="22"/>
      <c r="D487" s="22"/>
      <c r="E487" s="22"/>
      <c r="F487" s="27" t="str">
        <f aca="false">IF(B487="","",IFERROR(INDEX(Roster!$B$5:$B$154,MATCH(B487,Roster!$A$5:$A$154,0)),"Not on roster"))</f>
        <v/>
      </c>
      <c r="G487" s="28" t="str">
        <f aca="false">IF(OR(B487="",C487=""),"",F487&amp;" | "&amp;C487)</f>
        <v/>
      </c>
      <c r="H487" s="27" t="str">
        <f aca="false">IF(G487="","",IFERROR(INDEX(Levels!$C$5:$C$94,MATCH(G487,Levels!$G$5:$G$94,0)),"Not this class's skill"))</f>
        <v/>
      </c>
    </row>
    <row r="488" customFormat="false" ht="15" hidden="false" customHeight="false" outlineLevel="0" collapsed="false">
      <c r="A488" s="23"/>
      <c r="B488" s="22"/>
      <c r="C488" s="22"/>
      <c r="D488" s="22"/>
      <c r="E488" s="22"/>
      <c r="F488" s="27" t="str">
        <f aca="false">IF(B488="","",IFERROR(INDEX(Roster!$B$5:$B$154,MATCH(B488,Roster!$A$5:$A$154,0)),"Not on roster"))</f>
        <v/>
      </c>
      <c r="G488" s="28" t="str">
        <f aca="false">IF(OR(B488="",C488=""),"",F488&amp;" | "&amp;C488)</f>
        <v/>
      </c>
      <c r="H488" s="27" t="str">
        <f aca="false">IF(G488="","",IFERROR(INDEX(Levels!$C$5:$C$94,MATCH(G488,Levels!$G$5:$G$94,0)),"Not this class's skill"))</f>
        <v/>
      </c>
    </row>
    <row r="489" customFormat="false" ht="15" hidden="false" customHeight="false" outlineLevel="0" collapsed="false">
      <c r="A489" s="23"/>
      <c r="B489" s="22"/>
      <c r="C489" s="22"/>
      <c r="D489" s="22"/>
      <c r="E489" s="22"/>
      <c r="F489" s="27" t="str">
        <f aca="false">IF(B489="","",IFERROR(INDEX(Roster!$B$5:$B$154,MATCH(B489,Roster!$A$5:$A$154,0)),"Not on roster"))</f>
        <v/>
      </c>
      <c r="G489" s="28" t="str">
        <f aca="false">IF(OR(B489="",C489=""),"",F489&amp;" | "&amp;C489)</f>
        <v/>
      </c>
      <c r="H489" s="27" t="str">
        <f aca="false">IF(G489="","",IFERROR(INDEX(Levels!$C$5:$C$94,MATCH(G489,Levels!$G$5:$G$94,0)),"Not this class's skill"))</f>
        <v/>
      </c>
    </row>
    <row r="490" customFormat="false" ht="15" hidden="false" customHeight="false" outlineLevel="0" collapsed="false">
      <c r="A490" s="23"/>
      <c r="B490" s="22"/>
      <c r="C490" s="22"/>
      <c r="D490" s="22"/>
      <c r="E490" s="22"/>
      <c r="F490" s="27" t="str">
        <f aca="false">IF(B490="","",IFERROR(INDEX(Roster!$B$5:$B$154,MATCH(B490,Roster!$A$5:$A$154,0)),"Not on roster"))</f>
        <v/>
      </c>
      <c r="G490" s="28" t="str">
        <f aca="false">IF(OR(B490="",C490=""),"",F490&amp;" | "&amp;C490)</f>
        <v/>
      </c>
      <c r="H490" s="27" t="str">
        <f aca="false">IF(G490="","",IFERROR(INDEX(Levels!$C$5:$C$94,MATCH(G490,Levels!$G$5:$G$94,0)),"Not this class's skill"))</f>
        <v/>
      </c>
    </row>
    <row r="491" customFormat="false" ht="15" hidden="false" customHeight="false" outlineLevel="0" collapsed="false">
      <c r="A491" s="23"/>
      <c r="B491" s="22"/>
      <c r="C491" s="22"/>
      <c r="D491" s="22"/>
      <c r="E491" s="22"/>
      <c r="F491" s="27" t="str">
        <f aca="false">IF(B491="","",IFERROR(INDEX(Roster!$B$5:$B$154,MATCH(B491,Roster!$A$5:$A$154,0)),"Not on roster"))</f>
        <v/>
      </c>
      <c r="G491" s="28" t="str">
        <f aca="false">IF(OR(B491="",C491=""),"",F491&amp;" | "&amp;C491)</f>
        <v/>
      </c>
      <c r="H491" s="27" t="str">
        <f aca="false">IF(G491="","",IFERROR(INDEX(Levels!$C$5:$C$94,MATCH(G491,Levels!$G$5:$G$94,0)),"Not this class's skill"))</f>
        <v/>
      </c>
    </row>
    <row r="492" customFormat="false" ht="15" hidden="false" customHeight="false" outlineLevel="0" collapsed="false">
      <c r="A492" s="23"/>
      <c r="B492" s="22"/>
      <c r="C492" s="22"/>
      <c r="D492" s="22"/>
      <c r="E492" s="22"/>
      <c r="F492" s="27" t="str">
        <f aca="false">IF(B492="","",IFERROR(INDEX(Roster!$B$5:$B$154,MATCH(B492,Roster!$A$5:$A$154,0)),"Not on roster"))</f>
        <v/>
      </c>
      <c r="G492" s="28" t="str">
        <f aca="false">IF(OR(B492="",C492=""),"",F492&amp;" | "&amp;C492)</f>
        <v/>
      </c>
      <c r="H492" s="27" t="str">
        <f aca="false">IF(G492="","",IFERROR(INDEX(Levels!$C$5:$C$94,MATCH(G492,Levels!$G$5:$G$94,0)),"Not this class's skill"))</f>
        <v/>
      </c>
    </row>
    <row r="493" customFormat="false" ht="15" hidden="false" customHeight="false" outlineLevel="0" collapsed="false">
      <c r="A493" s="23"/>
      <c r="B493" s="22"/>
      <c r="C493" s="22"/>
      <c r="D493" s="22"/>
      <c r="E493" s="22"/>
      <c r="F493" s="27" t="str">
        <f aca="false">IF(B493="","",IFERROR(INDEX(Roster!$B$5:$B$154,MATCH(B493,Roster!$A$5:$A$154,0)),"Not on roster"))</f>
        <v/>
      </c>
      <c r="G493" s="28" t="str">
        <f aca="false">IF(OR(B493="",C493=""),"",F493&amp;" | "&amp;C493)</f>
        <v/>
      </c>
      <c r="H493" s="27" t="str">
        <f aca="false">IF(G493="","",IFERROR(INDEX(Levels!$C$5:$C$94,MATCH(G493,Levels!$G$5:$G$94,0)),"Not this class's skill"))</f>
        <v/>
      </c>
    </row>
    <row r="494" customFormat="false" ht="15" hidden="false" customHeight="false" outlineLevel="0" collapsed="false">
      <c r="A494" s="23"/>
      <c r="B494" s="22"/>
      <c r="C494" s="22"/>
      <c r="D494" s="22"/>
      <c r="E494" s="22"/>
      <c r="F494" s="27" t="str">
        <f aca="false">IF(B494="","",IFERROR(INDEX(Roster!$B$5:$B$154,MATCH(B494,Roster!$A$5:$A$154,0)),"Not on roster"))</f>
        <v/>
      </c>
      <c r="G494" s="28" t="str">
        <f aca="false">IF(OR(B494="",C494=""),"",F494&amp;" | "&amp;C494)</f>
        <v/>
      </c>
      <c r="H494" s="27" t="str">
        <f aca="false">IF(G494="","",IFERROR(INDEX(Levels!$C$5:$C$94,MATCH(G494,Levels!$G$5:$G$94,0)),"Not this class's skill"))</f>
        <v/>
      </c>
    </row>
    <row r="495" customFormat="false" ht="15" hidden="false" customHeight="false" outlineLevel="0" collapsed="false">
      <c r="A495" s="23"/>
      <c r="B495" s="22"/>
      <c r="C495" s="22"/>
      <c r="D495" s="22"/>
      <c r="E495" s="22"/>
      <c r="F495" s="27" t="str">
        <f aca="false">IF(B495="","",IFERROR(INDEX(Roster!$B$5:$B$154,MATCH(B495,Roster!$A$5:$A$154,0)),"Not on roster"))</f>
        <v/>
      </c>
      <c r="G495" s="28" t="str">
        <f aca="false">IF(OR(B495="",C495=""),"",F495&amp;" | "&amp;C495)</f>
        <v/>
      </c>
      <c r="H495" s="27" t="str">
        <f aca="false">IF(G495="","",IFERROR(INDEX(Levels!$C$5:$C$94,MATCH(G495,Levels!$G$5:$G$94,0)),"Not this class's skill"))</f>
        <v/>
      </c>
    </row>
    <row r="496" customFormat="false" ht="15" hidden="false" customHeight="false" outlineLevel="0" collapsed="false">
      <c r="A496" s="23"/>
      <c r="B496" s="22"/>
      <c r="C496" s="22"/>
      <c r="D496" s="22"/>
      <c r="E496" s="22"/>
      <c r="F496" s="27" t="str">
        <f aca="false">IF(B496="","",IFERROR(INDEX(Roster!$B$5:$B$154,MATCH(B496,Roster!$A$5:$A$154,0)),"Not on roster"))</f>
        <v/>
      </c>
      <c r="G496" s="28" t="str">
        <f aca="false">IF(OR(B496="",C496=""),"",F496&amp;" | "&amp;C496)</f>
        <v/>
      </c>
      <c r="H496" s="27" t="str">
        <f aca="false">IF(G496="","",IFERROR(INDEX(Levels!$C$5:$C$94,MATCH(G496,Levels!$G$5:$G$94,0)),"Not this class's skill"))</f>
        <v/>
      </c>
    </row>
    <row r="497" customFormat="false" ht="15" hidden="false" customHeight="false" outlineLevel="0" collapsed="false">
      <c r="A497" s="23"/>
      <c r="B497" s="22"/>
      <c r="C497" s="22"/>
      <c r="D497" s="22"/>
      <c r="E497" s="22"/>
      <c r="F497" s="27" t="str">
        <f aca="false">IF(B497="","",IFERROR(INDEX(Roster!$B$5:$B$154,MATCH(B497,Roster!$A$5:$A$154,0)),"Not on roster"))</f>
        <v/>
      </c>
      <c r="G497" s="28" t="str">
        <f aca="false">IF(OR(B497="",C497=""),"",F497&amp;" | "&amp;C497)</f>
        <v/>
      </c>
      <c r="H497" s="27" t="str">
        <f aca="false">IF(G497="","",IFERROR(INDEX(Levels!$C$5:$C$94,MATCH(G497,Levels!$G$5:$G$94,0)),"Not this class's skill"))</f>
        <v/>
      </c>
    </row>
    <row r="498" customFormat="false" ht="15" hidden="false" customHeight="false" outlineLevel="0" collapsed="false">
      <c r="A498" s="23"/>
      <c r="B498" s="22"/>
      <c r="C498" s="22"/>
      <c r="D498" s="22"/>
      <c r="E498" s="22"/>
      <c r="F498" s="27" t="str">
        <f aca="false">IF(B498="","",IFERROR(INDEX(Roster!$B$5:$B$154,MATCH(B498,Roster!$A$5:$A$154,0)),"Not on roster"))</f>
        <v/>
      </c>
      <c r="G498" s="28" t="str">
        <f aca="false">IF(OR(B498="",C498=""),"",F498&amp;" | "&amp;C498)</f>
        <v/>
      </c>
      <c r="H498" s="27" t="str">
        <f aca="false">IF(G498="","",IFERROR(INDEX(Levels!$C$5:$C$94,MATCH(G498,Levels!$G$5:$G$94,0)),"Not this class's skill"))</f>
        <v/>
      </c>
    </row>
    <row r="499" customFormat="false" ht="15" hidden="false" customHeight="false" outlineLevel="0" collapsed="false">
      <c r="A499" s="23"/>
      <c r="B499" s="22"/>
      <c r="C499" s="22"/>
      <c r="D499" s="22"/>
      <c r="E499" s="22"/>
      <c r="F499" s="27" t="str">
        <f aca="false">IF(B499="","",IFERROR(INDEX(Roster!$B$5:$B$154,MATCH(B499,Roster!$A$5:$A$154,0)),"Not on roster"))</f>
        <v/>
      </c>
      <c r="G499" s="28" t="str">
        <f aca="false">IF(OR(B499="",C499=""),"",F499&amp;" | "&amp;C499)</f>
        <v/>
      </c>
      <c r="H499" s="27" t="str">
        <f aca="false">IF(G499="","",IFERROR(INDEX(Levels!$C$5:$C$94,MATCH(G499,Levels!$G$5:$G$94,0)),"Not this class's skill"))</f>
        <v/>
      </c>
    </row>
    <row r="500" customFormat="false" ht="15" hidden="false" customHeight="false" outlineLevel="0" collapsed="false">
      <c r="A500" s="23"/>
      <c r="B500" s="22"/>
      <c r="C500" s="22"/>
      <c r="D500" s="22"/>
      <c r="E500" s="22"/>
      <c r="F500" s="27" t="str">
        <f aca="false">IF(B500="","",IFERROR(INDEX(Roster!$B$5:$B$154,MATCH(B500,Roster!$A$5:$A$154,0)),"Not on roster"))</f>
        <v/>
      </c>
      <c r="G500" s="28" t="str">
        <f aca="false">IF(OR(B500="",C500=""),"",F500&amp;" | "&amp;C500)</f>
        <v/>
      </c>
      <c r="H500" s="27" t="str">
        <f aca="false">IF(G500="","",IFERROR(INDEX(Levels!$C$5:$C$94,MATCH(G500,Levels!$G$5:$G$94,0)),"Not this class's skill"))</f>
        <v/>
      </c>
    </row>
    <row r="501" customFormat="false" ht="15" hidden="false" customHeight="false" outlineLevel="0" collapsed="false">
      <c r="A501" s="23"/>
      <c r="B501" s="22"/>
      <c r="C501" s="22"/>
      <c r="D501" s="22"/>
      <c r="E501" s="22"/>
      <c r="F501" s="27" t="str">
        <f aca="false">IF(B501="","",IFERROR(INDEX(Roster!$B$5:$B$154,MATCH(B501,Roster!$A$5:$A$154,0)),"Not on roster"))</f>
        <v/>
      </c>
      <c r="G501" s="28" t="str">
        <f aca="false">IF(OR(B501="",C501=""),"",F501&amp;" | "&amp;C501)</f>
        <v/>
      </c>
      <c r="H501" s="27" t="str">
        <f aca="false">IF(G501="","",IFERROR(INDEX(Levels!$C$5:$C$94,MATCH(G501,Levels!$G$5:$G$94,0)),"Not this class's skill"))</f>
        <v/>
      </c>
    </row>
    <row r="502" customFormat="false" ht="15" hidden="false" customHeight="false" outlineLevel="0" collapsed="false">
      <c r="A502" s="23"/>
      <c r="B502" s="22"/>
      <c r="C502" s="22"/>
      <c r="D502" s="22"/>
      <c r="E502" s="22"/>
      <c r="F502" s="27" t="str">
        <f aca="false">IF(B502="","",IFERROR(INDEX(Roster!$B$5:$B$154,MATCH(B502,Roster!$A$5:$A$154,0)),"Not on roster"))</f>
        <v/>
      </c>
      <c r="G502" s="28" t="str">
        <f aca="false">IF(OR(B502="",C502=""),"",F502&amp;" | "&amp;C502)</f>
        <v/>
      </c>
      <c r="H502" s="27" t="str">
        <f aca="false">IF(G502="","",IFERROR(INDEX(Levels!$C$5:$C$94,MATCH(G502,Levels!$G$5:$G$94,0)),"Not this class's skill"))</f>
        <v/>
      </c>
    </row>
    <row r="503" customFormat="false" ht="15" hidden="false" customHeight="false" outlineLevel="0" collapsed="false">
      <c r="A503" s="23"/>
      <c r="B503" s="22"/>
      <c r="C503" s="22"/>
      <c r="D503" s="22"/>
      <c r="E503" s="22"/>
      <c r="F503" s="27" t="str">
        <f aca="false">IF(B503="","",IFERROR(INDEX(Roster!$B$5:$B$154,MATCH(B503,Roster!$A$5:$A$154,0)),"Not on roster"))</f>
        <v/>
      </c>
      <c r="G503" s="28" t="str">
        <f aca="false">IF(OR(B503="",C503=""),"",F503&amp;" | "&amp;C503)</f>
        <v/>
      </c>
      <c r="H503" s="27" t="str">
        <f aca="false">IF(G503="","",IFERROR(INDEX(Levels!$C$5:$C$94,MATCH(G503,Levels!$G$5:$G$94,0)),"Not this class's skill"))</f>
        <v/>
      </c>
    </row>
    <row r="504" customFormat="false" ht="15" hidden="false" customHeight="false" outlineLevel="0" collapsed="false">
      <c r="A504" s="23"/>
      <c r="B504" s="22"/>
      <c r="C504" s="22"/>
      <c r="D504" s="22"/>
      <c r="E504" s="22"/>
      <c r="F504" s="27" t="str">
        <f aca="false">IF(B504="","",IFERROR(INDEX(Roster!$B$5:$B$154,MATCH(B504,Roster!$A$5:$A$154,0)),"Not on roster"))</f>
        <v/>
      </c>
      <c r="G504" s="28" t="str">
        <f aca="false">IF(OR(B504="",C504=""),"",F504&amp;" | "&amp;C504)</f>
        <v/>
      </c>
      <c r="H504" s="27" t="str">
        <f aca="false">IF(G504="","",IFERROR(INDEX(Levels!$C$5:$C$94,MATCH(G504,Levels!$G$5:$G$94,0)),"Not this class's skill"))</f>
        <v/>
      </c>
    </row>
    <row r="505" customFormat="false" ht="15" hidden="false" customHeight="false" outlineLevel="0" collapsed="false">
      <c r="A505" s="23"/>
      <c r="B505" s="22"/>
      <c r="C505" s="22"/>
      <c r="D505" s="22"/>
      <c r="E505" s="22"/>
      <c r="F505" s="27" t="str">
        <f aca="false">IF(B505="","",IFERROR(INDEX(Roster!$B$5:$B$154,MATCH(B505,Roster!$A$5:$A$154,0)),"Not on roster"))</f>
        <v/>
      </c>
      <c r="G505" s="28" t="str">
        <f aca="false">IF(OR(B505="",C505=""),"",F505&amp;" | "&amp;C505)</f>
        <v/>
      </c>
      <c r="H505" s="27" t="str">
        <f aca="false">IF(G505="","",IFERROR(INDEX(Levels!$C$5:$C$94,MATCH(G505,Levels!$G$5:$G$94,0)),"Not this class's skill"))</f>
        <v/>
      </c>
    </row>
    <row r="506" customFormat="false" ht="15" hidden="false" customHeight="false" outlineLevel="0" collapsed="false">
      <c r="A506" s="23"/>
      <c r="B506" s="22"/>
      <c r="C506" s="22"/>
      <c r="D506" s="22"/>
      <c r="E506" s="22"/>
      <c r="F506" s="27" t="str">
        <f aca="false">IF(B506="","",IFERROR(INDEX(Roster!$B$5:$B$154,MATCH(B506,Roster!$A$5:$A$154,0)),"Not on roster"))</f>
        <v/>
      </c>
      <c r="G506" s="28" t="str">
        <f aca="false">IF(OR(B506="",C506=""),"",F506&amp;" | "&amp;C506)</f>
        <v/>
      </c>
      <c r="H506" s="27" t="str">
        <f aca="false">IF(G506="","",IFERROR(INDEX(Levels!$C$5:$C$94,MATCH(G506,Levels!$G$5:$G$94,0)),"Not this class's skill"))</f>
        <v/>
      </c>
    </row>
    <row r="507" customFormat="false" ht="15" hidden="false" customHeight="false" outlineLevel="0" collapsed="false">
      <c r="A507" s="23"/>
      <c r="B507" s="22"/>
      <c r="C507" s="22"/>
      <c r="D507" s="22"/>
      <c r="E507" s="22"/>
      <c r="F507" s="27" t="str">
        <f aca="false">IF(B507="","",IFERROR(INDEX(Roster!$B$5:$B$154,MATCH(B507,Roster!$A$5:$A$154,0)),"Not on roster"))</f>
        <v/>
      </c>
      <c r="G507" s="28" t="str">
        <f aca="false">IF(OR(B507="",C507=""),"",F507&amp;" | "&amp;C507)</f>
        <v/>
      </c>
      <c r="H507" s="27" t="str">
        <f aca="false">IF(G507="","",IFERROR(INDEX(Levels!$C$5:$C$94,MATCH(G507,Levels!$G$5:$G$94,0)),"Not this class's skill"))</f>
        <v/>
      </c>
    </row>
    <row r="508" customFormat="false" ht="15" hidden="false" customHeight="false" outlineLevel="0" collapsed="false">
      <c r="A508" s="23"/>
      <c r="B508" s="22"/>
      <c r="C508" s="22"/>
      <c r="D508" s="22"/>
      <c r="E508" s="22"/>
      <c r="F508" s="27" t="str">
        <f aca="false">IF(B508="","",IFERROR(INDEX(Roster!$B$5:$B$154,MATCH(B508,Roster!$A$5:$A$154,0)),"Not on roster"))</f>
        <v/>
      </c>
      <c r="G508" s="28" t="str">
        <f aca="false">IF(OR(B508="",C508=""),"",F508&amp;" | "&amp;C508)</f>
        <v/>
      </c>
      <c r="H508" s="27" t="str">
        <f aca="false">IF(G508="","",IFERROR(INDEX(Levels!$C$5:$C$94,MATCH(G508,Levels!$G$5:$G$94,0)),"Not this class's skill"))</f>
        <v/>
      </c>
    </row>
    <row r="509" customFormat="false" ht="15" hidden="false" customHeight="false" outlineLevel="0" collapsed="false">
      <c r="A509" s="23"/>
      <c r="B509" s="22"/>
      <c r="C509" s="22"/>
      <c r="D509" s="22"/>
      <c r="E509" s="22"/>
      <c r="F509" s="27" t="str">
        <f aca="false">IF(B509="","",IFERROR(INDEX(Roster!$B$5:$B$154,MATCH(B509,Roster!$A$5:$A$154,0)),"Not on roster"))</f>
        <v/>
      </c>
      <c r="G509" s="28" t="str">
        <f aca="false">IF(OR(B509="",C509=""),"",F509&amp;" | "&amp;C509)</f>
        <v/>
      </c>
      <c r="H509" s="27" t="str">
        <f aca="false">IF(G509="","",IFERROR(INDEX(Levels!$C$5:$C$94,MATCH(G509,Levels!$G$5:$G$94,0)),"Not this class's skill"))</f>
        <v/>
      </c>
    </row>
    <row r="510" customFormat="false" ht="15" hidden="false" customHeight="false" outlineLevel="0" collapsed="false">
      <c r="A510" s="23"/>
      <c r="B510" s="22"/>
      <c r="C510" s="22"/>
      <c r="D510" s="22"/>
      <c r="E510" s="22"/>
      <c r="F510" s="27" t="str">
        <f aca="false">IF(B510="","",IFERROR(INDEX(Roster!$B$5:$B$154,MATCH(B510,Roster!$A$5:$A$154,0)),"Not on roster"))</f>
        <v/>
      </c>
      <c r="G510" s="28" t="str">
        <f aca="false">IF(OR(B510="",C510=""),"",F510&amp;" | "&amp;C510)</f>
        <v/>
      </c>
      <c r="H510" s="27" t="str">
        <f aca="false">IF(G510="","",IFERROR(INDEX(Levels!$C$5:$C$94,MATCH(G510,Levels!$G$5:$G$94,0)),"Not this class's skill"))</f>
        <v/>
      </c>
    </row>
    <row r="511" customFormat="false" ht="15" hidden="false" customHeight="false" outlineLevel="0" collapsed="false">
      <c r="A511" s="23"/>
      <c r="B511" s="22"/>
      <c r="C511" s="22"/>
      <c r="D511" s="22"/>
      <c r="E511" s="22"/>
      <c r="F511" s="27" t="str">
        <f aca="false">IF(B511="","",IFERROR(INDEX(Roster!$B$5:$B$154,MATCH(B511,Roster!$A$5:$A$154,0)),"Not on roster"))</f>
        <v/>
      </c>
      <c r="G511" s="28" t="str">
        <f aca="false">IF(OR(B511="",C511=""),"",F511&amp;" | "&amp;C511)</f>
        <v/>
      </c>
      <c r="H511" s="27" t="str">
        <f aca="false">IF(G511="","",IFERROR(INDEX(Levels!$C$5:$C$94,MATCH(G511,Levels!$G$5:$G$94,0)),"Not this class's skill"))</f>
        <v/>
      </c>
    </row>
    <row r="512" customFormat="false" ht="15" hidden="false" customHeight="false" outlineLevel="0" collapsed="false">
      <c r="A512" s="23"/>
      <c r="B512" s="22"/>
      <c r="C512" s="22"/>
      <c r="D512" s="22"/>
      <c r="E512" s="22"/>
      <c r="F512" s="27" t="str">
        <f aca="false">IF(B512="","",IFERROR(INDEX(Roster!$B$5:$B$154,MATCH(B512,Roster!$A$5:$A$154,0)),"Not on roster"))</f>
        <v/>
      </c>
      <c r="G512" s="28" t="str">
        <f aca="false">IF(OR(B512="",C512=""),"",F512&amp;" | "&amp;C512)</f>
        <v/>
      </c>
      <c r="H512" s="27" t="str">
        <f aca="false">IF(G512="","",IFERROR(INDEX(Levels!$C$5:$C$94,MATCH(G512,Levels!$G$5:$G$94,0)),"Not this class's skill"))</f>
        <v/>
      </c>
    </row>
    <row r="513" customFormat="false" ht="15" hidden="false" customHeight="false" outlineLevel="0" collapsed="false">
      <c r="A513" s="23"/>
      <c r="B513" s="22"/>
      <c r="C513" s="22"/>
      <c r="D513" s="22"/>
      <c r="E513" s="22"/>
      <c r="F513" s="27" t="str">
        <f aca="false">IF(B513="","",IFERROR(INDEX(Roster!$B$5:$B$154,MATCH(B513,Roster!$A$5:$A$154,0)),"Not on roster"))</f>
        <v/>
      </c>
      <c r="G513" s="28" t="str">
        <f aca="false">IF(OR(B513="",C513=""),"",F513&amp;" | "&amp;C513)</f>
        <v/>
      </c>
      <c r="H513" s="27" t="str">
        <f aca="false">IF(G513="","",IFERROR(INDEX(Levels!$C$5:$C$94,MATCH(G513,Levels!$G$5:$G$94,0)),"Not this class's skill"))</f>
        <v/>
      </c>
    </row>
    <row r="514" customFormat="false" ht="15" hidden="false" customHeight="false" outlineLevel="0" collapsed="false">
      <c r="A514" s="23"/>
      <c r="B514" s="22"/>
      <c r="C514" s="22"/>
      <c r="D514" s="22"/>
      <c r="E514" s="22"/>
      <c r="F514" s="27" t="str">
        <f aca="false">IF(B514="","",IFERROR(INDEX(Roster!$B$5:$B$154,MATCH(B514,Roster!$A$5:$A$154,0)),"Not on roster"))</f>
        <v/>
      </c>
      <c r="G514" s="28" t="str">
        <f aca="false">IF(OR(B514="",C514=""),"",F514&amp;" | "&amp;C514)</f>
        <v/>
      </c>
      <c r="H514" s="27" t="str">
        <f aca="false">IF(G514="","",IFERROR(INDEX(Levels!$C$5:$C$94,MATCH(G514,Levels!$G$5:$G$94,0)),"Not this class's skill"))</f>
        <v/>
      </c>
    </row>
    <row r="515" customFormat="false" ht="15" hidden="false" customHeight="false" outlineLevel="0" collapsed="false">
      <c r="A515" s="23"/>
      <c r="B515" s="22"/>
      <c r="C515" s="22"/>
      <c r="D515" s="22"/>
      <c r="E515" s="22"/>
      <c r="F515" s="27" t="str">
        <f aca="false">IF(B515="","",IFERROR(INDEX(Roster!$B$5:$B$154,MATCH(B515,Roster!$A$5:$A$154,0)),"Not on roster"))</f>
        <v/>
      </c>
      <c r="G515" s="28" t="str">
        <f aca="false">IF(OR(B515="",C515=""),"",F515&amp;" | "&amp;C515)</f>
        <v/>
      </c>
      <c r="H515" s="27" t="str">
        <f aca="false">IF(G515="","",IFERROR(INDEX(Levels!$C$5:$C$94,MATCH(G515,Levels!$G$5:$G$94,0)),"Not this class's skill"))</f>
        <v/>
      </c>
    </row>
    <row r="516" customFormat="false" ht="15" hidden="false" customHeight="false" outlineLevel="0" collapsed="false">
      <c r="A516" s="23"/>
      <c r="B516" s="22"/>
      <c r="C516" s="22"/>
      <c r="D516" s="22"/>
      <c r="E516" s="22"/>
      <c r="F516" s="27" t="str">
        <f aca="false">IF(B516="","",IFERROR(INDEX(Roster!$B$5:$B$154,MATCH(B516,Roster!$A$5:$A$154,0)),"Not on roster"))</f>
        <v/>
      </c>
      <c r="G516" s="28" t="str">
        <f aca="false">IF(OR(B516="",C516=""),"",F516&amp;" | "&amp;C516)</f>
        <v/>
      </c>
      <c r="H516" s="27" t="str">
        <f aca="false">IF(G516="","",IFERROR(INDEX(Levels!$C$5:$C$94,MATCH(G516,Levels!$G$5:$G$94,0)),"Not this class's skill"))</f>
        <v/>
      </c>
    </row>
    <row r="517" customFormat="false" ht="15" hidden="false" customHeight="false" outlineLevel="0" collapsed="false">
      <c r="A517" s="23"/>
      <c r="B517" s="22"/>
      <c r="C517" s="22"/>
      <c r="D517" s="22"/>
      <c r="E517" s="22"/>
      <c r="F517" s="27" t="str">
        <f aca="false">IF(B517="","",IFERROR(INDEX(Roster!$B$5:$B$154,MATCH(B517,Roster!$A$5:$A$154,0)),"Not on roster"))</f>
        <v/>
      </c>
      <c r="G517" s="28" t="str">
        <f aca="false">IF(OR(B517="",C517=""),"",F517&amp;" | "&amp;C517)</f>
        <v/>
      </c>
      <c r="H517" s="27" t="str">
        <f aca="false">IF(G517="","",IFERROR(INDEX(Levels!$C$5:$C$94,MATCH(G517,Levels!$G$5:$G$94,0)),"Not this class's skill"))</f>
        <v/>
      </c>
    </row>
    <row r="518" customFormat="false" ht="15" hidden="false" customHeight="false" outlineLevel="0" collapsed="false">
      <c r="A518" s="23"/>
      <c r="B518" s="22"/>
      <c r="C518" s="22"/>
      <c r="D518" s="22"/>
      <c r="E518" s="22"/>
      <c r="F518" s="27" t="str">
        <f aca="false">IF(B518="","",IFERROR(INDEX(Roster!$B$5:$B$154,MATCH(B518,Roster!$A$5:$A$154,0)),"Not on roster"))</f>
        <v/>
      </c>
      <c r="G518" s="28" t="str">
        <f aca="false">IF(OR(B518="",C518=""),"",F518&amp;" | "&amp;C518)</f>
        <v/>
      </c>
      <c r="H518" s="27" t="str">
        <f aca="false">IF(G518="","",IFERROR(INDEX(Levels!$C$5:$C$94,MATCH(G518,Levels!$G$5:$G$94,0)),"Not this class's skill"))</f>
        <v/>
      </c>
    </row>
    <row r="519" customFormat="false" ht="15" hidden="false" customHeight="false" outlineLevel="0" collapsed="false">
      <c r="A519" s="23"/>
      <c r="B519" s="22"/>
      <c r="C519" s="22"/>
      <c r="D519" s="22"/>
      <c r="E519" s="22"/>
      <c r="F519" s="27" t="str">
        <f aca="false">IF(B519="","",IFERROR(INDEX(Roster!$B$5:$B$154,MATCH(B519,Roster!$A$5:$A$154,0)),"Not on roster"))</f>
        <v/>
      </c>
      <c r="G519" s="28" t="str">
        <f aca="false">IF(OR(B519="",C519=""),"",F519&amp;" | "&amp;C519)</f>
        <v/>
      </c>
      <c r="H519" s="27" t="str">
        <f aca="false">IF(G519="","",IFERROR(INDEX(Levels!$C$5:$C$94,MATCH(G519,Levels!$G$5:$G$94,0)),"Not this class's skill"))</f>
        <v/>
      </c>
    </row>
    <row r="520" customFormat="false" ht="15" hidden="false" customHeight="false" outlineLevel="0" collapsed="false">
      <c r="A520" s="23"/>
      <c r="B520" s="22"/>
      <c r="C520" s="22"/>
      <c r="D520" s="22"/>
      <c r="E520" s="22"/>
      <c r="F520" s="27" t="str">
        <f aca="false">IF(B520="","",IFERROR(INDEX(Roster!$B$5:$B$154,MATCH(B520,Roster!$A$5:$A$154,0)),"Not on roster"))</f>
        <v/>
      </c>
      <c r="G520" s="28" t="str">
        <f aca="false">IF(OR(B520="",C520=""),"",F520&amp;" | "&amp;C520)</f>
        <v/>
      </c>
      <c r="H520" s="27" t="str">
        <f aca="false">IF(G520="","",IFERROR(INDEX(Levels!$C$5:$C$94,MATCH(G520,Levels!$G$5:$G$94,0)),"Not this class's skill"))</f>
        <v/>
      </c>
    </row>
    <row r="521" customFormat="false" ht="15" hidden="false" customHeight="false" outlineLevel="0" collapsed="false">
      <c r="A521" s="23"/>
      <c r="B521" s="22"/>
      <c r="C521" s="22"/>
      <c r="D521" s="22"/>
      <c r="E521" s="22"/>
      <c r="F521" s="27" t="str">
        <f aca="false">IF(B521="","",IFERROR(INDEX(Roster!$B$5:$B$154,MATCH(B521,Roster!$A$5:$A$154,0)),"Not on roster"))</f>
        <v/>
      </c>
      <c r="G521" s="28" t="str">
        <f aca="false">IF(OR(B521="",C521=""),"",F521&amp;" | "&amp;C521)</f>
        <v/>
      </c>
      <c r="H521" s="27" t="str">
        <f aca="false">IF(G521="","",IFERROR(INDEX(Levels!$C$5:$C$94,MATCH(G521,Levels!$G$5:$G$94,0)),"Not this class's skill"))</f>
        <v/>
      </c>
    </row>
    <row r="522" customFormat="false" ht="15" hidden="false" customHeight="false" outlineLevel="0" collapsed="false">
      <c r="A522" s="23"/>
      <c r="B522" s="22"/>
      <c r="C522" s="22"/>
      <c r="D522" s="22"/>
      <c r="E522" s="22"/>
      <c r="F522" s="27" t="str">
        <f aca="false">IF(B522="","",IFERROR(INDEX(Roster!$B$5:$B$154,MATCH(B522,Roster!$A$5:$A$154,0)),"Not on roster"))</f>
        <v/>
      </c>
      <c r="G522" s="28" t="str">
        <f aca="false">IF(OR(B522="",C522=""),"",F522&amp;" | "&amp;C522)</f>
        <v/>
      </c>
      <c r="H522" s="27" t="str">
        <f aca="false">IF(G522="","",IFERROR(INDEX(Levels!$C$5:$C$94,MATCH(G522,Levels!$G$5:$G$94,0)),"Not this class's skill"))</f>
        <v/>
      </c>
    </row>
    <row r="523" customFormat="false" ht="15" hidden="false" customHeight="false" outlineLevel="0" collapsed="false">
      <c r="A523" s="23"/>
      <c r="B523" s="22"/>
      <c r="C523" s="22"/>
      <c r="D523" s="22"/>
      <c r="E523" s="22"/>
      <c r="F523" s="27" t="str">
        <f aca="false">IF(B523="","",IFERROR(INDEX(Roster!$B$5:$B$154,MATCH(B523,Roster!$A$5:$A$154,0)),"Not on roster"))</f>
        <v/>
      </c>
      <c r="G523" s="28" t="str">
        <f aca="false">IF(OR(B523="",C523=""),"",F523&amp;" | "&amp;C523)</f>
        <v/>
      </c>
      <c r="H523" s="27" t="str">
        <f aca="false">IF(G523="","",IFERROR(INDEX(Levels!$C$5:$C$94,MATCH(G523,Levels!$G$5:$G$94,0)),"Not this class's skill"))</f>
        <v/>
      </c>
    </row>
    <row r="524" customFormat="false" ht="15" hidden="false" customHeight="false" outlineLevel="0" collapsed="false">
      <c r="A524" s="23"/>
      <c r="B524" s="22"/>
      <c r="C524" s="22"/>
      <c r="D524" s="22"/>
      <c r="E524" s="22"/>
      <c r="F524" s="27" t="str">
        <f aca="false">IF(B524="","",IFERROR(INDEX(Roster!$B$5:$B$154,MATCH(B524,Roster!$A$5:$A$154,0)),"Not on roster"))</f>
        <v/>
      </c>
      <c r="G524" s="28" t="str">
        <f aca="false">IF(OR(B524="",C524=""),"",F524&amp;" | "&amp;C524)</f>
        <v/>
      </c>
      <c r="H524" s="27" t="str">
        <f aca="false">IF(G524="","",IFERROR(INDEX(Levels!$C$5:$C$94,MATCH(G524,Levels!$G$5:$G$94,0)),"Not this class's skill"))</f>
        <v/>
      </c>
    </row>
    <row r="525" customFormat="false" ht="15" hidden="false" customHeight="false" outlineLevel="0" collapsed="false">
      <c r="A525" s="23"/>
      <c r="B525" s="22"/>
      <c r="C525" s="22"/>
      <c r="D525" s="22"/>
      <c r="E525" s="22"/>
      <c r="F525" s="27" t="str">
        <f aca="false">IF(B525="","",IFERROR(INDEX(Roster!$B$5:$B$154,MATCH(B525,Roster!$A$5:$A$154,0)),"Not on roster"))</f>
        <v/>
      </c>
      <c r="G525" s="28" t="str">
        <f aca="false">IF(OR(B525="",C525=""),"",F525&amp;" | "&amp;C525)</f>
        <v/>
      </c>
      <c r="H525" s="27" t="str">
        <f aca="false">IF(G525="","",IFERROR(INDEX(Levels!$C$5:$C$94,MATCH(G525,Levels!$G$5:$G$94,0)),"Not this class's skill"))</f>
        <v/>
      </c>
    </row>
    <row r="526" customFormat="false" ht="15" hidden="false" customHeight="false" outlineLevel="0" collapsed="false">
      <c r="A526" s="23"/>
      <c r="B526" s="22"/>
      <c r="C526" s="22"/>
      <c r="D526" s="22"/>
      <c r="E526" s="22"/>
      <c r="F526" s="27" t="str">
        <f aca="false">IF(B526="","",IFERROR(INDEX(Roster!$B$5:$B$154,MATCH(B526,Roster!$A$5:$A$154,0)),"Not on roster"))</f>
        <v/>
      </c>
      <c r="G526" s="28" t="str">
        <f aca="false">IF(OR(B526="",C526=""),"",F526&amp;" | "&amp;C526)</f>
        <v/>
      </c>
      <c r="H526" s="27" t="str">
        <f aca="false">IF(G526="","",IFERROR(INDEX(Levels!$C$5:$C$94,MATCH(G526,Levels!$G$5:$G$94,0)),"Not this class's skill"))</f>
        <v/>
      </c>
    </row>
    <row r="527" customFormat="false" ht="15" hidden="false" customHeight="false" outlineLevel="0" collapsed="false">
      <c r="A527" s="23"/>
      <c r="B527" s="22"/>
      <c r="C527" s="22"/>
      <c r="D527" s="22"/>
      <c r="E527" s="22"/>
      <c r="F527" s="27" t="str">
        <f aca="false">IF(B527="","",IFERROR(INDEX(Roster!$B$5:$B$154,MATCH(B527,Roster!$A$5:$A$154,0)),"Not on roster"))</f>
        <v/>
      </c>
      <c r="G527" s="28" t="str">
        <f aca="false">IF(OR(B527="",C527=""),"",F527&amp;" | "&amp;C527)</f>
        <v/>
      </c>
      <c r="H527" s="27" t="str">
        <f aca="false">IF(G527="","",IFERROR(INDEX(Levels!$C$5:$C$94,MATCH(G527,Levels!$G$5:$G$94,0)),"Not this class's skill"))</f>
        <v/>
      </c>
    </row>
    <row r="528" customFormat="false" ht="15" hidden="false" customHeight="false" outlineLevel="0" collapsed="false">
      <c r="A528" s="23"/>
      <c r="B528" s="22"/>
      <c r="C528" s="22"/>
      <c r="D528" s="22"/>
      <c r="E528" s="22"/>
      <c r="F528" s="27" t="str">
        <f aca="false">IF(B528="","",IFERROR(INDEX(Roster!$B$5:$B$154,MATCH(B528,Roster!$A$5:$A$154,0)),"Not on roster"))</f>
        <v/>
      </c>
      <c r="G528" s="28" t="str">
        <f aca="false">IF(OR(B528="",C528=""),"",F528&amp;" | "&amp;C528)</f>
        <v/>
      </c>
      <c r="H528" s="27" t="str">
        <f aca="false">IF(G528="","",IFERROR(INDEX(Levels!$C$5:$C$94,MATCH(G528,Levels!$G$5:$G$94,0)),"Not this class's skill"))</f>
        <v/>
      </c>
    </row>
    <row r="529" customFormat="false" ht="15" hidden="false" customHeight="false" outlineLevel="0" collapsed="false">
      <c r="A529" s="23"/>
      <c r="B529" s="22"/>
      <c r="C529" s="22"/>
      <c r="D529" s="22"/>
      <c r="E529" s="22"/>
      <c r="F529" s="27" t="str">
        <f aca="false">IF(B529="","",IFERROR(INDEX(Roster!$B$5:$B$154,MATCH(B529,Roster!$A$5:$A$154,0)),"Not on roster"))</f>
        <v/>
      </c>
      <c r="G529" s="28" t="str">
        <f aca="false">IF(OR(B529="",C529=""),"",F529&amp;" | "&amp;C529)</f>
        <v/>
      </c>
      <c r="H529" s="27" t="str">
        <f aca="false">IF(G529="","",IFERROR(INDEX(Levels!$C$5:$C$94,MATCH(G529,Levels!$G$5:$G$94,0)),"Not this class's skill"))</f>
        <v/>
      </c>
    </row>
    <row r="530" customFormat="false" ht="15" hidden="false" customHeight="false" outlineLevel="0" collapsed="false">
      <c r="A530" s="23"/>
      <c r="B530" s="22"/>
      <c r="C530" s="22"/>
      <c r="D530" s="22"/>
      <c r="E530" s="22"/>
      <c r="F530" s="27" t="str">
        <f aca="false">IF(B530="","",IFERROR(INDEX(Roster!$B$5:$B$154,MATCH(B530,Roster!$A$5:$A$154,0)),"Not on roster"))</f>
        <v/>
      </c>
      <c r="G530" s="28" t="str">
        <f aca="false">IF(OR(B530="",C530=""),"",F530&amp;" | "&amp;C530)</f>
        <v/>
      </c>
      <c r="H530" s="27" t="str">
        <f aca="false">IF(G530="","",IFERROR(INDEX(Levels!$C$5:$C$94,MATCH(G530,Levels!$G$5:$G$94,0)),"Not this class's skill"))</f>
        <v/>
      </c>
    </row>
    <row r="531" customFormat="false" ht="15" hidden="false" customHeight="false" outlineLevel="0" collapsed="false">
      <c r="A531" s="23"/>
      <c r="B531" s="22"/>
      <c r="C531" s="22"/>
      <c r="D531" s="22"/>
      <c r="E531" s="22"/>
      <c r="F531" s="27" t="str">
        <f aca="false">IF(B531="","",IFERROR(INDEX(Roster!$B$5:$B$154,MATCH(B531,Roster!$A$5:$A$154,0)),"Not on roster"))</f>
        <v/>
      </c>
      <c r="G531" s="28" t="str">
        <f aca="false">IF(OR(B531="",C531=""),"",F531&amp;" | "&amp;C531)</f>
        <v/>
      </c>
      <c r="H531" s="27" t="str">
        <f aca="false">IF(G531="","",IFERROR(INDEX(Levels!$C$5:$C$94,MATCH(G531,Levels!$G$5:$G$94,0)),"Not this class's skill"))</f>
        <v/>
      </c>
    </row>
    <row r="532" customFormat="false" ht="15" hidden="false" customHeight="false" outlineLevel="0" collapsed="false">
      <c r="A532" s="23"/>
      <c r="B532" s="22"/>
      <c r="C532" s="22"/>
      <c r="D532" s="22"/>
      <c r="E532" s="22"/>
      <c r="F532" s="27" t="str">
        <f aca="false">IF(B532="","",IFERROR(INDEX(Roster!$B$5:$B$154,MATCH(B532,Roster!$A$5:$A$154,0)),"Not on roster"))</f>
        <v/>
      </c>
      <c r="G532" s="28" t="str">
        <f aca="false">IF(OR(B532="",C532=""),"",F532&amp;" | "&amp;C532)</f>
        <v/>
      </c>
      <c r="H532" s="27" t="str">
        <f aca="false">IF(G532="","",IFERROR(INDEX(Levels!$C$5:$C$94,MATCH(G532,Levels!$G$5:$G$94,0)),"Not this class's skill"))</f>
        <v/>
      </c>
    </row>
    <row r="533" customFormat="false" ht="15" hidden="false" customHeight="false" outlineLevel="0" collapsed="false">
      <c r="A533" s="23"/>
      <c r="B533" s="22"/>
      <c r="C533" s="22"/>
      <c r="D533" s="22"/>
      <c r="E533" s="22"/>
      <c r="F533" s="27" t="str">
        <f aca="false">IF(B533="","",IFERROR(INDEX(Roster!$B$5:$B$154,MATCH(B533,Roster!$A$5:$A$154,0)),"Not on roster"))</f>
        <v/>
      </c>
      <c r="G533" s="28" t="str">
        <f aca="false">IF(OR(B533="",C533=""),"",F533&amp;" | "&amp;C533)</f>
        <v/>
      </c>
      <c r="H533" s="27" t="str">
        <f aca="false">IF(G533="","",IFERROR(INDEX(Levels!$C$5:$C$94,MATCH(G533,Levels!$G$5:$G$94,0)),"Not this class's skill"))</f>
        <v/>
      </c>
    </row>
    <row r="534" customFormat="false" ht="15" hidden="false" customHeight="false" outlineLevel="0" collapsed="false">
      <c r="A534" s="23"/>
      <c r="B534" s="22"/>
      <c r="C534" s="22"/>
      <c r="D534" s="22"/>
      <c r="E534" s="22"/>
      <c r="F534" s="27" t="str">
        <f aca="false">IF(B534="","",IFERROR(INDEX(Roster!$B$5:$B$154,MATCH(B534,Roster!$A$5:$A$154,0)),"Not on roster"))</f>
        <v/>
      </c>
      <c r="G534" s="28" t="str">
        <f aca="false">IF(OR(B534="",C534=""),"",F534&amp;" | "&amp;C534)</f>
        <v/>
      </c>
      <c r="H534" s="27" t="str">
        <f aca="false">IF(G534="","",IFERROR(INDEX(Levels!$C$5:$C$94,MATCH(G534,Levels!$G$5:$G$94,0)),"Not this class's skill"))</f>
        <v/>
      </c>
    </row>
    <row r="535" customFormat="false" ht="15" hidden="false" customHeight="false" outlineLevel="0" collapsed="false">
      <c r="A535" s="23"/>
      <c r="B535" s="22"/>
      <c r="C535" s="22"/>
      <c r="D535" s="22"/>
      <c r="E535" s="22"/>
      <c r="F535" s="27" t="str">
        <f aca="false">IF(B535="","",IFERROR(INDEX(Roster!$B$5:$B$154,MATCH(B535,Roster!$A$5:$A$154,0)),"Not on roster"))</f>
        <v/>
      </c>
      <c r="G535" s="28" t="str">
        <f aca="false">IF(OR(B535="",C535=""),"",F535&amp;" | "&amp;C535)</f>
        <v/>
      </c>
      <c r="H535" s="27" t="str">
        <f aca="false">IF(G535="","",IFERROR(INDEX(Levels!$C$5:$C$94,MATCH(G535,Levels!$G$5:$G$94,0)),"Not this class's skill"))</f>
        <v/>
      </c>
    </row>
    <row r="536" customFormat="false" ht="15" hidden="false" customHeight="false" outlineLevel="0" collapsed="false">
      <c r="A536" s="23"/>
      <c r="B536" s="22"/>
      <c r="C536" s="22"/>
      <c r="D536" s="22"/>
      <c r="E536" s="22"/>
      <c r="F536" s="27" t="str">
        <f aca="false">IF(B536="","",IFERROR(INDEX(Roster!$B$5:$B$154,MATCH(B536,Roster!$A$5:$A$154,0)),"Not on roster"))</f>
        <v/>
      </c>
      <c r="G536" s="28" t="str">
        <f aca="false">IF(OR(B536="",C536=""),"",F536&amp;" | "&amp;C536)</f>
        <v/>
      </c>
      <c r="H536" s="27" t="str">
        <f aca="false">IF(G536="","",IFERROR(INDEX(Levels!$C$5:$C$94,MATCH(G536,Levels!$G$5:$G$94,0)),"Not this class's skill"))</f>
        <v/>
      </c>
    </row>
    <row r="537" customFormat="false" ht="15" hidden="false" customHeight="false" outlineLevel="0" collapsed="false">
      <c r="A537" s="23"/>
      <c r="B537" s="22"/>
      <c r="C537" s="22"/>
      <c r="D537" s="22"/>
      <c r="E537" s="22"/>
      <c r="F537" s="27" t="str">
        <f aca="false">IF(B537="","",IFERROR(INDEX(Roster!$B$5:$B$154,MATCH(B537,Roster!$A$5:$A$154,0)),"Not on roster"))</f>
        <v/>
      </c>
      <c r="G537" s="28" t="str">
        <f aca="false">IF(OR(B537="",C537=""),"",F537&amp;" | "&amp;C537)</f>
        <v/>
      </c>
      <c r="H537" s="27" t="str">
        <f aca="false">IF(G537="","",IFERROR(INDEX(Levels!$C$5:$C$94,MATCH(G537,Levels!$G$5:$G$94,0)),"Not this class's skill"))</f>
        <v/>
      </c>
    </row>
    <row r="538" customFormat="false" ht="15" hidden="false" customHeight="false" outlineLevel="0" collapsed="false">
      <c r="A538" s="23"/>
      <c r="B538" s="22"/>
      <c r="C538" s="22"/>
      <c r="D538" s="22"/>
      <c r="E538" s="22"/>
      <c r="F538" s="27" t="str">
        <f aca="false">IF(B538="","",IFERROR(INDEX(Roster!$B$5:$B$154,MATCH(B538,Roster!$A$5:$A$154,0)),"Not on roster"))</f>
        <v/>
      </c>
      <c r="G538" s="28" t="str">
        <f aca="false">IF(OR(B538="",C538=""),"",F538&amp;" | "&amp;C538)</f>
        <v/>
      </c>
      <c r="H538" s="27" t="str">
        <f aca="false">IF(G538="","",IFERROR(INDEX(Levels!$C$5:$C$94,MATCH(G538,Levels!$G$5:$G$94,0)),"Not this class's skill"))</f>
        <v/>
      </c>
    </row>
    <row r="539" customFormat="false" ht="15" hidden="false" customHeight="false" outlineLevel="0" collapsed="false">
      <c r="A539" s="23"/>
      <c r="B539" s="22"/>
      <c r="C539" s="22"/>
      <c r="D539" s="22"/>
      <c r="E539" s="22"/>
      <c r="F539" s="27" t="str">
        <f aca="false">IF(B539="","",IFERROR(INDEX(Roster!$B$5:$B$154,MATCH(B539,Roster!$A$5:$A$154,0)),"Not on roster"))</f>
        <v/>
      </c>
      <c r="G539" s="28" t="str">
        <f aca="false">IF(OR(B539="",C539=""),"",F539&amp;" | "&amp;C539)</f>
        <v/>
      </c>
      <c r="H539" s="27" t="str">
        <f aca="false">IF(G539="","",IFERROR(INDEX(Levels!$C$5:$C$94,MATCH(G539,Levels!$G$5:$G$94,0)),"Not this class's skill"))</f>
        <v/>
      </c>
    </row>
    <row r="540" customFormat="false" ht="15" hidden="false" customHeight="false" outlineLevel="0" collapsed="false">
      <c r="A540" s="23"/>
      <c r="B540" s="22"/>
      <c r="C540" s="22"/>
      <c r="D540" s="22"/>
      <c r="E540" s="22"/>
      <c r="F540" s="27" t="str">
        <f aca="false">IF(B540="","",IFERROR(INDEX(Roster!$B$5:$B$154,MATCH(B540,Roster!$A$5:$A$154,0)),"Not on roster"))</f>
        <v/>
      </c>
      <c r="G540" s="28" t="str">
        <f aca="false">IF(OR(B540="",C540=""),"",F540&amp;" | "&amp;C540)</f>
        <v/>
      </c>
      <c r="H540" s="27" t="str">
        <f aca="false">IF(G540="","",IFERROR(INDEX(Levels!$C$5:$C$94,MATCH(G540,Levels!$G$5:$G$94,0)),"Not this class's skill"))</f>
        <v/>
      </c>
    </row>
    <row r="541" customFormat="false" ht="15" hidden="false" customHeight="false" outlineLevel="0" collapsed="false">
      <c r="A541" s="23"/>
      <c r="B541" s="22"/>
      <c r="C541" s="22"/>
      <c r="D541" s="22"/>
      <c r="E541" s="22"/>
      <c r="F541" s="27" t="str">
        <f aca="false">IF(B541="","",IFERROR(INDEX(Roster!$B$5:$B$154,MATCH(B541,Roster!$A$5:$A$154,0)),"Not on roster"))</f>
        <v/>
      </c>
      <c r="G541" s="28" t="str">
        <f aca="false">IF(OR(B541="",C541=""),"",F541&amp;" | "&amp;C541)</f>
        <v/>
      </c>
      <c r="H541" s="27" t="str">
        <f aca="false">IF(G541="","",IFERROR(INDEX(Levels!$C$5:$C$94,MATCH(G541,Levels!$G$5:$G$94,0)),"Not this class's skill"))</f>
        <v/>
      </c>
    </row>
    <row r="542" customFormat="false" ht="15" hidden="false" customHeight="false" outlineLevel="0" collapsed="false">
      <c r="A542" s="23"/>
      <c r="B542" s="22"/>
      <c r="C542" s="22"/>
      <c r="D542" s="22"/>
      <c r="E542" s="22"/>
      <c r="F542" s="27" t="str">
        <f aca="false">IF(B542="","",IFERROR(INDEX(Roster!$B$5:$B$154,MATCH(B542,Roster!$A$5:$A$154,0)),"Not on roster"))</f>
        <v/>
      </c>
      <c r="G542" s="28" t="str">
        <f aca="false">IF(OR(B542="",C542=""),"",F542&amp;" | "&amp;C542)</f>
        <v/>
      </c>
      <c r="H542" s="27" t="str">
        <f aca="false">IF(G542="","",IFERROR(INDEX(Levels!$C$5:$C$94,MATCH(G542,Levels!$G$5:$G$94,0)),"Not this class's skill"))</f>
        <v/>
      </c>
    </row>
    <row r="543" customFormat="false" ht="15" hidden="false" customHeight="false" outlineLevel="0" collapsed="false">
      <c r="A543" s="23"/>
      <c r="B543" s="22"/>
      <c r="C543" s="22"/>
      <c r="D543" s="22"/>
      <c r="E543" s="22"/>
      <c r="F543" s="27" t="str">
        <f aca="false">IF(B543="","",IFERROR(INDEX(Roster!$B$5:$B$154,MATCH(B543,Roster!$A$5:$A$154,0)),"Not on roster"))</f>
        <v/>
      </c>
      <c r="G543" s="28" t="str">
        <f aca="false">IF(OR(B543="",C543=""),"",F543&amp;" | "&amp;C543)</f>
        <v/>
      </c>
      <c r="H543" s="27" t="str">
        <f aca="false">IF(G543="","",IFERROR(INDEX(Levels!$C$5:$C$94,MATCH(G543,Levels!$G$5:$G$94,0)),"Not this class's skill"))</f>
        <v/>
      </c>
    </row>
    <row r="544" customFormat="false" ht="15" hidden="false" customHeight="false" outlineLevel="0" collapsed="false">
      <c r="A544" s="23"/>
      <c r="B544" s="22"/>
      <c r="C544" s="22"/>
      <c r="D544" s="22"/>
      <c r="E544" s="22"/>
      <c r="F544" s="27" t="str">
        <f aca="false">IF(B544="","",IFERROR(INDEX(Roster!$B$5:$B$154,MATCH(B544,Roster!$A$5:$A$154,0)),"Not on roster"))</f>
        <v/>
      </c>
      <c r="G544" s="28" t="str">
        <f aca="false">IF(OR(B544="",C544=""),"",F544&amp;" | "&amp;C544)</f>
        <v/>
      </c>
      <c r="H544" s="27" t="str">
        <f aca="false">IF(G544="","",IFERROR(INDEX(Levels!$C$5:$C$94,MATCH(G544,Levels!$G$5:$G$94,0)),"Not this class's skill"))</f>
        <v/>
      </c>
    </row>
    <row r="545" customFormat="false" ht="15" hidden="false" customHeight="false" outlineLevel="0" collapsed="false">
      <c r="A545" s="23"/>
      <c r="B545" s="22"/>
      <c r="C545" s="22"/>
      <c r="D545" s="22"/>
      <c r="E545" s="22"/>
      <c r="F545" s="27" t="str">
        <f aca="false">IF(B545="","",IFERROR(INDEX(Roster!$B$5:$B$154,MATCH(B545,Roster!$A$5:$A$154,0)),"Not on roster"))</f>
        <v/>
      </c>
      <c r="G545" s="28" t="str">
        <f aca="false">IF(OR(B545="",C545=""),"",F545&amp;" | "&amp;C545)</f>
        <v/>
      </c>
      <c r="H545" s="27" t="str">
        <f aca="false">IF(G545="","",IFERROR(INDEX(Levels!$C$5:$C$94,MATCH(G545,Levels!$G$5:$G$94,0)),"Not this class's skill"))</f>
        <v/>
      </c>
    </row>
    <row r="546" customFormat="false" ht="15" hidden="false" customHeight="false" outlineLevel="0" collapsed="false">
      <c r="A546" s="23"/>
      <c r="B546" s="22"/>
      <c r="C546" s="22"/>
      <c r="D546" s="22"/>
      <c r="E546" s="22"/>
      <c r="F546" s="27" t="str">
        <f aca="false">IF(B546="","",IFERROR(INDEX(Roster!$B$5:$B$154,MATCH(B546,Roster!$A$5:$A$154,0)),"Not on roster"))</f>
        <v/>
      </c>
      <c r="G546" s="28" t="str">
        <f aca="false">IF(OR(B546="",C546=""),"",F546&amp;" | "&amp;C546)</f>
        <v/>
      </c>
      <c r="H546" s="27" t="str">
        <f aca="false">IF(G546="","",IFERROR(INDEX(Levels!$C$5:$C$94,MATCH(G546,Levels!$G$5:$G$94,0)),"Not this class's skill"))</f>
        <v/>
      </c>
    </row>
    <row r="547" customFormat="false" ht="15" hidden="false" customHeight="false" outlineLevel="0" collapsed="false">
      <c r="A547" s="23"/>
      <c r="B547" s="22"/>
      <c r="C547" s="22"/>
      <c r="D547" s="22"/>
      <c r="E547" s="22"/>
      <c r="F547" s="27" t="str">
        <f aca="false">IF(B547="","",IFERROR(INDEX(Roster!$B$5:$B$154,MATCH(B547,Roster!$A$5:$A$154,0)),"Not on roster"))</f>
        <v/>
      </c>
      <c r="G547" s="28" t="str">
        <f aca="false">IF(OR(B547="",C547=""),"",F547&amp;" | "&amp;C547)</f>
        <v/>
      </c>
      <c r="H547" s="27" t="str">
        <f aca="false">IF(G547="","",IFERROR(INDEX(Levels!$C$5:$C$94,MATCH(G547,Levels!$G$5:$G$94,0)),"Not this class's skill"))</f>
        <v/>
      </c>
    </row>
    <row r="548" customFormat="false" ht="15" hidden="false" customHeight="false" outlineLevel="0" collapsed="false">
      <c r="A548" s="23"/>
      <c r="B548" s="22"/>
      <c r="C548" s="22"/>
      <c r="D548" s="22"/>
      <c r="E548" s="22"/>
      <c r="F548" s="27" t="str">
        <f aca="false">IF(B548="","",IFERROR(INDEX(Roster!$B$5:$B$154,MATCH(B548,Roster!$A$5:$A$154,0)),"Not on roster"))</f>
        <v/>
      </c>
      <c r="G548" s="28" t="str">
        <f aca="false">IF(OR(B548="",C548=""),"",F548&amp;" | "&amp;C548)</f>
        <v/>
      </c>
      <c r="H548" s="27" t="str">
        <f aca="false">IF(G548="","",IFERROR(INDEX(Levels!$C$5:$C$94,MATCH(G548,Levels!$G$5:$G$94,0)),"Not this class's skill"))</f>
        <v/>
      </c>
    </row>
    <row r="549" customFormat="false" ht="15" hidden="false" customHeight="false" outlineLevel="0" collapsed="false">
      <c r="A549" s="23"/>
      <c r="B549" s="22"/>
      <c r="C549" s="22"/>
      <c r="D549" s="22"/>
      <c r="E549" s="22"/>
      <c r="F549" s="27" t="str">
        <f aca="false">IF(B549="","",IFERROR(INDEX(Roster!$B$5:$B$154,MATCH(B549,Roster!$A$5:$A$154,0)),"Not on roster"))</f>
        <v/>
      </c>
      <c r="G549" s="28" t="str">
        <f aca="false">IF(OR(B549="",C549=""),"",F549&amp;" | "&amp;C549)</f>
        <v/>
      </c>
      <c r="H549" s="27" t="str">
        <f aca="false">IF(G549="","",IFERROR(INDEX(Levels!$C$5:$C$94,MATCH(G549,Levels!$G$5:$G$94,0)),"Not this class's skill"))</f>
        <v/>
      </c>
    </row>
    <row r="550" customFormat="false" ht="15" hidden="false" customHeight="false" outlineLevel="0" collapsed="false">
      <c r="A550" s="23"/>
      <c r="B550" s="22"/>
      <c r="C550" s="22"/>
      <c r="D550" s="22"/>
      <c r="E550" s="22"/>
      <c r="F550" s="27" t="str">
        <f aca="false">IF(B550="","",IFERROR(INDEX(Roster!$B$5:$B$154,MATCH(B550,Roster!$A$5:$A$154,0)),"Not on roster"))</f>
        <v/>
      </c>
      <c r="G550" s="28" t="str">
        <f aca="false">IF(OR(B550="",C550=""),"",F550&amp;" | "&amp;C550)</f>
        <v/>
      </c>
      <c r="H550" s="27" t="str">
        <f aca="false">IF(G550="","",IFERROR(INDEX(Levels!$C$5:$C$94,MATCH(G550,Levels!$G$5:$G$94,0)),"Not this class's skill"))</f>
        <v/>
      </c>
    </row>
    <row r="551" customFormat="false" ht="15" hidden="false" customHeight="false" outlineLevel="0" collapsed="false">
      <c r="A551" s="23"/>
      <c r="B551" s="22"/>
      <c r="C551" s="22"/>
      <c r="D551" s="22"/>
      <c r="E551" s="22"/>
      <c r="F551" s="27" t="str">
        <f aca="false">IF(B551="","",IFERROR(INDEX(Roster!$B$5:$B$154,MATCH(B551,Roster!$A$5:$A$154,0)),"Not on roster"))</f>
        <v/>
      </c>
      <c r="G551" s="28" t="str">
        <f aca="false">IF(OR(B551="",C551=""),"",F551&amp;" | "&amp;C551)</f>
        <v/>
      </c>
      <c r="H551" s="27" t="str">
        <f aca="false">IF(G551="","",IFERROR(INDEX(Levels!$C$5:$C$94,MATCH(G551,Levels!$G$5:$G$94,0)),"Not this class's skill"))</f>
        <v/>
      </c>
    </row>
    <row r="552" customFormat="false" ht="15" hidden="false" customHeight="false" outlineLevel="0" collapsed="false">
      <c r="A552" s="23"/>
      <c r="B552" s="22"/>
      <c r="C552" s="22"/>
      <c r="D552" s="22"/>
      <c r="E552" s="22"/>
      <c r="F552" s="27" t="str">
        <f aca="false">IF(B552="","",IFERROR(INDEX(Roster!$B$5:$B$154,MATCH(B552,Roster!$A$5:$A$154,0)),"Not on roster"))</f>
        <v/>
      </c>
      <c r="G552" s="28" t="str">
        <f aca="false">IF(OR(B552="",C552=""),"",F552&amp;" | "&amp;C552)</f>
        <v/>
      </c>
      <c r="H552" s="27" t="str">
        <f aca="false">IF(G552="","",IFERROR(INDEX(Levels!$C$5:$C$94,MATCH(G552,Levels!$G$5:$G$94,0)),"Not this class's skill"))</f>
        <v/>
      </c>
    </row>
    <row r="553" customFormat="false" ht="15" hidden="false" customHeight="false" outlineLevel="0" collapsed="false">
      <c r="A553" s="23"/>
      <c r="B553" s="22"/>
      <c r="C553" s="22"/>
      <c r="D553" s="22"/>
      <c r="E553" s="22"/>
      <c r="F553" s="27" t="str">
        <f aca="false">IF(B553="","",IFERROR(INDEX(Roster!$B$5:$B$154,MATCH(B553,Roster!$A$5:$A$154,0)),"Not on roster"))</f>
        <v/>
      </c>
      <c r="G553" s="28" t="str">
        <f aca="false">IF(OR(B553="",C553=""),"",F553&amp;" | "&amp;C553)</f>
        <v/>
      </c>
      <c r="H553" s="27" t="str">
        <f aca="false">IF(G553="","",IFERROR(INDEX(Levels!$C$5:$C$94,MATCH(G553,Levels!$G$5:$G$94,0)),"Not this class's skill"))</f>
        <v/>
      </c>
    </row>
    <row r="554" customFormat="false" ht="15" hidden="false" customHeight="false" outlineLevel="0" collapsed="false">
      <c r="A554" s="23"/>
      <c r="B554" s="22"/>
      <c r="C554" s="22"/>
      <c r="D554" s="22"/>
      <c r="E554" s="22"/>
      <c r="F554" s="27" t="str">
        <f aca="false">IF(B554="","",IFERROR(INDEX(Roster!$B$5:$B$154,MATCH(B554,Roster!$A$5:$A$154,0)),"Not on roster"))</f>
        <v/>
      </c>
      <c r="G554" s="28" t="str">
        <f aca="false">IF(OR(B554="",C554=""),"",F554&amp;" | "&amp;C554)</f>
        <v/>
      </c>
      <c r="H554" s="27" t="str">
        <f aca="false">IF(G554="","",IFERROR(INDEX(Levels!$C$5:$C$94,MATCH(G554,Levels!$G$5:$G$94,0)),"Not this class's skill"))</f>
        <v/>
      </c>
    </row>
    <row r="555" customFormat="false" ht="15" hidden="false" customHeight="false" outlineLevel="0" collapsed="false">
      <c r="A555" s="23"/>
      <c r="B555" s="22"/>
      <c r="C555" s="22"/>
      <c r="D555" s="22"/>
      <c r="E555" s="22"/>
      <c r="F555" s="27" t="str">
        <f aca="false">IF(B555="","",IFERROR(INDEX(Roster!$B$5:$B$154,MATCH(B555,Roster!$A$5:$A$154,0)),"Not on roster"))</f>
        <v/>
      </c>
      <c r="G555" s="28" t="str">
        <f aca="false">IF(OR(B555="",C555=""),"",F555&amp;" | "&amp;C555)</f>
        <v/>
      </c>
      <c r="H555" s="27" t="str">
        <f aca="false">IF(G555="","",IFERROR(INDEX(Levels!$C$5:$C$94,MATCH(G555,Levels!$G$5:$G$94,0)),"Not this class's skill"))</f>
        <v/>
      </c>
    </row>
    <row r="556" customFormat="false" ht="15" hidden="false" customHeight="false" outlineLevel="0" collapsed="false">
      <c r="A556" s="23"/>
      <c r="B556" s="22"/>
      <c r="C556" s="22"/>
      <c r="D556" s="22"/>
      <c r="E556" s="22"/>
      <c r="F556" s="27" t="str">
        <f aca="false">IF(B556="","",IFERROR(INDEX(Roster!$B$5:$B$154,MATCH(B556,Roster!$A$5:$A$154,0)),"Not on roster"))</f>
        <v/>
      </c>
      <c r="G556" s="28" t="str">
        <f aca="false">IF(OR(B556="",C556=""),"",F556&amp;" | "&amp;C556)</f>
        <v/>
      </c>
      <c r="H556" s="27" t="str">
        <f aca="false">IF(G556="","",IFERROR(INDEX(Levels!$C$5:$C$94,MATCH(G556,Levels!$G$5:$G$94,0)),"Not this class's skill"))</f>
        <v/>
      </c>
    </row>
    <row r="557" customFormat="false" ht="15" hidden="false" customHeight="false" outlineLevel="0" collapsed="false">
      <c r="A557" s="23"/>
      <c r="B557" s="22"/>
      <c r="C557" s="22"/>
      <c r="D557" s="22"/>
      <c r="E557" s="22"/>
      <c r="F557" s="27" t="str">
        <f aca="false">IF(B557="","",IFERROR(INDEX(Roster!$B$5:$B$154,MATCH(B557,Roster!$A$5:$A$154,0)),"Not on roster"))</f>
        <v/>
      </c>
      <c r="G557" s="28" t="str">
        <f aca="false">IF(OR(B557="",C557=""),"",F557&amp;" | "&amp;C557)</f>
        <v/>
      </c>
      <c r="H557" s="27" t="str">
        <f aca="false">IF(G557="","",IFERROR(INDEX(Levels!$C$5:$C$94,MATCH(G557,Levels!$G$5:$G$94,0)),"Not this class's skill"))</f>
        <v/>
      </c>
    </row>
    <row r="558" customFormat="false" ht="15" hidden="false" customHeight="false" outlineLevel="0" collapsed="false">
      <c r="A558" s="23"/>
      <c r="B558" s="22"/>
      <c r="C558" s="22"/>
      <c r="D558" s="22"/>
      <c r="E558" s="22"/>
      <c r="F558" s="27" t="str">
        <f aca="false">IF(B558="","",IFERROR(INDEX(Roster!$B$5:$B$154,MATCH(B558,Roster!$A$5:$A$154,0)),"Not on roster"))</f>
        <v/>
      </c>
      <c r="G558" s="28" t="str">
        <f aca="false">IF(OR(B558="",C558=""),"",F558&amp;" | "&amp;C558)</f>
        <v/>
      </c>
      <c r="H558" s="27" t="str">
        <f aca="false">IF(G558="","",IFERROR(INDEX(Levels!$C$5:$C$94,MATCH(G558,Levels!$G$5:$G$94,0)),"Not this class's skill"))</f>
        <v/>
      </c>
    </row>
    <row r="559" customFormat="false" ht="15" hidden="false" customHeight="false" outlineLevel="0" collapsed="false">
      <c r="A559" s="23"/>
      <c r="B559" s="22"/>
      <c r="C559" s="22"/>
      <c r="D559" s="22"/>
      <c r="E559" s="22"/>
      <c r="F559" s="27" t="str">
        <f aca="false">IF(B559="","",IFERROR(INDEX(Roster!$B$5:$B$154,MATCH(B559,Roster!$A$5:$A$154,0)),"Not on roster"))</f>
        <v/>
      </c>
      <c r="G559" s="28" t="str">
        <f aca="false">IF(OR(B559="",C559=""),"",F559&amp;" | "&amp;C559)</f>
        <v/>
      </c>
      <c r="H559" s="27" t="str">
        <f aca="false">IF(G559="","",IFERROR(INDEX(Levels!$C$5:$C$94,MATCH(G559,Levels!$G$5:$G$94,0)),"Not this class's skill"))</f>
        <v/>
      </c>
    </row>
    <row r="560" customFormat="false" ht="15" hidden="false" customHeight="false" outlineLevel="0" collapsed="false">
      <c r="A560" s="23"/>
      <c r="B560" s="22"/>
      <c r="C560" s="22"/>
      <c r="D560" s="22"/>
      <c r="E560" s="22"/>
      <c r="F560" s="27" t="str">
        <f aca="false">IF(B560="","",IFERROR(INDEX(Roster!$B$5:$B$154,MATCH(B560,Roster!$A$5:$A$154,0)),"Not on roster"))</f>
        <v/>
      </c>
      <c r="G560" s="28" t="str">
        <f aca="false">IF(OR(B560="",C560=""),"",F560&amp;" | "&amp;C560)</f>
        <v/>
      </c>
      <c r="H560" s="27" t="str">
        <f aca="false">IF(G560="","",IFERROR(INDEX(Levels!$C$5:$C$94,MATCH(G560,Levels!$G$5:$G$94,0)),"Not this class's skill"))</f>
        <v/>
      </c>
    </row>
    <row r="561" customFormat="false" ht="15" hidden="false" customHeight="false" outlineLevel="0" collapsed="false">
      <c r="A561" s="23"/>
      <c r="B561" s="22"/>
      <c r="C561" s="22"/>
      <c r="D561" s="22"/>
      <c r="E561" s="22"/>
      <c r="F561" s="27" t="str">
        <f aca="false">IF(B561="","",IFERROR(INDEX(Roster!$B$5:$B$154,MATCH(B561,Roster!$A$5:$A$154,0)),"Not on roster"))</f>
        <v/>
      </c>
      <c r="G561" s="28" t="str">
        <f aca="false">IF(OR(B561="",C561=""),"",F561&amp;" | "&amp;C561)</f>
        <v/>
      </c>
      <c r="H561" s="27" t="str">
        <f aca="false">IF(G561="","",IFERROR(INDEX(Levels!$C$5:$C$94,MATCH(G561,Levels!$G$5:$G$94,0)),"Not this class's skill"))</f>
        <v/>
      </c>
    </row>
    <row r="562" customFormat="false" ht="15" hidden="false" customHeight="false" outlineLevel="0" collapsed="false">
      <c r="A562" s="23"/>
      <c r="B562" s="22"/>
      <c r="C562" s="22"/>
      <c r="D562" s="22"/>
      <c r="E562" s="22"/>
      <c r="F562" s="27" t="str">
        <f aca="false">IF(B562="","",IFERROR(INDEX(Roster!$B$5:$B$154,MATCH(B562,Roster!$A$5:$A$154,0)),"Not on roster"))</f>
        <v/>
      </c>
      <c r="G562" s="28" t="str">
        <f aca="false">IF(OR(B562="",C562=""),"",F562&amp;" | "&amp;C562)</f>
        <v/>
      </c>
      <c r="H562" s="27" t="str">
        <f aca="false">IF(G562="","",IFERROR(INDEX(Levels!$C$5:$C$94,MATCH(G562,Levels!$G$5:$G$94,0)),"Not this class's skill"))</f>
        <v/>
      </c>
    </row>
    <row r="563" customFormat="false" ht="15" hidden="false" customHeight="false" outlineLevel="0" collapsed="false">
      <c r="A563" s="23"/>
      <c r="B563" s="22"/>
      <c r="C563" s="22"/>
      <c r="D563" s="22"/>
      <c r="E563" s="22"/>
      <c r="F563" s="27" t="str">
        <f aca="false">IF(B563="","",IFERROR(INDEX(Roster!$B$5:$B$154,MATCH(B563,Roster!$A$5:$A$154,0)),"Not on roster"))</f>
        <v/>
      </c>
      <c r="G563" s="28" t="str">
        <f aca="false">IF(OR(B563="",C563=""),"",F563&amp;" | "&amp;C563)</f>
        <v/>
      </c>
      <c r="H563" s="27" t="str">
        <f aca="false">IF(G563="","",IFERROR(INDEX(Levels!$C$5:$C$94,MATCH(G563,Levels!$G$5:$G$94,0)),"Not this class's skill"))</f>
        <v/>
      </c>
    </row>
    <row r="564" customFormat="false" ht="15" hidden="false" customHeight="false" outlineLevel="0" collapsed="false">
      <c r="A564" s="23"/>
      <c r="B564" s="22"/>
      <c r="C564" s="22"/>
      <c r="D564" s="22"/>
      <c r="E564" s="22"/>
      <c r="F564" s="27" t="str">
        <f aca="false">IF(B564="","",IFERROR(INDEX(Roster!$B$5:$B$154,MATCH(B564,Roster!$A$5:$A$154,0)),"Not on roster"))</f>
        <v/>
      </c>
      <c r="G564" s="28" t="str">
        <f aca="false">IF(OR(B564="",C564=""),"",F564&amp;" | "&amp;C564)</f>
        <v/>
      </c>
      <c r="H564" s="27" t="str">
        <f aca="false">IF(G564="","",IFERROR(INDEX(Levels!$C$5:$C$94,MATCH(G564,Levels!$G$5:$G$94,0)),"Not this class's skill"))</f>
        <v/>
      </c>
    </row>
    <row r="565" customFormat="false" ht="15" hidden="false" customHeight="false" outlineLevel="0" collapsed="false">
      <c r="A565" s="23"/>
      <c r="B565" s="22"/>
      <c r="C565" s="22"/>
      <c r="D565" s="22"/>
      <c r="E565" s="22"/>
      <c r="F565" s="27" t="str">
        <f aca="false">IF(B565="","",IFERROR(INDEX(Roster!$B$5:$B$154,MATCH(B565,Roster!$A$5:$A$154,0)),"Not on roster"))</f>
        <v/>
      </c>
      <c r="G565" s="28" t="str">
        <f aca="false">IF(OR(B565="",C565=""),"",F565&amp;" | "&amp;C565)</f>
        <v/>
      </c>
      <c r="H565" s="27" t="str">
        <f aca="false">IF(G565="","",IFERROR(INDEX(Levels!$C$5:$C$94,MATCH(G565,Levels!$G$5:$G$94,0)),"Not this class's skill"))</f>
        <v/>
      </c>
    </row>
    <row r="566" customFormat="false" ht="15" hidden="false" customHeight="false" outlineLevel="0" collapsed="false">
      <c r="A566" s="23"/>
      <c r="B566" s="22"/>
      <c r="C566" s="22"/>
      <c r="D566" s="22"/>
      <c r="E566" s="22"/>
      <c r="F566" s="27" t="str">
        <f aca="false">IF(B566="","",IFERROR(INDEX(Roster!$B$5:$B$154,MATCH(B566,Roster!$A$5:$A$154,0)),"Not on roster"))</f>
        <v/>
      </c>
      <c r="G566" s="28" t="str">
        <f aca="false">IF(OR(B566="",C566=""),"",F566&amp;" | "&amp;C566)</f>
        <v/>
      </c>
      <c r="H566" s="27" t="str">
        <f aca="false">IF(G566="","",IFERROR(INDEX(Levels!$C$5:$C$94,MATCH(G566,Levels!$G$5:$G$94,0)),"Not this class's skill"))</f>
        <v/>
      </c>
    </row>
    <row r="567" customFormat="false" ht="15" hidden="false" customHeight="false" outlineLevel="0" collapsed="false">
      <c r="A567" s="23"/>
      <c r="B567" s="22"/>
      <c r="C567" s="22"/>
      <c r="D567" s="22"/>
      <c r="E567" s="22"/>
      <c r="F567" s="27" t="str">
        <f aca="false">IF(B567="","",IFERROR(INDEX(Roster!$B$5:$B$154,MATCH(B567,Roster!$A$5:$A$154,0)),"Not on roster"))</f>
        <v/>
      </c>
      <c r="G567" s="28" t="str">
        <f aca="false">IF(OR(B567="",C567=""),"",F567&amp;" | "&amp;C567)</f>
        <v/>
      </c>
      <c r="H567" s="27" t="str">
        <f aca="false">IF(G567="","",IFERROR(INDEX(Levels!$C$5:$C$94,MATCH(G567,Levels!$G$5:$G$94,0)),"Not this class's skill"))</f>
        <v/>
      </c>
    </row>
    <row r="568" customFormat="false" ht="15" hidden="false" customHeight="false" outlineLevel="0" collapsed="false">
      <c r="A568" s="23"/>
      <c r="B568" s="22"/>
      <c r="C568" s="22"/>
      <c r="D568" s="22"/>
      <c r="E568" s="22"/>
      <c r="F568" s="27" t="str">
        <f aca="false">IF(B568="","",IFERROR(INDEX(Roster!$B$5:$B$154,MATCH(B568,Roster!$A$5:$A$154,0)),"Not on roster"))</f>
        <v/>
      </c>
      <c r="G568" s="28" t="str">
        <f aca="false">IF(OR(B568="",C568=""),"",F568&amp;" | "&amp;C568)</f>
        <v/>
      </c>
      <c r="H568" s="27" t="str">
        <f aca="false">IF(G568="","",IFERROR(INDEX(Levels!$C$5:$C$94,MATCH(G568,Levels!$G$5:$G$94,0)),"Not this class's skill"))</f>
        <v/>
      </c>
    </row>
    <row r="569" customFormat="false" ht="15" hidden="false" customHeight="false" outlineLevel="0" collapsed="false">
      <c r="A569" s="23"/>
      <c r="B569" s="22"/>
      <c r="C569" s="22"/>
      <c r="D569" s="22"/>
      <c r="E569" s="22"/>
      <c r="F569" s="27" t="str">
        <f aca="false">IF(B569="","",IFERROR(INDEX(Roster!$B$5:$B$154,MATCH(B569,Roster!$A$5:$A$154,0)),"Not on roster"))</f>
        <v/>
      </c>
      <c r="G569" s="28" t="str">
        <f aca="false">IF(OR(B569="",C569=""),"",F569&amp;" | "&amp;C569)</f>
        <v/>
      </c>
      <c r="H569" s="27" t="str">
        <f aca="false">IF(G569="","",IFERROR(INDEX(Levels!$C$5:$C$94,MATCH(G569,Levels!$G$5:$G$94,0)),"Not this class's skill"))</f>
        <v/>
      </c>
    </row>
    <row r="570" customFormat="false" ht="15" hidden="false" customHeight="false" outlineLevel="0" collapsed="false">
      <c r="A570" s="23"/>
      <c r="B570" s="22"/>
      <c r="C570" s="22"/>
      <c r="D570" s="22"/>
      <c r="E570" s="22"/>
      <c r="F570" s="27" t="str">
        <f aca="false">IF(B570="","",IFERROR(INDEX(Roster!$B$5:$B$154,MATCH(B570,Roster!$A$5:$A$154,0)),"Not on roster"))</f>
        <v/>
      </c>
      <c r="G570" s="28" t="str">
        <f aca="false">IF(OR(B570="",C570=""),"",F570&amp;" | "&amp;C570)</f>
        <v/>
      </c>
      <c r="H570" s="27" t="str">
        <f aca="false">IF(G570="","",IFERROR(INDEX(Levels!$C$5:$C$94,MATCH(G570,Levels!$G$5:$G$94,0)),"Not this class's skill"))</f>
        <v/>
      </c>
    </row>
    <row r="571" customFormat="false" ht="15" hidden="false" customHeight="false" outlineLevel="0" collapsed="false">
      <c r="A571" s="23"/>
      <c r="B571" s="22"/>
      <c r="C571" s="22"/>
      <c r="D571" s="22"/>
      <c r="E571" s="22"/>
      <c r="F571" s="27" t="str">
        <f aca="false">IF(B571="","",IFERROR(INDEX(Roster!$B$5:$B$154,MATCH(B571,Roster!$A$5:$A$154,0)),"Not on roster"))</f>
        <v/>
      </c>
      <c r="G571" s="28" t="str">
        <f aca="false">IF(OR(B571="",C571=""),"",F571&amp;" | "&amp;C571)</f>
        <v/>
      </c>
      <c r="H571" s="27" t="str">
        <f aca="false">IF(G571="","",IFERROR(INDEX(Levels!$C$5:$C$94,MATCH(G571,Levels!$G$5:$G$94,0)),"Not this class's skill"))</f>
        <v/>
      </c>
    </row>
    <row r="572" customFormat="false" ht="15" hidden="false" customHeight="false" outlineLevel="0" collapsed="false">
      <c r="A572" s="23"/>
      <c r="B572" s="22"/>
      <c r="C572" s="22"/>
      <c r="D572" s="22"/>
      <c r="E572" s="22"/>
      <c r="F572" s="27" t="str">
        <f aca="false">IF(B572="","",IFERROR(INDEX(Roster!$B$5:$B$154,MATCH(B572,Roster!$A$5:$A$154,0)),"Not on roster"))</f>
        <v/>
      </c>
      <c r="G572" s="28" t="str">
        <f aca="false">IF(OR(B572="",C572=""),"",F572&amp;" | "&amp;C572)</f>
        <v/>
      </c>
      <c r="H572" s="27" t="str">
        <f aca="false">IF(G572="","",IFERROR(INDEX(Levels!$C$5:$C$94,MATCH(G572,Levels!$G$5:$G$94,0)),"Not this class's skill"))</f>
        <v/>
      </c>
    </row>
    <row r="573" customFormat="false" ht="15" hidden="false" customHeight="false" outlineLevel="0" collapsed="false">
      <c r="A573" s="23"/>
      <c r="B573" s="22"/>
      <c r="C573" s="22"/>
      <c r="D573" s="22"/>
      <c r="E573" s="22"/>
      <c r="F573" s="27" t="str">
        <f aca="false">IF(B573="","",IFERROR(INDEX(Roster!$B$5:$B$154,MATCH(B573,Roster!$A$5:$A$154,0)),"Not on roster"))</f>
        <v/>
      </c>
      <c r="G573" s="28" t="str">
        <f aca="false">IF(OR(B573="",C573=""),"",F573&amp;" | "&amp;C573)</f>
        <v/>
      </c>
      <c r="H573" s="27" t="str">
        <f aca="false">IF(G573="","",IFERROR(INDEX(Levels!$C$5:$C$94,MATCH(G573,Levels!$G$5:$G$94,0)),"Not this class's skill"))</f>
        <v/>
      </c>
    </row>
    <row r="574" customFormat="false" ht="15" hidden="false" customHeight="false" outlineLevel="0" collapsed="false">
      <c r="A574" s="23"/>
      <c r="B574" s="22"/>
      <c r="C574" s="22"/>
      <c r="D574" s="22"/>
      <c r="E574" s="22"/>
      <c r="F574" s="27" t="str">
        <f aca="false">IF(B574="","",IFERROR(INDEX(Roster!$B$5:$B$154,MATCH(B574,Roster!$A$5:$A$154,0)),"Not on roster"))</f>
        <v/>
      </c>
      <c r="G574" s="28" t="str">
        <f aca="false">IF(OR(B574="",C574=""),"",F574&amp;" | "&amp;C574)</f>
        <v/>
      </c>
      <c r="H574" s="27" t="str">
        <f aca="false">IF(G574="","",IFERROR(INDEX(Levels!$C$5:$C$94,MATCH(G574,Levels!$G$5:$G$94,0)),"Not this class's skill"))</f>
        <v/>
      </c>
    </row>
    <row r="575" customFormat="false" ht="15" hidden="false" customHeight="false" outlineLevel="0" collapsed="false">
      <c r="A575" s="23"/>
      <c r="B575" s="22"/>
      <c r="C575" s="22"/>
      <c r="D575" s="22"/>
      <c r="E575" s="22"/>
      <c r="F575" s="27" t="str">
        <f aca="false">IF(B575="","",IFERROR(INDEX(Roster!$B$5:$B$154,MATCH(B575,Roster!$A$5:$A$154,0)),"Not on roster"))</f>
        <v/>
      </c>
      <c r="G575" s="28" t="str">
        <f aca="false">IF(OR(B575="",C575=""),"",F575&amp;" | "&amp;C575)</f>
        <v/>
      </c>
      <c r="H575" s="27" t="str">
        <f aca="false">IF(G575="","",IFERROR(INDEX(Levels!$C$5:$C$94,MATCH(G575,Levels!$G$5:$G$94,0)),"Not this class's skill"))</f>
        <v/>
      </c>
    </row>
    <row r="576" customFormat="false" ht="15" hidden="false" customHeight="false" outlineLevel="0" collapsed="false">
      <c r="A576" s="23"/>
      <c r="B576" s="22"/>
      <c r="C576" s="22"/>
      <c r="D576" s="22"/>
      <c r="E576" s="22"/>
      <c r="F576" s="27" t="str">
        <f aca="false">IF(B576="","",IFERROR(INDEX(Roster!$B$5:$B$154,MATCH(B576,Roster!$A$5:$A$154,0)),"Not on roster"))</f>
        <v/>
      </c>
      <c r="G576" s="28" t="str">
        <f aca="false">IF(OR(B576="",C576=""),"",F576&amp;" | "&amp;C576)</f>
        <v/>
      </c>
      <c r="H576" s="27" t="str">
        <f aca="false">IF(G576="","",IFERROR(INDEX(Levels!$C$5:$C$94,MATCH(G576,Levels!$G$5:$G$94,0)),"Not this class's skill"))</f>
        <v/>
      </c>
    </row>
    <row r="577" customFormat="false" ht="15" hidden="false" customHeight="false" outlineLevel="0" collapsed="false">
      <c r="A577" s="23"/>
      <c r="B577" s="22"/>
      <c r="C577" s="22"/>
      <c r="D577" s="22"/>
      <c r="E577" s="22"/>
      <c r="F577" s="27" t="str">
        <f aca="false">IF(B577="","",IFERROR(INDEX(Roster!$B$5:$B$154,MATCH(B577,Roster!$A$5:$A$154,0)),"Not on roster"))</f>
        <v/>
      </c>
      <c r="G577" s="28" t="str">
        <f aca="false">IF(OR(B577="",C577=""),"",F577&amp;" | "&amp;C577)</f>
        <v/>
      </c>
      <c r="H577" s="27" t="str">
        <f aca="false">IF(G577="","",IFERROR(INDEX(Levels!$C$5:$C$94,MATCH(G577,Levels!$G$5:$G$94,0)),"Not this class's skill"))</f>
        <v/>
      </c>
    </row>
    <row r="578" customFormat="false" ht="15" hidden="false" customHeight="false" outlineLevel="0" collapsed="false">
      <c r="A578" s="23"/>
      <c r="B578" s="22"/>
      <c r="C578" s="22"/>
      <c r="D578" s="22"/>
      <c r="E578" s="22"/>
      <c r="F578" s="27" t="str">
        <f aca="false">IF(B578="","",IFERROR(INDEX(Roster!$B$5:$B$154,MATCH(B578,Roster!$A$5:$A$154,0)),"Not on roster"))</f>
        <v/>
      </c>
      <c r="G578" s="28" t="str">
        <f aca="false">IF(OR(B578="",C578=""),"",F578&amp;" | "&amp;C578)</f>
        <v/>
      </c>
      <c r="H578" s="27" t="str">
        <f aca="false">IF(G578="","",IFERROR(INDEX(Levels!$C$5:$C$94,MATCH(G578,Levels!$G$5:$G$94,0)),"Not this class's skill"))</f>
        <v/>
      </c>
    </row>
    <row r="579" customFormat="false" ht="15" hidden="false" customHeight="false" outlineLevel="0" collapsed="false">
      <c r="A579" s="23"/>
      <c r="B579" s="22"/>
      <c r="C579" s="22"/>
      <c r="D579" s="22"/>
      <c r="E579" s="22"/>
      <c r="F579" s="27" t="str">
        <f aca="false">IF(B579="","",IFERROR(INDEX(Roster!$B$5:$B$154,MATCH(B579,Roster!$A$5:$A$154,0)),"Not on roster"))</f>
        <v/>
      </c>
      <c r="G579" s="28" t="str">
        <f aca="false">IF(OR(B579="",C579=""),"",F579&amp;" | "&amp;C579)</f>
        <v/>
      </c>
      <c r="H579" s="27" t="str">
        <f aca="false">IF(G579="","",IFERROR(INDEX(Levels!$C$5:$C$94,MATCH(G579,Levels!$G$5:$G$94,0)),"Not this class's skill"))</f>
        <v/>
      </c>
    </row>
    <row r="580" customFormat="false" ht="15" hidden="false" customHeight="false" outlineLevel="0" collapsed="false">
      <c r="A580" s="23"/>
      <c r="B580" s="22"/>
      <c r="C580" s="22"/>
      <c r="D580" s="22"/>
      <c r="E580" s="22"/>
      <c r="F580" s="27" t="str">
        <f aca="false">IF(B580="","",IFERROR(INDEX(Roster!$B$5:$B$154,MATCH(B580,Roster!$A$5:$A$154,0)),"Not on roster"))</f>
        <v/>
      </c>
      <c r="G580" s="28" t="str">
        <f aca="false">IF(OR(B580="",C580=""),"",F580&amp;" | "&amp;C580)</f>
        <v/>
      </c>
      <c r="H580" s="27" t="str">
        <f aca="false">IF(G580="","",IFERROR(INDEX(Levels!$C$5:$C$94,MATCH(G580,Levels!$G$5:$G$94,0)),"Not this class's skill"))</f>
        <v/>
      </c>
    </row>
    <row r="581" customFormat="false" ht="15" hidden="false" customHeight="false" outlineLevel="0" collapsed="false">
      <c r="A581" s="23"/>
      <c r="B581" s="22"/>
      <c r="C581" s="22"/>
      <c r="D581" s="22"/>
      <c r="E581" s="22"/>
      <c r="F581" s="27" t="str">
        <f aca="false">IF(B581="","",IFERROR(INDEX(Roster!$B$5:$B$154,MATCH(B581,Roster!$A$5:$A$154,0)),"Not on roster"))</f>
        <v/>
      </c>
      <c r="G581" s="28" t="str">
        <f aca="false">IF(OR(B581="",C581=""),"",F581&amp;" | "&amp;C581)</f>
        <v/>
      </c>
      <c r="H581" s="27" t="str">
        <f aca="false">IF(G581="","",IFERROR(INDEX(Levels!$C$5:$C$94,MATCH(G581,Levels!$G$5:$G$94,0)),"Not this class's skill"))</f>
        <v/>
      </c>
    </row>
    <row r="582" customFormat="false" ht="15" hidden="false" customHeight="false" outlineLevel="0" collapsed="false">
      <c r="A582" s="23"/>
      <c r="B582" s="22"/>
      <c r="C582" s="22"/>
      <c r="D582" s="22"/>
      <c r="E582" s="22"/>
      <c r="F582" s="27" t="str">
        <f aca="false">IF(B582="","",IFERROR(INDEX(Roster!$B$5:$B$154,MATCH(B582,Roster!$A$5:$A$154,0)),"Not on roster"))</f>
        <v/>
      </c>
      <c r="G582" s="28" t="str">
        <f aca="false">IF(OR(B582="",C582=""),"",F582&amp;" | "&amp;C582)</f>
        <v/>
      </c>
      <c r="H582" s="27" t="str">
        <f aca="false">IF(G582="","",IFERROR(INDEX(Levels!$C$5:$C$94,MATCH(G582,Levels!$G$5:$G$94,0)),"Not this class's skill"))</f>
        <v/>
      </c>
    </row>
    <row r="583" customFormat="false" ht="15" hidden="false" customHeight="false" outlineLevel="0" collapsed="false">
      <c r="A583" s="23"/>
      <c r="B583" s="22"/>
      <c r="C583" s="22"/>
      <c r="D583" s="22"/>
      <c r="E583" s="22"/>
      <c r="F583" s="27" t="str">
        <f aca="false">IF(B583="","",IFERROR(INDEX(Roster!$B$5:$B$154,MATCH(B583,Roster!$A$5:$A$154,0)),"Not on roster"))</f>
        <v/>
      </c>
      <c r="G583" s="28" t="str">
        <f aca="false">IF(OR(B583="",C583=""),"",F583&amp;" | "&amp;C583)</f>
        <v/>
      </c>
      <c r="H583" s="27" t="str">
        <f aca="false">IF(G583="","",IFERROR(INDEX(Levels!$C$5:$C$94,MATCH(G583,Levels!$G$5:$G$94,0)),"Not this class's skill"))</f>
        <v/>
      </c>
    </row>
    <row r="584" customFormat="false" ht="15" hidden="false" customHeight="false" outlineLevel="0" collapsed="false">
      <c r="A584" s="23"/>
      <c r="B584" s="22"/>
      <c r="C584" s="22"/>
      <c r="D584" s="22"/>
      <c r="E584" s="22"/>
      <c r="F584" s="27" t="str">
        <f aca="false">IF(B584="","",IFERROR(INDEX(Roster!$B$5:$B$154,MATCH(B584,Roster!$A$5:$A$154,0)),"Not on roster"))</f>
        <v/>
      </c>
      <c r="G584" s="28" t="str">
        <f aca="false">IF(OR(B584="",C584=""),"",F584&amp;" | "&amp;C584)</f>
        <v/>
      </c>
      <c r="H584" s="27" t="str">
        <f aca="false">IF(G584="","",IFERROR(INDEX(Levels!$C$5:$C$94,MATCH(G584,Levels!$G$5:$G$94,0)),"Not this class's skill"))</f>
        <v/>
      </c>
    </row>
    <row r="585" customFormat="false" ht="15" hidden="false" customHeight="false" outlineLevel="0" collapsed="false">
      <c r="A585" s="23"/>
      <c r="B585" s="22"/>
      <c r="C585" s="22"/>
      <c r="D585" s="22"/>
      <c r="E585" s="22"/>
      <c r="F585" s="27" t="str">
        <f aca="false">IF(B585="","",IFERROR(INDEX(Roster!$B$5:$B$154,MATCH(B585,Roster!$A$5:$A$154,0)),"Not on roster"))</f>
        <v/>
      </c>
      <c r="G585" s="28" t="str">
        <f aca="false">IF(OR(B585="",C585=""),"",F585&amp;" | "&amp;C585)</f>
        <v/>
      </c>
      <c r="H585" s="27" t="str">
        <f aca="false">IF(G585="","",IFERROR(INDEX(Levels!$C$5:$C$94,MATCH(G585,Levels!$G$5:$G$94,0)),"Not this class's skill"))</f>
        <v/>
      </c>
    </row>
    <row r="586" customFormat="false" ht="15" hidden="false" customHeight="false" outlineLevel="0" collapsed="false">
      <c r="A586" s="23"/>
      <c r="B586" s="22"/>
      <c r="C586" s="22"/>
      <c r="D586" s="22"/>
      <c r="E586" s="22"/>
      <c r="F586" s="27" t="str">
        <f aca="false">IF(B586="","",IFERROR(INDEX(Roster!$B$5:$B$154,MATCH(B586,Roster!$A$5:$A$154,0)),"Not on roster"))</f>
        <v/>
      </c>
      <c r="G586" s="28" t="str">
        <f aca="false">IF(OR(B586="",C586=""),"",F586&amp;" | "&amp;C586)</f>
        <v/>
      </c>
      <c r="H586" s="27" t="str">
        <f aca="false">IF(G586="","",IFERROR(INDEX(Levels!$C$5:$C$94,MATCH(G586,Levels!$G$5:$G$94,0)),"Not this class's skill"))</f>
        <v/>
      </c>
    </row>
    <row r="587" customFormat="false" ht="15" hidden="false" customHeight="false" outlineLevel="0" collapsed="false">
      <c r="A587" s="23"/>
      <c r="B587" s="22"/>
      <c r="C587" s="22"/>
      <c r="D587" s="22"/>
      <c r="E587" s="22"/>
      <c r="F587" s="27" t="str">
        <f aca="false">IF(B587="","",IFERROR(INDEX(Roster!$B$5:$B$154,MATCH(B587,Roster!$A$5:$A$154,0)),"Not on roster"))</f>
        <v/>
      </c>
      <c r="G587" s="28" t="str">
        <f aca="false">IF(OR(B587="",C587=""),"",F587&amp;" | "&amp;C587)</f>
        <v/>
      </c>
      <c r="H587" s="27" t="str">
        <f aca="false">IF(G587="","",IFERROR(INDEX(Levels!$C$5:$C$94,MATCH(G587,Levels!$G$5:$G$94,0)),"Not this class's skill"))</f>
        <v/>
      </c>
    </row>
    <row r="588" customFormat="false" ht="15" hidden="false" customHeight="false" outlineLevel="0" collapsed="false">
      <c r="A588" s="23"/>
      <c r="B588" s="22"/>
      <c r="C588" s="22"/>
      <c r="D588" s="22"/>
      <c r="E588" s="22"/>
      <c r="F588" s="27" t="str">
        <f aca="false">IF(B588="","",IFERROR(INDEX(Roster!$B$5:$B$154,MATCH(B588,Roster!$A$5:$A$154,0)),"Not on roster"))</f>
        <v/>
      </c>
      <c r="G588" s="28" t="str">
        <f aca="false">IF(OR(B588="",C588=""),"",F588&amp;" | "&amp;C588)</f>
        <v/>
      </c>
      <c r="H588" s="27" t="str">
        <f aca="false">IF(G588="","",IFERROR(INDEX(Levels!$C$5:$C$94,MATCH(G588,Levels!$G$5:$G$94,0)),"Not this class's skill"))</f>
        <v/>
      </c>
    </row>
    <row r="589" customFormat="false" ht="15" hidden="false" customHeight="false" outlineLevel="0" collapsed="false">
      <c r="A589" s="23"/>
      <c r="B589" s="22"/>
      <c r="C589" s="22"/>
      <c r="D589" s="22"/>
      <c r="E589" s="22"/>
      <c r="F589" s="27" t="str">
        <f aca="false">IF(B589="","",IFERROR(INDEX(Roster!$B$5:$B$154,MATCH(B589,Roster!$A$5:$A$154,0)),"Not on roster"))</f>
        <v/>
      </c>
      <c r="G589" s="28" t="str">
        <f aca="false">IF(OR(B589="",C589=""),"",F589&amp;" | "&amp;C589)</f>
        <v/>
      </c>
      <c r="H589" s="27" t="str">
        <f aca="false">IF(G589="","",IFERROR(INDEX(Levels!$C$5:$C$94,MATCH(G589,Levels!$G$5:$G$94,0)),"Not this class's skill"))</f>
        <v/>
      </c>
    </row>
    <row r="590" customFormat="false" ht="15" hidden="false" customHeight="false" outlineLevel="0" collapsed="false">
      <c r="A590" s="23"/>
      <c r="B590" s="22"/>
      <c r="C590" s="22"/>
      <c r="D590" s="22"/>
      <c r="E590" s="22"/>
      <c r="F590" s="27" t="str">
        <f aca="false">IF(B590="","",IFERROR(INDEX(Roster!$B$5:$B$154,MATCH(B590,Roster!$A$5:$A$154,0)),"Not on roster"))</f>
        <v/>
      </c>
      <c r="G590" s="28" t="str">
        <f aca="false">IF(OR(B590="",C590=""),"",F590&amp;" | "&amp;C590)</f>
        <v/>
      </c>
      <c r="H590" s="27" t="str">
        <f aca="false">IF(G590="","",IFERROR(INDEX(Levels!$C$5:$C$94,MATCH(G590,Levels!$G$5:$G$94,0)),"Not this class's skill"))</f>
        <v/>
      </c>
    </row>
    <row r="591" customFormat="false" ht="15" hidden="false" customHeight="false" outlineLevel="0" collapsed="false">
      <c r="A591" s="23"/>
      <c r="B591" s="22"/>
      <c r="C591" s="22"/>
      <c r="D591" s="22"/>
      <c r="E591" s="22"/>
      <c r="F591" s="27" t="str">
        <f aca="false">IF(B591="","",IFERROR(INDEX(Roster!$B$5:$B$154,MATCH(B591,Roster!$A$5:$A$154,0)),"Not on roster"))</f>
        <v/>
      </c>
      <c r="G591" s="28" t="str">
        <f aca="false">IF(OR(B591="",C591=""),"",F591&amp;" | "&amp;C591)</f>
        <v/>
      </c>
      <c r="H591" s="27" t="str">
        <f aca="false">IF(G591="","",IFERROR(INDEX(Levels!$C$5:$C$94,MATCH(G591,Levels!$G$5:$G$94,0)),"Not this class's skill"))</f>
        <v/>
      </c>
    </row>
    <row r="592" customFormat="false" ht="15" hidden="false" customHeight="false" outlineLevel="0" collapsed="false">
      <c r="A592" s="23"/>
      <c r="B592" s="22"/>
      <c r="C592" s="22"/>
      <c r="D592" s="22"/>
      <c r="E592" s="22"/>
      <c r="F592" s="27" t="str">
        <f aca="false">IF(B592="","",IFERROR(INDEX(Roster!$B$5:$B$154,MATCH(B592,Roster!$A$5:$A$154,0)),"Not on roster"))</f>
        <v/>
      </c>
      <c r="G592" s="28" t="str">
        <f aca="false">IF(OR(B592="",C592=""),"",F592&amp;" | "&amp;C592)</f>
        <v/>
      </c>
      <c r="H592" s="27" t="str">
        <f aca="false">IF(G592="","",IFERROR(INDEX(Levels!$C$5:$C$94,MATCH(G592,Levels!$G$5:$G$94,0)),"Not this class's skill"))</f>
        <v/>
      </c>
    </row>
    <row r="593" customFormat="false" ht="15" hidden="false" customHeight="false" outlineLevel="0" collapsed="false">
      <c r="A593" s="23"/>
      <c r="B593" s="22"/>
      <c r="C593" s="22"/>
      <c r="D593" s="22"/>
      <c r="E593" s="22"/>
      <c r="F593" s="27" t="str">
        <f aca="false">IF(B593="","",IFERROR(INDEX(Roster!$B$5:$B$154,MATCH(B593,Roster!$A$5:$A$154,0)),"Not on roster"))</f>
        <v/>
      </c>
      <c r="G593" s="28" t="str">
        <f aca="false">IF(OR(B593="",C593=""),"",F593&amp;" | "&amp;C593)</f>
        <v/>
      </c>
      <c r="H593" s="27" t="str">
        <f aca="false">IF(G593="","",IFERROR(INDEX(Levels!$C$5:$C$94,MATCH(G593,Levels!$G$5:$G$94,0)),"Not this class's skill"))</f>
        <v/>
      </c>
    </row>
    <row r="594" customFormat="false" ht="15" hidden="false" customHeight="false" outlineLevel="0" collapsed="false">
      <c r="A594" s="23"/>
      <c r="B594" s="22"/>
      <c r="C594" s="22"/>
      <c r="D594" s="22"/>
      <c r="E594" s="22"/>
      <c r="F594" s="27" t="str">
        <f aca="false">IF(B594="","",IFERROR(INDEX(Roster!$B$5:$B$154,MATCH(B594,Roster!$A$5:$A$154,0)),"Not on roster"))</f>
        <v/>
      </c>
      <c r="G594" s="28" t="str">
        <f aca="false">IF(OR(B594="",C594=""),"",F594&amp;" | "&amp;C594)</f>
        <v/>
      </c>
      <c r="H594" s="27" t="str">
        <f aca="false">IF(G594="","",IFERROR(INDEX(Levels!$C$5:$C$94,MATCH(G594,Levels!$G$5:$G$94,0)),"Not this class's skill"))</f>
        <v/>
      </c>
    </row>
    <row r="595" customFormat="false" ht="15" hidden="false" customHeight="false" outlineLevel="0" collapsed="false">
      <c r="A595" s="23"/>
      <c r="B595" s="22"/>
      <c r="C595" s="22"/>
      <c r="D595" s="22"/>
      <c r="E595" s="22"/>
      <c r="F595" s="27" t="str">
        <f aca="false">IF(B595="","",IFERROR(INDEX(Roster!$B$5:$B$154,MATCH(B595,Roster!$A$5:$A$154,0)),"Not on roster"))</f>
        <v/>
      </c>
      <c r="G595" s="28" t="str">
        <f aca="false">IF(OR(B595="",C595=""),"",F595&amp;" | "&amp;C595)</f>
        <v/>
      </c>
      <c r="H595" s="27" t="str">
        <f aca="false">IF(G595="","",IFERROR(INDEX(Levels!$C$5:$C$94,MATCH(G595,Levels!$G$5:$G$94,0)),"Not this class's skill"))</f>
        <v/>
      </c>
    </row>
    <row r="596" customFormat="false" ht="15" hidden="false" customHeight="false" outlineLevel="0" collapsed="false">
      <c r="A596" s="23"/>
      <c r="B596" s="22"/>
      <c r="C596" s="22"/>
      <c r="D596" s="22"/>
      <c r="E596" s="22"/>
      <c r="F596" s="27" t="str">
        <f aca="false">IF(B596="","",IFERROR(INDEX(Roster!$B$5:$B$154,MATCH(B596,Roster!$A$5:$A$154,0)),"Not on roster"))</f>
        <v/>
      </c>
      <c r="G596" s="28" t="str">
        <f aca="false">IF(OR(B596="",C596=""),"",F596&amp;" | "&amp;C596)</f>
        <v/>
      </c>
      <c r="H596" s="27" t="str">
        <f aca="false">IF(G596="","",IFERROR(INDEX(Levels!$C$5:$C$94,MATCH(G596,Levels!$G$5:$G$94,0)),"Not this class's skill"))</f>
        <v/>
      </c>
    </row>
    <row r="597" customFormat="false" ht="15" hidden="false" customHeight="false" outlineLevel="0" collapsed="false">
      <c r="A597" s="23"/>
      <c r="B597" s="22"/>
      <c r="C597" s="22"/>
      <c r="D597" s="22"/>
      <c r="E597" s="22"/>
      <c r="F597" s="27" t="str">
        <f aca="false">IF(B597="","",IFERROR(INDEX(Roster!$B$5:$B$154,MATCH(B597,Roster!$A$5:$A$154,0)),"Not on roster"))</f>
        <v/>
      </c>
      <c r="G597" s="28" t="str">
        <f aca="false">IF(OR(B597="",C597=""),"",F597&amp;" | "&amp;C597)</f>
        <v/>
      </c>
      <c r="H597" s="27" t="str">
        <f aca="false">IF(G597="","",IFERROR(INDEX(Levels!$C$5:$C$94,MATCH(G597,Levels!$G$5:$G$94,0)),"Not this class's skill"))</f>
        <v/>
      </c>
    </row>
    <row r="598" customFormat="false" ht="15" hidden="false" customHeight="false" outlineLevel="0" collapsed="false">
      <c r="A598" s="23"/>
      <c r="B598" s="22"/>
      <c r="C598" s="22"/>
      <c r="D598" s="22"/>
      <c r="E598" s="22"/>
      <c r="F598" s="27" t="str">
        <f aca="false">IF(B598="","",IFERROR(INDEX(Roster!$B$5:$B$154,MATCH(B598,Roster!$A$5:$A$154,0)),"Not on roster"))</f>
        <v/>
      </c>
      <c r="G598" s="28" t="str">
        <f aca="false">IF(OR(B598="",C598=""),"",F598&amp;" | "&amp;C598)</f>
        <v/>
      </c>
      <c r="H598" s="27" t="str">
        <f aca="false">IF(G598="","",IFERROR(INDEX(Levels!$C$5:$C$94,MATCH(G598,Levels!$G$5:$G$94,0)),"Not this class's skill"))</f>
        <v/>
      </c>
    </row>
    <row r="599" customFormat="false" ht="15" hidden="false" customHeight="false" outlineLevel="0" collapsed="false">
      <c r="A599" s="23"/>
      <c r="B599" s="22"/>
      <c r="C599" s="22"/>
      <c r="D599" s="22"/>
      <c r="E599" s="22"/>
      <c r="F599" s="27" t="str">
        <f aca="false">IF(B599="","",IFERROR(INDEX(Roster!$B$5:$B$154,MATCH(B599,Roster!$A$5:$A$154,0)),"Not on roster"))</f>
        <v/>
      </c>
      <c r="G599" s="28" t="str">
        <f aca="false">IF(OR(B599="",C599=""),"",F599&amp;" | "&amp;C599)</f>
        <v/>
      </c>
      <c r="H599" s="27" t="str">
        <f aca="false">IF(G599="","",IFERROR(INDEX(Levels!$C$5:$C$94,MATCH(G599,Levels!$G$5:$G$94,0)),"Not this class's skill"))</f>
        <v/>
      </c>
    </row>
    <row r="600" customFormat="false" ht="15" hidden="false" customHeight="false" outlineLevel="0" collapsed="false">
      <c r="A600" s="23"/>
      <c r="B600" s="22"/>
      <c r="C600" s="22"/>
      <c r="D600" s="22"/>
      <c r="E600" s="22"/>
      <c r="F600" s="27" t="str">
        <f aca="false">IF(B600="","",IFERROR(INDEX(Roster!$B$5:$B$154,MATCH(B600,Roster!$A$5:$A$154,0)),"Not on roster"))</f>
        <v/>
      </c>
      <c r="G600" s="28" t="str">
        <f aca="false">IF(OR(B600="",C600=""),"",F600&amp;" | "&amp;C600)</f>
        <v/>
      </c>
      <c r="H600" s="27" t="str">
        <f aca="false">IF(G600="","",IFERROR(INDEX(Levels!$C$5:$C$94,MATCH(G600,Levels!$G$5:$G$94,0)),"Not this class's skill"))</f>
        <v/>
      </c>
    </row>
    <row r="601" customFormat="false" ht="15" hidden="false" customHeight="false" outlineLevel="0" collapsed="false">
      <c r="A601" s="23"/>
      <c r="B601" s="22"/>
      <c r="C601" s="22"/>
      <c r="D601" s="22"/>
      <c r="E601" s="22"/>
      <c r="F601" s="27" t="str">
        <f aca="false">IF(B601="","",IFERROR(INDEX(Roster!$B$5:$B$154,MATCH(B601,Roster!$A$5:$A$154,0)),"Not on roster"))</f>
        <v/>
      </c>
      <c r="G601" s="28" t="str">
        <f aca="false">IF(OR(B601="",C601=""),"",F601&amp;" | "&amp;C601)</f>
        <v/>
      </c>
      <c r="H601" s="27" t="str">
        <f aca="false">IF(G601="","",IFERROR(INDEX(Levels!$C$5:$C$94,MATCH(G601,Levels!$G$5:$G$94,0)),"Not this class's skill"))</f>
        <v/>
      </c>
    </row>
    <row r="602" customFormat="false" ht="15" hidden="false" customHeight="false" outlineLevel="0" collapsed="false">
      <c r="A602" s="23"/>
      <c r="B602" s="22"/>
      <c r="C602" s="22"/>
      <c r="D602" s="22"/>
      <c r="E602" s="22"/>
      <c r="F602" s="27" t="str">
        <f aca="false">IF(B602="","",IFERROR(INDEX(Roster!$B$5:$B$154,MATCH(B602,Roster!$A$5:$A$154,0)),"Not on roster"))</f>
        <v/>
      </c>
      <c r="G602" s="28" t="str">
        <f aca="false">IF(OR(B602="",C602=""),"",F602&amp;" | "&amp;C602)</f>
        <v/>
      </c>
      <c r="H602" s="27" t="str">
        <f aca="false">IF(G602="","",IFERROR(INDEX(Levels!$C$5:$C$94,MATCH(G602,Levels!$G$5:$G$94,0)),"Not this class's skill"))</f>
        <v/>
      </c>
    </row>
    <row r="603" customFormat="false" ht="15" hidden="false" customHeight="false" outlineLevel="0" collapsed="false">
      <c r="A603" s="23"/>
      <c r="B603" s="22"/>
      <c r="C603" s="22"/>
      <c r="D603" s="22"/>
      <c r="E603" s="22"/>
      <c r="F603" s="27" t="str">
        <f aca="false">IF(B603="","",IFERROR(INDEX(Roster!$B$5:$B$154,MATCH(B603,Roster!$A$5:$A$154,0)),"Not on roster"))</f>
        <v/>
      </c>
      <c r="G603" s="28" t="str">
        <f aca="false">IF(OR(B603="",C603=""),"",F603&amp;" | "&amp;C603)</f>
        <v/>
      </c>
      <c r="H603" s="27" t="str">
        <f aca="false">IF(G603="","",IFERROR(INDEX(Levels!$C$5:$C$94,MATCH(G603,Levels!$G$5:$G$94,0)),"Not this class's skill"))</f>
        <v/>
      </c>
    </row>
    <row r="604" customFormat="false" ht="15" hidden="false" customHeight="false" outlineLevel="0" collapsed="false">
      <c r="A604" s="23"/>
      <c r="B604" s="22"/>
      <c r="C604" s="22"/>
      <c r="D604" s="22"/>
      <c r="E604" s="22"/>
      <c r="F604" s="27" t="str">
        <f aca="false">IF(B604="","",IFERROR(INDEX(Roster!$B$5:$B$154,MATCH(B604,Roster!$A$5:$A$154,0)),"Not on roster"))</f>
        <v/>
      </c>
      <c r="G604" s="28" t="str">
        <f aca="false">IF(OR(B604="",C604=""),"",F604&amp;" | "&amp;C604)</f>
        <v/>
      </c>
      <c r="H604" s="27" t="str">
        <f aca="false">IF(G604="","",IFERROR(INDEX(Levels!$C$5:$C$94,MATCH(G604,Levels!$G$5:$G$94,0)),"Not this class's skill"))</f>
        <v/>
      </c>
    </row>
    <row r="605" customFormat="false" ht="15" hidden="false" customHeight="false" outlineLevel="0" collapsed="false">
      <c r="A605" s="23"/>
      <c r="B605" s="22"/>
      <c r="C605" s="22"/>
      <c r="D605" s="22"/>
      <c r="E605" s="22"/>
      <c r="F605" s="27" t="str">
        <f aca="false">IF(B605="","",IFERROR(INDEX(Roster!$B$5:$B$154,MATCH(B605,Roster!$A$5:$A$154,0)),"Not on roster"))</f>
        <v/>
      </c>
      <c r="G605" s="28" t="str">
        <f aca="false">IF(OR(B605="",C605=""),"",F605&amp;" | "&amp;C605)</f>
        <v/>
      </c>
      <c r="H605" s="27" t="str">
        <f aca="false">IF(G605="","",IFERROR(INDEX(Levels!$C$5:$C$94,MATCH(G605,Levels!$G$5:$G$94,0)),"Not this class's skill"))</f>
        <v/>
      </c>
    </row>
    <row r="606" customFormat="false" ht="15" hidden="false" customHeight="false" outlineLevel="0" collapsed="false">
      <c r="A606" s="23"/>
      <c r="B606" s="22"/>
      <c r="C606" s="22"/>
      <c r="D606" s="22"/>
      <c r="E606" s="22"/>
      <c r="F606" s="27" t="str">
        <f aca="false">IF(B606="","",IFERROR(INDEX(Roster!$B$5:$B$154,MATCH(B606,Roster!$A$5:$A$154,0)),"Not on roster"))</f>
        <v/>
      </c>
      <c r="G606" s="28" t="str">
        <f aca="false">IF(OR(B606="",C606=""),"",F606&amp;" | "&amp;C606)</f>
        <v/>
      </c>
      <c r="H606" s="27" t="str">
        <f aca="false">IF(G606="","",IFERROR(INDEX(Levels!$C$5:$C$94,MATCH(G606,Levels!$G$5:$G$94,0)),"Not this class's skill"))</f>
        <v/>
      </c>
    </row>
    <row r="607" customFormat="false" ht="15" hidden="false" customHeight="false" outlineLevel="0" collapsed="false">
      <c r="A607" s="23"/>
      <c r="B607" s="22"/>
      <c r="C607" s="22"/>
      <c r="D607" s="22"/>
      <c r="E607" s="22"/>
      <c r="F607" s="27" t="str">
        <f aca="false">IF(B607="","",IFERROR(INDEX(Roster!$B$5:$B$154,MATCH(B607,Roster!$A$5:$A$154,0)),"Not on roster"))</f>
        <v/>
      </c>
      <c r="G607" s="28" t="str">
        <f aca="false">IF(OR(B607="",C607=""),"",F607&amp;" | "&amp;C607)</f>
        <v/>
      </c>
      <c r="H607" s="27" t="str">
        <f aca="false">IF(G607="","",IFERROR(INDEX(Levels!$C$5:$C$94,MATCH(G607,Levels!$G$5:$G$94,0)),"Not this class's skill"))</f>
        <v/>
      </c>
    </row>
    <row r="608" customFormat="false" ht="15" hidden="false" customHeight="false" outlineLevel="0" collapsed="false">
      <c r="A608" s="23"/>
      <c r="B608" s="22"/>
      <c r="C608" s="22"/>
      <c r="D608" s="22"/>
      <c r="E608" s="22"/>
      <c r="F608" s="27" t="str">
        <f aca="false">IF(B608="","",IFERROR(INDEX(Roster!$B$5:$B$154,MATCH(B608,Roster!$A$5:$A$154,0)),"Not on roster"))</f>
        <v/>
      </c>
      <c r="G608" s="28" t="str">
        <f aca="false">IF(OR(B608="",C608=""),"",F608&amp;" | "&amp;C608)</f>
        <v/>
      </c>
      <c r="H608" s="27" t="str">
        <f aca="false">IF(G608="","",IFERROR(INDEX(Levels!$C$5:$C$94,MATCH(G608,Levels!$G$5:$G$94,0)),"Not this class's skill"))</f>
        <v/>
      </c>
    </row>
    <row r="609" customFormat="false" ht="15" hidden="false" customHeight="false" outlineLevel="0" collapsed="false">
      <c r="A609" s="23"/>
      <c r="B609" s="22"/>
      <c r="C609" s="22"/>
      <c r="D609" s="22"/>
      <c r="E609" s="22"/>
      <c r="F609" s="27" t="str">
        <f aca="false">IF(B609="","",IFERROR(INDEX(Roster!$B$5:$B$154,MATCH(B609,Roster!$A$5:$A$154,0)),"Not on roster"))</f>
        <v/>
      </c>
      <c r="G609" s="28" t="str">
        <f aca="false">IF(OR(B609="",C609=""),"",F609&amp;" | "&amp;C609)</f>
        <v/>
      </c>
      <c r="H609" s="27" t="str">
        <f aca="false">IF(G609="","",IFERROR(INDEX(Levels!$C$5:$C$94,MATCH(G609,Levels!$G$5:$G$94,0)),"Not this class's skill"))</f>
        <v/>
      </c>
    </row>
    <row r="610" customFormat="false" ht="15" hidden="false" customHeight="false" outlineLevel="0" collapsed="false">
      <c r="A610" s="23"/>
      <c r="B610" s="22"/>
      <c r="C610" s="22"/>
      <c r="D610" s="22"/>
      <c r="E610" s="22"/>
      <c r="F610" s="27" t="str">
        <f aca="false">IF(B610="","",IFERROR(INDEX(Roster!$B$5:$B$154,MATCH(B610,Roster!$A$5:$A$154,0)),"Not on roster"))</f>
        <v/>
      </c>
      <c r="G610" s="28" t="str">
        <f aca="false">IF(OR(B610="",C610=""),"",F610&amp;" | "&amp;C610)</f>
        <v/>
      </c>
      <c r="H610" s="27" t="str">
        <f aca="false">IF(G610="","",IFERROR(INDEX(Levels!$C$5:$C$94,MATCH(G610,Levels!$G$5:$G$94,0)),"Not this class's skill"))</f>
        <v/>
      </c>
    </row>
    <row r="611" customFormat="false" ht="15" hidden="false" customHeight="false" outlineLevel="0" collapsed="false">
      <c r="A611" s="23"/>
      <c r="B611" s="22"/>
      <c r="C611" s="22"/>
      <c r="D611" s="22"/>
      <c r="E611" s="22"/>
      <c r="F611" s="27" t="str">
        <f aca="false">IF(B611="","",IFERROR(INDEX(Roster!$B$5:$B$154,MATCH(B611,Roster!$A$5:$A$154,0)),"Not on roster"))</f>
        <v/>
      </c>
      <c r="G611" s="28" t="str">
        <f aca="false">IF(OR(B611="",C611=""),"",F611&amp;" | "&amp;C611)</f>
        <v/>
      </c>
      <c r="H611" s="27" t="str">
        <f aca="false">IF(G611="","",IFERROR(INDEX(Levels!$C$5:$C$94,MATCH(G611,Levels!$G$5:$G$94,0)),"Not this class's skill"))</f>
        <v/>
      </c>
    </row>
    <row r="612" customFormat="false" ht="15" hidden="false" customHeight="false" outlineLevel="0" collapsed="false">
      <c r="A612" s="23"/>
      <c r="B612" s="22"/>
      <c r="C612" s="22"/>
      <c r="D612" s="22"/>
      <c r="E612" s="22"/>
      <c r="F612" s="27" t="str">
        <f aca="false">IF(B612="","",IFERROR(INDEX(Roster!$B$5:$B$154,MATCH(B612,Roster!$A$5:$A$154,0)),"Not on roster"))</f>
        <v/>
      </c>
      <c r="G612" s="28" t="str">
        <f aca="false">IF(OR(B612="",C612=""),"",F612&amp;" | "&amp;C612)</f>
        <v/>
      </c>
      <c r="H612" s="27" t="str">
        <f aca="false">IF(G612="","",IFERROR(INDEX(Levels!$C$5:$C$94,MATCH(G612,Levels!$G$5:$G$94,0)),"Not this class's skill"))</f>
        <v/>
      </c>
    </row>
    <row r="613" customFormat="false" ht="15" hidden="false" customHeight="false" outlineLevel="0" collapsed="false">
      <c r="A613" s="23"/>
      <c r="B613" s="22"/>
      <c r="C613" s="22"/>
      <c r="D613" s="22"/>
      <c r="E613" s="22"/>
      <c r="F613" s="27" t="str">
        <f aca="false">IF(B613="","",IFERROR(INDEX(Roster!$B$5:$B$154,MATCH(B613,Roster!$A$5:$A$154,0)),"Not on roster"))</f>
        <v/>
      </c>
      <c r="G613" s="28" t="str">
        <f aca="false">IF(OR(B613="",C613=""),"",F613&amp;" | "&amp;C613)</f>
        <v/>
      </c>
      <c r="H613" s="27" t="str">
        <f aca="false">IF(G613="","",IFERROR(INDEX(Levels!$C$5:$C$94,MATCH(G613,Levels!$G$5:$G$94,0)),"Not this class's skill"))</f>
        <v/>
      </c>
    </row>
    <row r="614" customFormat="false" ht="15" hidden="false" customHeight="false" outlineLevel="0" collapsed="false">
      <c r="A614" s="23"/>
      <c r="B614" s="22"/>
      <c r="C614" s="22"/>
      <c r="D614" s="22"/>
      <c r="E614" s="22"/>
      <c r="F614" s="27" t="str">
        <f aca="false">IF(B614="","",IFERROR(INDEX(Roster!$B$5:$B$154,MATCH(B614,Roster!$A$5:$A$154,0)),"Not on roster"))</f>
        <v/>
      </c>
      <c r="G614" s="28" t="str">
        <f aca="false">IF(OR(B614="",C614=""),"",F614&amp;" | "&amp;C614)</f>
        <v/>
      </c>
      <c r="H614" s="27" t="str">
        <f aca="false">IF(G614="","",IFERROR(INDEX(Levels!$C$5:$C$94,MATCH(G614,Levels!$G$5:$G$94,0)),"Not this class's skill"))</f>
        <v/>
      </c>
    </row>
    <row r="615" customFormat="false" ht="15" hidden="false" customHeight="false" outlineLevel="0" collapsed="false">
      <c r="A615" s="23"/>
      <c r="B615" s="22"/>
      <c r="C615" s="22"/>
      <c r="D615" s="22"/>
      <c r="E615" s="22"/>
      <c r="F615" s="27" t="str">
        <f aca="false">IF(B615="","",IFERROR(INDEX(Roster!$B$5:$B$154,MATCH(B615,Roster!$A$5:$A$154,0)),"Not on roster"))</f>
        <v/>
      </c>
      <c r="G615" s="28" t="str">
        <f aca="false">IF(OR(B615="",C615=""),"",F615&amp;" | "&amp;C615)</f>
        <v/>
      </c>
      <c r="H615" s="27" t="str">
        <f aca="false">IF(G615="","",IFERROR(INDEX(Levels!$C$5:$C$94,MATCH(G615,Levels!$G$5:$G$94,0)),"Not this class's skill"))</f>
        <v/>
      </c>
    </row>
    <row r="616" customFormat="false" ht="15" hidden="false" customHeight="false" outlineLevel="0" collapsed="false">
      <c r="A616" s="23"/>
      <c r="B616" s="22"/>
      <c r="C616" s="22"/>
      <c r="D616" s="22"/>
      <c r="E616" s="22"/>
      <c r="F616" s="27" t="str">
        <f aca="false">IF(B616="","",IFERROR(INDEX(Roster!$B$5:$B$154,MATCH(B616,Roster!$A$5:$A$154,0)),"Not on roster"))</f>
        <v/>
      </c>
      <c r="G616" s="28" t="str">
        <f aca="false">IF(OR(B616="",C616=""),"",F616&amp;" | "&amp;C616)</f>
        <v/>
      </c>
      <c r="H616" s="27" t="str">
        <f aca="false">IF(G616="","",IFERROR(INDEX(Levels!$C$5:$C$94,MATCH(G616,Levels!$G$5:$G$94,0)),"Not this class's skill"))</f>
        <v/>
      </c>
    </row>
    <row r="617" customFormat="false" ht="15" hidden="false" customHeight="false" outlineLevel="0" collapsed="false">
      <c r="A617" s="23"/>
      <c r="B617" s="22"/>
      <c r="C617" s="22"/>
      <c r="D617" s="22"/>
      <c r="E617" s="22"/>
      <c r="F617" s="27" t="str">
        <f aca="false">IF(B617="","",IFERROR(INDEX(Roster!$B$5:$B$154,MATCH(B617,Roster!$A$5:$A$154,0)),"Not on roster"))</f>
        <v/>
      </c>
      <c r="G617" s="28" t="str">
        <f aca="false">IF(OR(B617="",C617=""),"",F617&amp;" | "&amp;C617)</f>
        <v/>
      </c>
      <c r="H617" s="27" t="str">
        <f aca="false">IF(G617="","",IFERROR(INDEX(Levels!$C$5:$C$94,MATCH(G617,Levels!$G$5:$G$94,0)),"Not this class's skill"))</f>
        <v/>
      </c>
    </row>
    <row r="618" customFormat="false" ht="15" hidden="false" customHeight="false" outlineLevel="0" collapsed="false">
      <c r="A618" s="23"/>
      <c r="B618" s="22"/>
      <c r="C618" s="22"/>
      <c r="D618" s="22"/>
      <c r="E618" s="22"/>
      <c r="F618" s="27" t="str">
        <f aca="false">IF(B618="","",IFERROR(INDEX(Roster!$B$5:$B$154,MATCH(B618,Roster!$A$5:$A$154,0)),"Not on roster"))</f>
        <v/>
      </c>
      <c r="G618" s="28" t="str">
        <f aca="false">IF(OR(B618="",C618=""),"",F618&amp;" | "&amp;C618)</f>
        <v/>
      </c>
      <c r="H618" s="27" t="str">
        <f aca="false">IF(G618="","",IFERROR(INDEX(Levels!$C$5:$C$94,MATCH(G618,Levels!$G$5:$G$94,0)),"Not this class's skill"))</f>
        <v/>
      </c>
    </row>
    <row r="619" customFormat="false" ht="15" hidden="false" customHeight="false" outlineLevel="0" collapsed="false">
      <c r="A619" s="23"/>
      <c r="B619" s="22"/>
      <c r="C619" s="22"/>
      <c r="D619" s="22"/>
      <c r="E619" s="22"/>
      <c r="F619" s="27" t="str">
        <f aca="false">IF(B619="","",IFERROR(INDEX(Roster!$B$5:$B$154,MATCH(B619,Roster!$A$5:$A$154,0)),"Not on roster"))</f>
        <v/>
      </c>
      <c r="G619" s="28" t="str">
        <f aca="false">IF(OR(B619="",C619=""),"",F619&amp;" | "&amp;C619)</f>
        <v/>
      </c>
      <c r="H619" s="27" t="str">
        <f aca="false">IF(G619="","",IFERROR(INDEX(Levels!$C$5:$C$94,MATCH(G619,Levels!$G$5:$G$94,0)),"Not this class's skill"))</f>
        <v/>
      </c>
    </row>
    <row r="620" customFormat="false" ht="15" hidden="false" customHeight="false" outlineLevel="0" collapsed="false">
      <c r="A620" s="23"/>
      <c r="B620" s="22"/>
      <c r="C620" s="22"/>
      <c r="D620" s="22"/>
      <c r="E620" s="22"/>
      <c r="F620" s="27" t="str">
        <f aca="false">IF(B620="","",IFERROR(INDEX(Roster!$B$5:$B$154,MATCH(B620,Roster!$A$5:$A$154,0)),"Not on roster"))</f>
        <v/>
      </c>
      <c r="G620" s="28" t="str">
        <f aca="false">IF(OR(B620="",C620=""),"",F620&amp;" | "&amp;C620)</f>
        <v/>
      </c>
      <c r="H620" s="27" t="str">
        <f aca="false">IF(G620="","",IFERROR(INDEX(Levels!$C$5:$C$94,MATCH(G620,Levels!$G$5:$G$94,0)),"Not this class's skill"))</f>
        <v/>
      </c>
    </row>
    <row r="621" customFormat="false" ht="15" hidden="false" customHeight="false" outlineLevel="0" collapsed="false">
      <c r="A621" s="23"/>
      <c r="B621" s="22"/>
      <c r="C621" s="22"/>
      <c r="D621" s="22"/>
      <c r="E621" s="22"/>
      <c r="F621" s="27" t="str">
        <f aca="false">IF(B621="","",IFERROR(INDEX(Roster!$B$5:$B$154,MATCH(B621,Roster!$A$5:$A$154,0)),"Not on roster"))</f>
        <v/>
      </c>
      <c r="G621" s="28" t="str">
        <f aca="false">IF(OR(B621="",C621=""),"",F621&amp;" | "&amp;C621)</f>
        <v/>
      </c>
      <c r="H621" s="27" t="str">
        <f aca="false">IF(G621="","",IFERROR(INDEX(Levels!$C$5:$C$94,MATCH(G621,Levels!$G$5:$G$94,0)),"Not this class's skill"))</f>
        <v/>
      </c>
    </row>
    <row r="622" customFormat="false" ht="15" hidden="false" customHeight="false" outlineLevel="0" collapsed="false">
      <c r="A622" s="23"/>
      <c r="B622" s="22"/>
      <c r="C622" s="22"/>
      <c r="D622" s="22"/>
      <c r="E622" s="22"/>
      <c r="F622" s="27" t="str">
        <f aca="false">IF(B622="","",IFERROR(INDEX(Roster!$B$5:$B$154,MATCH(B622,Roster!$A$5:$A$154,0)),"Not on roster"))</f>
        <v/>
      </c>
      <c r="G622" s="28" t="str">
        <f aca="false">IF(OR(B622="",C622=""),"",F622&amp;" | "&amp;C622)</f>
        <v/>
      </c>
      <c r="H622" s="27" t="str">
        <f aca="false">IF(G622="","",IFERROR(INDEX(Levels!$C$5:$C$94,MATCH(G622,Levels!$G$5:$G$94,0)),"Not this class's skill"))</f>
        <v/>
      </c>
    </row>
    <row r="623" customFormat="false" ht="15" hidden="false" customHeight="false" outlineLevel="0" collapsed="false">
      <c r="A623" s="23"/>
      <c r="B623" s="22"/>
      <c r="C623" s="22"/>
      <c r="D623" s="22"/>
      <c r="E623" s="22"/>
      <c r="F623" s="27" t="str">
        <f aca="false">IF(B623="","",IFERROR(INDEX(Roster!$B$5:$B$154,MATCH(B623,Roster!$A$5:$A$154,0)),"Not on roster"))</f>
        <v/>
      </c>
      <c r="G623" s="28" t="str">
        <f aca="false">IF(OR(B623="",C623=""),"",F623&amp;" | "&amp;C623)</f>
        <v/>
      </c>
      <c r="H623" s="27" t="str">
        <f aca="false">IF(G623="","",IFERROR(INDEX(Levels!$C$5:$C$94,MATCH(G623,Levels!$G$5:$G$94,0)),"Not this class's skill"))</f>
        <v/>
      </c>
    </row>
    <row r="624" customFormat="false" ht="15" hidden="false" customHeight="false" outlineLevel="0" collapsed="false">
      <c r="A624" s="23"/>
      <c r="B624" s="22"/>
      <c r="C624" s="22"/>
      <c r="D624" s="22"/>
      <c r="E624" s="22"/>
      <c r="F624" s="27" t="str">
        <f aca="false">IF(B624="","",IFERROR(INDEX(Roster!$B$5:$B$154,MATCH(B624,Roster!$A$5:$A$154,0)),"Not on roster"))</f>
        <v/>
      </c>
      <c r="G624" s="28" t="str">
        <f aca="false">IF(OR(B624="",C624=""),"",F624&amp;" | "&amp;C624)</f>
        <v/>
      </c>
      <c r="H624" s="27" t="str">
        <f aca="false">IF(G624="","",IFERROR(INDEX(Levels!$C$5:$C$94,MATCH(G624,Levels!$G$5:$G$94,0)),"Not this class's skill"))</f>
        <v/>
      </c>
    </row>
    <row r="625" customFormat="false" ht="15" hidden="false" customHeight="false" outlineLevel="0" collapsed="false">
      <c r="A625" s="23"/>
      <c r="B625" s="22"/>
      <c r="C625" s="22"/>
      <c r="D625" s="22"/>
      <c r="E625" s="22"/>
      <c r="F625" s="27" t="str">
        <f aca="false">IF(B625="","",IFERROR(INDEX(Roster!$B$5:$B$154,MATCH(B625,Roster!$A$5:$A$154,0)),"Not on roster"))</f>
        <v/>
      </c>
      <c r="G625" s="28" t="str">
        <f aca="false">IF(OR(B625="",C625=""),"",F625&amp;" | "&amp;C625)</f>
        <v/>
      </c>
      <c r="H625" s="27" t="str">
        <f aca="false">IF(G625="","",IFERROR(INDEX(Levels!$C$5:$C$94,MATCH(G625,Levels!$G$5:$G$94,0)),"Not this class's skill"))</f>
        <v/>
      </c>
    </row>
    <row r="626" customFormat="false" ht="15" hidden="false" customHeight="false" outlineLevel="0" collapsed="false">
      <c r="A626" s="23"/>
      <c r="B626" s="22"/>
      <c r="C626" s="22"/>
      <c r="D626" s="22"/>
      <c r="E626" s="22"/>
      <c r="F626" s="27" t="str">
        <f aca="false">IF(B626="","",IFERROR(INDEX(Roster!$B$5:$B$154,MATCH(B626,Roster!$A$5:$A$154,0)),"Not on roster"))</f>
        <v/>
      </c>
      <c r="G626" s="28" t="str">
        <f aca="false">IF(OR(B626="",C626=""),"",F626&amp;" | "&amp;C626)</f>
        <v/>
      </c>
      <c r="H626" s="27" t="str">
        <f aca="false">IF(G626="","",IFERROR(INDEX(Levels!$C$5:$C$94,MATCH(G626,Levels!$G$5:$G$94,0)),"Not this class's skill"))</f>
        <v/>
      </c>
    </row>
    <row r="627" customFormat="false" ht="15" hidden="false" customHeight="false" outlineLevel="0" collapsed="false">
      <c r="A627" s="23"/>
      <c r="B627" s="22"/>
      <c r="C627" s="22"/>
      <c r="D627" s="22"/>
      <c r="E627" s="22"/>
      <c r="F627" s="27" t="str">
        <f aca="false">IF(B627="","",IFERROR(INDEX(Roster!$B$5:$B$154,MATCH(B627,Roster!$A$5:$A$154,0)),"Not on roster"))</f>
        <v/>
      </c>
      <c r="G627" s="28" t="str">
        <f aca="false">IF(OR(B627="",C627=""),"",F627&amp;" | "&amp;C627)</f>
        <v/>
      </c>
      <c r="H627" s="27" t="str">
        <f aca="false">IF(G627="","",IFERROR(INDEX(Levels!$C$5:$C$94,MATCH(G627,Levels!$G$5:$G$94,0)),"Not this class's skill"))</f>
        <v/>
      </c>
    </row>
    <row r="628" customFormat="false" ht="15" hidden="false" customHeight="false" outlineLevel="0" collapsed="false">
      <c r="A628" s="23"/>
      <c r="B628" s="22"/>
      <c r="C628" s="22"/>
      <c r="D628" s="22"/>
      <c r="E628" s="22"/>
      <c r="F628" s="27" t="str">
        <f aca="false">IF(B628="","",IFERROR(INDEX(Roster!$B$5:$B$154,MATCH(B628,Roster!$A$5:$A$154,0)),"Not on roster"))</f>
        <v/>
      </c>
      <c r="G628" s="28" t="str">
        <f aca="false">IF(OR(B628="",C628=""),"",F628&amp;" | "&amp;C628)</f>
        <v/>
      </c>
      <c r="H628" s="27" t="str">
        <f aca="false">IF(G628="","",IFERROR(INDEX(Levels!$C$5:$C$94,MATCH(G628,Levels!$G$5:$G$94,0)),"Not this class's skill"))</f>
        <v/>
      </c>
    </row>
    <row r="629" customFormat="false" ht="15" hidden="false" customHeight="false" outlineLevel="0" collapsed="false">
      <c r="A629" s="23"/>
      <c r="B629" s="22"/>
      <c r="C629" s="22"/>
      <c r="D629" s="22"/>
      <c r="E629" s="22"/>
      <c r="F629" s="27" t="str">
        <f aca="false">IF(B629="","",IFERROR(INDEX(Roster!$B$5:$B$154,MATCH(B629,Roster!$A$5:$A$154,0)),"Not on roster"))</f>
        <v/>
      </c>
      <c r="G629" s="28" t="str">
        <f aca="false">IF(OR(B629="",C629=""),"",F629&amp;" | "&amp;C629)</f>
        <v/>
      </c>
      <c r="H629" s="27" t="str">
        <f aca="false">IF(G629="","",IFERROR(INDEX(Levels!$C$5:$C$94,MATCH(G629,Levels!$G$5:$G$94,0)),"Not this class's skill"))</f>
        <v/>
      </c>
    </row>
    <row r="630" customFormat="false" ht="15" hidden="false" customHeight="false" outlineLevel="0" collapsed="false">
      <c r="A630" s="23"/>
      <c r="B630" s="22"/>
      <c r="C630" s="22"/>
      <c r="D630" s="22"/>
      <c r="E630" s="22"/>
      <c r="F630" s="27" t="str">
        <f aca="false">IF(B630="","",IFERROR(INDEX(Roster!$B$5:$B$154,MATCH(B630,Roster!$A$5:$A$154,0)),"Not on roster"))</f>
        <v/>
      </c>
      <c r="G630" s="28" t="str">
        <f aca="false">IF(OR(B630="",C630=""),"",F630&amp;" | "&amp;C630)</f>
        <v/>
      </c>
      <c r="H630" s="27" t="str">
        <f aca="false">IF(G630="","",IFERROR(INDEX(Levels!$C$5:$C$94,MATCH(G630,Levels!$G$5:$G$94,0)),"Not this class's skill"))</f>
        <v/>
      </c>
    </row>
    <row r="631" customFormat="false" ht="15" hidden="false" customHeight="false" outlineLevel="0" collapsed="false">
      <c r="A631" s="23"/>
      <c r="B631" s="22"/>
      <c r="C631" s="22"/>
      <c r="D631" s="22"/>
      <c r="E631" s="22"/>
      <c r="F631" s="27" t="str">
        <f aca="false">IF(B631="","",IFERROR(INDEX(Roster!$B$5:$B$154,MATCH(B631,Roster!$A$5:$A$154,0)),"Not on roster"))</f>
        <v/>
      </c>
      <c r="G631" s="28" t="str">
        <f aca="false">IF(OR(B631="",C631=""),"",F631&amp;" | "&amp;C631)</f>
        <v/>
      </c>
      <c r="H631" s="27" t="str">
        <f aca="false">IF(G631="","",IFERROR(INDEX(Levels!$C$5:$C$94,MATCH(G631,Levels!$G$5:$G$94,0)),"Not this class's skill"))</f>
        <v/>
      </c>
    </row>
    <row r="632" customFormat="false" ht="15" hidden="false" customHeight="false" outlineLevel="0" collapsed="false">
      <c r="A632" s="23"/>
      <c r="B632" s="22"/>
      <c r="C632" s="22"/>
      <c r="D632" s="22"/>
      <c r="E632" s="22"/>
      <c r="F632" s="27" t="str">
        <f aca="false">IF(B632="","",IFERROR(INDEX(Roster!$B$5:$B$154,MATCH(B632,Roster!$A$5:$A$154,0)),"Not on roster"))</f>
        <v/>
      </c>
      <c r="G632" s="28" t="str">
        <f aca="false">IF(OR(B632="",C632=""),"",F632&amp;" | "&amp;C632)</f>
        <v/>
      </c>
      <c r="H632" s="27" t="str">
        <f aca="false">IF(G632="","",IFERROR(INDEX(Levels!$C$5:$C$94,MATCH(G632,Levels!$G$5:$G$94,0)),"Not this class's skill"))</f>
        <v/>
      </c>
    </row>
    <row r="633" customFormat="false" ht="15" hidden="false" customHeight="false" outlineLevel="0" collapsed="false">
      <c r="A633" s="23"/>
      <c r="B633" s="22"/>
      <c r="C633" s="22"/>
      <c r="D633" s="22"/>
      <c r="E633" s="22"/>
      <c r="F633" s="27" t="str">
        <f aca="false">IF(B633="","",IFERROR(INDEX(Roster!$B$5:$B$154,MATCH(B633,Roster!$A$5:$A$154,0)),"Not on roster"))</f>
        <v/>
      </c>
      <c r="G633" s="28" t="str">
        <f aca="false">IF(OR(B633="",C633=""),"",F633&amp;" | "&amp;C633)</f>
        <v/>
      </c>
      <c r="H633" s="27" t="str">
        <f aca="false">IF(G633="","",IFERROR(INDEX(Levels!$C$5:$C$94,MATCH(G633,Levels!$G$5:$G$94,0)),"Not this class's skill"))</f>
        <v/>
      </c>
    </row>
    <row r="634" customFormat="false" ht="15" hidden="false" customHeight="false" outlineLevel="0" collapsed="false">
      <c r="A634" s="23"/>
      <c r="B634" s="22"/>
      <c r="C634" s="22"/>
      <c r="D634" s="22"/>
      <c r="E634" s="22"/>
      <c r="F634" s="27" t="str">
        <f aca="false">IF(B634="","",IFERROR(INDEX(Roster!$B$5:$B$154,MATCH(B634,Roster!$A$5:$A$154,0)),"Not on roster"))</f>
        <v/>
      </c>
      <c r="G634" s="28" t="str">
        <f aca="false">IF(OR(B634="",C634=""),"",F634&amp;" | "&amp;C634)</f>
        <v/>
      </c>
      <c r="H634" s="27" t="str">
        <f aca="false">IF(G634="","",IFERROR(INDEX(Levels!$C$5:$C$94,MATCH(G634,Levels!$G$5:$G$94,0)),"Not this class's skill"))</f>
        <v/>
      </c>
    </row>
    <row r="635" customFormat="false" ht="15" hidden="false" customHeight="false" outlineLevel="0" collapsed="false">
      <c r="A635" s="23"/>
      <c r="B635" s="22"/>
      <c r="C635" s="22"/>
      <c r="D635" s="22"/>
      <c r="E635" s="22"/>
      <c r="F635" s="27" t="str">
        <f aca="false">IF(B635="","",IFERROR(INDEX(Roster!$B$5:$B$154,MATCH(B635,Roster!$A$5:$A$154,0)),"Not on roster"))</f>
        <v/>
      </c>
      <c r="G635" s="28" t="str">
        <f aca="false">IF(OR(B635="",C635=""),"",F635&amp;" | "&amp;C635)</f>
        <v/>
      </c>
      <c r="H635" s="27" t="str">
        <f aca="false">IF(G635="","",IFERROR(INDEX(Levels!$C$5:$C$94,MATCH(G635,Levels!$G$5:$G$94,0)),"Not this class's skill"))</f>
        <v/>
      </c>
    </row>
    <row r="636" customFormat="false" ht="15" hidden="false" customHeight="false" outlineLevel="0" collapsed="false">
      <c r="A636" s="23"/>
      <c r="B636" s="22"/>
      <c r="C636" s="22"/>
      <c r="D636" s="22"/>
      <c r="E636" s="22"/>
      <c r="F636" s="27" t="str">
        <f aca="false">IF(B636="","",IFERROR(INDEX(Roster!$B$5:$B$154,MATCH(B636,Roster!$A$5:$A$154,0)),"Not on roster"))</f>
        <v/>
      </c>
      <c r="G636" s="28" t="str">
        <f aca="false">IF(OR(B636="",C636=""),"",F636&amp;" | "&amp;C636)</f>
        <v/>
      </c>
      <c r="H636" s="27" t="str">
        <f aca="false">IF(G636="","",IFERROR(INDEX(Levels!$C$5:$C$94,MATCH(G636,Levels!$G$5:$G$94,0)),"Not this class's skill"))</f>
        <v/>
      </c>
    </row>
    <row r="637" customFormat="false" ht="15" hidden="false" customHeight="false" outlineLevel="0" collapsed="false">
      <c r="A637" s="23"/>
      <c r="B637" s="22"/>
      <c r="C637" s="22"/>
      <c r="D637" s="22"/>
      <c r="E637" s="22"/>
      <c r="F637" s="27" t="str">
        <f aca="false">IF(B637="","",IFERROR(INDEX(Roster!$B$5:$B$154,MATCH(B637,Roster!$A$5:$A$154,0)),"Not on roster"))</f>
        <v/>
      </c>
      <c r="G637" s="28" t="str">
        <f aca="false">IF(OR(B637="",C637=""),"",F637&amp;" | "&amp;C637)</f>
        <v/>
      </c>
      <c r="H637" s="27" t="str">
        <f aca="false">IF(G637="","",IFERROR(INDEX(Levels!$C$5:$C$94,MATCH(G637,Levels!$G$5:$G$94,0)),"Not this class's skill"))</f>
        <v/>
      </c>
    </row>
    <row r="638" customFormat="false" ht="15" hidden="false" customHeight="false" outlineLevel="0" collapsed="false">
      <c r="A638" s="23"/>
      <c r="B638" s="22"/>
      <c r="C638" s="22"/>
      <c r="D638" s="22"/>
      <c r="E638" s="22"/>
      <c r="F638" s="27" t="str">
        <f aca="false">IF(B638="","",IFERROR(INDEX(Roster!$B$5:$B$154,MATCH(B638,Roster!$A$5:$A$154,0)),"Not on roster"))</f>
        <v/>
      </c>
      <c r="G638" s="28" t="str">
        <f aca="false">IF(OR(B638="",C638=""),"",F638&amp;" | "&amp;C638)</f>
        <v/>
      </c>
      <c r="H638" s="27" t="str">
        <f aca="false">IF(G638="","",IFERROR(INDEX(Levels!$C$5:$C$94,MATCH(G638,Levels!$G$5:$G$94,0)),"Not this class's skill"))</f>
        <v/>
      </c>
    </row>
    <row r="639" customFormat="false" ht="15" hidden="false" customHeight="false" outlineLevel="0" collapsed="false">
      <c r="A639" s="23"/>
      <c r="B639" s="22"/>
      <c r="C639" s="22"/>
      <c r="D639" s="22"/>
      <c r="E639" s="22"/>
      <c r="F639" s="27" t="str">
        <f aca="false">IF(B639="","",IFERROR(INDEX(Roster!$B$5:$B$154,MATCH(B639,Roster!$A$5:$A$154,0)),"Not on roster"))</f>
        <v/>
      </c>
      <c r="G639" s="28" t="str">
        <f aca="false">IF(OR(B639="",C639=""),"",F639&amp;" | "&amp;C639)</f>
        <v/>
      </c>
      <c r="H639" s="27" t="str">
        <f aca="false">IF(G639="","",IFERROR(INDEX(Levels!$C$5:$C$94,MATCH(G639,Levels!$G$5:$G$94,0)),"Not this class's skill"))</f>
        <v/>
      </c>
    </row>
    <row r="640" customFormat="false" ht="15" hidden="false" customHeight="false" outlineLevel="0" collapsed="false">
      <c r="A640" s="23"/>
      <c r="B640" s="22"/>
      <c r="C640" s="22"/>
      <c r="D640" s="22"/>
      <c r="E640" s="22"/>
      <c r="F640" s="27" t="str">
        <f aca="false">IF(B640="","",IFERROR(INDEX(Roster!$B$5:$B$154,MATCH(B640,Roster!$A$5:$A$154,0)),"Not on roster"))</f>
        <v/>
      </c>
      <c r="G640" s="28" t="str">
        <f aca="false">IF(OR(B640="",C640=""),"",F640&amp;" | "&amp;C640)</f>
        <v/>
      </c>
      <c r="H640" s="27" t="str">
        <f aca="false">IF(G640="","",IFERROR(INDEX(Levels!$C$5:$C$94,MATCH(G640,Levels!$G$5:$G$94,0)),"Not this class's skill"))</f>
        <v/>
      </c>
    </row>
    <row r="641" customFormat="false" ht="15" hidden="false" customHeight="false" outlineLevel="0" collapsed="false">
      <c r="A641" s="23"/>
      <c r="B641" s="22"/>
      <c r="C641" s="22"/>
      <c r="D641" s="22"/>
      <c r="E641" s="22"/>
      <c r="F641" s="27" t="str">
        <f aca="false">IF(B641="","",IFERROR(INDEX(Roster!$B$5:$B$154,MATCH(B641,Roster!$A$5:$A$154,0)),"Not on roster"))</f>
        <v/>
      </c>
      <c r="G641" s="28" t="str">
        <f aca="false">IF(OR(B641="",C641=""),"",F641&amp;" | "&amp;C641)</f>
        <v/>
      </c>
      <c r="H641" s="27" t="str">
        <f aca="false">IF(G641="","",IFERROR(INDEX(Levels!$C$5:$C$94,MATCH(G641,Levels!$G$5:$G$94,0)),"Not this class's skill"))</f>
        <v/>
      </c>
    </row>
    <row r="642" customFormat="false" ht="15" hidden="false" customHeight="false" outlineLevel="0" collapsed="false">
      <c r="A642" s="23"/>
      <c r="B642" s="22"/>
      <c r="C642" s="22"/>
      <c r="D642" s="22"/>
      <c r="E642" s="22"/>
      <c r="F642" s="27" t="str">
        <f aca="false">IF(B642="","",IFERROR(INDEX(Roster!$B$5:$B$154,MATCH(B642,Roster!$A$5:$A$154,0)),"Not on roster"))</f>
        <v/>
      </c>
      <c r="G642" s="28" t="str">
        <f aca="false">IF(OR(B642="",C642=""),"",F642&amp;" | "&amp;C642)</f>
        <v/>
      </c>
      <c r="H642" s="27" t="str">
        <f aca="false">IF(G642="","",IFERROR(INDEX(Levels!$C$5:$C$94,MATCH(G642,Levels!$G$5:$G$94,0)),"Not this class's skill"))</f>
        <v/>
      </c>
    </row>
    <row r="643" customFormat="false" ht="15" hidden="false" customHeight="false" outlineLevel="0" collapsed="false">
      <c r="A643" s="23"/>
      <c r="B643" s="22"/>
      <c r="C643" s="22"/>
      <c r="D643" s="22"/>
      <c r="E643" s="22"/>
      <c r="F643" s="27" t="str">
        <f aca="false">IF(B643="","",IFERROR(INDEX(Roster!$B$5:$B$154,MATCH(B643,Roster!$A$5:$A$154,0)),"Not on roster"))</f>
        <v/>
      </c>
      <c r="G643" s="28" t="str">
        <f aca="false">IF(OR(B643="",C643=""),"",F643&amp;" | "&amp;C643)</f>
        <v/>
      </c>
      <c r="H643" s="27" t="str">
        <f aca="false">IF(G643="","",IFERROR(INDEX(Levels!$C$5:$C$94,MATCH(G643,Levels!$G$5:$G$94,0)),"Not this class's skill"))</f>
        <v/>
      </c>
    </row>
    <row r="644" customFormat="false" ht="15" hidden="false" customHeight="false" outlineLevel="0" collapsed="false">
      <c r="A644" s="23"/>
      <c r="B644" s="22"/>
      <c r="C644" s="22"/>
      <c r="D644" s="22"/>
      <c r="E644" s="22"/>
      <c r="F644" s="27" t="str">
        <f aca="false">IF(B644="","",IFERROR(INDEX(Roster!$B$5:$B$154,MATCH(B644,Roster!$A$5:$A$154,0)),"Not on roster"))</f>
        <v/>
      </c>
      <c r="G644" s="28" t="str">
        <f aca="false">IF(OR(B644="",C644=""),"",F644&amp;" | "&amp;C644)</f>
        <v/>
      </c>
      <c r="H644" s="27" t="str">
        <f aca="false">IF(G644="","",IFERROR(INDEX(Levels!$C$5:$C$94,MATCH(G644,Levels!$G$5:$G$94,0)),"Not this class's skill"))</f>
        <v/>
      </c>
    </row>
    <row r="645" customFormat="false" ht="15" hidden="false" customHeight="false" outlineLevel="0" collapsed="false">
      <c r="A645" s="23"/>
      <c r="B645" s="22"/>
      <c r="C645" s="22"/>
      <c r="D645" s="22"/>
      <c r="E645" s="22"/>
      <c r="F645" s="27" t="str">
        <f aca="false">IF(B645="","",IFERROR(INDEX(Roster!$B$5:$B$154,MATCH(B645,Roster!$A$5:$A$154,0)),"Not on roster"))</f>
        <v/>
      </c>
      <c r="G645" s="28" t="str">
        <f aca="false">IF(OR(B645="",C645=""),"",F645&amp;" | "&amp;C645)</f>
        <v/>
      </c>
      <c r="H645" s="27" t="str">
        <f aca="false">IF(G645="","",IFERROR(INDEX(Levels!$C$5:$C$94,MATCH(G645,Levels!$G$5:$G$94,0)),"Not this class's skill"))</f>
        <v/>
      </c>
    </row>
    <row r="646" customFormat="false" ht="15" hidden="false" customHeight="false" outlineLevel="0" collapsed="false">
      <c r="A646" s="23"/>
      <c r="B646" s="22"/>
      <c r="C646" s="22"/>
      <c r="D646" s="22"/>
      <c r="E646" s="22"/>
      <c r="F646" s="27" t="str">
        <f aca="false">IF(B646="","",IFERROR(INDEX(Roster!$B$5:$B$154,MATCH(B646,Roster!$A$5:$A$154,0)),"Not on roster"))</f>
        <v/>
      </c>
      <c r="G646" s="28" t="str">
        <f aca="false">IF(OR(B646="",C646=""),"",F646&amp;" | "&amp;C646)</f>
        <v/>
      </c>
      <c r="H646" s="27" t="str">
        <f aca="false">IF(G646="","",IFERROR(INDEX(Levels!$C$5:$C$94,MATCH(G646,Levels!$G$5:$G$94,0)),"Not this class's skill"))</f>
        <v/>
      </c>
    </row>
    <row r="647" customFormat="false" ht="15" hidden="false" customHeight="false" outlineLevel="0" collapsed="false">
      <c r="A647" s="23"/>
      <c r="B647" s="22"/>
      <c r="C647" s="22"/>
      <c r="D647" s="22"/>
      <c r="E647" s="22"/>
      <c r="F647" s="27" t="str">
        <f aca="false">IF(B647="","",IFERROR(INDEX(Roster!$B$5:$B$154,MATCH(B647,Roster!$A$5:$A$154,0)),"Not on roster"))</f>
        <v/>
      </c>
      <c r="G647" s="28" t="str">
        <f aca="false">IF(OR(B647="",C647=""),"",F647&amp;" | "&amp;C647)</f>
        <v/>
      </c>
      <c r="H647" s="27" t="str">
        <f aca="false">IF(G647="","",IFERROR(INDEX(Levels!$C$5:$C$94,MATCH(G647,Levels!$G$5:$G$94,0)),"Not this class's skill"))</f>
        <v/>
      </c>
    </row>
    <row r="648" customFormat="false" ht="15" hidden="false" customHeight="false" outlineLevel="0" collapsed="false">
      <c r="A648" s="23"/>
      <c r="B648" s="22"/>
      <c r="C648" s="22"/>
      <c r="D648" s="22"/>
      <c r="E648" s="22"/>
      <c r="F648" s="27" t="str">
        <f aca="false">IF(B648="","",IFERROR(INDEX(Roster!$B$5:$B$154,MATCH(B648,Roster!$A$5:$A$154,0)),"Not on roster"))</f>
        <v/>
      </c>
      <c r="G648" s="28" t="str">
        <f aca="false">IF(OR(B648="",C648=""),"",F648&amp;" | "&amp;C648)</f>
        <v/>
      </c>
      <c r="H648" s="27" t="str">
        <f aca="false">IF(G648="","",IFERROR(INDEX(Levels!$C$5:$C$94,MATCH(G648,Levels!$G$5:$G$94,0)),"Not this class's skill"))</f>
        <v/>
      </c>
    </row>
    <row r="649" customFormat="false" ht="15" hidden="false" customHeight="false" outlineLevel="0" collapsed="false">
      <c r="A649" s="23"/>
      <c r="B649" s="22"/>
      <c r="C649" s="22"/>
      <c r="D649" s="22"/>
      <c r="E649" s="22"/>
      <c r="F649" s="27" t="str">
        <f aca="false">IF(B649="","",IFERROR(INDEX(Roster!$B$5:$B$154,MATCH(B649,Roster!$A$5:$A$154,0)),"Not on roster"))</f>
        <v/>
      </c>
      <c r="G649" s="28" t="str">
        <f aca="false">IF(OR(B649="",C649=""),"",F649&amp;" | "&amp;C649)</f>
        <v/>
      </c>
      <c r="H649" s="27" t="str">
        <f aca="false">IF(G649="","",IFERROR(INDEX(Levels!$C$5:$C$94,MATCH(G649,Levels!$G$5:$G$94,0)),"Not this class's skill"))</f>
        <v/>
      </c>
    </row>
    <row r="650" customFormat="false" ht="15" hidden="false" customHeight="false" outlineLevel="0" collapsed="false">
      <c r="A650" s="23"/>
      <c r="B650" s="22"/>
      <c r="C650" s="22"/>
      <c r="D650" s="22"/>
      <c r="E650" s="22"/>
      <c r="F650" s="27" t="str">
        <f aca="false">IF(B650="","",IFERROR(INDEX(Roster!$B$5:$B$154,MATCH(B650,Roster!$A$5:$A$154,0)),"Not on roster"))</f>
        <v/>
      </c>
      <c r="G650" s="28" t="str">
        <f aca="false">IF(OR(B650="",C650=""),"",F650&amp;" | "&amp;C650)</f>
        <v/>
      </c>
      <c r="H650" s="27" t="str">
        <f aca="false">IF(G650="","",IFERROR(INDEX(Levels!$C$5:$C$94,MATCH(G650,Levels!$G$5:$G$94,0)),"Not this class's skill"))</f>
        <v/>
      </c>
    </row>
    <row r="651" customFormat="false" ht="15" hidden="false" customHeight="false" outlineLevel="0" collapsed="false">
      <c r="A651" s="23"/>
      <c r="B651" s="22"/>
      <c r="C651" s="22"/>
      <c r="D651" s="22"/>
      <c r="E651" s="22"/>
      <c r="F651" s="27" t="str">
        <f aca="false">IF(B651="","",IFERROR(INDEX(Roster!$B$5:$B$154,MATCH(B651,Roster!$A$5:$A$154,0)),"Not on roster"))</f>
        <v/>
      </c>
      <c r="G651" s="28" t="str">
        <f aca="false">IF(OR(B651="",C651=""),"",F651&amp;" | "&amp;C651)</f>
        <v/>
      </c>
      <c r="H651" s="27" t="str">
        <f aca="false">IF(G651="","",IFERROR(INDEX(Levels!$C$5:$C$94,MATCH(G651,Levels!$G$5:$G$94,0)),"Not this class's skill"))</f>
        <v/>
      </c>
    </row>
    <row r="652" customFormat="false" ht="15" hidden="false" customHeight="false" outlineLevel="0" collapsed="false">
      <c r="A652" s="23"/>
      <c r="B652" s="22"/>
      <c r="C652" s="22"/>
      <c r="D652" s="22"/>
      <c r="E652" s="22"/>
      <c r="F652" s="27" t="str">
        <f aca="false">IF(B652="","",IFERROR(INDEX(Roster!$B$5:$B$154,MATCH(B652,Roster!$A$5:$A$154,0)),"Not on roster"))</f>
        <v/>
      </c>
      <c r="G652" s="28" t="str">
        <f aca="false">IF(OR(B652="",C652=""),"",F652&amp;" | "&amp;C652)</f>
        <v/>
      </c>
      <c r="H652" s="27" t="str">
        <f aca="false">IF(G652="","",IFERROR(INDEX(Levels!$C$5:$C$94,MATCH(G652,Levels!$G$5:$G$94,0)),"Not this class's skill"))</f>
        <v/>
      </c>
    </row>
    <row r="653" customFormat="false" ht="15" hidden="false" customHeight="false" outlineLevel="0" collapsed="false">
      <c r="A653" s="23"/>
      <c r="B653" s="22"/>
      <c r="C653" s="22"/>
      <c r="D653" s="22"/>
      <c r="E653" s="22"/>
      <c r="F653" s="27" t="str">
        <f aca="false">IF(B653="","",IFERROR(INDEX(Roster!$B$5:$B$154,MATCH(B653,Roster!$A$5:$A$154,0)),"Not on roster"))</f>
        <v/>
      </c>
      <c r="G653" s="28" t="str">
        <f aca="false">IF(OR(B653="",C653=""),"",F653&amp;" | "&amp;C653)</f>
        <v/>
      </c>
      <c r="H653" s="27" t="str">
        <f aca="false">IF(G653="","",IFERROR(INDEX(Levels!$C$5:$C$94,MATCH(G653,Levels!$G$5:$G$94,0)),"Not this class's skill"))</f>
        <v/>
      </c>
    </row>
    <row r="654" customFormat="false" ht="15" hidden="false" customHeight="false" outlineLevel="0" collapsed="false">
      <c r="A654" s="23"/>
      <c r="B654" s="22"/>
      <c r="C654" s="22"/>
      <c r="D654" s="22"/>
      <c r="E654" s="22"/>
      <c r="F654" s="27" t="str">
        <f aca="false">IF(B654="","",IFERROR(INDEX(Roster!$B$5:$B$154,MATCH(B654,Roster!$A$5:$A$154,0)),"Not on roster"))</f>
        <v/>
      </c>
      <c r="G654" s="28" t="str">
        <f aca="false">IF(OR(B654="",C654=""),"",F654&amp;" | "&amp;C654)</f>
        <v/>
      </c>
      <c r="H654" s="27" t="str">
        <f aca="false">IF(G654="","",IFERROR(INDEX(Levels!$C$5:$C$94,MATCH(G654,Levels!$G$5:$G$94,0)),"Not this class's skill"))</f>
        <v/>
      </c>
    </row>
    <row r="655" customFormat="false" ht="15" hidden="false" customHeight="false" outlineLevel="0" collapsed="false">
      <c r="A655" s="23"/>
      <c r="B655" s="22"/>
      <c r="C655" s="22"/>
      <c r="D655" s="22"/>
      <c r="E655" s="22"/>
      <c r="F655" s="27" t="str">
        <f aca="false">IF(B655="","",IFERROR(INDEX(Roster!$B$5:$B$154,MATCH(B655,Roster!$A$5:$A$154,0)),"Not on roster"))</f>
        <v/>
      </c>
      <c r="G655" s="28" t="str">
        <f aca="false">IF(OR(B655="",C655=""),"",F655&amp;" | "&amp;C655)</f>
        <v/>
      </c>
      <c r="H655" s="27" t="str">
        <f aca="false">IF(G655="","",IFERROR(INDEX(Levels!$C$5:$C$94,MATCH(G655,Levels!$G$5:$G$94,0)),"Not this class's skill"))</f>
        <v/>
      </c>
    </row>
    <row r="656" customFormat="false" ht="15" hidden="false" customHeight="false" outlineLevel="0" collapsed="false">
      <c r="A656" s="23"/>
      <c r="B656" s="22"/>
      <c r="C656" s="22"/>
      <c r="D656" s="22"/>
      <c r="E656" s="22"/>
      <c r="F656" s="27" t="str">
        <f aca="false">IF(B656="","",IFERROR(INDEX(Roster!$B$5:$B$154,MATCH(B656,Roster!$A$5:$A$154,0)),"Not on roster"))</f>
        <v/>
      </c>
      <c r="G656" s="28" t="str">
        <f aca="false">IF(OR(B656="",C656=""),"",F656&amp;" | "&amp;C656)</f>
        <v/>
      </c>
      <c r="H656" s="27" t="str">
        <f aca="false">IF(G656="","",IFERROR(INDEX(Levels!$C$5:$C$94,MATCH(G656,Levels!$G$5:$G$94,0)),"Not this class's skill"))</f>
        <v/>
      </c>
    </row>
    <row r="657" customFormat="false" ht="15" hidden="false" customHeight="false" outlineLevel="0" collapsed="false">
      <c r="A657" s="23"/>
      <c r="B657" s="22"/>
      <c r="C657" s="22"/>
      <c r="D657" s="22"/>
      <c r="E657" s="22"/>
      <c r="F657" s="27" t="str">
        <f aca="false">IF(B657="","",IFERROR(INDEX(Roster!$B$5:$B$154,MATCH(B657,Roster!$A$5:$A$154,0)),"Not on roster"))</f>
        <v/>
      </c>
      <c r="G657" s="28" t="str">
        <f aca="false">IF(OR(B657="",C657=""),"",F657&amp;" | "&amp;C657)</f>
        <v/>
      </c>
      <c r="H657" s="27" t="str">
        <f aca="false">IF(G657="","",IFERROR(INDEX(Levels!$C$5:$C$94,MATCH(G657,Levels!$G$5:$G$94,0)),"Not this class's skill"))</f>
        <v/>
      </c>
    </row>
    <row r="658" customFormat="false" ht="15" hidden="false" customHeight="false" outlineLevel="0" collapsed="false">
      <c r="A658" s="23"/>
      <c r="B658" s="22"/>
      <c r="C658" s="22"/>
      <c r="D658" s="22"/>
      <c r="E658" s="22"/>
      <c r="F658" s="27" t="str">
        <f aca="false">IF(B658="","",IFERROR(INDEX(Roster!$B$5:$B$154,MATCH(B658,Roster!$A$5:$A$154,0)),"Not on roster"))</f>
        <v/>
      </c>
      <c r="G658" s="28" t="str">
        <f aca="false">IF(OR(B658="",C658=""),"",F658&amp;" | "&amp;C658)</f>
        <v/>
      </c>
      <c r="H658" s="27" t="str">
        <f aca="false">IF(G658="","",IFERROR(INDEX(Levels!$C$5:$C$94,MATCH(G658,Levels!$G$5:$G$94,0)),"Not this class's skill"))</f>
        <v/>
      </c>
    </row>
    <row r="659" customFormat="false" ht="15" hidden="false" customHeight="false" outlineLevel="0" collapsed="false">
      <c r="A659" s="23"/>
      <c r="B659" s="22"/>
      <c r="C659" s="22"/>
      <c r="D659" s="22"/>
      <c r="E659" s="22"/>
      <c r="F659" s="27" t="str">
        <f aca="false">IF(B659="","",IFERROR(INDEX(Roster!$B$5:$B$154,MATCH(B659,Roster!$A$5:$A$154,0)),"Not on roster"))</f>
        <v/>
      </c>
      <c r="G659" s="28" t="str">
        <f aca="false">IF(OR(B659="",C659=""),"",F659&amp;" | "&amp;C659)</f>
        <v/>
      </c>
      <c r="H659" s="27" t="str">
        <f aca="false">IF(G659="","",IFERROR(INDEX(Levels!$C$5:$C$94,MATCH(G659,Levels!$G$5:$G$94,0)),"Not this class's skill"))</f>
        <v/>
      </c>
    </row>
    <row r="660" customFormat="false" ht="15" hidden="false" customHeight="false" outlineLevel="0" collapsed="false">
      <c r="A660" s="23"/>
      <c r="B660" s="22"/>
      <c r="C660" s="22"/>
      <c r="D660" s="22"/>
      <c r="E660" s="22"/>
      <c r="F660" s="27" t="str">
        <f aca="false">IF(B660="","",IFERROR(INDEX(Roster!$B$5:$B$154,MATCH(B660,Roster!$A$5:$A$154,0)),"Not on roster"))</f>
        <v/>
      </c>
      <c r="G660" s="28" t="str">
        <f aca="false">IF(OR(B660="",C660=""),"",F660&amp;" | "&amp;C660)</f>
        <v/>
      </c>
      <c r="H660" s="27" t="str">
        <f aca="false">IF(G660="","",IFERROR(INDEX(Levels!$C$5:$C$94,MATCH(G660,Levels!$G$5:$G$94,0)),"Not this class's skill"))</f>
        <v/>
      </c>
    </row>
    <row r="661" customFormat="false" ht="15" hidden="false" customHeight="false" outlineLevel="0" collapsed="false">
      <c r="A661" s="23"/>
      <c r="B661" s="22"/>
      <c r="C661" s="22"/>
      <c r="D661" s="22"/>
      <c r="E661" s="22"/>
      <c r="F661" s="27" t="str">
        <f aca="false">IF(B661="","",IFERROR(INDEX(Roster!$B$5:$B$154,MATCH(B661,Roster!$A$5:$A$154,0)),"Not on roster"))</f>
        <v/>
      </c>
      <c r="G661" s="28" t="str">
        <f aca="false">IF(OR(B661="",C661=""),"",F661&amp;" | "&amp;C661)</f>
        <v/>
      </c>
      <c r="H661" s="27" t="str">
        <f aca="false">IF(G661="","",IFERROR(INDEX(Levels!$C$5:$C$94,MATCH(G661,Levels!$G$5:$G$94,0)),"Not this class's skill"))</f>
        <v/>
      </c>
    </row>
    <row r="662" customFormat="false" ht="15" hidden="false" customHeight="false" outlineLevel="0" collapsed="false">
      <c r="A662" s="23"/>
      <c r="B662" s="22"/>
      <c r="C662" s="22"/>
      <c r="D662" s="22"/>
      <c r="E662" s="22"/>
      <c r="F662" s="27" t="str">
        <f aca="false">IF(B662="","",IFERROR(INDEX(Roster!$B$5:$B$154,MATCH(B662,Roster!$A$5:$A$154,0)),"Not on roster"))</f>
        <v/>
      </c>
      <c r="G662" s="28" t="str">
        <f aca="false">IF(OR(B662="",C662=""),"",F662&amp;" | "&amp;C662)</f>
        <v/>
      </c>
      <c r="H662" s="27" t="str">
        <f aca="false">IF(G662="","",IFERROR(INDEX(Levels!$C$5:$C$94,MATCH(G662,Levels!$G$5:$G$94,0)),"Not this class's skill"))</f>
        <v/>
      </c>
    </row>
    <row r="663" customFormat="false" ht="15" hidden="false" customHeight="false" outlineLevel="0" collapsed="false">
      <c r="A663" s="23"/>
      <c r="B663" s="22"/>
      <c r="C663" s="22"/>
      <c r="D663" s="22"/>
      <c r="E663" s="22"/>
      <c r="F663" s="27" t="str">
        <f aca="false">IF(B663="","",IFERROR(INDEX(Roster!$B$5:$B$154,MATCH(B663,Roster!$A$5:$A$154,0)),"Not on roster"))</f>
        <v/>
      </c>
      <c r="G663" s="28" t="str">
        <f aca="false">IF(OR(B663="",C663=""),"",F663&amp;" | "&amp;C663)</f>
        <v/>
      </c>
      <c r="H663" s="27" t="str">
        <f aca="false">IF(G663="","",IFERROR(INDEX(Levels!$C$5:$C$94,MATCH(G663,Levels!$G$5:$G$94,0)),"Not this class's skill"))</f>
        <v/>
      </c>
    </row>
    <row r="664" customFormat="false" ht="15" hidden="false" customHeight="false" outlineLevel="0" collapsed="false">
      <c r="A664" s="23"/>
      <c r="B664" s="22"/>
      <c r="C664" s="22"/>
      <c r="D664" s="22"/>
      <c r="E664" s="22"/>
      <c r="F664" s="27" t="str">
        <f aca="false">IF(B664="","",IFERROR(INDEX(Roster!$B$5:$B$154,MATCH(B664,Roster!$A$5:$A$154,0)),"Not on roster"))</f>
        <v/>
      </c>
      <c r="G664" s="28" t="str">
        <f aca="false">IF(OR(B664="",C664=""),"",F664&amp;" | "&amp;C664)</f>
        <v/>
      </c>
      <c r="H664" s="27" t="str">
        <f aca="false">IF(G664="","",IFERROR(INDEX(Levels!$C$5:$C$94,MATCH(G664,Levels!$G$5:$G$94,0)),"Not this class's skill"))</f>
        <v/>
      </c>
    </row>
    <row r="665" customFormat="false" ht="15" hidden="false" customHeight="false" outlineLevel="0" collapsed="false">
      <c r="A665" s="23"/>
      <c r="B665" s="22"/>
      <c r="C665" s="22"/>
      <c r="D665" s="22"/>
      <c r="E665" s="22"/>
      <c r="F665" s="27" t="str">
        <f aca="false">IF(B665="","",IFERROR(INDEX(Roster!$B$5:$B$154,MATCH(B665,Roster!$A$5:$A$154,0)),"Not on roster"))</f>
        <v/>
      </c>
      <c r="G665" s="28" t="str">
        <f aca="false">IF(OR(B665="",C665=""),"",F665&amp;" | "&amp;C665)</f>
        <v/>
      </c>
      <c r="H665" s="27" t="str">
        <f aca="false">IF(G665="","",IFERROR(INDEX(Levels!$C$5:$C$94,MATCH(G665,Levels!$G$5:$G$94,0)),"Not this class's skill"))</f>
        <v/>
      </c>
    </row>
    <row r="666" customFormat="false" ht="15" hidden="false" customHeight="false" outlineLevel="0" collapsed="false">
      <c r="A666" s="23"/>
      <c r="B666" s="22"/>
      <c r="C666" s="22"/>
      <c r="D666" s="22"/>
      <c r="E666" s="22"/>
      <c r="F666" s="27" t="str">
        <f aca="false">IF(B666="","",IFERROR(INDEX(Roster!$B$5:$B$154,MATCH(B666,Roster!$A$5:$A$154,0)),"Not on roster"))</f>
        <v/>
      </c>
      <c r="G666" s="28" t="str">
        <f aca="false">IF(OR(B666="",C666=""),"",F666&amp;" | "&amp;C666)</f>
        <v/>
      </c>
      <c r="H666" s="27" t="str">
        <f aca="false">IF(G666="","",IFERROR(INDEX(Levels!$C$5:$C$94,MATCH(G666,Levels!$G$5:$G$94,0)),"Not this class's skill"))</f>
        <v/>
      </c>
    </row>
    <row r="667" customFormat="false" ht="15" hidden="false" customHeight="false" outlineLevel="0" collapsed="false">
      <c r="A667" s="23"/>
      <c r="B667" s="22"/>
      <c r="C667" s="22"/>
      <c r="D667" s="22"/>
      <c r="E667" s="22"/>
      <c r="F667" s="27" t="str">
        <f aca="false">IF(B667="","",IFERROR(INDEX(Roster!$B$5:$B$154,MATCH(B667,Roster!$A$5:$A$154,0)),"Not on roster"))</f>
        <v/>
      </c>
      <c r="G667" s="28" t="str">
        <f aca="false">IF(OR(B667="",C667=""),"",F667&amp;" | "&amp;C667)</f>
        <v/>
      </c>
      <c r="H667" s="27" t="str">
        <f aca="false">IF(G667="","",IFERROR(INDEX(Levels!$C$5:$C$94,MATCH(G667,Levels!$G$5:$G$94,0)),"Not this class's skill"))</f>
        <v/>
      </c>
    </row>
    <row r="668" customFormat="false" ht="15" hidden="false" customHeight="false" outlineLevel="0" collapsed="false">
      <c r="A668" s="23"/>
      <c r="B668" s="22"/>
      <c r="C668" s="22"/>
      <c r="D668" s="22"/>
      <c r="E668" s="22"/>
      <c r="F668" s="27" t="str">
        <f aca="false">IF(B668="","",IFERROR(INDEX(Roster!$B$5:$B$154,MATCH(B668,Roster!$A$5:$A$154,0)),"Not on roster"))</f>
        <v/>
      </c>
      <c r="G668" s="28" t="str">
        <f aca="false">IF(OR(B668="",C668=""),"",F668&amp;" | "&amp;C668)</f>
        <v/>
      </c>
      <c r="H668" s="27" t="str">
        <f aca="false">IF(G668="","",IFERROR(INDEX(Levels!$C$5:$C$94,MATCH(G668,Levels!$G$5:$G$94,0)),"Not this class's skill"))</f>
        <v/>
      </c>
    </row>
    <row r="669" customFormat="false" ht="15" hidden="false" customHeight="false" outlineLevel="0" collapsed="false">
      <c r="A669" s="23"/>
      <c r="B669" s="22"/>
      <c r="C669" s="22"/>
      <c r="D669" s="22"/>
      <c r="E669" s="22"/>
      <c r="F669" s="27" t="str">
        <f aca="false">IF(B669="","",IFERROR(INDEX(Roster!$B$5:$B$154,MATCH(B669,Roster!$A$5:$A$154,0)),"Not on roster"))</f>
        <v/>
      </c>
      <c r="G669" s="28" t="str">
        <f aca="false">IF(OR(B669="",C669=""),"",F669&amp;" | "&amp;C669)</f>
        <v/>
      </c>
      <c r="H669" s="27" t="str">
        <f aca="false">IF(G669="","",IFERROR(INDEX(Levels!$C$5:$C$94,MATCH(G669,Levels!$G$5:$G$94,0)),"Not this class's skill"))</f>
        <v/>
      </c>
    </row>
    <row r="670" customFormat="false" ht="15" hidden="false" customHeight="false" outlineLevel="0" collapsed="false">
      <c r="A670" s="23"/>
      <c r="B670" s="22"/>
      <c r="C670" s="22"/>
      <c r="D670" s="22"/>
      <c r="E670" s="22"/>
      <c r="F670" s="27" t="str">
        <f aca="false">IF(B670="","",IFERROR(INDEX(Roster!$B$5:$B$154,MATCH(B670,Roster!$A$5:$A$154,0)),"Not on roster"))</f>
        <v/>
      </c>
      <c r="G670" s="28" t="str">
        <f aca="false">IF(OR(B670="",C670=""),"",F670&amp;" | "&amp;C670)</f>
        <v/>
      </c>
      <c r="H670" s="27" t="str">
        <f aca="false">IF(G670="","",IFERROR(INDEX(Levels!$C$5:$C$94,MATCH(G670,Levels!$G$5:$G$94,0)),"Not this class's skill"))</f>
        <v/>
      </c>
    </row>
    <row r="671" customFormat="false" ht="15" hidden="false" customHeight="false" outlineLevel="0" collapsed="false">
      <c r="A671" s="23"/>
      <c r="B671" s="22"/>
      <c r="C671" s="22"/>
      <c r="D671" s="22"/>
      <c r="E671" s="22"/>
      <c r="F671" s="27" t="str">
        <f aca="false">IF(B671="","",IFERROR(INDEX(Roster!$B$5:$B$154,MATCH(B671,Roster!$A$5:$A$154,0)),"Not on roster"))</f>
        <v/>
      </c>
      <c r="G671" s="28" t="str">
        <f aca="false">IF(OR(B671="",C671=""),"",F671&amp;" | "&amp;C671)</f>
        <v/>
      </c>
      <c r="H671" s="27" t="str">
        <f aca="false">IF(G671="","",IFERROR(INDEX(Levels!$C$5:$C$94,MATCH(G671,Levels!$G$5:$G$94,0)),"Not this class's skill"))</f>
        <v/>
      </c>
    </row>
    <row r="672" customFormat="false" ht="15" hidden="false" customHeight="false" outlineLevel="0" collapsed="false">
      <c r="A672" s="23"/>
      <c r="B672" s="22"/>
      <c r="C672" s="22"/>
      <c r="D672" s="22"/>
      <c r="E672" s="22"/>
      <c r="F672" s="27" t="str">
        <f aca="false">IF(B672="","",IFERROR(INDEX(Roster!$B$5:$B$154,MATCH(B672,Roster!$A$5:$A$154,0)),"Not on roster"))</f>
        <v/>
      </c>
      <c r="G672" s="28" t="str">
        <f aca="false">IF(OR(B672="",C672=""),"",F672&amp;" | "&amp;C672)</f>
        <v/>
      </c>
      <c r="H672" s="27" t="str">
        <f aca="false">IF(G672="","",IFERROR(INDEX(Levels!$C$5:$C$94,MATCH(G672,Levels!$G$5:$G$94,0)),"Not this class's skill"))</f>
        <v/>
      </c>
    </row>
    <row r="673" customFormat="false" ht="15" hidden="false" customHeight="false" outlineLevel="0" collapsed="false">
      <c r="A673" s="23"/>
      <c r="B673" s="22"/>
      <c r="C673" s="22"/>
      <c r="D673" s="22"/>
      <c r="E673" s="22"/>
      <c r="F673" s="27" t="str">
        <f aca="false">IF(B673="","",IFERROR(INDEX(Roster!$B$5:$B$154,MATCH(B673,Roster!$A$5:$A$154,0)),"Not on roster"))</f>
        <v/>
      </c>
      <c r="G673" s="28" t="str">
        <f aca="false">IF(OR(B673="",C673=""),"",F673&amp;" | "&amp;C673)</f>
        <v/>
      </c>
      <c r="H673" s="27" t="str">
        <f aca="false">IF(G673="","",IFERROR(INDEX(Levels!$C$5:$C$94,MATCH(G673,Levels!$G$5:$G$94,0)),"Not this class's skill"))</f>
        <v/>
      </c>
    </row>
    <row r="674" customFormat="false" ht="15" hidden="false" customHeight="false" outlineLevel="0" collapsed="false">
      <c r="A674" s="23"/>
      <c r="B674" s="22"/>
      <c r="C674" s="22"/>
      <c r="D674" s="22"/>
      <c r="E674" s="22"/>
      <c r="F674" s="27" t="str">
        <f aca="false">IF(B674="","",IFERROR(INDEX(Roster!$B$5:$B$154,MATCH(B674,Roster!$A$5:$A$154,0)),"Not on roster"))</f>
        <v/>
      </c>
      <c r="G674" s="28" t="str">
        <f aca="false">IF(OR(B674="",C674=""),"",F674&amp;" | "&amp;C674)</f>
        <v/>
      </c>
      <c r="H674" s="27" t="str">
        <f aca="false">IF(G674="","",IFERROR(INDEX(Levels!$C$5:$C$94,MATCH(G674,Levels!$G$5:$G$94,0)),"Not this class's skill"))</f>
        <v/>
      </c>
    </row>
    <row r="675" customFormat="false" ht="15" hidden="false" customHeight="false" outlineLevel="0" collapsed="false">
      <c r="A675" s="23"/>
      <c r="B675" s="22"/>
      <c r="C675" s="22"/>
      <c r="D675" s="22"/>
      <c r="E675" s="22"/>
      <c r="F675" s="27" t="str">
        <f aca="false">IF(B675="","",IFERROR(INDEX(Roster!$B$5:$B$154,MATCH(B675,Roster!$A$5:$A$154,0)),"Not on roster"))</f>
        <v/>
      </c>
      <c r="G675" s="28" t="str">
        <f aca="false">IF(OR(B675="",C675=""),"",F675&amp;" | "&amp;C675)</f>
        <v/>
      </c>
      <c r="H675" s="27" t="str">
        <f aca="false">IF(G675="","",IFERROR(INDEX(Levels!$C$5:$C$94,MATCH(G675,Levels!$G$5:$G$94,0)),"Not this class's skill"))</f>
        <v/>
      </c>
    </row>
    <row r="676" customFormat="false" ht="15" hidden="false" customHeight="false" outlineLevel="0" collapsed="false">
      <c r="A676" s="23"/>
      <c r="B676" s="22"/>
      <c r="C676" s="22"/>
      <c r="D676" s="22"/>
      <c r="E676" s="22"/>
      <c r="F676" s="27" t="str">
        <f aca="false">IF(B676="","",IFERROR(INDEX(Roster!$B$5:$B$154,MATCH(B676,Roster!$A$5:$A$154,0)),"Not on roster"))</f>
        <v/>
      </c>
      <c r="G676" s="28" t="str">
        <f aca="false">IF(OR(B676="",C676=""),"",F676&amp;" | "&amp;C676)</f>
        <v/>
      </c>
      <c r="H676" s="27" t="str">
        <f aca="false">IF(G676="","",IFERROR(INDEX(Levels!$C$5:$C$94,MATCH(G676,Levels!$G$5:$G$94,0)),"Not this class's skill"))</f>
        <v/>
      </c>
    </row>
    <row r="677" customFormat="false" ht="15" hidden="false" customHeight="false" outlineLevel="0" collapsed="false">
      <c r="A677" s="23"/>
      <c r="B677" s="22"/>
      <c r="C677" s="22"/>
      <c r="D677" s="22"/>
      <c r="E677" s="22"/>
      <c r="F677" s="27" t="str">
        <f aca="false">IF(B677="","",IFERROR(INDEX(Roster!$B$5:$B$154,MATCH(B677,Roster!$A$5:$A$154,0)),"Not on roster"))</f>
        <v/>
      </c>
      <c r="G677" s="28" t="str">
        <f aca="false">IF(OR(B677="",C677=""),"",F677&amp;" | "&amp;C677)</f>
        <v/>
      </c>
      <c r="H677" s="27" t="str">
        <f aca="false">IF(G677="","",IFERROR(INDEX(Levels!$C$5:$C$94,MATCH(G677,Levels!$G$5:$G$94,0)),"Not this class's skill"))</f>
        <v/>
      </c>
    </row>
    <row r="678" customFormat="false" ht="15" hidden="false" customHeight="false" outlineLevel="0" collapsed="false">
      <c r="A678" s="23"/>
      <c r="B678" s="22"/>
      <c r="C678" s="22"/>
      <c r="D678" s="22"/>
      <c r="E678" s="22"/>
      <c r="F678" s="27" t="str">
        <f aca="false">IF(B678="","",IFERROR(INDEX(Roster!$B$5:$B$154,MATCH(B678,Roster!$A$5:$A$154,0)),"Not on roster"))</f>
        <v/>
      </c>
      <c r="G678" s="28" t="str">
        <f aca="false">IF(OR(B678="",C678=""),"",F678&amp;" | "&amp;C678)</f>
        <v/>
      </c>
      <c r="H678" s="27" t="str">
        <f aca="false">IF(G678="","",IFERROR(INDEX(Levels!$C$5:$C$94,MATCH(G678,Levels!$G$5:$G$94,0)),"Not this class's skill"))</f>
        <v/>
      </c>
    </row>
    <row r="679" customFormat="false" ht="15" hidden="false" customHeight="false" outlineLevel="0" collapsed="false">
      <c r="A679" s="23"/>
      <c r="B679" s="22"/>
      <c r="C679" s="22"/>
      <c r="D679" s="22"/>
      <c r="E679" s="22"/>
      <c r="F679" s="27" t="str">
        <f aca="false">IF(B679="","",IFERROR(INDEX(Roster!$B$5:$B$154,MATCH(B679,Roster!$A$5:$A$154,0)),"Not on roster"))</f>
        <v/>
      </c>
      <c r="G679" s="28" t="str">
        <f aca="false">IF(OR(B679="",C679=""),"",F679&amp;" | "&amp;C679)</f>
        <v/>
      </c>
      <c r="H679" s="27" t="str">
        <f aca="false">IF(G679="","",IFERROR(INDEX(Levels!$C$5:$C$94,MATCH(G679,Levels!$G$5:$G$94,0)),"Not this class's skill"))</f>
        <v/>
      </c>
    </row>
    <row r="680" customFormat="false" ht="15" hidden="false" customHeight="false" outlineLevel="0" collapsed="false">
      <c r="A680" s="23"/>
      <c r="B680" s="22"/>
      <c r="C680" s="22"/>
      <c r="D680" s="22"/>
      <c r="E680" s="22"/>
      <c r="F680" s="27" t="str">
        <f aca="false">IF(B680="","",IFERROR(INDEX(Roster!$B$5:$B$154,MATCH(B680,Roster!$A$5:$A$154,0)),"Not on roster"))</f>
        <v/>
      </c>
      <c r="G680" s="28" t="str">
        <f aca="false">IF(OR(B680="",C680=""),"",F680&amp;" | "&amp;C680)</f>
        <v/>
      </c>
      <c r="H680" s="27" t="str">
        <f aca="false">IF(G680="","",IFERROR(INDEX(Levels!$C$5:$C$94,MATCH(G680,Levels!$G$5:$G$94,0)),"Not this class's skill"))</f>
        <v/>
      </c>
    </row>
    <row r="681" customFormat="false" ht="15" hidden="false" customHeight="false" outlineLevel="0" collapsed="false">
      <c r="A681" s="23"/>
      <c r="B681" s="22"/>
      <c r="C681" s="22"/>
      <c r="D681" s="22"/>
      <c r="E681" s="22"/>
      <c r="F681" s="27" t="str">
        <f aca="false">IF(B681="","",IFERROR(INDEX(Roster!$B$5:$B$154,MATCH(B681,Roster!$A$5:$A$154,0)),"Not on roster"))</f>
        <v/>
      </c>
      <c r="G681" s="28" t="str">
        <f aca="false">IF(OR(B681="",C681=""),"",F681&amp;" | "&amp;C681)</f>
        <v/>
      </c>
      <c r="H681" s="27" t="str">
        <f aca="false">IF(G681="","",IFERROR(INDEX(Levels!$C$5:$C$94,MATCH(G681,Levels!$G$5:$G$94,0)),"Not this class's skill"))</f>
        <v/>
      </c>
    </row>
    <row r="682" customFormat="false" ht="15" hidden="false" customHeight="false" outlineLevel="0" collapsed="false">
      <c r="A682" s="23"/>
      <c r="B682" s="22"/>
      <c r="C682" s="22"/>
      <c r="D682" s="22"/>
      <c r="E682" s="22"/>
      <c r="F682" s="27" t="str">
        <f aca="false">IF(B682="","",IFERROR(INDEX(Roster!$B$5:$B$154,MATCH(B682,Roster!$A$5:$A$154,0)),"Not on roster"))</f>
        <v/>
      </c>
      <c r="G682" s="28" t="str">
        <f aca="false">IF(OR(B682="",C682=""),"",F682&amp;" | "&amp;C682)</f>
        <v/>
      </c>
      <c r="H682" s="27" t="str">
        <f aca="false">IF(G682="","",IFERROR(INDEX(Levels!$C$5:$C$94,MATCH(G682,Levels!$G$5:$G$94,0)),"Not this class's skill"))</f>
        <v/>
      </c>
    </row>
    <row r="683" customFormat="false" ht="15" hidden="false" customHeight="false" outlineLevel="0" collapsed="false">
      <c r="A683" s="23"/>
      <c r="B683" s="22"/>
      <c r="C683" s="22"/>
      <c r="D683" s="22"/>
      <c r="E683" s="22"/>
      <c r="F683" s="27" t="str">
        <f aca="false">IF(B683="","",IFERROR(INDEX(Roster!$B$5:$B$154,MATCH(B683,Roster!$A$5:$A$154,0)),"Not on roster"))</f>
        <v/>
      </c>
      <c r="G683" s="28" t="str">
        <f aca="false">IF(OR(B683="",C683=""),"",F683&amp;" | "&amp;C683)</f>
        <v/>
      </c>
      <c r="H683" s="27" t="str">
        <f aca="false">IF(G683="","",IFERROR(INDEX(Levels!$C$5:$C$94,MATCH(G683,Levels!$G$5:$G$94,0)),"Not this class's skill"))</f>
        <v/>
      </c>
    </row>
    <row r="684" customFormat="false" ht="15" hidden="false" customHeight="false" outlineLevel="0" collapsed="false">
      <c r="A684" s="23"/>
      <c r="B684" s="22"/>
      <c r="C684" s="22"/>
      <c r="D684" s="22"/>
      <c r="E684" s="22"/>
      <c r="F684" s="27" t="str">
        <f aca="false">IF(B684="","",IFERROR(INDEX(Roster!$B$5:$B$154,MATCH(B684,Roster!$A$5:$A$154,0)),"Not on roster"))</f>
        <v/>
      </c>
      <c r="G684" s="28" t="str">
        <f aca="false">IF(OR(B684="",C684=""),"",F684&amp;" | "&amp;C684)</f>
        <v/>
      </c>
      <c r="H684" s="27" t="str">
        <f aca="false">IF(G684="","",IFERROR(INDEX(Levels!$C$5:$C$94,MATCH(G684,Levels!$G$5:$G$94,0)),"Not this class's skill"))</f>
        <v/>
      </c>
    </row>
    <row r="685" customFormat="false" ht="15" hidden="false" customHeight="false" outlineLevel="0" collapsed="false">
      <c r="A685" s="23"/>
      <c r="B685" s="22"/>
      <c r="C685" s="22"/>
      <c r="D685" s="22"/>
      <c r="E685" s="22"/>
      <c r="F685" s="27" t="str">
        <f aca="false">IF(B685="","",IFERROR(INDEX(Roster!$B$5:$B$154,MATCH(B685,Roster!$A$5:$A$154,0)),"Not on roster"))</f>
        <v/>
      </c>
      <c r="G685" s="28" t="str">
        <f aca="false">IF(OR(B685="",C685=""),"",F685&amp;" | "&amp;C685)</f>
        <v/>
      </c>
      <c r="H685" s="27" t="str">
        <f aca="false">IF(G685="","",IFERROR(INDEX(Levels!$C$5:$C$94,MATCH(G685,Levels!$G$5:$G$94,0)),"Not this class's skill"))</f>
        <v/>
      </c>
    </row>
    <row r="686" customFormat="false" ht="15" hidden="false" customHeight="false" outlineLevel="0" collapsed="false">
      <c r="A686" s="23"/>
      <c r="B686" s="22"/>
      <c r="C686" s="22"/>
      <c r="D686" s="22"/>
      <c r="E686" s="22"/>
      <c r="F686" s="27" t="str">
        <f aca="false">IF(B686="","",IFERROR(INDEX(Roster!$B$5:$B$154,MATCH(B686,Roster!$A$5:$A$154,0)),"Not on roster"))</f>
        <v/>
      </c>
      <c r="G686" s="28" t="str">
        <f aca="false">IF(OR(B686="",C686=""),"",F686&amp;" | "&amp;C686)</f>
        <v/>
      </c>
      <c r="H686" s="27" t="str">
        <f aca="false">IF(G686="","",IFERROR(INDEX(Levels!$C$5:$C$94,MATCH(G686,Levels!$G$5:$G$94,0)),"Not this class's skill"))</f>
        <v/>
      </c>
    </row>
    <row r="687" customFormat="false" ht="15" hidden="false" customHeight="false" outlineLevel="0" collapsed="false">
      <c r="A687" s="23"/>
      <c r="B687" s="22"/>
      <c r="C687" s="22"/>
      <c r="D687" s="22"/>
      <c r="E687" s="22"/>
      <c r="F687" s="27" t="str">
        <f aca="false">IF(B687="","",IFERROR(INDEX(Roster!$B$5:$B$154,MATCH(B687,Roster!$A$5:$A$154,0)),"Not on roster"))</f>
        <v/>
      </c>
      <c r="G687" s="28" t="str">
        <f aca="false">IF(OR(B687="",C687=""),"",F687&amp;" | "&amp;C687)</f>
        <v/>
      </c>
      <c r="H687" s="27" t="str">
        <f aca="false">IF(G687="","",IFERROR(INDEX(Levels!$C$5:$C$94,MATCH(G687,Levels!$G$5:$G$94,0)),"Not this class's skill"))</f>
        <v/>
      </c>
    </row>
    <row r="688" customFormat="false" ht="15" hidden="false" customHeight="false" outlineLevel="0" collapsed="false">
      <c r="A688" s="23"/>
      <c r="B688" s="22"/>
      <c r="C688" s="22"/>
      <c r="D688" s="22"/>
      <c r="E688" s="22"/>
      <c r="F688" s="27" t="str">
        <f aca="false">IF(B688="","",IFERROR(INDEX(Roster!$B$5:$B$154,MATCH(B688,Roster!$A$5:$A$154,0)),"Not on roster"))</f>
        <v/>
      </c>
      <c r="G688" s="28" t="str">
        <f aca="false">IF(OR(B688="",C688=""),"",F688&amp;" | "&amp;C688)</f>
        <v/>
      </c>
      <c r="H688" s="27" t="str">
        <f aca="false">IF(G688="","",IFERROR(INDEX(Levels!$C$5:$C$94,MATCH(G688,Levels!$G$5:$G$94,0)),"Not this class's skill"))</f>
        <v/>
      </c>
    </row>
    <row r="689" customFormat="false" ht="15" hidden="false" customHeight="false" outlineLevel="0" collapsed="false">
      <c r="A689" s="23"/>
      <c r="B689" s="22"/>
      <c r="C689" s="22"/>
      <c r="D689" s="22"/>
      <c r="E689" s="22"/>
      <c r="F689" s="27" t="str">
        <f aca="false">IF(B689="","",IFERROR(INDEX(Roster!$B$5:$B$154,MATCH(B689,Roster!$A$5:$A$154,0)),"Not on roster"))</f>
        <v/>
      </c>
      <c r="G689" s="28" t="str">
        <f aca="false">IF(OR(B689="",C689=""),"",F689&amp;" | "&amp;C689)</f>
        <v/>
      </c>
      <c r="H689" s="27" t="str">
        <f aca="false">IF(G689="","",IFERROR(INDEX(Levels!$C$5:$C$94,MATCH(G689,Levels!$G$5:$G$94,0)),"Not this class's skill"))</f>
        <v/>
      </c>
    </row>
    <row r="690" customFormat="false" ht="15" hidden="false" customHeight="false" outlineLevel="0" collapsed="false">
      <c r="A690" s="23"/>
      <c r="B690" s="22"/>
      <c r="C690" s="22"/>
      <c r="D690" s="22"/>
      <c r="E690" s="22"/>
      <c r="F690" s="27" t="str">
        <f aca="false">IF(B690="","",IFERROR(INDEX(Roster!$B$5:$B$154,MATCH(B690,Roster!$A$5:$A$154,0)),"Not on roster"))</f>
        <v/>
      </c>
      <c r="G690" s="28" t="str">
        <f aca="false">IF(OR(B690="",C690=""),"",F690&amp;" | "&amp;C690)</f>
        <v/>
      </c>
      <c r="H690" s="27" t="str">
        <f aca="false">IF(G690="","",IFERROR(INDEX(Levels!$C$5:$C$94,MATCH(G690,Levels!$G$5:$G$94,0)),"Not this class's skill"))</f>
        <v/>
      </c>
    </row>
    <row r="691" customFormat="false" ht="15" hidden="false" customHeight="false" outlineLevel="0" collapsed="false">
      <c r="A691" s="23"/>
      <c r="B691" s="22"/>
      <c r="C691" s="22"/>
      <c r="D691" s="22"/>
      <c r="E691" s="22"/>
      <c r="F691" s="27" t="str">
        <f aca="false">IF(B691="","",IFERROR(INDEX(Roster!$B$5:$B$154,MATCH(B691,Roster!$A$5:$A$154,0)),"Not on roster"))</f>
        <v/>
      </c>
      <c r="G691" s="28" t="str">
        <f aca="false">IF(OR(B691="",C691=""),"",F691&amp;" | "&amp;C691)</f>
        <v/>
      </c>
      <c r="H691" s="27" t="str">
        <f aca="false">IF(G691="","",IFERROR(INDEX(Levels!$C$5:$C$94,MATCH(G691,Levels!$G$5:$G$94,0)),"Not this class's skill"))</f>
        <v/>
      </c>
    </row>
    <row r="692" customFormat="false" ht="15" hidden="false" customHeight="false" outlineLevel="0" collapsed="false">
      <c r="A692" s="23"/>
      <c r="B692" s="22"/>
      <c r="C692" s="22"/>
      <c r="D692" s="22"/>
      <c r="E692" s="22"/>
      <c r="F692" s="27" t="str">
        <f aca="false">IF(B692="","",IFERROR(INDEX(Roster!$B$5:$B$154,MATCH(B692,Roster!$A$5:$A$154,0)),"Not on roster"))</f>
        <v/>
      </c>
      <c r="G692" s="28" t="str">
        <f aca="false">IF(OR(B692="",C692=""),"",F692&amp;" | "&amp;C692)</f>
        <v/>
      </c>
      <c r="H692" s="27" t="str">
        <f aca="false">IF(G692="","",IFERROR(INDEX(Levels!$C$5:$C$94,MATCH(G692,Levels!$G$5:$G$94,0)),"Not this class's skill"))</f>
        <v/>
      </c>
    </row>
    <row r="693" customFormat="false" ht="15" hidden="false" customHeight="false" outlineLevel="0" collapsed="false">
      <c r="A693" s="23"/>
      <c r="B693" s="22"/>
      <c r="C693" s="22"/>
      <c r="D693" s="22"/>
      <c r="E693" s="22"/>
      <c r="F693" s="27" t="str">
        <f aca="false">IF(B693="","",IFERROR(INDEX(Roster!$B$5:$B$154,MATCH(B693,Roster!$A$5:$A$154,0)),"Not on roster"))</f>
        <v/>
      </c>
      <c r="G693" s="28" t="str">
        <f aca="false">IF(OR(B693="",C693=""),"",F693&amp;" | "&amp;C693)</f>
        <v/>
      </c>
      <c r="H693" s="27" t="str">
        <f aca="false">IF(G693="","",IFERROR(INDEX(Levels!$C$5:$C$94,MATCH(G693,Levels!$G$5:$G$94,0)),"Not this class's skill"))</f>
        <v/>
      </c>
    </row>
    <row r="694" customFormat="false" ht="15" hidden="false" customHeight="false" outlineLevel="0" collapsed="false">
      <c r="A694" s="23"/>
      <c r="B694" s="22"/>
      <c r="C694" s="22"/>
      <c r="D694" s="22"/>
      <c r="E694" s="22"/>
      <c r="F694" s="27" t="str">
        <f aca="false">IF(B694="","",IFERROR(INDEX(Roster!$B$5:$B$154,MATCH(B694,Roster!$A$5:$A$154,0)),"Not on roster"))</f>
        <v/>
      </c>
      <c r="G694" s="28" t="str">
        <f aca="false">IF(OR(B694="",C694=""),"",F694&amp;" | "&amp;C694)</f>
        <v/>
      </c>
      <c r="H694" s="27" t="str">
        <f aca="false">IF(G694="","",IFERROR(INDEX(Levels!$C$5:$C$94,MATCH(G694,Levels!$G$5:$G$94,0)),"Not this class's skill"))</f>
        <v/>
      </c>
    </row>
    <row r="695" customFormat="false" ht="15" hidden="false" customHeight="false" outlineLevel="0" collapsed="false">
      <c r="A695" s="23"/>
      <c r="B695" s="22"/>
      <c r="C695" s="22"/>
      <c r="D695" s="22"/>
      <c r="E695" s="22"/>
      <c r="F695" s="27" t="str">
        <f aca="false">IF(B695="","",IFERROR(INDEX(Roster!$B$5:$B$154,MATCH(B695,Roster!$A$5:$A$154,0)),"Not on roster"))</f>
        <v/>
      </c>
      <c r="G695" s="28" t="str">
        <f aca="false">IF(OR(B695="",C695=""),"",F695&amp;" | "&amp;C695)</f>
        <v/>
      </c>
      <c r="H695" s="27" t="str">
        <f aca="false">IF(G695="","",IFERROR(INDEX(Levels!$C$5:$C$94,MATCH(G695,Levels!$G$5:$G$94,0)),"Not this class's skill"))</f>
        <v/>
      </c>
    </row>
    <row r="696" customFormat="false" ht="15" hidden="false" customHeight="false" outlineLevel="0" collapsed="false">
      <c r="A696" s="23"/>
      <c r="B696" s="22"/>
      <c r="C696" s="22"/>
      <c r="D696" s="22"/>
      <c r="E696" s="22"/>
      <c r="F696" s="27" t="str">
        <f aca="false">IF(B696="","",IFERROR(INDEX(Roster!$B$5:$B$154,MATCH(B696,Roster!$A$5:$A$154,0)),"Not on roster"))</f>
        <v/>
      </c>
      <c r="G696" s="28" t="str">
        <f aca="false">IF(OR(B696="",C696=""),"",F696&amp;" | "&amp;C696)</f>
        <v/>
      </c>
      <c r="H696" s="27" t="str">
        <f aca="false">IF(G696="","",IFERROR(INDEX(Levels!$C$5:$C$94,MATCH(G696,Levels!$G$5:$G$94,0)),"Not this class's skill"))</f>
        <v/>
      </c>
    </row>
    <row r="697" customFormat="false" ht="15" hidden="false" customHeight="false" outlineLevel="0" collapsed="false">
      <c r="A697" s="23"/>
      <c r="B697" s="22"/>
      <c r="C697" s="22"/>
      <c r="D697" s="22"/>
      <c r="E697" s="22"/>
      <c r="F697" s="27" t="str">
        <f aca="false">IF(B697="","",IFERROR(INDEX(Roster!$B$5:$B$154,MATCH(B697,Roster!$A$5:$A$154,0)),"Not on roster"))</f>
        <v/>
      </c>
      <c r="G697" s="28" t="str">
        <f aca="false">IF(OR(B697="",C697=""),"",F697&amp;" | "&amp;C697)</f>
        <v/>
      </c>
      <c r="H697" s="27" t="str">
        <f aca="false">IF(G697="","",IFERROR(INDEX(Levels!$C$5:$C$94,MATCH(G697,Levels!$G$5:$G$94,0)),"Not this class's skill"))</f>
        <v/>
      </c>
    </row>
    <row r="698" customFormat="false" ht="15" hidden="false" customHeight="false" outlineLevel="0" collapsed="false">
      <c r="A698" s="23"/>
      <c r="B698" s="22"/>
      <c r="C698" s="22"/>
      <c r="D698" s="22"/>
      <c r="E698" s="22"/>
      <c r="F698" s="27" t="str">
        <f aca="false">IF(B698="","",IFERROR(INDEX(Roster!$B$5:$B$154,MATCH(B698,Roster!$A$5:$A$154,0)),"Not on roster"))</f>
        <v/>
      </c>
      <c r="G698" s="28" t="str">
        <f aca="false">IF(OR(B698="",C698=""),"",F698&amp;" | "&amp;C698)</f>
        <v/>
      </c>
      <c r="H698" s="27" t="str">
        <f aca="false">IF(G698="","",IFERROR(INDEX(Levels!$C$5:$C$94,MATCH(G698,Levels!$G$5:$G$94,0)),"Not this class's skill"))</f>
        <v/>
      </c>
    </row>
    <row r="699" customFormat="false" ht="15" hidden="false" customHeight="false" outlineLevel="0" collapsed="false">
      <c r="A699" s="23"/>
      <c r="B699" s="22"/>
      <c r="C699" s="22"/>
      <c r="D699" s="22"/>
      <c r="E699" s="22"/>
      <c r="F699" s="27" t="str">
        <f aca="false">IF(B699="","",IFERROR(INDEX(Roster!$B$5:$B$154,MATCH(B699,Roster!$A$5:$A$154,0)),"Not on roster"))</f>
        <v/>
      </c>
      <c r="G699" s="28" t="str">
        <f aca="false">IF(OR(B699="",C699=""),"",F699&amp;" | "&amp;C699)</f>
        <v/>
      </c>
      <c r="H699" s="27" t="str">
        <f aca="false">IF(G699="","",IFERROR(INDEX(Levels!$C$5:$C$94,MATCH(G699,Levels!$G$5:$G$94,0)),"Not this class's skill"))</f>
        <v/>
      </c>
    </row>
    <row r="700" customFormat="false" ht="15" hidden="false" customHeight="false" outlineLevel="0" collapsed="false">
      <c r="A700" s="23"/>
      <c r="B700" s="22"/>
      <c r="C700" s="22"/>
      <c r="D700" s="22"/>
      <c r="E700" s="22"/>
      <c r="F700" s="27" t="str">
        <f aca="false">IF(B700="","",IFERROR(INDEX(Roster!$B$5:$B$154,MATCH(B700,Roster!$A$5:$A$154,0)),"Not on roster"))</f>
        <v/>
      </c>
      <c r="G700" s="28" t="str">
        <f aca="false">IF(OR(B700="",C700=""),"",F700&amp;" | "&amp;C700)</f>
        <v/>
      </c>
      <c r="H700" s="27" t="str">
        <f aca="false">IF(G700="","",IFERROR(INDEX(Levels!$C$5:$C$94,MATCH(G700,Levels!$G$5:$G$94,0)),"Not this class's skill"))</f>
        <v/>
      </c>
    </row>
    <row r="701" customFormat="false" ht="15" hidden="false" customHeight="false" outlineLevel="0" collapsed="false">
      <c r="A701" s="23"/>
      <c r="B701" s="22"/>
      <c r="C701" s="22"/>
      <c r="D701" s="22"/>
      <c r="E701" s="22"/>
      <c r="F701" s="27" t="str">
        <f aca="false">IF(B701="","",IFERROR(INDEX(Roster!$B$5:$B$154,MATCH(B701,Roster!$A$5:$A$154,0)),"Not on roster"))</f>
        <v/>
      </c>
      <c r="G701" s="28" t="str">
        <f aca="false">IF(OR(B701="",C701=""),"",F701&amp;" | "&amp;C701)</f>
        <v/>
      </c>
      <c r="H701" s="27" t="str">
        <f aca="false">IF(G701="","",IFERROR(INDEX(Levels!$C$5:$C$94,MATCH(G701,Levels!$G$5:$G$94,0)),"Not this class's skill"))</f>
        <v/>
      </c>
    </row>
    <row r="702" customFormat="false" ht="15" hidden="false" customHeight="false" outlineLevel="0" collapsed="false">
      <c r="A702" s="23"/>
      <c r="B702" s="22"/>
      <c r="C702" s="22"/>
      <c r="D702" s="22"/>
      <c r="E702" s="22"/>
      <c r="F702" s="27" t="str">
        <f aca="false">IF(B702="","",IFERROR(INDEX(Roster!$B$5:$B$154,MATCH(B702,Roster!$A$5:$A$154,0)),"Not on roster"))</f>
        <v/>
      </c>
      <c r="G702" s="28" t="str">
        <f aca="false">IF(OR(B702="",C702=""),"",F702&amp;" | "&amp;C702)</f>
        <v/>
      </c>
      <c r="H702" s="27" t="str">
        <f aca="false">IF(G702="","",IFERROR(INDEX(Levels!$C$5:$C$94,MATCH(G702,Levels!$G$5:$G$94,0)),"Not this class's skill"))</f>
        <v/>
      </c>
    </row>
    <row r="703" customFormat="false" ht="15" hidden="false" customHeight="false" outlineLevel="0" collapsed="false">
      <c r="A703" s="23"/>
      <c r="B703" s="22"/>
      <c r="C703" s="22"/>
      <c r="D703" s="22"/>
      <c r="E703" s="22"/>
      <c r="F703" s="27" t="str">
        <f aca="false">IF(B703="","",IFERROR(INDEX(Roster!$B$5:$B$154,MATCH(B703,Roster!$A$5:$A$154,0)),"Not on roster"))</f>
        <v/>
      </c>
      <c r="G703" s="28" t="str">
        <f aca="false">IF(OR(B703="",C703=""),"",F703&amp;" | "&amp;C703)</f>
        <v/>
      </c>
      <c r="H703" s="27" t="str">
        <f aca="false">IF(G703="","",IFERROR(INDEX(Levels!$C$5:$C$94,MATCH(G703,Levels!$G$5:$G$94,0)),"Not this class's skill"))</f>
        <v/>
      </c>
    </row>
    <row r="704" customFormat="false" ht="15" hidden="false" customHeight="false" outlineLevel="0" collapsed="false">
      <c r="A704" s="23"/>
      <c r="B704" s="22"/>
      <c r="C704" s="22"/>
      <c r="D704" s="22"/>
      <c r="E704" s="22"/>
      <c r="F704" s="27" t="str">
        <f aca="false">IF(B704="","",IFERROR(INDEX(Roster!$B$5:$B$154,MATCH(B704,Roster!$A$5:$A$154,0)),"Not on roster"))</f>
        <v/>
      </c>
      <c r="G704" s="28" t="str">
        <f aca="false">IF(OR(B704="",C704=""),"",F704&amp;" | "&amp;C704)</f>
        <v/>
      </c>
      <c r="H704" s="27" t="str">
        <f aca="false">IF(G704="","",IFERROR(INDEX(Levels!$C$5:$C$94,MATCH(G704,Levels!$G$5:$G$94,0)),"Not this class's skill"))</f>
        <v/>
      </c>
    </row>
    <row r="705" customFormat="false" ht="15" hidden="false" customHeight="false" outlineLevel="0" collapsed="false">
      <c r="A705" s="23"/>
      <c r="B705" s="22"/>
      <c r="C705" s="22"/>
      <c r="D705" s="22"/>
      <c r="E705" s="22"/>
      <c r="F705" s="27" t="str">
        <f aca="false">IF(B705="","",IFERROR(INDEX(Roster!$B$5:$B$154,MATCH(B705,Roster!$A$5:$A$154,0)),"Not on roster"))</f>
        <v/>
      </c>
      <c r="G705" s="28" t="str">
        <f aca="false">IF(OR(B705="",C705=""),"",F705&amp;" | "&amp;C705)</f>
        <v/>
      </c>
      <c r="H705" s="27" t="str">
        <f aca="false">IF(G705="","",IFERROR(INDEX(Levels!$C$5:$C$94,MATCH(G705,Levels!$G$5:$G$94,0)),"Not this class's skill"))</f>
        <v/>
      </c>
    </row>
    <row r="706" customFormat="false" ht="15" hidden="false" customHeight="false" outlineLevel="0" collapsed="false">
      <c r="A706" s="23"/>
      <c r="B706" s="22"/>
      <c r="C706" s="22"/>
      <c r="D706" s="22"/>
      <c r="E706" s="22"/>
      <c r="F706" s="27" t="str">
        <f aca="false">IF(B706="","",IFERROR(INDEX(Roster!$B$5:$B$154,MATCH(B706,Roster!$A$5:$A$154,0)),"Not on roster"))</f>
        <v/>
      </c>
      <c r="G706" s="28" t="str">
        <f aca="false">IF(OR(B706="",C706=""),"",F706&amp;" | "&amp;C706)</f>
        <v/>
      </c>
      <c r="H706" s="27" t="str">
        <f aca="false">IF(G706="","",IFERROR(INDEX(Levels!$C$5:$C$94,MATCH(G706,Levels!$G$5:$G$94,0)),"Not this class's skill"))</f>
        <v/>
      </c>
    </row>
    <row r="707" customFormat="false" ht="15" hidden="false" customHeight="false" outlineLevel="0" collapsed="false">
      <c r="A707" s="23"/>
      <c r="B707" s="22"/>
      <c r="C707" s="22"/>
      <c r="D707" s="22"/>
      <c r="E707" s="22"/>
      <c r="F707" s="27" t="str">
        <f aca="false">IF(B707="","",IFERROR(INDEX(Roster!$B$5:$B$154,MATCH(B707,Roster!$A$5:$A$154,0)),"Not on roster"))</f>
        <v/>
      </c>
      <c r="G707" s="28" t="str">
        <f aca="false">IF(OR(B707="",C707=""),"",F707&amp;" | "&amp;C707)</f>
        <v/>
      </c>
      <c r="H707" s="27" t="str">
        <f aca="false">IF(G707="","",IFERROR(INDEX(Levels!$C$5:$C$94,MATCH(G707,Levels!$G$5:$G$94,0)),"Not this class's skill"))</f>
        <v/>
      </c>
    </row>
    <row r="708" customFormat="false" ht="15" hidden="false" customHeight="false" outlineLevel="0" collapsed="false">
      <c r="A708" s="23"/>
      <c r="B708" s="22"/>
      <c r="C708" s="22"/>
      <c r="D708" s="22"/>
      <c r="E708" s="22"/>
      <c r="F708" s="27" t="str">
        <f aca="false">IF(B708="","",IFERROR(INDEX(Roster!$B$5:$B$154,MATCH(B708,Roster!$A$5:$A$154,0)),"Not on roster"))</f>
        <v/>
      </c>
      <c r="G708" s="28" t="str">
        <f aca="false">IF(OR(B708="",C708=""),"",F708&amp;" | "&amp;C708)</f>
        <v/>
      </c>
      <c r="H708" s="27" t="str">
        <f aca="false">IF(G708="","",IFERROR(INDEX(Levels!$C$5:$C$94,MATCH(G708,Levels!$G$5:$G$94,0)),"Not this class's skill"))</f>
        <v/>
      </c>
    </row>
    <row r="709" customFormat="false" ht="15" hidden="false" customHeight="false" outlineLevel="0" collapsed="false">
      <c r="A709" s="23"/>
      <c r="B709" s="22"/>
      <c r="C709" s="22"/>
      <c r="D709" s="22"/>
      <c r="E709" s="22"/>
      <c r="F709" s="27" t="str">
        <f aca="false">IF(B709="","",IFERROR(INDEX(Roster!$B$5:$B$154,MATCH(B709,Roster!$A$5:$A$154,0)),"Not on roster"))</f>
        <v/>
      </c>
      <c r="G709" s="28" t="str">
        <f aca="false">IF(OR(B709="",C709=""),"",F709&amp;" | "&amp;C709)</f>
        <v/>
      </c>
      <c r="H709" s="27" t="str">
        <f aca="false">IF(G709="","",IFERROR(INDEX(Levels!$C$5:$C$94,MATCH(G709,Levels!$G$5:$G$94,0)),"Not this class's skill"))</f>
        <v/>
      </c>
    </row>
    <row r="710" customFormat="false" ht="15" hidden="false" customHeight="false" outlineLevel="0" collapsed="false">
      <c r="A710" s="23"/>
      <c r="B710" s="22"/>
      <c r="C710" s="22"/>
      <c r="D710" s="22"/>
      <c r="E710" s="22"/>
      <c r="F710" s="27" t="str">
        <f aca="false">IF(B710="","",IFERROR(INDEX(Roster!$B$5:$B$154,MATCH(B710,Roster!$A$5:$A$154,0)),"Not on roster"))</f>
        <v/>
      </c>
      <c r="G710" s="28" t="str">
        <f aca="false">IF(OR(B710="",C710=""),"",F710&amp;" | "&amp;C710)</f>
        <v/>
      </c>
      <c r="H710" s="27" t="str">
        <f aca="false">IF(G710="","",IFERROR(INDEX(Levels!$C$5:$C$94,MATCH(G710,Levels!$G$5:$G$94,0)),"Not this class's skill"))</f>
        <v/>
      </c>
    </row>
    <row r="711" customFormat="false" ht="15" hidden="false" customHeight="false" outlineLevel="0" collapsed="false">
      <c r="A711" s="23"/>
      <c r="B711" s="22"/>
      <c r="C711" s="22"/>
      <c r="D711" s="22"/>
      <c r="E711" s="22"/>
      <c r="F711" s="27" t="str">
        <f aca="false">IF(B711="","",IFERROR(INDEX(Roster!$B$5:$B$154,MATCH(B711,Roster!$A$5:$A$154,0)),"Not on roster"))</f>
        <v/>
      </c>
      <c r="G711" s="28" t="str">
        <f aca="false">IF(OR(B711="",C711=""),"",F711&amp;" | "&amp;C711)</f>
        <v/>
      </c>
      <c r="H711" s="27" t="str">
        <f aca="false">IF(G711="","",IFERROR(INDEX(Levels!$C$5:$C$94,MATCH(G711,Levels!$G$5:$G$94,0)),"Not this class's skill"))</f>
        <v/>
      </c>
    </row>
    <row r="712" customFormat="false" ht="15" hidden="false" customHeight="false" outlineLevel="0" collapsed="false">
      <c r="A712" s="23"/>
      <c r="B712" s="22"/>
      <c r="C712" s="22"/>
      <c r="D712" s="22"/>
      <c r="E712" s="22"/>
      <c r="F712" s="27" t="str">
        <f aca="false">IF(B712="","",IFERROR(INDEX(Roster!$B$5:$B$154,MATCH(B712,Roster!$A$5:$A$154,0)),"Not on roster"))</f>
        <v/>
      </c>
      <c r="G712" s="28" t="str">
        <f aca="false">IF(OR(B712="",C712=""),"",F712&amp;" | "&amp;C712)</f>
        <v/>
      </c>
      <c r="H712" s="27" t="str">
        <f aca="false">IF(G712="","",IFERROR(INDEX(Levels!$C$5:$C$94,MATCH(G712,Levels!$G$5:$G$94,0)),"Not this class's skill"))</f>
        <v/>
      </c>
    </row>
    <row r="713" customFormat="false" ht="15" hidden="false" customHeight="false" outlineLevel="0" collapsed="false">
      <c r="A713" s="23"/>
      <c r="B713" s="22"/>
      <c r="C713" s="22"/>
      <c r="D713" s="22"/>
      <c r="E713" s="22"/>
      <c r="F713" s="27" t="str">
        <f aca="false">IF(B713="","",IFERROR(INDEX(Roster!$B$5:$B$154,MATCH(B713,Roster!$A$5:$A$154,0)),"Not on roster"))</f>
        <v/>
      </c>
      <c r="G713" s="28" t="str">
        <f aca="false">IF(OR(B713="",C713=""),"",F713&amp;" | "&amp;C713)</f>
        <v/>
      </c>
      <c r="H713" s="27" t="str">
        <f aca="false">IF(G713="","",IFERROR(INDEX(Levels!$C$5:$C$94,MATCH(G713,Levels!$G$5:$G$94,0)),"Not this class's skill"))</f>
        <v/>
      </c>
    </row>
    <row r="714" customFormat="false" ht="15" hidden="false" customHeight="false" outlineLevel="0" collapsed="false">
      <c r="A714" s="23"/>
      <c r="B714" s="22"/>
      <c r="C714" s="22"/>
      <c r="D714" s="22"/>
      <c r="E714" s="22"/>
      <c r="F714" s="27" t="str">
        <f aca="false">IF(B714="","",IFERROR(INDEX(Roster!$B$5:$B$154,MATCH(B714,Roster!$A$5:$A$154,0)),"Not on roster"))</f>
        <v/>
      </c>
      <c r="G714" s="28" t="str">
        <f aca="false">IF(OR(B714="",C714=""),"",F714&amp;" | "&amp;C714)</f>
        <v/>
      </c>
      <c r="H714" s="27" t="str">
        <f aca="false">IF(G714="","",IFERROR(INDEX(Levels!$C$5:$C$94,MATCH(G714,Levels!$G$5:$G$94,0)),"Not this class's skill"))</f>
        <v/>
      </c>
    </row>
    <row r="715" customFormat="false" ht="15" hidden="false" customHeight="false" outlineLevel="0" collapsed="false">
      <c r="A715" s="23"/>
      <c r="B715" s="22"/>
      <c r="C715" s="22"/>
      <c r="D715" s="22"/>
      <c r="E715" s="22"/>
      <c r="F715" s="27" t="str">
        <f aca="false">IF(B715="","",IFERROR(INDEX(Roster!$B$5:$B$154,MATCH(B715,Roster!$A$5:$A$154,0)),"Not on roster"))</f>
        <v/>
      </c>
      <c r="G715" s="28" t="str">
        <f aca="false">IF(OR(B715="",C715=""),"",F715&amp;" | "&amp;C715)</f>
        <v/>
      </c>
      <c r="H715" s="27" t="str">
        <f aca="false">IF(G715="","",IFERROR(INDEX(Levels!$C$5:$C$94,MATCH(G715,Levels!$G$5:$G$94,0)),"Not this class's skill"))</f>
        <v/>
      </c>
    </row>
    <row r="716" customFormat="false" ht="15" hidden="false" customHeight="false" outlineLevel="0" collapsed="false">
      <c r="A716" s="23"/>
      <c r="B716" s="22"/>
      <c r="C716" s="22"/>
      <c r="D716" s="22"/>
      <c r="E716" s="22"/>
      <c r="F716" s="27" t="str">
        <f aca="false">IF(B716="","",IFERROR(INDEX(Roster!$B$5:$B$154,MATCH(B716,Roster!$A$5:$A$154,0)),"Not on roster"))</f>
        <v/>
      </c>
      <c r="G716" s="28" t="str">
        <f aca="false">IF(OR(B716="",C716=""),"",F716&amp;" | "&amp;C716)</f>
        <v/>
      </c>
      <c r="H716" s="27" t="str">
        <f aca="false">IF(G716="","",IFERROR(INDEX(Levels!$C$5:$C$94,MATCH(G716,Levels!$G$5:$G$94,0)),"Not this class's skill"))</f>
        <v/>
      </c>
    </row>
    <row r="717" customFormat="false" ht="15" hidden="false" customHeight="false" outlineLevel="0" collapsed="false">
      <c r="A717" s="23"/>
      <c r="B717" s="22"/>
      <c r="C717" s="22"/>
      <c r="D717" s="22"/>
      <c r="E717" s="22"/>
      <c r="F717" s="27" t="str">
        <f aca="false">IF(B717="","",IFERROR(INDEX(Roster!$B$5:$B$154,MATCH(B717,Roster!$A$5:$A$154,0)),"Not on roster"))</f>
        <v/>
      </c>
      <c r="G717" s="28" t="str">
        <f aca="false">IF(OR(B717="",C717=""),"",F717&amp;" | "&amp;C717)</f>
        <v/>
      </c>
      <c r="H717" s="27" t="str">
        <f aca="false">IF(G717="","",IFERROR(INDEX(Levels!$C$5:$C$94,MATCH(G717,Levels!$G$5:$G$94,0)),"Not this class's skill"))</f>
        <v/>
      </c>
    </row>
    <row r="718" customFormat="false" ht="15" hidden="false" customHeight="false" outlineLevel="0" collapsed="false">
      <c r="A718" s="23"/>
      <c r="B718" s="22"/>
      <c r="C718" s="22"/>
      <c r="D718" s="22"/>
      <c r="E718" s="22"/>
      <c r="F718" s="27" t="str">
        <f aca="false">IF(B718="","",IFERROR(INDEX(Roster!$B$5:$B$154,MATCH(B718,Roster!$A$5:$A$154,0)),"Not on roster"))</f>
        <v/>
      </c>
      <c r="G718" s="28" t="str">
        <f aca="false">IF(OR(B718="",C718=""),"",F718&amp;" | "&amp;C718)</f>
        <v/>
      </c>
      <c r="H718" s="27" t="str">
        <f aca="false">IF(G718="","",IFERROR(INDEX(Levels!$C$5:$C$94,MATCH(G718,Levels!$G$5:$G$94,0)),"Not this class's skill"))</f>
        <v/>
      </c>
    </row>
    <row r="719" customFormat="false" ht="15" hidden="false" customHeight="false" outlineLevel="0" collapsed="false">
      <c r="A719" s="23"/>
      <c r="B719" s="22"/>
      <c r="C719" s="22"/>
      <c r="D719" s="22"/>
      <c r="E719" s="22"/>
      <c r="F719" s="27" t="str">
        <f aca="false">IF(B719="","",IFERROR(INDEX(Roster!$B$5:$B$154,MATCH(B719,Roster!$A$5:$A$154,0)),"Not on roster"))</f>
        <v/>
      </c>
      <c r="G719" s="28" t="str">
        <f aca="false">IF(OR(B719="",C719=""),"",F719&amp;" | "&amp;C719)</f>
        <v/>
      </c>
      <c r="H719" s="27" t="str">
        <f aca="false">IF(G719="","",IFERROR(INDEX(Levels!$C$5:$C$94,MATCH(G719,Levels!$G$5:$G$94,0)),"Not this class's skill"))</f>
        <v/>
      </c>
    </row>
    <row r="720" customFormat="false" ht="15" hidden="false" customHeight="false" outlineLevel="0" collapsed="false">
      <c r="A720" s="23"/>
      <c r="B720" s="22"/>
      <c r="C720" s="22"/>
      <c r="D720" s="22"/>
      <c r="E720" s="22"/>
      <c r="F720" s="27" t="str">
        <f aca="false">IF(B720="","",IFERROR(INDEX(Roster!$B$5:$B$154,MATCH(B720,Roster!$A$5:$A$154,0)),"Not on roster"))</f>
        <v/>
      </c>
      <c r="G720" s="28" t="str">
        <f aca="false">IF(OR(B720="",C720=""),"",F720&amp;" | "&amp;C720)</f>
        <v/>
      </c>
      <c r="H720" s="27" t="str">
        <f aca="false">IF(G720="","",IFERROR(INDEX(Levels!$C$5:$C$94,MATCH(G720,Levels!$G$5:$G$94,0)),"Not this class's skill"))</f>
        <v/>
      </c>
    </row>
    <row r="721" customFormat="false" ht="15" hidden="false" customHeight="false" outlineLevel="0" collapsed="false">
      <c r="A721" s="23"/>
      <c r="B721" s="22"/>
      <c r="C721" s="22"/>
      <c r="D721" s="22"/>
      <c r="E721" s="22"/>
      <c r="F721" s="27" t="str">
        <f aca="false">IF(B721="","",IFERROR(INDEX(Roster!$B$5:$B$154,MATCH(B721,Roster!$A$5:$A$154,0)),"Not on roster"))</f>
        <v/>
      </c>
      <c r="G721" s="28" t="str">
        <f aca="false">IF(OR(B721="",C721=""),"",F721&amp;" | "&amp;C721)</f>
        <v/>
      </c>
      <c r="H721" s="27" t="str">
        <f aca="false">IF(G721="","",IFERROR(INDEX(Levels!$C$5:$C$94,MATCH(G721,Levels!$G$5:$G$94,0)),"Not this class's skill"))</f>
        <v/>
      </c>
    </row>
    <row r="722" customFormat="false" ht="15" hidden="false" customHeight="false" outlineLevel="0" collapsed="false">
      <c r="A722" s="23"/>
      <c r="B722" s="22"/>
      <c r="C722" s="22"/>
      <c r="D722" s="22"/>
      <c r="E722" s="22"/>
      <c r="F722" s="27" t="str">
        <f aca="false">IF(B722="","",IFERROR(INDEX(Roster!$B$5:$B$154,MATCH(B722,Roster!$A$5:$A$154,0)),"Not on roster"))</f>
        <v/>
      </c>
      <c r="G722" s="28" t="str">
        <f aca="false">IF(OR(B722="",C722=""),"",F722&amp;" | "&amp;C722)</f>
        <v/>
      </c>
      <c r="H722" s="27" t="str">
        <f aca="false">IF(G722="","",IFERROR(INDEX(Levels!$C$5:$C$94,MATCH(G722,Levels!$G$5:$G$94,0)),"Not this class's skill"))</f>
        <v/>
      </c>
    </row>
    <row r="723" customFormat="false" ht="15" hidden="false" customHeight="false" outlineLevel="0" collapsed="false">
      <c r="A723" s="23"/>
      <c r="B723" s="22"/>
      <c r="C723" s="22"/>
      <c r="D723" s="22"/>
      <c r="E723" s="22"/>
      <c r="F723" s="27" t="str">
        <f aca="false">IF(B723="","",IFERROR(INDEX(Roster!$B$5:$B$154,MATCH(B723,Roster!$A$5:$A$154,0)),"Not on roster"))</f>
        <v/>
      </c>
      <c r="G723" s="28" t="str">
        <f aca="false">IF(OR(B723="",C723=""),"",F723&amp;" | "&amp;C723)</f>
        <v/>
      </c>
      <c r="H723" s="27" t="str">
        <f aca="false">IF(G723="","",IFERROR(INDEX(Levels!$C$5:$C$94,MATCH(G723,Levels!$G$5:$G$94,0)),"Not this class's skill"))</f>
        <v/>
      </c>
    </row>
    <row r="724" customFormat="false" ht="15" hidden="false" customHeight="false" outlineLevel="0" collapsed="false">
      <c r="A724" s="23"/>
      <c r="B724" s="22"/>
      <c r="C724" s="22"/>
      <c r="D724" s="22"/>
      <c r="E724" s="22"/>
      <c r="F724" s="27" t="str">
        <f aca="false">IF(B724="","",IFERROR(INDEX(Roster!$B$5:$B$154,MATCH(B724,Roster!$A$5:$A$154,0)),"Not on roster"))</f>
        <v/>
      </c>
      <c r="G724" s="28" t="str">
        <f aca="false">IF(OR(B724="",C724=""),"",F724&amp;" | "&amp;C724)</f>
        <v/>
      </c>
      <c r="H724" s="27" t="str">
        <f aca="false">IF(G724="","",IFERROR(INDEX(Levels!$C$5:$C$94,MATCH(G724,Levels!$G$5:$G$94,0)),"Not this class's skill"))</f>
        <v/>
      </c>
    </row>
    <row r="725" customFormat="false" ht="15" hidden="false" customHeight="false" outlineLevel="0" collapsed="false">
      <c r="A725" s="23"/>
      <c r="B725" s="22"/>
      <c r="C725" s="22"/>
      <c r="D725" s="22"/>
      <c r="E725" s="22"/>
      <c r="F725" s="27" t="str">
        <f aca="false">IF(B725="","",IFERROR(INDEX(Roster!$B$5:$B$154,MATCH(B725,Roster!$A$5:$A$154,0)),"Not on roster"))</f>
        <v/>
      </c>
      <c r="G725" s="28" t="str">
        <f aca="false">IF(OR(B725="",C725=""),"",F725&amp;" | "&amp;C725)</f>
        <v/>
      </c>
      <c r="H725" s="27" t="str">
        <f aca="false">IF(G725="","",IFERROR(INDEX(Levels!$C$5:$C$94,MATCH(G725,Levels!$G$5:$G$94,0)),"Not this class's skill"))</f>
        <v/>
      </c>
    </row>
    <row r="726" customFormat="false" ht="15" hidden="false" customHeight="false" outlineLevel="0" collapsed="false">
      <c r="A726" s="23"/>
      <c r="B726" s="22"/>
      <c r="C726" s="22"/>
      <c r="D726" s="22"/>
      <c r="E726" s="22"/>
      <c r="F726" s="27" t="str">
        <f aca="false">IF(B726="","",IFERROR(INDEX(Roster!$B$5:$B$154,MATCH(B726,Roster!$A$5:$A$154,0)),"Not on roster"))</f>
        <v/>
      </c>
      <c r="G726" s="28" t="str">
        <f aca="false">IF(OR(B726="",C726=""),"",F726&amp;" | "&amp;C726)</f>
        <v/>
      </c>
      <c r="H726" s="27" t="str">
        <f aca="false">IF(G726="","",IFERROR(INDEX(Levels!$C$5:$C$94,MATCH(G726,Levels!$G$5:$G$94,0)),"Not this class's skill"))</f>
        <v/>
      </c>
    </row>
    <row r="727" customFormat="false" ht="15" hidden="false" customHeight="false" outlineLevel="0" collapsed="false">
      <c r="A727" s="23"/>
      <c r="B727" s="22"/>
      <c r="C727" s="22"/>
      <c r="D727" s="22"/>
      <c r="E727" s="22"/>
      <c r="F727" s="27" t="str">
        <f aca="false">IF(B727="","",IFERROR(INDEX(Roster!$B$5:$B$154,MATCH(B727,Roster!$A$5:$A$154,0)),"Not on roster"))</f>
        <v/>
      </c>
      <c r="G727" s="28" t="str">
        <f aca="false">IF(OR(B727="",C727=""),"",F727&amp;" | "&amp;C727)</f>
        <v/>
      </c>
      <c r="H727" s="27" t="str">
        <f aca="false">IF(G727="","",IFERROR(INDEX(Levels!$C$5:$C$94,MATCH(G727,Levels!$G$5:$G$94,0)),"Not this class's skill"))</f>
        <v/>
      </c>
    </row>
    <row r="728" customFormat="false" ht="15" hidden="false" customHeight="false" outlineLevel="0" collapsed="false">
      <c r="A728" s="23"/>
      <c r="B728" s="22"/>
      <c r="C728" s="22"/>
      <c r="D728" s="22"/>
      <c r="E728" s="22"/>
      <c r="F728" s="27" t="str">
        <f aca="false">IF(B728="","",IFERROR(INDEX(Roster!$B$5:$B$154,MATCH(B728,Roster!$A$5:$A$154,0)),"Not on roster"))</f>
        <v/>
      </c>
      <c r="G728" s="28" t="str">
        <f aca="false">IF(OR(B728="",C728=""),"",F728&amp;" | "&amp;C728)</f>
        <v/>
      </c>
      <c r="H728" s="27" t="str">
        <f aca="false">IF(G728="","",IFERROR(INDEX(Levels!$C$5:$C$94,MATCH(G728,Levels!$G$5:$G$94,0)),"Not this class's skill"))</f>
        <v/>
      </c>
    </row>
    <row r="729" customFormat="false" ht="15" hidden="false" customHeight="false" outlineLevel="0" collapsed="false">
      <c r="A729" s="23"/>
      <c r="B729" s="22"/>
      <c r="C729" s="22"/>
      <c r="D729" s="22"/>
      <c r="E729" s="22"/>
      <c r="F729" s="27" t="str">
        <f aca="false">IF(B729="","",IFERROR(INDEX(Roster!$B$5:$B$154,MATCH(B729,Roster!$A$5:$A$154,0)),"Not on roster"))</f>
        <v/>
      </c>
      <c r="G729" s="28" t="str">
        <f aca="false">IF(OR(B729="",C729=""),"",F729&amp;" | "&amp;C729)</f>
        <v/>
      </c>
      <c r="H729" s="27" t="str">
        <f aca="false">IF(G729="","",IFERROR(INDEX(Levels!$C$5:$C$94,MATCH(G729,Levels!$G$5:$G$94,0)),"Not this class's skill"))</f>
        <v/>
      </c>
    </row>
    <row r="730" customFormat="false" ht="15" hidden="false" customHeight="false" outlineLevel="0" collapsed="false">
      <c r="A730" s="23"/>
      <c r="B730" s="22"/>
      <c r="C730" s="22"/>
      <c r="D730" s="22"/>
      <c r="E730" s="22"/>
      <c r="F730" s="27" t="str">
        <f aca="false">IF(B730="","",IFERROR(INDEX(Roster!$B$5:$B$154,MATCH(B730,Roster!$A$5:$A$154,0)),"Not on roster"))</f>
        <v/>
      </c>
      <c r="G730" s="28" t="str">
        <f aca="false">IF(OR(B730="",C730=""),"",F730&amp;" | "&amp;C730)</f>
        <v/>
      </c>
      <c r="H730" s="27" t="str">
        <f aca="false">IF(G730="","",IFERROR(INDEX(Levels!$C$5:$C$94,MATCH(G730,Levels!$G$5:$G$94,0)),"Not this class's skill"))</f>
        <v/>
      </c>
    </row>
    <row r="731" customFormat="false" ht="15" hidden="false" customHeight="false" outlineLevel="0" collapsed="false">
      <c r="A731" s="23"/>
      <c r="B731" s="22"/>
      <c r="C731" s="22"/>
      <c r="D731" s="22"/>
      <c r="E731" s="22"/>
      <c r="F731" s="27" t="str">
        <f aca="false">IF(B731="","",IFERROR(INDEX(Roster!$B$5:$B$154,MATCH(B731,Roster!$A$5:$A$154,0)),"Not on roster"))</f>
        <v/>
      </c>
      <c r="G731" s="28" t="str">
        <f aca="false">IF(OR(B731="",C731=""),"",F731&amp;" | "&amp;C731)</f>
        <v/>
      </c>
      <c r="H731" s="27" t="str">
        <f aca="false">IF(G731="","",IFERROR(INDEX(Levels!$C$5:$C$94,MATCH(G731,Levels!$G$5:$G$94,0)),"Not this class's skill"))</f>
        <v/>
      </c>
    </row>
    <row r="732" customFormat="false" ht="15" hidden="false" customHeight="false" outlineLevel="0" collapsed="false">
      <c r="A732" s="23"/>
      <c r="B732" s="22"/>
      <c r="C732" s="22"/>
      <c r="D732" s="22"/>
      <c r="E732" s="22"/>
      <c r="F732" s="27" t="str">
        <f aca="false">IF(B732="","",IFERROR(INDEX(Roster!$B$5:$B$154,MATCH(B732,Roster!$A$5:$A$154,0)),"Not on roster"))</f>
        <v/>
      </c>
      <c r="G732" s="28" t="str">
        <f aca="false">IF(OR(B732="",C732=""),"",F732&amp;" | "&amp;C732)</f>
        <v/>
      </c>
      <c r="H732" s="27" t="str">
        <f aca="false">IF(G732="","",IFERROR(INDEX(Levels!$C$5:$C$94,MATCH(G732,Levels!$G$5:$G$94,0)),"Not this class's skill"))</f>
        <v/>
      </c>
    </row>
    <row r="733" customFormat="false" ht="15" hidden="false" customHeight="false" outlineLevel="0" collapsed="false">
      <c r="A733" s="23"/>
      <c r="B733" s="22"/>
      <c r="C733" s="22"/>
      <c r="D733" s="22"/>
      <c r="E733" s="22"/>
      <c r="F733" s="27" t="str">
        <f aca="false">IF(B733="","",IFERROR(INDEX(Roster!$B$5:$B$154,MATCH(B733,Roster!$A$5:$A$154,0)),"Not on roster"))</f>
        <v/>
      </c>
      <c r="G733" s="28" t="str">
        <f aca="false">IF(OR(B733="",C733=""),"",F733&amp;" | "&amp;C733)</f>
        <v/>
      </c>
      <c r="H733" s="27" t="str">
        <f aca="false">IF(G733="","",IFERROR(INDEX(Levels!$C$5:$C$94,MATCH(G733,Levels!$G$5:$G$94,0)),"Not this class's skill"))</f>
        <v/>
      </c>
    </row>
    <row r="734" customFormat="false" ht="15" hidden="false" customHeight="false" outlineLevel="0" collapsed="false">
      <c r="A734" s="23"/>
      <c r="B734" s="22"/>
      <c r="C734" s="22"/>
      <c r="D734" s="22"/>
      <c r="E734" s="22"/>
      <c r="F734" s="27" t="str">
        <f aca="false">IF(B734="","",IFERROR(INDEX(Roster!$B$5:$B$154,MATCH(B734,Roster!$A$5:$A$154,0)),"Not on roster"))</f>
        <v/>
      </c>
      <c r="G734" s="28" t="str">
        <f aca="false">IF(OR(B734="",C734=""),"",F734&amp;" | "&amp;C734)</f>
        <v/>
      </c>
      <c r="H734" s="27" t="str">
        <f aca="false">IF(G734="","",IFERROR(INDEX(Levels!$C$5:$C$94,MATCH(G734,Levels!$G$5:$G$94,0)),"Not this class's skill"))</f>
        <v/>
      </c>
    </row>
    <row r="735" customFormat="false" ht="15" hidden="false" customHeight="false" outlineLevel="0" collapsed="false">
      <c r="A735" s="23"/>
      <c r="B735" s="22"/>
      <c r="C735" s="22"/>
      <c r="D735" s="22"/>
      <c r="E735" s="22"/>
      <c r="F735" s="27" t="str">
        <f aca="false">IF(B735="","",IFERROR(INDEX(Roster!$B$5:$B$154,MATCH(B735,Roster!$A$5:$A$154,0)),"Not on roster"))</f>
        <v/>
      </c>
      <c r="G735" s="28" t="str">
        <f aca="false">IF(OR(B735="",C735=""),"",F735&amp;" | "&amp;C735)</f>
        <v/>
      </c>
      <c r="H735" s="27" t="str">
        <f aca="false">IF(G735="","",IFERROR(INDEX(Levels!$C$5:$C$94,MATCH(G735,Levels!$G$5:$G$94,0)),"Not this class's skill"))</f>
        <v/>
      </c>
    </row>
    <row r="736" customFormat="false" ht="15" hidden="false" customHeight="false" outlineLevel="0" collapsed="false">
      <c r="A736" s="23"/>
      <c r="B736" s="22"/>
      <c r="C736" s="22"/>
      <c r="D736" s="22"/>
      <c r="E736" s="22"/>
      <c r="F736" s="27" t="str">
        <f aca="false">IF(B736="","",IFERROR(INDEX(Roster!$B$5:$B$154,MATCH(B736,Roster!$A$5:$A$154,0)),"Not on roster"))</f>
        <v/>
      </c>
      <c r="G736" s="28" t="str">
        <f aca="false">IF(OR(B736="",C736=""),"",F736&amp;" | "&amp;C736)</f>
        <v/>
      </c>
      <c r="H736" s="27" t="str">
        <f aca="false">IF(G736="","",IFERROR(INDEX(Levels!$C$5:$C$94,MATCH(G736,Levels!$G$5:$G$94,0)),"Not this class's skill"))</f>
        <v/>
      </c>
    </row>
    <row r="737" customFormat="false" ht="15" hidden="false" customHeight="false" outlineLevel="0" collapsed="false">
      <c r="A737" s="23"/>
      <c r="B737" s="22"/>
      <c r="C737" s="22"/>
      <c r="D737" s="22"/>
      <c r="E737" s="22"/>
      <c r="F737" s="27" t="str">
        <f aca="false">IF(B737="","",IFERROR(INDEX(Roster!$B$5:$B$154,MATCH(B737,Roster!$A$5:$A$154,0)),"Not on roster"))</f>
        <v/>
      </c>
      <c r="G737" s="28" t="str">
        <f aca="false">IF(OR(B737="",C737=""),"",F737&amp;" | "&amp;C737)</f>
        <v/>
      </c>
      <c r="H737" s="27" t="str">
        <f aca="false">IF(G737="","",IFERROR(INDEX(Levels!$C$5:$C$94,MATCH(G737,Levels!$G$5:$G$94,0)),"Not this class's skill"))</f>
        <v/>
      </c>
    </row>
    <row r="738" customFormat="false" ht="15" hidden="false" customHeight="false" outlineLevel="0" collapsed="false">
      <c r="A738" s="23"/>
      <c r="B738" s="22"/>
      <c r="C738" s="22"/>
      <c r="D738" s="22"/>
      <c r="E738" s="22"/>
      <c r="F738" s="27" t="str">
        <f aca="false">IF(B738="","",IFERROR(INDEX(Roster!$B$5:$B$154,MATCH(B738,Roster!$A$5:$A$154,0)),"Not on roster"))</f>
        <v/>
      </c>
      <c r="G738" s="28" t="str">
        <f aca="false">IF(OR(B738="",C738=""),"",F738&amp;" | "&amp;C738)</f>
        <v/>
      </c>
      <c r="H738" s="27" t="str">
        <f aca="false">IF(G738="","",IFERROR(INDEX(Levels!$C$5:$C$94,MATCH(G738,Levels!$G$5:$G$94,0)),"Not this class's skill"))</f>
        <v/>
      </c>
    </row>
    <row r="739" customFormat="false" ht="15" hidden="false" customHeight="false" outlineLevel="0" collapsed="false">
      <c r="A739" s="23"/>
      <c r="B739" s="22"/>
      <c r="C739" s="22"/>
      <c r="D739" s="22"/>
      <c r="E739" s="22"/>
      <c r="F739" s="27" t="str">
        <f aca="false">IF(B739="","",IFERROR(INDEX(Roster!$B$5:$B$154,MATCH(B739,Roster!$A$5:$A$154,0)),"Not on roster"))</f>
        <v/>
      </c>
      <c r="G739" s="28" t="str">
        <f aca="false">IF(OR(B739="",C739=""),"",F739&amp;" | "&amp;C739)</f>
        <v/>
      </c>
      <c r="H739" s="27" t="str">
        <f aca="false">IF(G739="","",IFERROR(INDEX(Levels!$C$5:$C$94,MATCH(G739,Levels!$G$5:$G$94,0)),"Not this class's skill"))</f>
        <v/>
      </c>
    </row>
    <row r="740" customFormat="false" ht="15" hidden="false" customHeight="false" outlineLevel="0" collapsed="false">
      <c r="A740" s="23"/>
      <c r="B740" s="22"/>
      <c r="C740" s="22"/>
      <c r="D740" s="22"/>
      <c r="E740" s="22"/>
      <c r="F740" s="27" t="str">
        <f aca="false">IF(B740="","",IFERROR(INDEX(Roster!$B$5:$B$154,MATCH(B740,Roster!$A$5:$A$154,0)),"Not on roster"))</f>
        <v/>
      </c>
      <c r="G740" s="28" t="str">
        <f aca="false">IF(OR(B740="",C740=""),"",F740&amp;" | "&amp;C740)</f>
        <v/>
      </c>
      <c r="H740" s="27" t="str">
        <f aca="false">IF(G740="","",IFERROR(INDEX(Levels!$C$5:$C$94,MATCH(G740,Levels!$G$5:$G$94,0)),"Not this class's skill"))</f>
        <v/>
      </c>
    </row>
    <row r="741" customFormat="false" ht="15" hidden="false" customHeight="false" outlineLevel="0" collapsed="false">
      <c r="A741" s="23"/>
      <c r="B741" s="22"/>
      <c r="C741" s="22"/>
      <c r="D741" s="22"/>
      <c r="E741" s="22"/>
      <c r="F741" s="27" t="str">
        <f aca="false">IF(B741="","",IFERROR(INDEX(Roster!$B$5:$B$154,MATCH(B741,Roster!$A$5:$A$154,0)),"Not on roster"))</f>
        <v/>
      </c>
      <c r="G741" s="28" t="str">
        <f aca="false">IF(OR(B741="",C741=""),"",F741&amp;" | "&amp;C741)</f>
        <v/>
      </c>
      <c r="H741" s="27" t="str">
        <f aca="false">IF(G741="","",IFERROR(INDEX(Levels!$C$5:$C$94,MATCH(G741,Levels!$G$5:$G$94,0)),"Not this class's skill"))</f>
        <v/>
      </c>
    </row>
    <row r="742" customFormat="false" ht="15" hidden="false" customHeight="false" outlineLevel="0" collapsed="false">
      <c r="A742" s="23"/>
      <c r="B742" s="22"/>
      <c r="C742" s="22"/>
      <c r="D742" s="22"/>
      <c r="E742" s="22"/>
      <c r="F742" s="27" t="str">
        <f aca="false">IF(B742="","",IFERROR(INDEX(Roster!$B$5:$B$154,MATCH(B742,Roster!$A$5:$A$154,0)),"Not on roster"))</f>
        <v/>
      </c>
      <c r="G742" s="28" t="str">
        <f aca="false">IF(OR(B742="",C742=""),"",F742&amp;" | "&amp;C742)</f>
        <v/>
      </c>
      <c r="H742" s="27" t="str">
        <f aca="false">IF(G742="","",IFERROR(INDEX(Levels!$C$5:$C$94,MATCH(G742,Levels!$G$5:$G$94,0)),"Not this class's skill"))</f>
        <v/>
      </c>
    </row>
    <row r="743" customFormat="false" ht="15" hidden="false" customHeight="false" outlineLevel="0" collapsed="false">
      <c r="A743" s="23"/>
      <c r="B743" s="22"/>
      <c r="C743" s="22"/>
      <c r="D743" s="22"/>
      <c r="E743" s="22"/>
      <c r="F743" s="27" t="str">
        <f aca="false">IF(B743="","",IFERROR(INDEX(Roster!$B$5:$B$154,MATCH(B743,Roster!$A$5:$A$154,0)),"Not on roster"))</f>
        <v/>
      </c>
      <c r="G743" s="28" t="str">
        <f aca="false">IF(OR(B743="",C743=""),"",F743&amp;" | "&amp;C743)</f>
        <v/>
      </c>
      <c r="H743" s="27" t="str">
        <f aca="false">IF(G743="","",IFERROR(INDEX(Levels!$C$5:$C$94,MATCH(G743,Levels!$G$5:$G$94,0)),"Not this class's skill"))</f>
        <v/>
      </c>
    </row>
    <row r="744" customFormat="false" ht="15" hidden="false" customHeight="false" outlineLevel="0" collapsed="false">
      <c r="A744" s="23"/>
      <c r="B744" s="22"/>
      <c r="C744" s="22"/>
      <c r="D744" s="22"/>
      <c r="E744" s="22"/>
      <c r="F744" s="27" t="str">
        <f aca="false">IF(B744="","",IFERROR(INDEX(Roster!$B$5:$B$154,MATCH(B744,Roster!$A$5:$A$154,0)),"Not on roster"))</f>
        <v/>
      </c>
      <c r="G744" s="28" t="str">
        <f aca="false">IF(OR(B744="",C744=""),"",F744&amp;" | "&amp;C744)</f>
        <v/>
      </c>
      <c r="H744" s="27" t="str">
        <f aca="false">IF(G744="","",IFERROR(INDEX(Levels!$C$5:$C$94,MATCH(G744,Levels!$G$5:$G$94,0)),"Not this class's skill"))</f>
        <v/>
      </c>
    </row>
    <row r="745" customFormat="false" ht="15" hidden="false" customHeight="false" outlineLevel="0" collapsed="false">
      <c r="A745" s="23"/>
      <c r="B745" s="22"/>
      <c r="C745" s="22"/>
      <c r="D745" s="22"/>
      <c r="E745" s="22"/>
      <c r="F745" s="27" t="str">
        <f aca="false">IF(B745="","",IFERROR(INDEX(Roster!$B$5:$B$154,MATCH(B745,Roster!$A$5:$A$154,0)),"Not on roster"))</f>
        <v/>
      </c>
      <c r="G745" s="28" t="str">
        <f aca="false">IF(OR(B745="",C745=""),"",F745&amp;" | "&amp;C745)</f>
        <v/>
      </c>
      <c r="H745" s="27" t="str">
        <f aca="false">IF(G745="","",IFERROR(INDEX(Levels!$C$5:$C$94,MATCH(G745,Levels!$G$5:$G$94,0)),"Not this class's skill"))</f>
        <v/>
      </c>
    </row>
    <row r="746" customFormat="false" ht="15" hidden="false" customHeight="false" outlineLevel="0" collapsed="false">
      <c r="A746" s="23"/>
      <c r="B746" s="22"/>
      <c r="C746" s="22"/>
      <c r="D746" s="22"/>
      <c r="E746" s="22"/>
      <c r="F746" s="27" t="str">
        <f aca="false">IF(B746="","",IFERROR(INDEX(Roster!$B$5:$B$154,MATCH(B746,Roster!$A$5:$A$154,0)),"Not on roster"))</f>
        <v/>
      </c>
      <c r="G746" s="28" t="str">
        <f aca="false">IF(OR(B746="",C746=""),"",F746&amp;" | "&amp;C746)</f>
        <v/>
      </c>
      <c r="H746" s="27" t="str">
        <f aca="false">IF(G746="","",IFERROR(INDEX(Levels!$C$5:$C$94,MATCH(G746,Levels!$G$5:$G$94,0)),"Not this class's skill"))</f>
        <v/>
      </c>
    </row>
    <row r="747" customFormat="false" ht="15" hidden="false" customHeight="false" outlineLevel="0" collapsed="false">
      <c r="A747" s="23"/>
      <c r="B747" s="22"/>
      <c r="C747" s="22"/>
      <c r="D747" s="22"/>
      <c r="E747" s="22"/>
      <c r="F747" s="27" t="str">
        <f aca="false">IF(B747="","",IFERROR(INDEX(Roster!$B$5:$B$154,MATCH(B747,Roster!$A$5:$A$154,0)),"Not on roster"))</f>
        <v/>
      </c>
      <c r="G747" s="28" t="str">
        <f aca="false">IF(OR(B747="",C747=""),"",F747&amp;" | "&amp;C747)</f>
        <v/>
      </c>
      <c r="H747" s="27" t="str">
        <f aca="false">IF(G747="","",IFERROR(INDEX(Levels!$C$5:$C$94,MATCH(G747,Levels!$G$5:$G$94,0)),"Not this class's skill"))</f>
        <v/>
      </c>
    </row>
    <row r="748" customFormat="false" ht="15" hidden="false" customHeight="false" outlineLevel="0" collapsed="false">
      <c r="A748" s="23"/>
      <c r="B748" s="22"/>
      <c r="C748" s="22"/>
      <c r="D748" s="22"/>
      <c r="E748" s="22"/>
      <c r="F748" s="27" t="str">
        <f aca="false">IF(B748="","",IFERROR(INDEX(Roster!$B$5:$B$154,MATCH(B748,Roster!$A$5:$A$154,0)),"Not on roster"))</f>
        <v/>
      </c>
      <c r="G748" s="28" t="str">
        <f aca="false">IF(OR(B748="",C748=""),"",F748&amp;" | "&amp;C748)</f>
        <v/>
      </c>
      <c r="H748" s="27" t="str">
        <f aca="false">IF(G748="","",IFERROR(INDEX(Levels!$C$5:$C$94,MATCH(G748,Levels!$G$5:$G$94,0)),"Not this class's skill"))</f>
        <v/>
      </c>
    </row>
    <row r="749" customFormat="false" ht="15" hidden="false" customHeight="false" outlineLevel="0" collapsed="false">
      <c r="A749" s="23"/>
      <c r="B749" s="22"/>
      <c r="C749" s="22"/>
      <c r="D749" s="22"/>
      <c r="E749" s="22"/>
      <c r="F749" s="27" t="str">
        <f aca="false">IF(B749="","",IFERROR(INDEX(Roster!$B$5:$B$154,MATCH(B749,Roster!$A$5:$A$154,0)),"Not on roster"))</f>
        <v/>
      </c>
      <c r="G749" s="28" t="str">
        <f aca="false">IF(OR(B749="",C749=""),"",F749&amp;" | "&amp;C749)</f>
        <v/>
      </c>
      <c r="H749" s="27" t="str">
        <f aca="false">IF(G749="","",IFERROR(INDEX(Levels!$C$5:$C$94,MATCH(G749,Levels!$G$5:$G$94,0)),"Not this class's skill"))</f>
        <v/>
      </c>
    </row>
    <row r="750" customFormat="false" ht="15" hidden="false" customHeight="false" outlineLevel="0" collapsed="false">
      <c r="A750" s="23"/>
      <c r="B750" s="22"/>
      <c r="C750" s="22"/>
      <c r="D750" s="22"/>
      <c r="E750" s="22"/>
      <c r="F750" s="27" t="str">
        <f aca="false">IF(B750="","",IFERROR(INDEX(Roster!$B$5:$B$154,MATCH(B750,Roster!$A$5:$A$154,0)),"Not on roster"))</f>
        <v/>
      </c>
      <c r="G750" s="28" t="str">
        <f aca="false">IF(OR(B750="",C750=""),"",F750&amp;" | "&amp;C750)</f>
        <v/>
      </c>
      <c r="H750" s="27" t="str">
        <f aca="false">IF(G750="","",IFERROR(INDEX(Levels!$C$5:$C$94,MATCH(G750,Levels!$G$5:$G$94,0)),"Not this class's skill"))</f>
        <v/>
      </c>
    </row>
    <row r="751" customFormat="false" ht="15" hidden="false" customHeight="false" outlineLevel="0" collapsed="false">
      <c r="A751" s="23"/>
      <c r="B751" s="22"/>
      <c r="C751" s="22"/>
      <c r="D751" s="22"/>
      <c r="E751" s="22"/>
      <c r="F751" s="27" t="str">
        <f aca="false">IF(B751="","",IFERROR(INDEX(Roster!$B$5:$B$154,MATCH(B751,Roster!$A$5:$A$154,0)),"Not on roster"))</f>
        <v/>
      </c>
      <c r="G751" s="28" t="str">
        <f aca="false">IF(OR(B751="",C751=""),"",F751&amp;" | "&amp;C751)</f>
        <v/>
      </c>
      <c r="H751" s="27" t="str">
        <f aca="false">IF(G751="","",IFERROR(INDEX(Levels!$C$5:$C$94,MATCH(G751,Levels!$G$5:$G$94,0)),"Not this class's skill"))</f>
        <v/>
      </c>
    </row>
    <row r="752" customFormat="false" ht="15" hidden="false" customHeight="false" outlineLevel="0" collapsed="false">
      <c r="A752" s="23"/>
      <c r="B752" s="22"/>
      <c r="C752" s="22"/>
      <c r="D752" s="22"/>
      <c r="E752" s="22"/>
      <c r="F752" s="27" t="str">
        <f aca="false">IF(B752="","",IFERROR(INDEX(Roster!$B$5:$B$154,MATCH(B752,Roster!$A$5:$A$154,0)),"Not on roster"))</f>
        <v/>
      </c>
      <c r="G752" s="28" t="str">
        <f aca="false">IF(OR(B752="",C752=""),"",F752&amp;" | "&amp;C752)</f>
        <v/>
      </c>
      <c r="H752" s="27" t="str">
        <f aca="false">IF(G752="","",IFERROR(INDEX(Levels!$C$5:$C$94,MATCH(G752,Levels!$G$5:$G$94,0)),"Not this class's skill"))</f>
        <v/>
      </c>
    </row>
    <row r="753" customFormat="false" ht="15" hidden="false" customHeight="false" outlineLevel="0" collapsed="false">
      <c r="A753" s="23"/>
      <c r="B753" s="22"/>
      <c r="C753" s="22"/>
      <c r="D753" s="22"/>
      <c r="E753" s="22"/>
      <c r="F753" s="27" t="str">
        <f aca="false">IF(B753="","",IFERROR(INDEX(Roster!$B$5:$B$154,MATCH(B753,Roster!$A$5:$A$154,0)),"Not on roster"))</f>
        <v/>
      </c>
      <c r="G753" s="28" t="str">
        <f aca="false">IF(OR(B753="",C753=""),"",F753&amp;" | "&amp;C753)</f>
        <v/>
      </c>
      <c r="H753" s="27" t="str">
        <f aca="false">IF(G753="","",IFERROR(INDEX(Levels!$C$5:$C$94,MATCH(G753,Levels!$G$5:$G$94,0)),"Not this class's skill"))</f>
        <v/>
      </c>
    </row>
    <row r="754" customFormat="false" ht="15" hidden="false" customHeight="false" outlineLevel="0" collapsed="false">
      <c r="A754" s="23"/>
      <c r="B754" s="22"/>
      <c r="C754" s="22"/>
      <c r="D754" s="22"/>
      <c r="E754" s="22"/>
      <c r="F754" s="27" t="str">
        <f aca="false">IF(B754="","",IFERROR(INDEX(Roster!$B$5:$B$154,MATCH(B754,Roster!$A$5:$A$154,0)),"Not on roster"))</f>
        <v/>
      </c>
      <c r="G754" s="28" t="str">
        <f aca="false">IF(OR(B754="",C754=""),"",F754&amp;" | "&amp;C754)</f>
        <v/>
      </c>
      <c r="H754" s="27" t="str">
        <f aca="false">IF(G754="","",IFERROR(INDEX(Levels!$C$5:$C$94,MATCH(G754,Levels!$G$5:$G$94,0)),"Not this class's skill"))</f>
        <v/>
      </c>
    </row>
    <row r="755" customFormat="false" ht="15" hidden="false" customHeight="false" outlineLevel="0" collapsed="false">
      <c r="A755" s="23"/>
      <c r="B755" s="22"/>
      <c r="C755" s="22"/>
      <c r="D755" s="22"/>
      <c r="E755" s="22"/>
      <c r="F755" s="27" t="str">
        <f aca="false">IF(B755="","",IFERROR(INDEX(Roster!$B$5:$B$154,MATCH(B755,Roster!$A$5:$A$154,0)),"Not on roster"))</f>
        <v/>
      </c>
      <c r="G755" s="28" t="str">
        <f aca="false">IF(OR(B755="",C755=""),"",F755&amp;" | "&amp;C755)</f>
        <v/>
      </c>
      <c r="H755" s="27" t="str">
        <f aca="false">IF(G755="","",IFERROR(INDEX(Levels!$C$5:$C$94,MATCH(G755,Levels!$G$5:$G$94,0)),"Not this class's skill"))</f>
        <v/>
      </c>
    </row>
    <row r="756" customFormat="false" ht="15" hidden="false" customHeight="false" outlineLevel="0" collapsed="false">
      <c r="A756" s="23"/>
      <c r="B756" s="22"/>
      <c r="C756" s="22"/>
      <c r="D756" s="22"/>
      <c r="E756" s="22"/>
      <c r="F756" s="27" t="str">
        <f aca="false">IF(B756="","",IFERROR(INDEX(Roster!$B$5:$B$154,MATCH(B756,Roster!$A$5:$A$154,0)),"Not on roster"))</f>
        <v/>
      </c>
      <c r="G756" s="28" t="str">
        <f aca="false">IF(OR(B756="",C756=""),"",F756&amp;" | "&amp;C756)</f>
        <v/>
      </c>
      <c r="H756" s="27" t="str">
        <f aca="false">IF(G756="","",IFERROR(INDEX(Levels!$C$5:$C$94,MATCH(G756,Levels!$G$5:$G$94,0)),"Not this class's skill"))</f>
        <v/>
      </c>
    </row>
    <row r="757" customFormat="false" ht="15" hidden="false" customHeight="false" outlineLevel="0" collapsed="false">
      <c r="A757" s="23"/>
      <c r="B757" s="22"/>
      <c r="C757" s="22"/>
      <c r="D757" s="22"/>
      <c r="E757" s="22"/>
      <c r="F757" s="27" t="str">
        <f aca="false">IF(B757="","",IFERROR(INDEX(Roster!$B$5:$B$154,MATCH(B757,Roster!$A$5:$A$154,0)),"Not on roster"))</f>
        <v/>
      </c>
      <c r="G757" s="28" t="str">
        <f aca="false">IF(OR(B757="",C757=""),"",F757&amp;" | "&amp;C757)</f>
        <v/>
      </c>
      <c r="H757" s="27" t="str">
        <f aca="false">IF(G757="","",IFERROR(INDEX(Levels!$C$5:$C$94,MATCH(G757,Levels!$G$5:$G$94,0)),"Not this class's skill"))</f>
        <v/>
      </c>
    </row>
    <row r="758" customFormat="false" ht="15" hidden="false" customHeight="false" outlineLevel="0" collapsed="false">
      <c r="A758" s="23"/>
      <c r="B758" s="22"/>
      <c r="C758" s="22"/>
      <c r="D758" s="22"/>
      <c r="E758" s="22"/>
      <c r="F758" s="27" t="str">
        <f aca="false">IF(B758="","",IFERROR(INDEX(Roster!$B$5:$B$154,MATCH(B758,Roster!$A$5:$A$154,0)),"Not on roster"))</f>
        <v/>
      </c>
      <c r="G758" s="28" t="str">
        <f aca="false">IF(OR(B758="",C758=""),"",F758&amp;" | "&amp;C758)</f>
        <v/>
      </c>
      <c r="H758" s="27" t="str">
        <f aca="false">IF(G758="","",IFERROR(INDEX(Levels!$C$5:$C$94,MATCH(G758,Levels!$G$5:$G$94,0)),"Not this class's skill"))</f>
        <v/>
      </c>
    </row>
    <row r="759" customFormat="false" ht="15" hidden="false" customHeight="false" outlineLevel="0" collapsed="false">
      <c r="A759" s="23"/>
      <c r="B759" s="22"/>
      <c r="C759" s="22"/>
      <c r="D759" s="22"/>
      <c r="E759" s="22"/>
      <c r="F759" s="27" t="str">
        <f aca="false">IF(B759="","",IFERROR(INDEX(Roster!$B$5:$B$154,MATCH(B759,Roster!$A$5:$A$154,0)),"Not on roster"))</f>
        <v/>
      </c>
      <c r="G759" s="28" t="str">
        <f aca="false">IF(OR(B759="",C759=""),"",F759&amp;" | "&amp;C759)</f>
        <v/>
      </c>
      <c r="H759" s="27" t="str">
        <f aca="false">IF(G759="","",IFERROR(INDEX(Levels!$C$5:$C$94,MATCH(G759,Levels!$G$5:$G$94,0)),"Not this class's skill"))</f>
        <v/>
      </c>
    </row>
    <row r="760" customFormat="false" ht="15" hidden="false" customHeight="false" outlineLevel="0" collapsed="false">
      <c r="A760" s="23"/>
      <c r="B760" s="22"/>
      <c r="C760" s="22"/>
      <c r="D760" s="22"/>
      <c r="E760" s="22"/>
      <c r="F760" s="27" t="str">
        <f aca="false">IF(B760="","",IFERROR(INDEX(Roster!$B$5:$B$154,MATCH(B760,Roster!$A$5:$A$154,0)),"Not on roster"))</f>
        <v/>
      </c>
      <c r="G760" s="28" t="str">
        <f aca="false">IF(OR(B760="",C760=""),"",F760&amp;" | "&amp;C760)</f>
        <v/>
      </c>
      <c r="H760" s="27" t="str">
        <f aca="false">IF(G760="","",IFERROR(INDEX(Levels!$C$5:$C$94,MATCH(G760,Levels!$G$5:$G$94,0)),"Not this class's skill"))</f>
        <v/>
      </c>
    </row>
    <row r="761" customFormat="false" ht="15" hidden="false" customHeight="false" outlineLevel="0" collapsed="false">
      <c r="A761" s="23"/>
      <c r="B761" s="22"/>
      <c r="C761" s="22"/>
      <c r="D761" s="22"/>
      <c r="E761" s="22"/>
      <c r="F761" s="27" t="str">
        <f aca="false">IF(B761="","",IFERROR(INDEX(Roster!$B$5:$B$154,MATCH(B761,Roster!$A$5:$A$154,0)),"Not on roster"))</f>
        <v/>
      </c>
      <c r="G761" s="28" t="str">
        <f aca="false">IF(OR(B761="",C761=""),"",F761&amp;" | "&amp;C761)</f>
        <v/>
      </c>
      <c r="H761" s="27" t="str">
        <f aca="false">IF(G761="","",IFERROR(INDEX(Levels!$C$5:$C$94,MATCH(G761,Levels!$G$5:$G$94,0)),"Not this class's skill"))</f>
        <v/>
      </c>
    </row>
    <row r="762" customFormat="false" ht="15" hidden="false" customHeight="false" outlineLevel="0" collapsed="false">
      <c r="A762" s="23"/>
      <c r="B762" s="22"/>
      <c r="C762" s="22"/>
      <c r="D762" s="22"/>
      <c r="E762" s="22"/>
      <c r="F762" s="27" t="str">
        <f aca="false">IF(B762="","",IFERROR(INDEX(Roster!$B$5:$B$154,MATCH(B762,Roster!$A$5:$A$154,0)),"Not on roster"))</f>
        <v/>
      </c>
      <c r="G762" s="28" t="str">
        <f aca="false">IF(OR(B762="",C762=""),"",F762&amp;" | "&amp;C762)</f>
        <v/>
      </c>
      <c r="H762" s="27" t="str">
        <f aca="false">IF(G762="","",IFERROR(INDEX(Levels!$C$5:$C$94,MATCH(G762,Levels!$G$5:$G$94,0)),"Not this class's skill"))</f>
        <v/>
      </c>
    </row>
    <row r="763" customFormat="false" ht="15" hidden="false" customHeight="false" outlineLevel="0" collapsed="false">
      <c r="A763" s="23"/>
      <c r="B763" s="22"/>
      <c r="C763" s="22"/>
      <c r="D763" s="22"/>
      <c r="E763" s="22"/>
      <c r="F763" s="27" t="str">
        <f aca="false">IF(B763="","",IFERROR(INDEX(Roster!$B$5:$B$154,MATCH(B763,Roster!$A$5:$A$154,0)),"Not on roster"))</f>
        <v/>
      </c>
      <c r="G763" s="28" t="str">
        <f aca="false">IF(OR(B763="",C763=""),"",F763&amp;" | "&amp;C763)</f>
        <v/>
      </c>
      <c r="H763" s="27" t="str">
        <f aca="false">IF(G763="","",IFERROR(INDEX(Levels!$C$5:$C$94,MATCH(G763,Levels!$G$5:$G$94,0)),"Not this class's skill"))</f>
        <v/>
      </c>
    </row>
    <row r="764" customFormat="false" ht="15" hidden="false" customHeight="false" outlineLevel="0" collapsed="false">
      <c r="A764" s="23"/>
      <c r="B764" s="22"/>
      <c r="C764" s="22"/>
      <c r="D764" s="22"/>
      <c r="E764" s="22"/>
      <c r="F764" s="27" t="str">
        <f aca="false">IF(B764="","",IFERROR(INDEX(Roster!$B$5:$B$154,MATCH(B764,Roster!$A$5:$A$154,0)),"Not on roster"))</f>
        <v/>
      </c>
      <c r="G764" s="28" t="str">
        <f aca="false">IF(OR(B764="",C764=""),"",F764&amp;" | "&amp;C764)</f>
        <v/>
      </c>
      <c r="H764" s="27" t="str">
        <f aca="false">IF(G764="","",IFERROR(INDEX(Levels!$C$5:$C$94,MATCH(G764,Levels!$G$5:$G$94,0)),"Not this class's skill"))</f>
        <v/>
      </c>
    </row>
    <row r="765" customFormat="false" ht="15" hidden="false" customHeight="false" outlineLevel="0" collapsed="false">
      <c r="A765" s="23"/>
      <c r="B765" s="22"/>
      <c r="C765" s="22"/>
      <c r="D765" s="22"/>
      <c r="E765" s="22"/>
      <c r="F765" s="27" t="str">
        <f aca="false">IF(B765="","",IFERROR(INDEX(Roster!$B$5:$B$154,MATCH(B765,Roster!$A$5:$A$154,0)),"Not on roster"))</f>
        <v/>
      </c>
      <c r="G765" s="28" t="str">
        <f aca="false">IF(OR(B765="",C765=""),"",F765&amp;" | "&amp;C765)</f>
        <v/>
      </c>
      <c r="H765" s="27" t="str">
        <f aca="false">IF(G765="","",IFERROR(INDEX(Levels!$C$5:$C$94,MATCH(G765,Levels!$G$5:$G$94,0)),"Not this class's skill"))</f>
        <v/>
      </c>
    </row>
    <row r="766" customFormat="false" ht="15" hidden="false" customHeight="false" outlineLevel="0" collapsed="false">
      <c r="A766" s="23"/>
      <c r="B766" s="22"/>
      <c r="C766" s="22"/>
      <c r="D766" s="22"/>
      <c r="E766" s="22"/>
      <c r="F766" s="27" t="str">
        <f aca="false">IF(B766="","",IFERROR(INDEX(Roster!$B$5:$B$154,MATCH(B766,Roster!$A$5:$A$154,0)),"Not on roster"))</f>
        <v/>
      </c>
      <c r="G766" s="28" t="str">
        <f aca="false">IF(OR(B766="",C766=""),"",F766&amp;" | "&amp;C766)</f>
        <v/>
      </c>
      <c r="H766" s="27" t="str">
        <f aca="false">IF(G766="","",IFERROR(INDEX(Levels!$C$5:$C$94,MATCH(G766,Levels!$G$5:$G$94,0)),"Not this class's skill"))</f>
        <v/>
      </c>
    </row>
    <row r="767" customFormat="false" ht="15" hidden="false" customHeight="false" outlineLevel="0" collapsed="false">
      <c r="A767" s="23"/>
      <c r="B767" s="22"/>
      <c r="C767" s="22"/>
      <c r="D767" s="22"/>
      <c r="E767" s="22"/>
      <c r="F767" s="27" t="str">
        <f aca="false">IF(B767="","",IFERROR(INDEX(Roster!$B$5:$B$154,MATCH(B767,Roster!$A$5:$A$154,0)),"Not on roster"))</f>
        <v/>
      </c>
      <c r="G767" s="28" t="str">
        <f aca="false">IF(OR(B767="",C767=""),"",F767&amp;" | "&amp;C767)</f>
        <v/>
      </c>
      <c r="H767" s="27" t="str">
        <f aca="false">IF(G767="","",IFERROR(INDEX(Levels!$C$5:$C$94,MATCH(G767,Levels!$G$5:$G$94,0)),"Not this class's skill"))</f>
        <v/>
      </c>
    </row>
    <row r="768" customFormat="false" ht="15" hidden="false" customHeight="false" outlineLevel="0" collapsed="false">
      <c r="A768" s="23"/>
      <c r="B768" s="22"/>
      <c r="C768" s="22"/>
      <c r="D768" s="22"/>
      <c r="E768" s="22"/>
      <c r="F768" s="27" t="str">
        <f aca="false">IF(B768="","",IFERROR(INDEX(Roster!$B$5:$B$154,MATCH(B768,Roster!$A$5:$A$154,0)),"Not on roster"))</f>
        <v/>
      </c>
      <c r="G768" s="28" t="str">
        <f aca="false">IF(OR(B768="",C768=""),"",F768&amp;" | "&amp;C768)</f>
        <v/>
      </c>
      <c r="H768" s="27" t="str">
        <f aca="false">IF(G768="","",IFERROR(INDEX(Levels!$C$5:$C$94,MATCH(G768,Levels!$G$5:$G$94,0)),"Not this class's skill"))</f>
        <v/>
      </c>
    </row>
    <row r="769" customFormat="false" ht="15" hidden="false" customHeight="false" outlineLevel="0" collapsed="false">
      <c r="A769" s="23"/>
      <c r="B769" s="22"/>
      <c r="C769" s="22"/>
      <c r="D769" s="22"/>
      <c r="E769" s="22"/>
      <c r="F769" s="27" t="str">
        <f aca="false">IF(B769="","",IFERROR(INDEX(Roster!$B$5:$B$154,MATCH(B769,Roster!$A$5:$A$154,0)),"Not on roster"))</f>
        <v/>
      </c>
      <c r="G769" s="28" t="str">
        <f aca="false">IF(OR(B769="",C769=""),"",F769&amp;" | "&amp;C769)</f>
        <v/>
      </c>
      <c r="H769" s="27" t="str">
        <f aca="false">IF(G769="","",IFERROR(INDEX(Levels!$C$5:$C$94,MATCH(G769,Levels!$G$5:$G$94,0)),"Not this class's skill"))</f>
        <v/>
      </c>
    </row>
    <row r="770" customFormat="false" ht="15" hidden="false" customHeight="false" outlineLevel="0" collapsed="false">
      <c r="A770" s="23"/>
      <c r="B770" s="22"/>
      <c r="C770" s="22"/>
      <c r="D770" s="22"/>
      <c r="E770" s="22"/>
      <c r="F770" s="27" t="str">
        <f aca="false">IF(B770="","",IFERROR(INDEX(Roster!$B$5:$B$154,MATCH(B770,Roster!$A$5:$A$154,0)),"Not on roster"))</f>
        <v/>
      </c>
      <c r="G770" s="28" t="str">
        <f aca="false">IF(OR(B770="",C770=""),"",F770&amp;" | "&amp;C770)</f>
        <v/>
      </c>
      <c r="H770" s="27" t="str">
        <f aca="false">IF(G770="","",IFERROR(INDEX(Levels!$C$5:$C$94,MATCH(G770,Levels!$G$5:$G$94,0)),"Not this class's skill"))</f>
        <v/>
      </c>
    </row>
    <row r="771" customFormat="false" ht="15" hidden="false" customHeight="false" outlineLevel="0" collapsed="false">
      <c r="A771" s="23"/>
      <c r="B771" s="22"/>
      <c r="C771" s="22"/>
      <c r="D771" s="22"/>
      <c r="E771" s="22"/>
      <c r="F771" s="27" t="str">
        <f aca="false">IF(B771="","",IFERROR(INDEX(Roster!$B$5:$B$154,MATCH(B771,Roster!$A$5:$A$154,0)),"Not on roster"))</f>
        <v/>
      </c>
      <c r="G771" s="28" t="str">
        <f aca="false">IF(OR(B771="",C771=""),"",F771&amp;" | "&amp;C771)</f>
        <v/>
      </c>
      <c r="H771" s="27" t="str">
        <f aca="false">IF(G771="","",IFERROR(INDEX(Levels!$C$5:$C$94,MATCH(G771,Levels!$G$5:$G$94,0)),"Not this class's skill"))</f>
        <v/>
      </c>
    </row>
    <row r="772" customFormat="false" ht="15" hidden="false" customHeight="false" outlineLevel="0" collapsed="false">
      <c r="A772" s="23"/>
      <c r="B772" s="22"/>
      <c r="C772" s="22"/>
      <c r="D772" s="22"/>
      <c r="E772" s="22"/>
      <c r="F772" s="27" t="str">
        <f aca="false">IF(B772="","",IFERROR(INDEX(Roster!$B$5:$B$154,MATCH(B772,Roster!$A$5:$A$154,0)),"Not on roster"))</f>
        <v/>
      </c>
      <c r="G772" s="28" t="str">
        <f aca="false">IF(OR(B772="",C772=""),"",F772&amp;" | "&amp;C772)</f>
        <v/>
      </c>
      <c r="H772" s="27" t="str">
        <f aca="false">IF(G772="","",IFERROR(INDEX(Levels!$C$5:$C$94,MATCH(G772,Levels!$G$5:$G$94,0)),"Not this class's skill"))</f>
        <v/>
      </c>
    </row>
    <row r="773" customFormat="false" ht="15" hidden="false" customHeight="false" outlineLevel="0" collapsed="false">
      <c r="A773" s="23"/>
      <c r="B773" s="22"/>
      <c r="C773" s="22"/>
      <c r="D773" s="22"/>
      <c r="E773" s="22"/>
      <c r="F773" s="27" t="str">
        <f aca="false">IF(B773="","",IFERROR(INDEX(Roster!$B$5:$B$154,MATCH(B773,Roster!$A$5:$A$154,0)),"Not on roster"))</f>
        <v/>
      </c>
      <c r="G773" s="28" t="str">
        <f aca="false">IF(OR(B773="",C773=""),"",F773&amp;" | "&amp;C773)</f>
        <v/>
      </c>
      <c r="H773" s="27" t="str">
        <f aca="false">IF(G773="","",IFERROR(INDEX(Levels!$C$5:$C$94,MATCH(G773,Levels!$G$5:$G$94,0)),"Not this class's skill"))</f>
        <v/>
      </c>
    </row>
    <row r="774" customFormat="false" ht="15" hidden="false" customHeight="false" outlineLevel="0" collapsed="false">
      <c r="A774" s="23"/>
      <c r="B774" s="22"/>
      <c r="C774" s="22"/>
      <c r="D774" s="22"/>
      <c r="E774" s="22"/>
      <c r="F774" s="27" t="str">
        <f aca="false">IF(B774="","",IFERROR(INDEX(Roster!$B$5:$B$154,MATCH(B774,Roster!$A$5:$A$154,0)),"Not on roster"))</f>
        <v/>
      </c>
      <c r="G774" s="28" t="str">
        <f aca="false">IF(OR(B774="",C774=""),"",F774&amp;" | "&amp;C774)</f>
        <v/>
      </c>
      <c r="H774" s="27" t="str">
        <f aca="false">IF(G774="","",IFERROR(INDEX(Levels!$C$5:$C$94,MATCH(G774,Levels!$G$5:$G$94,0)),"Not this class's skill"))</f>
        <v/>
      </c>
    </row>
    <row r="775" customFormat="false" ht="15" hidden="false" customHeight="false" outlineLevel="0" collapsed="false">
      <c r="A775" s="23"/>
      <c r="B775" s="22"/>
      <c r="C775" s="22"/>
      <c r="D775" s="22"/>
      <c r="E775" s="22"/>
      <c r="F775" s="27" t="str">
        <f aca="false">IF(B775="","",IFERROR(INDEX(Roster!$B$5:$B$154,MATCH(B775,Roster!$A$5:$A$154,0)),"Not on roster"))</f>
        <v/>
      </c>
      <c r="G775" s="28" t="str">
        <f aca="false">IF(OR(B775="",C775=""),"",F775&amp;" | "&amp;C775)</f>
        <v/>
      </c>
      <c r="H775" s="27" t="str">
        <f aca="false">IF(G775="","",IFERROR(INDEX(Levels!$C$5:$C$94,MATCH(G775,Levels!$G$5:$G$94,0)),"Not this class's skill"))</f>
        <v/>
      </c>
    </row>
    <row r="776" customFormat="false" ht="15" hidden="false" customHeight="false" outlineLevel="0" collapsed="false">
      <c r="A776" s="23"/>
      <c r="B776" s="22"/>
      <c r="C776" s="22"/>
      <c r="D776" s="22"/>
      <c r="E776" s="22"/>
      <c r="F776" s="27" t="str">
        <f aca="false">IF(B776="","",IFERROR(INDEX(Roster!$B$5:$B$154,MATCH(B776,Roster!$A$5:$A$154,0)),"Not on roster"))</f>
        <v/>
      </c>
      <c r="G776" s="28" t="str">
        <f aca="false">IF(OR(B776="",C776=""),"",F776&amp;" | "&amp;C776)</f>
        <v/>
      </c>
      <c r="H776" s="27" t="str">
        <f aca="false">IF(G776="","",IFERROR(INDEX(Levels!$C$5:$C$94,MATCH(G776,Levels!$G$5:$G$94,0)),"Not this class's skill"))</f>
        <v/>
      </c>
    </row>
    <row r="777" customFormat="false" ht="15" hidden="false" customHeight="false" outlineLevel="0" collapsed="false">
      <c r="A777" s="23"/>
      <c r="B777" s="22"/>
      <c r="C777" s="22"/>
      <c r="D777" s="22"/>
      <c r="E777" s="22"/>
      <c r="F777" s="27" t="str">
        <f aca="false">IF(B777="","",IFERROR(INDEX(Roster!$B$5:$B$154,MATCH(B777,Roster!$A$5:$A$154,0)),"Not on roster"))</f>
        <v/>
      </c>
      <c r="G777" s="28" t="str">
        <f aca="false">IF(OR(B777="",C777=""),"",F777&amp;" | "&amp;C777)</f>
        <v/>
      </c>
      <c r="H777" s="27" t="str">
        <f aca="false">IF(G777="","",IFERROR(INDEX(Levels!$C$5:$C$94,MATCH(G777,Levels!$G$5:$G$94,0)),"Not this class's skill"))</f>
        <v/>
      </c>
    </row>
    <row r="778" customFormat="false" ht="15" hidden="false" customHeight="false" outlineLevel="0" collapsed="false">
      <c r="A778" s="23"/>
      <c r="B778" s="22"/>
      <c r="C778" s="22"/>
      <c r="D778" s="22"/>
      <c r="E778" s="22"/>
      <c r="F778" s="27" t="str">
        <f aca="false">IF(B778="","",IFERROR(INDEX(Roster!$B$5:$B$154,MATCH(B778,Roster!$A$5:$A$154,0)),"Not on roster"))</f>
        <v/>
      </c>
      <c r="G778" s="28" t="str">
        <f aca="false">IF(OR(B778="",C778=""),"",F778&amp;" | "&amp;C778)</f>
        <v/>
      </c>
      <c r="H778" s="27" t="str">
        <f aca="false">IF(G778="","",IFERROR(INDEX(Levels!$C$5:$C$94,MATCH(G778,Levels!$G$5:$G$94,0)),"Not this class's skill"))</f>
        <v/>
      </c>
    </row>
    <row r="779" customFormat="false" ht="15" hidden="false" customHeight="false" outlineLevel="0" collapsed="false">
      <c r="A779" s="23"/>
      <c r="B779" s="22"/>
      <c r="C779" s="22"/>
      <c r="D779" s="22"/>
      <c r="E779" s="22"/>
      <c r="F779" s="27" t="str">
        <f aca="false">IF(B779="","",IFERROR(INDEX(Roster!$B$5:$B$154,MATCH(B779,Roster!$A$5:$A$154,0)),"Not on roster"))</f>
        <v/>
      </c>
      <c r="G779" s="28" t="str">
        <f aca="false">IF(OR(B779="",C779=""),"",F779&amp;" | "&amp;C779)</f>
        <v/>
      </c>
      <c r="H779" s="27" t="str">
        <f aca="false">IF(G779="","",IFERROR(INDEX(Levels!$C$5:$C$94,MATCH(G779,Levels!$G$5:$G$94,0)),"Not this class's skill"))</f>
        <v/>
      </c>
    </row>
    <row r="780" customFormat="false" ht="15" hidden="false" customHeight="false" outlineLevel="0" collapsed="false">
      <c r="A780" s="23"/>
      <c r="B780" s="22"/>
      <c r="C780" s="22"/>
      <c r="D780" s="22"/>
      <c r="E780" s="22"/>
      <c r="F780" s="27" t="str">
        <f aca="false">IF(B780="","",IFERROR(INDEX(Roster!$B$5:$B$154,MATCH(B780,Roster!$A$5:$A$154,0)),"Not on roster"))</f>
        <v/>
      </c>
      <c r="G780" s="28" t="str">
        <f aca="false">IF(OR(B780="",C780=""),"",F780&amp;" | "&amp;C780)</f>
        <v/>
      </c>
      <c r="H780" s="27" t="str">
        <f aca="false">IF(G780="","",IFERROR(INDEX(Levels!$C$5:$C$94,MATCH(G780,Levels!$G$5:$G$94,0)),"Not this class's skill"))</f>
        <v/>
      </c>
    </row>
    <row r="781" customFormat="false" ht="15" hidden="false" customHeight="false" outlineLevel="0" collapsed="false">
      <c r="A781" s="23"/>
      <c r="B781" s="22"/>
      <c r="C781" s="22"/>
      <c r="D781" s="22"/>
      <c r="E781" s="22"/>
      <c r="F781" s="27" t="str">
        <f aca="false">IF(B781="","",IFERROR(INDEX(Roster!$B$5:$B$154,MATCH(B781,Roster!$A$5:$A$154,0)),"Not on roster"))</f>
        <v/>
      </c>
      <c r="G781" s="28" t="str">
        <f aca="false">IF(OR(B781="",C781=""),"",F781&amp;" | "&amp;C781)</f>
        <v/>
      </c>
      <c r="H781" s="27" t="str">
        <f aca="false">IF(G781="","",IFERROR(INDEX(Levels!$C$5:$C$94,MATCH(G781,Levels!$G$5:$G$94,0)),"Not this class's skill"))</f>
        <v/>
      </c>
    </row>
    <row r="782" customFormat="false" ht="15" hidden="false" customHeight="false" outlineLevel="0" collapsed="false">
      <c r="A782" s="23"/>
      <c r="B782" s="22"/>
      <c r="C782" s="22"/>
      <c r="D782" s="22"/>
      <c r="E782" s="22"/>
      <c r="F782" s="27" t="str">
        <f aca="false">IF(B782="","",IFERROR(INDEX(Roster!$B$5:$B$154,MATCH(B782,Roster!$A$5:$A$154,0)),"Not on roster"))</f>
        <v/>
      </c>
      <c r="G782" s="28" t="str">
        <f aca="false">IF(OR(B782="",C782=""),"",F782&amp;" | "&amp;C782)</f>
        <v/>
      </c>
      <c r="H782" s="27" t="str">
        <f aca="false">IF(G782="","",IFERROR(INDEX(Levels!$C$5:$C$94,MATCH(G782,Levels!$G$5:$G$94,0)),"Not this class's skill"))</f>
        <v/>
      </c>
    </row>
    <row r="783" customFormat="false" ht="15" hidden="false" customHeight="false" outlineLevel="0" collapsed="false">
      <c r="A783" s="23"/>
      <c r="B783" s="22"/>
      <c r="C783" s="22"/>
      <c r="D783" s="22"/>
      <c r="E783" s="22"/>
      <c r="F783" s="27" t="str">
        <f aca="false">IF(B783="","",IFERROR(INDEX(Roster!$B$5:$B$154,MATCH(B783,Roster!$A$5:$A$154,0)),"Not on roster"))</f>
        <v/>
      </c>
      <c r="G783" s="28" t="str">
        <f aca="false">IF(OR(B783="",C783=""),"",F783&amp;" | "&amp;C783)</f>
        <v/>
      </c>
      <c r="H783" s="27" t="str">
        <f aca="false">IF(G783="","",IFERROR(INDEX(Levels!$C$5:$C$94,MATCH(G783,Levels!$G$5:$G$94,0)),"Not this class's skill"))</f>
        <v/>
      </c>
    </row>
    <row r="784" customFormat="false" ht="15" hidden="false" customHeight="false" outlineLevel="0" collapsed="false">
      <c r="A784" s="23"/>
      <c r="B784" s="22"/>
      <c r="C784" s="22"/>
      <c r="D784" s="22"/>
      <c r="E784" s="22"/>
      <c r="F784" s="27" t="str">
        <f aca="false">IF(B784="","",IFERROR(INDEX(Roster!$B$5:$B$154,MATCH(B784,Roster!$A$5:$A$154,0)),"Not on roster"))</f>
        <v/>
      </c>
      <c r="G784" s="28" t="str">
        <f aca="false">IF(OR(B784="",C784=""),"",F784&amp;" | "&amp;C784)</f>
        <v/>
      </c>
      <c r="H784" s="27" t="str">
        <f aca="false">IF(G784="","",IFERROR(INDEX(Levels!$C$5:$C$94,MATCH(G784,Levels!$G$5:$G$94,0)),"Not this class's skill"))</f>
        <v/>
      </c>
    </row>
    <row r="785" customFormat="false" ht="15" hidden="false" customHeight="false" outlineLevel="0" collapsed="false">
      <c r="A785" s="23"/>
      <c r="B785" s="22"/>
      <c r="C785" s="22"/>
      <c r="D785" s="22"/>
      <c r="E785" s="22"/>
      <c r="F785" s="27" t="str">
        <f aca="false">IF(B785="","",IFERROR(INDEX(Roster!$B$5:$B$154,MATCH(B785,Roster!$A$5:$A$154,0)),"Not on roster"))</f>
        <v/>
      </c>
      <c r="G785" s="28" t="str">
        <f aca="false">IF(OR(B785="",C785=""),"",F785&amp;" | "&amp;C785)</f>
        <v/>
      </c>
      <c r="H785" s="27" t="str">
        <f aca="false">IF(G785="","",IFERROR(INDEX(Levels!$C$5:$C$94,MATCH(G785,Levels!$G$5:$G$94,0)),"Not this class's skill"))</f>
        <v/>
      </c>
    </row>
    <row r="786" customFormat="false" ht="15" hidden="false" customHeight="false" outlineLevel="0" collapsed="false">
      <c r="A786" s="23"/>
      <c r="B786" s="22"/>
      <c r="C786" s="22"/>
      <c r="D786" s="22"/>
      <c r="E786" s="22"/>
      <c r="F786" s="27" t="str">
        <f aca="false">IF(B786="","",IFERROR(INDEX(Roster!$B$5:$B$154,MATCH(B786,Roster!$A$5:$A$154,0)),"Not on roster"))</f>
        <v/>
      </c>
      <c r="G786" s="28" t="str">
        <f aca="false">IF(OR(B786="",C786=""),"",F786&amp;" | "&amp;C786)</f>
        <v/>
      </c>
      <c r="H786" s="27" t="str">
        <f aca="false">IF(G786="","",IFERROR(INDEX(Levels!$C$5:$C$94,MATCH(G786,Levels!$G$5:$G$94,0)),"Not this class's skill"))</f>
        <v/>
      </c>
    </row>
    <row r="787" customFormat="false" ht="15" hidden="false" customHeight="false" outlineLevel="0" collapsed="false">
      <c r="A787" s="23"/>
      <c r="B787" s="22"/>
      <c r="C787" s="22"/>
      <c r="D787" s="22"/>
      <c r="E787" s="22"/>
      <c r="F787" s="27" t="str">
        <f aca="false">IF(B787="","",IFERROR(INDEX(Roster!$B$5:$B$154,MATCH(B787,Roster!$A$5:$A$154,0)),"Not on roster"))</f>
        <v/>
      </c>
      <c r="G787" s="28" t="str">
        <f aca="false">IF(OR(B787="",C787=""),"",F787&amp;" | "&amp;C787)</f>
        <v/>
      </c>
      <c r="H787" s="27" t="str">
        <f aca="false">IF(G787="","",IFERROR(INDEX(Levels!$C$5:$C$94,MATCH(G787,Levels!$G$5:$G$94,0)),"Not this class's skill"))</f>
        <v/>
      </c>
    </row>
    <row r="788" customFormat="false" ht="15" hidden="false" customHeight="false" outlineLevel="0" collapsed="false">
      <c r="A788" s="23"/>
      <c r="B788" s="22"/>
      <c r="C788" s="22"/>
      <c r="D788" s="22"/>
      <c r="E788" s="22"/>
      <c r="F788" s="27" t="str">
        <f aca="false">IF(B788="","",IFERROR(INDEX(Roster!$B$5:$B$154,MATCH(B788,Roster!$A$5:$A$154,0)),"Not on roster"))</f>
        <v/>
      </c>
      <c r="G788" s="28" t="str">
        <f aca="false">IF(OR(B788="",C788=""),"",F788&amp;" | "&amp;C788)</f>
        <v/>
      </c>
      <c r="H788" s="27" t="str">
        <f aca="false">IF(G788="","",IFERROR(INDEX(Levels!$C$5:$C$94,MATCH(G788,Levels!$G$5:$G$94,0)),"Not this class's skill"))</f>
        <v/>
      </c>
    </row>
    <row r="789" customFormat="false" ht="15" hidden="false" customHeight="false" outlineLevel="0" collapsed="false">
      <c r="A789" s="23"/>
      <c r="B789" s="22"/>
      <c r="C789" s="22"/>
      <c r="D789" s="22"/>
      <c r="E789" s="22"/>
      <c r="F789" s="27" t="str">
        <f aca="false">IF(B789="","",IFERROR(INDEX(Roster!$B$5:$B$154,MATCH(B789,Roster!$A$5:$A$154,0)),"Not on roster"))</f>
        <v/>
      </c>
      <c r="G789" s="28" t="str">
        <f aca="false">IF(OR(B789="",C789=""),"",F789&amp;" | "&amp;C789)</f>
        <v/>
      </c>
      <c r="H789" s="27" t="str">
        <f aca="false">IF(G789="","",IFERROR(INDEX(Levels!$C$5:$C$94,MATCH(G789,Levels!$G$5:$G$94,0)),"Not this class's skill"))</f>
        <v/>
      </c>
    </row>
    <row r="790" customFormat="false" ht="15" hidden="false" customHeight="false" outlineLevel="0" collapsed="false">
      <c r="A790" s="23"/>
      <c r="B790" s="22"/>
      <c r="C790" s="22"/>
      <c r="D790" s="22"/>
      <c r="E790" s="22"/>
      <c r="F790" s="27" t="str">
        <f aca="false">IF(B790="","",IFERROR(INDEX(Roster!$B$5:$B$154,MATCH(B790,Roster!$A$5:$A$154,0)),"Not on roster"))</f>
        <v/>
      </c>
      <c r="G790" s="28" t="str">
        <f aca="false">IF(OR(B790="",C790=""),"",F790&amp;" | "&amp;C790)</f>
        <v/>
      </c>
      <c r="H790" s="27" t="str">
        <f aca="false">IF(G790="","",IFERROR(INDEX(Levels!$C$5:$C$94,MATCH(G790,Levels!$G$5:$G$94,0)),"Not this class's skill"))</f>
        <v/>
      </c>
    </row>
    <row r="791" customFormat="false" ht="15" hidden="false" customHeight="false" outlineLevel="0" collapsed="false">
      <c r="A791" s="23"/>
      <c r="B791" s="22"/>
      <c r="C791" s="22"/>
      <c r="D791" s="22"/>
      <c r="E791" s="22"/>
      <c r="F791" s="27" t="str">
        <f aca="false">IF(B791="","",IFERROR(INDEX(Roster!$B$5:$B$154,MATCH(B791,Roster!$A$5:$A$154,0)),"Not on roster"))</f>
        <v/>
      </c>
      <c r="G791" s="28" t="str">
        <f aca="false">IF(OR(B791="",C791=""),"",F791&amp;" | "&amp;C791)</f>
        <v/>
      </c>
      <c r="H791" s="27" t="str">
        <f aca="false">IF(G791="","",IFERROR(INDEX(Levels!$C$5:$C$94,MATCH(G791,Levels!$G$5:$G$94,0)),"Not this class's skill"))</f>
        <v/>
      </c>
    </row>
    <row r="792" customFormat="false" ht="15" hidden="false" customHeight="false" outlineLevel="0" collapsed="false">
      <c r="A792" s="23"/>
      <c r="B792" s="22"/>
      <c r="C792" s="22"/>
      <c r="D792" s="22"/>
      <c r="E792" s="22"/>
      <c r="F792" s="27" t="str">
        <f aca="false">IF(B792="","",IFERROR(INDEX(Roster!$B$5:$B$154,MATCH(B792,Roster!$A$5:$A$154,0)),"Not on roster"))</f>
        <v/>
      </c>
      <c r="G792" s="28" t="str">
        <f aca="false">IF(OR(B792="",C792=""),"",F792&amp;" | "&amp;C792)</f>
        <v/>
      </c>
      <c r="H792" s="27" t="str">
        <f aca="false">IF(G792="","",IFERROR(INDEX(Levels!$C$5:$C$94,MATCH(G792,Levels!$G$5:$G$94,0)),"Not this class's skill"))</f>
        <v/>
      </c>
    </row>
    <row r="793" customFormat="false" ht="15" hidden="false" customHeight="false" outlineLevel="0" collapsed="false">
      <c r="A793" s="23"/>
      <c r="B793" s="22"/>
      <c r="C793" s="22"/>
      <c r="D793" s="22"/>
      <c r="E793" s="22"/>
      <c r="F793" s="27" t="str">
        <f aca="false">IF(B793="","",IFERROR(INDEX(Roster!$B$5:$B$154,MATCH(B793,Roster!$A$5:$A$154,0)),"Not on roster"))</f>
        <v/>
      </c>
      <c r="G793" s="28" t="str">
        <f aca="false">IF(OR(B793="",C793=""),"",F793&amp;" | "&amp;C793)</f>
        <v/>
      </c>
      <c r="H793" s="27" t="str">
        <f aca="false">IF(G793="","",IFERROR(INDEX(Levels!$C$5:$C$94,MATCH(G793,Levels!$G$5:$G$94,0)),"Not this class's skill"))</f>
        <v/>
      </c>
    </row>
    <row r="794" customFormat="false" ht="15" hidden="false" customHeight="false" outlineLevel="0" collapsed="false">
      <c r="A794" s="23"/>
      <c r="B794" s="22"/>
      <c r="C794" s="22"/>
      <c r="D794" s="22"/>
      <c r="E794" s="22"/>
      <c r="F794" s="27" t="str">
        <f aca="false">IF(B794="","",IFERROR(INDEX(Roster!$B$5:$B$154,MATCH(B794,Roster!$A$5:$A$154,0)),"Not on roster"))</f>
        <v/>
      </c>
      <c r="G794" s="28" t="str">
        <f aca="false">IF(OR(B794="",C794=""),"",F794&amp;" | "&amp;C794)</f>
        <v/>
      </c>
      <c r="H794" s="27" t="str">
        <f aca="false">IF(G794="","",IFERROR(INDEX(Levels!$C$5:$C$94,MATCH(G794,Levels!$G$5:$G$94,0)),"Not this class's skill"))</f>
        <v/>
      </c>
    </row>
    <row r="795" customFormat="false" ht="15" hidden="false" customHeight="false" outlineLevel="0" collapsed="false">
      <c r="A795" s="23"/>
      <c r="B795" s="22"/>
      <c r="C795" s="22"/>
      <c r="D795" s="22"/>
      <c r="E795" s="22"/>
      <c r="F795" s="27" t="str">
        <f aca="false">IF(B795="","",IFERROR(INDEX(Roster!$B$5:$B$154,MATCH(B795,Roster!$A$5:$A$154,0)),"Not on roster"))</f>
        <v/>
      </c>
      <c r="G795" s="28" t="str">
        <f aca="false">IF(OR(B795="",C795=""),"",F795&amp;" | "&amp;C795)</f>
        <v/>
      </c>
      <c r="H795" s="27" t="str">
        <f aca="false">IF(G795="","",IFERROR(INDEX(Levels!$C$5:$C$94,MATCH(G795,Levels!$G$5:$G$94,0)),"Not this class's skill"))</f>
        <v/>
      </c>
    </row>
    <row r="796" customFormat="false" ht="15" hidden="false" customHeight="false" outlineLevel="0" collapsed="false">
      <c r="A796" s="23"/>
      <c r="B796" s="22"/>
      <c r="C796" s="22"/>
      <c r="D796" s="22"/>
      <c r="E796" s="22"/>
      <c r="F796" s="27" t="str">
        <f aca="false">IF(B796="","",IFERROR(INDEX(Roster!$B$5:$B$154,MATCH(B796,Roster!$A$5:$A$154,0)),"Not on roster"))</f>
        <v/>
      </c>
      <c r="G796" s="28" t="str">
        <f aca="false">IF(OR(B796="",C796=""),"",F796&amp;" | "&amp;C796)</f>
        <v/>
      </c>
      <c r="H796" s="27" t="str">
        <f aca="false">IF(G796="","",IFERROR(INDEX(Levels!$C$5:$C$94,MATCH(G796,Levels!$G$5:$G$94,0)),"Not this class's skill"))</f>
        <v/>
      </c>
    </row>
    <row r="797" customFormat="false" ht="15" hidden="false" customHeight="false" outlineLevel="0" collapsed="false">
      <c r="A797" s="23"/>
      <c r="B797" s="22"/>
      <c r="C797" s="22"/>
      <c r="D797" s="22"/>
      <c r="E797" s="22"/>
      <c r="F797" s="27" t="str">
        <f aca="false">IF(B797="","",IFERROR(INDEX(Roster!$B$5:$B$154,MATCH(B797,Roster!$A$5:$A$154,0)),"Not on roster"))</f>
        <v/>
      </c>
      <c r="G797" s="28" t="str">
        <f aca="false">IF(OR(B797="",C797=""),"",F797&amp;" | "&amp;C797)</f>
        <v/>
      </c>
      <c r="H797" s="27" t="str">
        <f aca="false">IF(G797="","",IFERROR(INDEX(Levels!$C$5:$C$94,MATCH(G797,Levels!$G$5:$G$94,0)),"Not this class's skill"))</f>
        <v/>
      </c>
    </row>
    <row r="798" customFormat="false" ht="15" hidden="false" customHeight="false" outlineLevel="0" collapsed="false">
      <c r="A798" s="23"/>
      <c r="B798" s="22"/>
      <c r="C798" s="22"/>
      <c r="D798" s="22"/>
      <c r="E798" s="22"/>
      <c r="F798" s="27" t="str">
        <f aca="false">IF(B798="","",IFERROR(INDEX(Roster!$B$5:$B$154,MATCH(B798,Roster!$A$5:$A$154,0)),"Not on roster"))</f>
        <v/>
      </c>
      <c r="G798" s="28" t="str">
        <f aca="false">IF(OR(B798="",C798=""),"",F798&amp;" | "&amp;C798)</f>
        <v/>
      </c>
      <c r="H798" s="27" t="str">
        <f aca="false">IF(G798="","",IFERROR(INDEX(Levels!$C$5:$C$94,MATCH(G798,Levels!$G$5:$G$94,0)),"Not this class's skill"))</f>
        <v/>
      </c>
    </row>
    <row r="799" customFormat="false" ht="15" hidden="false" customHeight="false" outlineLevel="0" collapsed="false">
      <c r="A799" s="23"/>
      <c r="B799" s="22"/>
      <c r="C799" s="22"/>
      <c r="D799" s="22"/>
      <c r="E799" s="22"/>
      <c r="F799" s="27" t="str">
        <f aca="false">IF(B799="","",IFERROR(INDEX(Roster!$B$5:$B$154,MATCH(B799,Roster!$A$5:$A$154,0)),"Not on roster"))</f>
        <v/>
      </c>
      <c r="G799" s="28" t="str">
        <f aca="false">IF(OR(B799="",C799=""),"",F799&amp;" | "&amp;C799)</f>
        <v/>
      </c>
      <c r="H799" s="27" t="str">
        <f aca="false">IF(G799="","",IFERROR(INDEX(Levels!$C$5:$C$94,MATCH(G799,Levels!$G$5:$G$94,0)),"Not this class's skill"))</f>
        <v/>
      </c>
    </row>
    <row r="800" customFormat="false" ht="15" hidden="false" customHeight="false" outlineLevel="0" collapsed="false">
      <c r="A800" s="23"/>
      <c r="B800" s="22"/>
      <c r="C800" s="22"/>
      <c r="D800" s="22"/>
      <c r="E800" s="22"/>
      <c r="F800" s="27" t="str">
        <f aca="false">IF(B800="","",IFERROR(INDEX(Roster!$B$5:$B$154,MATCH(B800,Roster!$A$5:$A$154,0)),"Not on roster"))</f>
        <v/>
      </c>
      <c r="G800" s="28" t="str">
        <f aca="false">IF(OR(B800="",C800=""),"",F800&amp;" | "&amp;C800)</f>
        <v/>
      </c>
      <c r="H800" s="27" t="str">
        <f aca="false">IF(G800="","",IFERROR(INDEX(Levels!$C$5:$C$94,MATCH(G800,Levels!$G$5:$G$94,0)),"Not this class's skill"))</f>
        <v/>
      </c>
    </row>
    <row r="801" customFormat="false" ht="15" hidden="false" customHeight="false" outlineLevel="0" collapsed="false">
      <c r="A801" s="23"/>
      <c r="B801" s="22"/>
      <c r="C801" s="22"/>
      <c r="D801" s="22"/>
      <c r="E801" s="22"/>
      <c r="F801" s="27" t="str">
        <f aca="false">IF(B801="","",IFERROR(INDEX(Roster!$B$5:$B$154,MATCH(B801,Roster!$A$5:$A$154,0)),"Not on roster"))</f>
        <v/>
      </c>
      <c r="G801" s="28" t="str">
        <f aca="false">IF(OR(B801="",C801=""),"",F801&amp;" | "&amp;C801)</f>
        <v/>
      </c>
      <c r="H801" s="27" t="str">
        <f aca="false">IF(G801="","",IFERROR(INDEX(Levels!$C$5:$C$94,MATCH(G801,Levels!$G$5:$G$94,0)),"Not this class's skill"))</f>
        <v/>
      </c>
    </row>
    <row r="802" customFormat="false" ht="15" hidden="false" customHeight="false" outlineLevel="0" collapsed="false">
      <c r="A802" s="23"/>
      <c r="B802" s="22"/>
      <c r="C802" s="22"/>
      <c r="D802" s="22"/>
      <c r="E802" s="22"/>
      <c r="F802" s="27" t="str">
        <f aca="false">IF(B802="","",IFERROR(INDEX(Roster!$B$5:$B$154,MATCH(B802,Roster!$A$5:$A$154,0)),"Not on roster"))</f>
        <v/>
      </c>
      <c r="G802" s="28" t="str">
        <f aca="false">IF(OR(B802="",C802=""),"",F802&amp;" | "&amp;C802)</f>
        <v/>
      </c>
      <c r="H802" s="27" t="str">
        <f aca="false">IF(G802="","",IFERROR(INDEX(Levels!$C$5:$C$94,MATCH(G802,Levels!$G$5:$G$94,0)),"Not this class's skill"))</f>
        <v/>
      </c>
    </row>
    <row r="803" customFormat="false" ht="15" hidden="false" customHeight="false" outlineLevel="0" collapsed="false">
      <c r="A803" s="23"/>
      <c r="B803" s="22"/>
      <c r="C803" s="22"/>
      <c r="D803" s="22"/>
      <c r="E803" s="22"/>
      <c r="F803" s="27" t="str">
        <f aca="false">IF(B803="","",IFERROR(INDEX(Roster!$B$5:$B$154,MATCH(B803,Roster!$A$5:$A$154,0)),"Not on roster"))</f>
        <v/>
      </c>
      <c r="G803" s="28" t="str">
        <f aca="false">IF(OR(B803="",C803=""),"",F803&amp;" | "&amp;C803)</f>
        <v/>
      </c>
      <c r="H803" s="27" t="str">
        <f aca="false">IF(G803="","",IFERROR(INDEX(Levels!$C$5:$C$94,MATCH(G803,Levels!$G$5:$G$94,0)),"Not this class's skill"))</f>
        <v/>
      </c>
    </row>
    <row r="804" customFormat="false" ht="15" hidden="false" customHeight="false" outlineLevel="0" collapsed="false">
      <c r="A804" s="23"/>
      <c r="B804" s="22"/>
      <c r="C804" s="22"/>
      <c r="D804" s="22"/>
      <c r="E804" s="22"/>
      <c r="F804" s="27" t="str">
        <f aca="false">IF(B804="","",IFERROR(INDEX(Roster!$B$5:$B$154,MATCH(B804,Roster!$A$5:$A$154,0)),"Not on roster"))</f>
        <v/>
      </c>
      <c r="G804" s="28" t="str">
        <f aca="false">IF(OR(B804="",C804=""),"",F804&amp;" | "&amp;C804)</f>
        <v/>
      </c>
      <c r="H804" s="27" t="str">
        <f aca="false">IF(G804="","",IFERROR(INDEX(Levels!$C$5:$C$94,MATCH(G804,Levels!$G$5:$G$94,0)),"Not this class's skill"))</f>
        <v/>
      </c>
    </row>
    <row r="805" customFormat="false" ht="15" hidden="false" customHeight="false" outlineLevel="0" collapsed="false">
      <c r="A805" s="23"/>
      <c r="B805" s="22"/>
      <c r="C805" s="22"/>
      <c r="D805" s="22"/>
      <c r="E805" s="22"/>
      <c r="F805" s="27" t="str">
        <f aca="false">IF(B805="","",IFERROR(INDEX(Roster!$B$5:$B$154,MATCH(B805,Roster!$A$5:$A$154,0)),"Not on roster"))</f>
        <v/>
      </c>
      <c r="G805" s="28" t="str">
        <f aca="false">IF(OR(B805="",C805=""),"",F805&amp;" | "&amp;C805)</f>
        <v/>
      </c>
      <c r="H805" s="27" t="str">
        <f aca="false">IF(G805="","",IFERROR(INDEX(Levels!$C$5:$C$94,MATCH(G805,Levels!$G$5:$G$94,0)),"Not this class's skill"))</f>
        <v/>
      </c>
    </row>
    <row r="806" customFormat="false" ht="15" hidden="false" customHeight="false" outlineLevel="0" collapsed="false">
      <c r="A806" s="23"/>
      <c r="B806" s="22"/>
      <c r="C806" s="22"/>
      <c r="D806" s="22"/>
      <c r="E806" s="22"/>
      <c r="F806" s="27" t="str">
        <f aca="false">IF(B806="","",IFERROR(INDEX(Roster!$B$5:$B$154,MATCH(B806,Roster!$A$5:$A$154,0)),"Not on roster"))</f>
        <v/>
      </c>
      <c r="G806" s="28" t="str">
        <f aca="false">IF(OR(B806="",C806=""),"",F806&amp;" | "&amp;C806)</f>
        <v/>
      </c>
      <c r="H806" s="27" t="str">
        <f aca="false">IF(G806="","",IFERROR(INDEX(Levels!$C$5:$C$94,MATCH(G806,Levels!$G$5:$G$94,0)),"Not this class's skill"))</f>
        <v/>
      </c>
    </row>
    <row r="807" customFormat="false" ht="15" hidden="false" customHeight="false" outlineLevel="0" collapsed="false">
      <c r="A807" s="23"/>
      <c r="B807" s="22"/>
      <c r="C807" s="22"/>
      <c r="D807" s="22"/>
      <c r="E807" s="22"/>
      <c r="F807" s="27" t="str">
        <f aca="false">IF(B807="","",IFERROR(INDEX(Roster!$B$5:$B$154,MATCH(B807,Roster!$A$5:$A$154,0)),"Not on roster"))</f>
        <v/>
      </c>
      <c r="G807" s="28" t="str">
        <f aca="false">IF(OR(B807="",C807=""),"",F807&amp;" | "&amp;C807)</f>
        <v/>
      </c>
      <c r="H807" s="27" t="str">
        <f aca="false">IF(G807="","",IFERROR(INDEX(Levels!$C$5:$C$94,MATCH(G807,Levels!$G$5:$G$94,0)),"Not this class's skill"))</f>
        <v/>
      </c>
    </row>
    <row r="808" customFormat="false" ht="15" hidden="false" customHeight="false" outlineLevel="0" collapsed="false">
      <c r="A808" s="23"/>
      <c r="B808" s="22"/>
      <c r="C808" s="22"/>
      <c r="D808" s="22"/>
      <c r="E808" s="22"/>
      <c r="F808" s="27" t="str">
        <f aca="false">IF(B808="","",IFERROR(INDEX(Roster!$B$5:$B$154,MATCH(B808,Roster!$A$5:$A$154,0)),"Not on roster"))</f>
        <v/>
      </c>
      <c r="G808" s="28" t="str">
        <f aca="false">IF(OR(B808="",C808=""),"",F808&amp;" | "&amp;C808)</f>
        <v/>
      </c>
      <c r="H808" s="27" t="str">
        <f aca="false">IF(G808="","",IFERROR(INDEX(Levels!$C$5:$C$94,MATCH(G808,Levels!$G$5:$G$94,0)),"Not this class's skill"))</f>
        <v/>
      </c>
    </row>
    <row r="809" customFormat="false" ht="15" hidden="false" customHeight="false" outlineLevel="0" collapsed="false">
      <c r="A809" s="23"/>
      <c r="B809" s="22"/>
      <c r="C809" s="22"/>
      <c r="D809" s="22"/>
      <c r="E809" s="22"/>
      <c r="F809" s="27" t="str">
        <f aca="false">IF(B809="","",IFERROR(INDEX(Roster!$B$5:$B$154,MATCH(B809,Roster!$A$5:$A$154,0)),"Not on roster"))</f>
        <v/>
      </c>
      <c r="G809" s="28" t="str">
        <f aca="false">IF(OR(B809="",C809=""),"",F809&amp;" | "&amp;C809)</f>
        <v/>
      </c>
      <c r="H809" s="27" t="str">
        <f aca="false">IF(G809="","",IFERROR(INDEX(Levels!$C$5:$C$94,MATCH(G809,Levels!$G$5:$G$94,0)),"Not this class's skill"))</f>
        <v/>
      </c>
    </row>
    <row r="810" customFormat="false" ht="15" hidden="false" customHeight="false" outlineLevel="0" collapsed="false">
      <c r="A810" s="23"/>
      <c r="B810" s="22"/>
      <c r="C810" s="22"/>
      <c r="D810" s="22"/>
      <c r="E810" s="22"/>
      <c r="F810" s="27" t="str">
        <f aca="false">IF(B810="","",IFERROR(INDEX(Roster!$B$5:$B$154,MATCH(B810,Roster!$A$5:$A$154,0)),"Not on roster"))</f>
        <v/>
      </c>
      <c r="G810" s="28" t="str">
        <f aca="false">IF(OR(B810="",C810=""),"",F810&amp;" | "&amp;C810)</f>
        <v/>
      </c>
      <c r="H810" s="27" t="str">
        <f aca="false">IF(G810="","",IFERROR(INDEX(Levels!$C$5:$C$94,MATCH(G810,Levels!$G$5:$G$94,0)),"Not this class's skill"))</f>
        <v/>
      </c>
    </row>
    <row r="811" customFormat="false" ht="15" hidden="false" customHeight="false" outlineLevel="0" collapsed="false">
      <c r="A811" s="23"/>
      <c r="B811" s="22"/>
      <c r="C811" s="22"/>
      <c r="D811" s="22"/>
      <c r="E811" s="22"/>
      <c r="F811" s="27" t="str">
        <f aca="false">IF(B811="","",IFERROR(INDEX(Roster!$B$5:$B$154,MATCH(B811,Roster!$A$5:$A$154,0)),"Not on roster"))</f>
        <v/>
      </c>
      <c r="G811" s="28" t="str">
        <f aca="false">IF(OR(B811="",C811=""),"",F811&amp;" | "&amp;C811)</f>
        <v/>
      </c>
      <c r="H811" s="27" t="str">
        <f aca="false">IF(G811="","",IFERROR(INDEX(Levels!$C$5:$C$94,MATCH(G811,Levels!$G$5:$G$94,0)),"Not this class's skill"))</f>
        <v/>
      </c>
    </row>
    <row r="812" customFormat="false" ht="15" hidden="false" customHeight="false" outlineLevel="0" collapsed="false">
      <c r="A812" s="23"/>
      <c r="B812" s="22"/>
      <c r="C812" s="22"/>
      <c r="D812" s="22"/>
      <c r="E812" s="22"/>
      <c r="F812" s="27" t="str">
        <f aca="false">IF(B812="","",IFERROR(INDEX(Roster!$B$5:$B$154,MATCH(B812,Roster!$A$5:$A$154,0)),"Not on roster"))</f>
        <v/>
      </c>
      <c r="G812" s="28" t="str">
        <f aca="false">IF(OR(B812="",C812=""),"",F812&amp;" | "&amp;C812)</f>
        <v/>
      </c>
      <c r="H812" s="27" t="str">
        <f aca="false">IF(G812="","",IFERROR(INDEX(Levels!$C$5:$C$94,MATCH(G812,Levels!$G$5:$G$94,0)),"Not this class's skill"))</f>
        <v/>
      </c>
    </row>
    <row r="813" customFormat="false" ht="15" hidden="false" customHeight="false" outlineLevel="0" collapsed="false">
      <c r="A813" s="23"/>
      <c r="B813" s="22"/>
      <c r="C813" s="22"/>
      <c r="D813" s="22"/>
      <c r="E813" s="22"/>
      <c r="F813" s="27" t="str">
        <f aca="false">IF(B813="","",IFERROR(INDEX(Roster!$B$5:$B$154,MATCH(B813,Roster!$A$5:$A$154,0)),"Not on roster"))</f>
        <v/>
      </c>
      <c r="G813" s="28" t="str">
        <f aca="false">IF(OR(B813="",C813=""),"",F813&amp;" | "&amp;C813)</f>
        <v/>
      </c>
      <c r="H813" s="27" t="str">
        <f aca="false">IF(G813="","",IFERROR(INDEX(Levels!$C$5:$C$94,MATCH(G813,Levels!$G$5:$G$94,0)),"Not this class's skill"))</f>
        <v/>
      </c>
    </row>
    <row r="814" customFormat="false" ht="15" hidden="false" customHeight="false" outlineLevel="0" collapsed="false">
      <c r="A814" s="23"/>
      <c r="B814" s="22"/>
      <c r="C814" s="22"/>
      <c r="D814" s="22"/>
      <c r="E814" s="22"/>
      <c r="F814" s="27" t="str">
        <f aca="false">IF(B814="","",IFERROR(INDEX(Roster!$B$5:$B$154,MATCH(B814,Roster!$A$5:$A$154,0)),"Not on roster"))</f>
        <v/>
      </c>
      <c r="G814" s="28" t="str">
        <f aca="false">IF(OR(B814="",C814=""),"",F814&amp;" | "&amp;C814)</f>
        <v/>
      </c>
      <c r="H814" s="27" t="str">
        <f aca="false">IF(G814="","",IFERROR(INDEX(Levels!$C$5:$C$94,MATCH(G814,Levels!$G$5:$G$94,0)),"Not this class's skill"))</f>
        <v/>
      </c>
    </row>
    <row r="815" customFormat="false" ht="15" hidden="false" customHeight="false" outlineLevel="0" collapsed="false">
      <c r="A815" s="23"/>
      <c r="B815" s="22"/>
      <c r="C815" s="22"/>
      <c r="D815" s="22"/>
      <c r="E815" s="22"/>
      <c r="F815" s="27" t="str">
        <f aca="false">IF(B815="","",IFERROR(INDEX(Roster!$B$5:$B$154,MATCH(B815,Roster!$A$5:$A$154,0)),"Not on roster"))</f>
        <v/>
      </c>
      <c r="G815" s="28" t="str">
        <f aca="false">IF(OR(B815="",C815=""),"",F815&amp;" | "&amp;C815)</f>
        <v/>
      </c>
      <c r="H815" s="27" t="str">
        <f aca="false">IF(G815="","",IFERROR(INDEX(Levels!$C$5:$C$94,MATCH(G815,Levels!$G$5:$G$94,0)),"Not this class's skill"))</f>
        <v/>
      </c>
    </row>
    <row r="816" customFormat="false" ht="15" hidden="false" customHeight="false" outlineLevel="0" collapsed="false">
      <c r="A816" s="23"/>
      <c r="B816" s="22"/>
      <c r="C816" s="22"/>
      <c r="D816" s="22"/>
      <c r="E816" s="22"/>
      <c r="F816" s="27" t="str">
        <f aca="false">IF(B816="","",IFERROR(INDEX(Roster!$B$5:$B$154,MATCH(B816,Roster!$A$5:$A$154,0)),"Not on roster"))</f>
        <v/>
      </c>
      <c r="G816" s="28" t="str">
        <f aca="false">IF(OR(B816="",C816=""),"",F816&amp;" | "&amp;C816)</f>
        <v/>
      </c>
      <c r="H816" s="27" t="str">
        <f aca="false">IF(G816="","",IFERROR(INDEX(Levels!$C$5:$C$94,MATCH(G816,Levels!$G$5:$G$94,0)),"Not this class's skill"))</f>
        <v/>
      </c>
    </row>
    <row r="817" customFormat="false" ht="15" hidden="false" customHeight="false" outlineLevel="0" collapsed="false">
      <c r="A817" s="23"/>
      <c r="B817" s="22"/>
      <c r="C817" s="22"/>
      <c r="D817" s="22"/>
      <c r="E817" s="22"/>
      <c r="F817" s="27" t="str">
        <f aca="false">IF(B817="","",IFERROR(INDEX(Roster!$B$5:$B$154,MATCH(B817,Roster!$A$5:$A$154,0)),"Not on roster"))</f>
        <v/>
      </c>
      <c r="G817" s="28" t="str">
        <f aca="false">IF(OR(B817="",C817=""),"",F817&amp;" | "&amp;C817)</f>
        <v/>
      </c>
      <c r="H817" s="27" t="str">
        <f aca="false">IF(G817="","",IFERROR(INDEX(Levels!$C$5:$C$94,MATCH(G817,Levels!$G$5:$G$94,0)),"Not this class's skill"))</f>
        <v/>
      </c>
    </row>
    <row r="818" customFormat="false" ht="15" hidden="false" customHeight="false" outlineLevel="0" collapsed="false">
      <c r="A818" s="23"/>
      <c r="B818" s="22"/>
      <c r="C818" s="22"/>
      <c r="D818" s="22"/>
      <c r="E818" s="22"/>
      <c r="F818" s="27" t="str">
        <f aca="false">IF(B818="","",IFERROR(INDEX(Roster!$B$5:$B$154,MATCH(B818,Roster!$A$5:$A$154,0)),"Not on roster"))</f>
        <v/>
      </c>
      <c r="G818" s="28" t="str">
        <f aca="false">IF(OR(B818="",C818=""),"",F818&amp;" | "&amp;C818)</f>
        <v/>
      </c>
      <c r="H818" s="27" t="str">
        <f aca="false">IF(G818="","",IFERROR(INDEX(Levels!$C$5:$C$94,MATCH(G818,Levels!$G$5:$G$94,0)),"Not this class's skill"))</f>
        <v/>
      </c>
    </row>
    <row r="819" customFormat="false" ht="15" hidden="false" customHeight="false" outlineLevel="0" collapsed="false">
      <c r="A819" s="23"/>
      <c r="B819" s="22"/>
      <c r="C819" s="22"/>
      <c r="D819" s="22"/>
      <c r="E819" s="22"/>
      <c r="F819" s="27" t="str">
        <f aca="false">IF(B819="","",IFERROR(INDEX(Roster!$B$5:$B$154,MATCH(B819,Roster!$A$5:$A$154,0)),"Not on roster"))</f>
        <v/>
      </c>
      <c r="G819" s="28" t="str">
        <f aca="false">IF(OR(B819="",C819=""),"",F819&amp;" | "&amp;C819)</f>
        <v/>
      </c>
      <c r="H819" s="27" t="str">
        <f aca="false">IF(G819="","",IFERROR(INDEX(Levels!$C$5:$C$94,MATCH(G819,Levels!$G$5:$G$94,0)),"Not this class's skill"))</f>
        <v/>
      </c>
    </row>
    <row r="820" customFormat="false" ht="15" hidden="false" customHeight="false" outlineLevel="0" collapsed="false">
      <c r="A820" s="23"/>
      <c r="B820" s="22"/>
      <c r="C820" s="22"/>
      <c r="D820" s="22"/>
      <c r="E820" s="22"/>
      <c r="F820" s="27" t="str">
        <f aca="false">IF(B820="","",IFERROR(INDEX(Roster!$B$5:$B$154,MATCH(B820,Roster!$A$5:$A$154,0)),"Not on roster"))</f>
        <v/>
      </c>
      <c r="G820" s="28" t="str">
        <f aca="false">IF(OR(B820="",C820=""),"",F820&amp;" | "&amp;C820)</f>
        <v/>
      </c>
      <c r="H820" s="27" t="str">
        <f aca="false">IF(G820="","",IFERROR(INDEX(Levels!$C$5:$C$94,MATCH(G820,Levels!$G$5:$G$94,0)),"Not this class's skill"))</f>
        <v/>
      </c>
    </row>
    <row r="821" customFormat="false" ht="15" hidden="false" customHeight="false" outlineLevel="0" collapsed="false">
      <c r="A821" s="23"/>
      <c r="B821" s="22"/>
      <c r="C821" s="22"/>
      <c r="D821" s="22"/>
      <c r="E821" s="22"/>
      <c r="F821" s="27" t="str">
        <f aca="false">IF(B821="","",IFERROR(INDEX(Roster!$B$5:$B$154,MATCH(B821,Roster!$A$5:$A$154,0)),"Not on roster"))</f>
        <v/>
      </c>
      <c r="G821" s="28" t="str">
        <f aca="false">IF(OR(B821="",C821=""),"",F821&amp;" | "&amp;C821)</f>
        <v/>
      </c>
      <c r="H821" s="27" t="str">
        <f aca="false">IF(G821="","",IFERROR(INDEX(Levels!$C$5:$C$94,MATCH(G821,Levels!$G$5:$G$94,0)),"Not this class's skill"))</f>
        <v/>
      </c>
    </row>
    <row r="822" customFormat="false" ht="15" hidden="false" customHeight="false" outlineLevel="0" collapsed="false">
      <c r="A822" s="23"/>
      <c r="B822" s="22"/>
      <c r="C822" s="22"/>
      <c r="D822" s="22"/>
      <c r="E822" s="22"/>
      <c r="F822" s="27" t="str">
        <f aca="false">IF(B822="","",IFERROR(INDEX(Roster!$B$5:$B$154,MATCH(B822,Roster!$A$5:$A$154,0)),"Not on roster"))</f>
        <v/>
      </c>
      <c r="G822" s="28" t="str">
        <f aca="false">IF(OR(B822="",C822=""),"",F822&amp;" | "&amp;C822)</f>
        <v/>
      </c>
      <c r="H822" s="27" t="str">
        <f aca="false">IF(G822="","",IFERROR(INDEX(Levels!$C$5:$C$94,MATCH(G822,Levels!$G$5:$G$94,0)),"Not this class's skill"))</f>
        <v/>
      </c>
    </row>
    <row r="823" customFormat="false" ht="15" hidden="false" customHeight="false" outlineLevel="0" collapsed="false">
      <c r="A823" s="23"/>
      <c r="B823" s="22"/>
      <c r="C823" s="22"/>
      <c r="D823" s="22"/>
      <c r="E823" s="22"/>
      <c r="F823" s="27" t="str">
        <f aca="false">IF(B823="","",IFERROR(INDEX(Roster!$B$5:$B$154,MATCH(B823,Roster!$A$5:$A$154,0)),"Not on roster"))</f>
        <v/>
      </c>
      <c r="G823" s="28" t="str">
        <f aca="false">IF(OR(B823="",C823=""),"",F823&amp;" | "&amp;C823)</f>
        <v/>
      </c>
      <c r="H823" s="27" t="str">
        <f aca="false">IF(G823="","",IFERROR(INDEX(Levels!$C$5:$C$94,MATCH(G823,Levels!$G$5:$G$94,0)),"Not this class's skill"))</f>
        <v/>
      </c>
    </row>
    <row r="824" customFormat="false" ht="15" hidden="false" customHeight="false" outlineLevel="0" collapsed="false">
      <c r="A824" s="23"/>
      <c r="B824" s="22"/>
      <c r="C824" s="22"/>
      <c r="D824" s="22"/>
      <c r="E824" s="22"/>
      <c r="F824" s="27" t="str">
        <f aca="false">IF(B824="","",IFERROR(INDEX(Roster!$B$5:$B$154,MATCH(B824,Roster!$A$5:$A$154,0)),"Not on roster"))</f>
        <v/>
      </c>
      <c r="G824" s="28" t="str">
        <f aca="false">IF(OR(B824="",C824=""),"",F824&amp;" | "&amp;C824)</f>
        <v/>
      </c>
      <c r="H824" s="27" t="str">
        <f aca="false">IF(G824="","",IFERROR(INDEX(Levels!$C$5:$C$94,MATCH(G824,Levels!$G$5:$G$94,0)),"Not this class's skill"))</f>
        <v/>
      </c>
    </row>
    <row r="825" customFormat="false" ht="15" hidden="false" customHeight="false" outlineLevel="0" collapsed="false">
      <c r="A825" s="23"/>
      <c r="B825" s="22"/>
      <c r="C825" s="22"/>
      <c r="D825" s="22"/>
      <c r="E825" s="22"/>
      <c r="F825" s="27" t="str">
        <f aca="false">IF(B825="","",IFERROR(INDEX(Roster!$B$5:$B$154,MATCH(B825,Roster!$A$5:$A$154,0)),"Not on roster"))</f>
        <v/>
      </c>
      <c r="G825" s="28" t="str">
        <f aca="false">IF(OR(B825="",C825=""),"",F825&amp;" | "&amp;C825)</f>
        <v/>
      </c>
      <c r="H825" s="27" t="str">
        <f aca="false">IF(G825="","",IFERROR(INDEX(Levels!$C$5:$C$94,MATCH(G825,Levels!$G$5:$G$94,0)),"Not this class's skill"))</f>
        <v/>
      </c>
    </row>
    <row r="826" customFormat="false" ht="15" hidden="false" customHeight="false" outlineLevel="0" collapsed="false">
      <c r="A826" s="23"/>
      <c r="B826" s="22"/>
      <c r="C826" s="22"/>
      <c r="D826" s="22"/>
      <c r="E826" s="22"/>
      <c r="F826" s="27" t="str">
        <f aca="false">IF(B826="","",IFERROR(INDEX(Roster!$B$5:$B$154,MATCH(B826,Roster!$A$5:$A$154,0)),"Not on roster"))</f>
        <v/>
      </c>
      <c r="G826" s="28" t="str">
        <f aca="false">IF(OR(B826="",C826=""),"",F826&amp;" | "&amp;C826)</f>
        <v/>
      </c>
      <c r="H826" s="27" t="str">
        <f aca="false">IF(G826="","",IFERROR(INDEX(Levels!$C$5:$C$94,MATCH(G826,Levels!$G$5:$G$94,0)),"Not this class's skill"))</f>
        <v/>
      </c>
    </row>
    <row r="827" customFormat="false" ht="15" hidden="false" customHeight="false" outlineLevel="0" collapsed="false">
      <c r="A827" s="23"/>
      <c r="B827" s="22"/>
      <c r="C827" s="22"/>
      <c r="D827" s="22"/>
      <c r="E827" s="22"/>
      <c r="F827" s="27" t="str">
        <f aca="false">IF(B827="","",IFERROR(INDEX(Roster!$B$5:$B$154,MATCH(B827,Roster!$A$5:$A$154,0)),"Not on roster"))</f>
        <v/>
      </c>
      <c r="G827" s="28" t="str">
        <f aca="false">IF(OR(B827="",C827=""),"",F827&amp;" | "&amp;C827)</f>
        <v/>
      </c>
      <c r="H827" s="27" t="str">
        <f aca="false">IF(G827="","",IFERROR(INDEX(Levels!$C$5:$C$94,MATCH(G827,Levels!$G$5:$G$94,0)),"Not this class's skill"))</f>
        <v/>
      </c>
    </row>
    <row r="828" customFormat="false" ht="15" hidden="false" customHeight="false" outlineLevel="0" collapsed="false">
      <c r="A828" s="23"/>
      <c r="B828" s="22"/>
      <c r="C828" s="22"/>
      <c r="D828" s="22"/>
      <c r="E828" s="22"/>
      <c r="F828" s="27" t="str">
        <f aca="false">IF(B828="","",IFERROR(INDEX(Roster!$B$5:$B$154,MATCH(B828,Roster!$A$5:$A$154,0)),"Not on roster"))</f>
        <v/>
      </c>
      <c r="G828" s="28" t="str">
        <f aca="false">IF(OR(B828="",C828=""),"",F828&amp;" | "&amp;C828)</f>
        <v/>
      </c>
      <c r="H828" s="27" t="str">
        <f aca="false">IF(G828="","",IFERROR(INDEX(Levels!$C$5:$C$94,MATCH(G828,Levels!$G$5:$G$94,0)),"Not this class's skill"))</f>
        <v/>
      </c>
    </row>
    <row r="829" customFormat="false" ht="15" hidden="false" customHeight="false" outlineLevel="0" collapsed="false">
      <c r="A829" s="23"/>
      <c r="B829" s="22"/>
      <c r="C829" s="22"/>
      <c r="D829" s="22"/>
      <c r="E829" s="22"/>
      <c r="F829" s="27" t="str">
        <f aca="false">IF(B829="","",IFERROR(INDEX(Roster!$B$5:$B$154,MATCH(B829,Roster!$A$5:$A$154,0)),"Not on roster"))</f>
        <v/>
      </c>
      <c r="G829" s="28" t="str">
        <f aca="false">IF(OR(B829="",C829=""),"",F829&amp;" | "&amp;C829)</f>
        <v/>
      </c>
      <c r="H829" s="27" t="str">
        <f aca="false">IF(G829="","",IFERROR(INDEX(Levels!$C$5:$C$94,MATCH(G829,Levels!$G$5:$G$94,0)),"Not this class's skill"))</f>
        <v/>
      </c>
    </row>
    <row r="830" customFormat="false" ht="15" hidden="false" customHeight="false" outlineLevel="0" collapsed="false">
      <c r="A830" s="23"/>
      <c r="B830" s="22"/>
      <c r="C830" s="22"/>
      <c r="D830" s="22"/>
      <c r="E830" s="22"/>
      <c r="F830" s="27" t="str">
        <f aca="false">IF(B830="","",IFERROR(INDEX(Roster!$B$5:$B$154,MATCH(B830,Roster!$A$5:$A$154,0)),"Not on roster"))</f>
        <v/>
      </c>
      <c r="G830" s="28" t="str">
        <f aca="false">IF(OR(B830="",C830=""),"",F830&amp;" | "&amp;C830)</f>
        <v/>
      </c>
      <c r="H830" s="27" t="str">
        <f aca="false">IF(G830="","",IFERROR(INDEX(Levels!$C$5:$C$94,MATCH(G830,Levels!$G$5:$G$94,0)),"Not this class's skill"))</f>
        <v/>
      </c>
    </row>
    <row r="831" customFormat="false" ht="15" hidden="false" customHeight="false" outlineLevel="0" collapsed="false">
      <c r="A831" s="23"/>
      <c r="B831" s="22"/>
      <c r="C831" s="22"/>
      <c r="D831" s="22"/>
      <c r="E831" s="22"/>
      <c r="F831" s="27" t="str">
        <f aca="false">IF(B831="","",IFERROR(INDEX(Roster!$B$5:$B$154,MATCH(B831,Roster!$A$5:$A$154,0)),"Not on roster"))</f>
        <v/>
      </c>
      <c r="G831" s="28" t="str">
        <f aca="false">IF(OR(B831="",C831=""),"",F831&amp;" | "&amp;C831)</f>
        <v/>
      </c>
      <c r="H831" s="27" t="str">
        <f aca="false">IF(G831="","",IFERROR(INDEX(Levels!$C$5:$C$94,MATCH(G831,Levels!$G$5:$G$94,0)),"Not this class's skill"))</f>
        <v/>
      </c>
    </row>
    <row r="832" customFormat="false" ht="15" hidden="false" customHeight="false" outlineLevel="0" collapsed="false">
      <c r="A832" s="23"/>
      <c r="B832" s="22"/>
      <c r="C832" s="22"/>
      <c r="D832" s="22"/>
      <c r="E832" s="22"/>
      <c r="F832" s="27" t="str">
        <f aca="false">IF(B832="","",IFERROR(INDEX(Roster!$B$5:$B$154,MATCH(B832,Roster!$A$5:$A$154,0)),"Not on roster"))</f>
        <v/>
      </c>
      <c r="G832" s="28" t="str">
        <f aca="false">IF(OR(B832="",C832=""),"",F832&amp;" | "&amp;C832)</f>
        <v/>
      </c>
      <c r="H832" s="27" t="str">
        <f aca="false">IF(G832="","",IFERROR(INDEX(Levels!$C$5:$C$94,MATCH(G832,Levels!$G$5:$G$94,0)),"Not this class's skill"))</f>
        <v/>
      </c>
    </row>
    <row r="833" customFormat="false" ht="15" hidden="false" customHeight="false" outlineLevel="0" collapsed="false">
      <c r="A833" s="23"/>
      <c r="B833" s="22"/>
      <c r="C833" s="22"/>
      <c r="D833" s="22"/>
      <c r="E833" s="22"/>
      <c r="F833" s="27" t="str">
        <f aca="false">IF(B833="","",IFERROR(INDEX(Roster!$B$5:$B$154,MATCH(B833,Roster!$A$5:$A$154,0)),"Not on roster"))</f>
        <v/>
      </c>
      <c r="G833" s="28" t="str">
        <f aca="false">IF(OR(B833="",C833=""),"",F833&amp;" | "&amp;C833)</f>
        <v/>
      </c>
      <c r="H833" s="27" t="str">
        <f aca="false">IF(G833="","",IFERROR(INDEX(Levels!$C$5:$C$94,MATCH(G833,Levels!$G$5:$G$94,0)),"Not this class's skill"))</f>
        <v/>
      </c>
    </row>
    <row r="834" customFormat="false" ht="15" hidden="false" customHeight="false" outlineLevel="0" collapsed="false">
      <c r="A834" s="23"/>
      <c r="B834" s="22"/>
      <c r="C834" s="22"/>
      <c r="D834" s="22"/>
      <c r="E834" s="22"/>
      <c r="F834" s="27" t="str">
        <f aca="false">IF(B834="","",IFERROR(INDEX(Roster!$B$5:$B$154,MATCH(B834,Roster!$A$5:$A$154,0)),"Not on roster"))</f>
        <v/>
      </c>
      <c r="G834" s="28" t="str">
        <f aca="false">IF(OR(B834="",C834=""),"",F834&amp;" | "&amp;C834)</f>
        <v/>
      </c>
      <c r="H834" s="27" t="str">
        <f aca="false">IF(G834="","",IFERROR(INDEX(Levels!$C$5:$C$94,MATCH(G834,Levels!$G$5:$G$94,0)),"Not this class's skill"))</f>
        <v/>
      </c>
    </row>
    <row r="835" customFormat="false" ht="15" hidden="false" customHeight="false" outlineLevel="0" collapsed="false">
      <c r="A835" s="23"/>
      <c r="B835" s="22"/>
      <c r="C835" s="22"/>
      <c r="D835" s="22"/>
      <c r="E835" s="22"/>
      <c r="F835" s="27" t="str">
        <f aca="false">IF(B835="","",IFERROR(INDEX(Roster!$B$5:$B$154,MATCH(B835,Roster!$A$5:$A$154,0)),"Not on roster"))</f>
        <v/>
      </c>
      <c r="G835" s="28" t="str">
        <f aca="false">IF(OR(B835="",C835=""),"",F835&amp;" | "&amp;C835)</f>
        <v/>
      </c>
      <c r="H835" s="27" t="str">
        <f aca="false">IF(G835="","",IFERROR(INDEX(Levels!$C$5:$C$94,MATCH(G835,Levels!$G$5:$G$94,0)),"Not this class's skill"))</f>
        <v/>
      </c>
    </row>
    <row r="836" customFormat="false" ht="15" hidden="false" customHeight="false" outlineLevel="0" collapsed="false">
      <c r="A836" s="23"/>
      <c r="B836" s="22"/>
      <c r="C836" s="22"/>
      <c r="D836" s="22"/>
      <c r="E836" s="22"/>
      <c r="F836" s="27" t="str">
        <f aca="false">IF(B836="","",IFERROR(INDEX(Roster!$B$5:$B$154,MATCH(B836,Roster!$A$5:$A$154,0)),"Not on roster"))</f>
        <v/>
      </c>
      <c r="G836" s="28" t="str">
        <f aca="false">IF(OR(B836="",C836=""),"",F836&amp;" | "&amp;C836)</f>
        <v/>
      </c>
      <c r="H836" s="27" t="str">
        <f aca="false">IF(G836="","",IFERROR(INDEX(Levels!$C$5:$C$94,MATCH(G836,Levels!$G$5:$G$94,0)),"Not this class's skill"))</f>
        <v/>
      </c>
    </row>
    <row r="837" customFormat="false" ht="15" hidden="false" customHeight="false" outlineLevel="0" collapsed="false">
      <c r="A837" s="23"/>
      <c r="B837" s="22"/>
      <c r="C837" s="22"/>
      <c r="D837" s="22"/>
      <c r="E837" s="22"/>
      <c r="F837" s="27" t="str">
        <f aca="false">IF(B837="","",IFERROR(INDEX(Roster!$B$5:$B$154,MATCH(B837,Roster!$A$5:$A$154,0)),"Not on roster"))</f>
        <v/>
      </c>
      <c r="G837" s="28" t="str">
        <f aca="false">IF(OR(B837="",C837=""),"",F837&amp;" | "&amp;C837)</f>
        <v/>
      </c>
      <c r="H837" s="27" t="str">
        <f aca="false">IF(G837="","",IFERROR(INDEX(Levels!$C$5:$C$94,MATCH(G837,Levels!$G$5:$G$94,0)),"Not this class's skill"))</f>
        <v/>
      </c>
    </row>
    <row r="838" customFormat="false" ht="15" hidden="false" customHeight="false" outlineLevel="0" collapsed="false">
      <c r="A838" s="23"/>
      <c r="B838" s="22"/>
      <c r="C838" s="22"/>
      <c r="D838" s="22"/>
      <c r="E838" s="22"/>
      <c r="F838" s="27" t="str">
        <f aca="false">IF(B838="","",IFERROR(INDEX(Roster!$B$5:$B$154,MATCH(B838,Roster!$A$5:$A$154,0)),"Not on roster"))</f>
        <v/>
      </c>
      <c r="G838" s="28" t="str">
        <f aca="false">IF(OR(B838="",C838=""),"",F838&amp;" | "&amp;C838)</f>
        <v/>
      </c>
      <c r="H838" s="27" t="str">
        <f aca="false">IF(G838="","",IFERROR(INDEX(Levels!$C$5:$C$94,MATCH(G838,Levels!$G$5:$G$94,0)),"Not this class's skill"))</f>
        <v/>
      </c>
    </row>
    <row r="839" customFormat="false" ht="15" hidden="false" customHeight="false" outlineLevel="0" collapsed="false">
      <c r="A839" s="23"/>
      <c r="B839" s="22"/>
      <c r="C839" s="22"/>
      <c r="D839" s="22"/>
      <c r="E839" s="22"/>
      <c r="F839" s="27" t="str">
        <f aca="false">IF(B839="","",IFERROR(INDEX(Roster!$B$5:$B$154,MATCH(B839,Roster!$A$5:$A$154,0)),"Not on roster"))</f>
        <v/>
      </c>
      <c r="G839" s="28" t="str">
        <f aca="false">IF(OR(B839="",C839=""),"",F839&amp;" | "&amp;C839)</f>
        <v/>
      </c>
      <c r="H839" s="27" t="str">
        <f aca="false">IF(G839="","",IFERROR(INDEX(Levels!$C$5:$C$94,MATCH(G839,Levels!$G$5:$G$94,0)),"Not this class's skill"))</f>
        <v/>
      </c>
    </row>
    <row r="840" customFormat="false" ht="15" hidden="false" customHeight="false" outlineLevel="0" collapsed="false">
      <c r="A840" s="23"/>
      <c r="B840" s="22"/>
      <c r="C840" s="22"/>
      <c r="D840" s="22"/>
      <c r="E840" s="22"/>
      <c r="F840" s="27" t="str">
        <f aca="false">IF(B840="","",IFERROR(INDEX(Roster!$B$5:$B$154,MATCH(B840,Roster!$A$5:$A$154,0)),"Not on roster"))</f>
        <v/>
      </c>
      <c r="G840" s="28" t="str">
        <f aca="false">IF(OR(B840="",C840=""),"",F840&amp;" | "&amp;C840)</f>
        <v/>
      </c>
      <c r="H840" s="27" t="str">
        <f aca="false">IF(G840="","",IFERROR(INDEX(Levels!$C$5:$C$94,MATCH(G840,Levels!$G$5:$G$94,0)),"Not this class's skill"))</f>
        <v/>
      </c>
    </row>
    <row r="841" customFormat="false" ht="15" hidden="false" customHeight="false" outlineLevel="0" collapsed="false">
      <c r="A841" s="23"/>
      <c r="B841" s="22"/>
      <c r="C841" s="22"/>
      <c r="D841" s="22"/>
      <c r="E841" s="22"/>
      <c r="F841" s="27" t="str">
        <f aca="false">IF(B841="","",IFERROR(INDEX(Roster!$B$5:$B$154,MATCH(B841,Roster!$A$5:$A$154,0)),"Not on roster"))</f>
        <v/>
      </c>
      <c r="G841" s="28" t="str">
        <f aca="false">IF(OR(B841="",C841=""),"",F841&amp;" | "&amp;C841)</f>
        <v/>
      </c>
      <c r="H841" s="27" t="str">
        <f aca="false">IF(G841="","",IFERROR(INDEX(Levels!$C$5:$C$94,MATCH(G841,Levels!$G$5:$G$94,0)),"Not this class's skill"))</f>
        <v/>
      </c>
    </row>
    <row r="842" customFormat="false" ht="15" hidden="false" customHeight="false" outlineLevel="0" collapsed="false">
      <c r="A842" s="23"/>
      <c r="B842" s="22"/>
      <c r="C842" s="22"/>
      <c r="D842" s="22"/>
      <c r="E842" s="22"/>
      <c r="F842" s="27" t="str">
        <f aca="false">IF(B842="","",IFERROR(INDEX(Roster!$B$5:$B$154,MATCH(B842,Roster!$A$5:$A$154,0)),"Not on roster"))</f>
        <v/>
      </c>
      <c r="G842" s="28" t="str">
        <f aca="false">IF(OR(B842="",C842=""),"",F842&amp;" | "&amp;C842)</f>
        <v/>
      </c>
      <c r="H842" s="27" t="str">
        <f aca="false">IF(G842="","",IFERROR(INDEX(Levels!$C$5:$C$94,MATCH(G842,Levels!$G$5:$G$94,0)),"Not this class's skill"))</f>
        <v/>
      </c>
    </row>
    <row r="843" customFormat="false" ht="15" hidden="false" customHeight="false" outlineLevel="0" collapsed="false">
      <c r="A843" s="23"/>
      <c r="B843" s="22"/>
      <c r="C843" s="22"/>
      <c r="D843" s="22"/>
      <c r="E843" s="22"/>
      <c r="F843" s="27" t="str">
        <f aca="false">IF(B843="","",IFERROR(INDEX(Roster!$B$5:$B$154,MATCH(B843,Roster!$A$5:$A$154,0)),"Not on roster"))</f>
        <v/>
      </c>
      <c r="G843" s="28" t="str">
        <f aca="false">IF(OR(B843="",C843=""),"",F843&amp;" | "&amp;C843)</f>
        <v/>
      </c>
      <c r="H843" s="27" t="str">
        <f aca="false">IF(G843="","",IFERROR(INDEX(Levels!$C$5:$C$94,MATCH(G843,Levels!$G$5:$G$94,0)),"Not this class's skill"))</f>
        <v/>
      </c>
    </row>
    <row r="844" customFormat="false" ht="15" hidden="false" customHeight="false" outlineLevel="0" collapsed="false">
      <c r="A844" s="23"/>
      <c r="B844" s="22"/>
      <c r="C844" s="22"/>
      <c r="D844" s="22"/>
      <c r="E844" s="22"/>
      <c r="F844" s="27" t="str">
        <f aca="false">IF(B844="","",IFERROR(INDEX(Roster!$B$5:$B$154,MATCH(B844,Roster!$A$5:$A$154,0)),"Not on roster"))</f>
        <v/>
      </c>
      <c r="G844" s="28" t="str">
        <f aca="false">IF(OR(B844="",C844=""),"",F844&amp;" | "&amp;C844)</f>
        <v/>
      </c>
      <c r="H844" s="27" t="str">
        <f aca="false">IF(G844="","",IFERROR(INDEX(Levels!$C$5:$C$94,MATCH(G844,Levels!$G$5:$G$94,0)),"Not this class's skill"))</f>
        <v/>
      </c>
    </row>
    <row r="845" customFormat="false" ht="15" hidden="false" customHeight="false" outlineLevel="0" collapsed="false">
      <c r="A845" s="23"/>
      <c r="B845" s="22"/>
      <c r="C845" s="22"/>
      <c r="D845" s="22"/>
      <c r="E845" s="22"/>
      <c r="F845" s="27" t="str">
        <f aca="false">IF(B845="","",IFERROR(INDEX(Roster!$B$5:$B$154,MATCH(B845,Roster!$A$5:$A$154,0)),"Not on roster"))</f>
        <v/>
      </c>
      <c r="G845" s="28" t="str">
        <f aca="false">IF(OR(B845="",C845=""),"",F845&amp;" | "&amp;C845)</f>
        <v/>
      </c>
      <c r="H845" s="27" t="str">
        <f aca="false">IF(G845="","",IFERROR(INDEX(Levels!$C$5:$C$94,MATCH(G845,Levels!$G$5:$G$94,0)),"Not this class's skill"))</f>
        <v/>
      </c>
    </row>
    <row r="846" customFormat="false" ht="15" hidden="false" customHeight="false" outlineLevel="0" collapsed="false">
      <c r="A846" s="23"/>
      <c r="B846" s="22"/>
      <c r="C846" s="22"/>
      <c r="D846" s="22"/>
      <c r="E846" s="22"/>
      <c r="F846" s="27" t="str">
        <f aca="false">IF(B846="","",IFERROR(INDEX(Roster!$B$5:$B$154,MATCH(B846,Roster!$A$5:$A$154,0)),"Not on roster"))</f>
        <v/>
      </c>
      <c r="G846" s="28" t="str">
        <f aca="false">IF(OR(B846="",C846=""),"",F846&amp;" | "&amp;C846)</f>
        <v/>
      </c>
      <c r="H846" s="27" t="str">
        <f aca="false">IF(G846="","",IFERROR(INDEX(Levels!$C$5:$C$94,MATCH(G846,Levels!$G$5:$G$94,0)),"Not this class's skill"))</f>
        <v/>
      </c>
    </row>
    <row r="847" customFormat="false" ht="15" hidden="false" customHeight="false" outlineLevel="0" collapsed="false">
      <c r="A847" s="23"/>
      <c r="B847" s="22"/>
      <c r="C847" s="22"/>
      <c r="D847" s="22"/>
      <c r="E847" s="22"/>
      <c r="F847" s="27" t="str">
        <f aca="false">IF(B847="","",IFERROR(INDEX(Roster!$B$5:$B$154,MATCH(B847,Roster!$A$5:$A$154,0)),"Not on roster"))</f>
        <v/>
      </c>
      <c r="G847" s="28" t="str">
        <f aca="false">IF(OR(B847="",C847=""),"",F847&amp;" | "&amp;C847)</f>
        <v/>
      </c>
      <c r="H847" s="27" t="str">
        <f aca="false">IF(G847="","",IFERROR(INDEX(Levels!$C$5:$C$94,MATCH(G847,Levels!$G$5:$G$94,0)),"Not this class's skill"))</f>
        <v/>
      </c>
    </row>
    <row r="848" customFormat="false" ht="15" hidden="false" customHeight="false" outlineLevel="0" collapsed="false">
      <c r="A848" s="23"/>
      <c r="B848" s="22"/>
      <c r="C848" s="22"/>
      <c r="D848" s="22"/>
      <c r="E848" s="22"/>
      <c r="F848" s="27" t="str">
        <f aca="false">IF(B848="","",IFERROR(INDEX(Roster!$B$5:$B$154,MATCH(B848,Roster!$A$5:$A$154,0)),"Not on roster"))</f>
        <v/>
      </c>
      <c r="G848" s="28" t="str">
        <f aca="false">IF(OR(B848="",C848=""),"",F848&amp;" | "&amp;C848)</f>
        <v/>
      </c>
      <c r="H848" s="27" t="str">
        <f aca="false">IF(G848="","",IFERROR(INDEX(Levels!$C$5:$C$94,MATCH(G848,Levels!$G$5:$G$94,0)),"Not this class's skill"))</f>
        <v/>
      </c>
    </row>
    <row r="849" customFormat="false" ht="15" hidden="false" customHeight="false" outlineLevel="0" collapsed="false">
      <c r="A849" s="23"/>
      <c r="B849" s="22"/>
      <c r="C849" s="22"/>
      <c r="D849" s="22"/>
      <c r="E849" s="22"/>
      <c r="F849" s="27" t="str">
        <f aca="false">IF(B849="","",IFERROR(INDEX(Roster!$B$5:$B$154,MATCH(B849,Roster!$A$5:$A$154,0)),"Not on roster"))</f>
        <v/>
      </c>
      <c r="G849" s="28" t="str">
        <f aca="false">IF(OR(B849="",C849=""),"",F849&amp;" | "&amp;C849)</f>
        <v/>
      </c>
      <c r="H849" s="27" t="str">
        <f aca="false">IF(G849="","",IFERROR(INDEX(Levels!$C$5:$C$94,MATCH(G849,Levels!$G$5:$G$94,0)),"Not this class's skill"))</f>
        <v/>
      </c>
    </row>
    <row r="850" customFormat="false" ht="15" hidden="false" customHeight="false" outlineLevel="0" collapsed="false">
      <c r="A850" s="23"/>
      <c r="B850" s="22"/>
      <c r="C850" s="22"/>
      <c r="D850" s="22"/>
      <c r="E850" s="22"/>
      <c r="F850" s="27" t="str">
        <f aca="false">IF(B850="","",IFERROR(INDEX(Roster!$B$5:$B$154,MATCH(B850,Roster!$A$5:$A$154,0)),"Not on roster"))</f>
        <v/>
      </c>
      <c r="G850" s="28" t="str">
        <f aca="false">IF(OR(B850="",C850=""),"",F850&amp;" | "&amp;C850)</f>
        <v/>
      </c>
      <c r="H850" s="27" t="str">
        <f aca="false">IF(G850="","",IFERROR(INDEX(Levels!$C$5:$C$94,MATCH(G850,Levels!$G$5:$G$94,0)),"Not this class's skill"))</f>
        <v/>
      </c>
    </row>
    <row r="851" customFormat="false" ht="15" hidden="false" customHeight="false" outlineLevel="0" collapsed="false">
      <c r="A851" s="23"/>
      <c r="B851" s="22"/>
      <c r="C851" s="22"/>
      <c r="D851" s="22"/>
      <c r="E851" s="22"/>
      <c r="F851" s="27" t="str">
        <f aca="false">IF(B851="","",IFERROR(INDEX(Roster!$B$5:$B$154,MATCH(B851,Roster!$A$5:$A$154,0)),"Not on roster"))</f>
        <v/>
      </c>
      <c r="G851" s="28" t="str">
        <f aca="false">IF(OR(B851="",C851=""),"",F851&amp;" | "&amp;C851)</f>
        <v/>
      </c>
      <c r="H851" s="27" t="str">
        <f aca="false">IF(G851="","",IFERROR(INDEX(Levels!$C$5:$C$94,MATCH(G851,Levels!$G$5:$G$94,0)),"Not this class's skill"))</f>
        <v/>
      </c>
    </row>
    <row r="852" customFormat="false" ht="15" hidden="false" customHeight="false" outlineLevel="0" collapsed="false">
      <c r="A852" s="23"/>
      <c r="B852" s="22"/>
      <c r="C852" s="22"/>
      <c r="D852" s="22"/>
      <c r="E852" s="22"/>
      <c r="F852" s="27" t="str">
        <f aca="false">IF(B852="","",IFERROR(INDEX(Roster!$B$5:$B$154,MATCH(B852,Roster!$A$5:$A$154,0)),"Not on roster"))</f>
        <v/>
      </c>
      <c r="G852" s="28" t="str">
        <f aca="false">IF(OR(B852="",C852=""),"",F852&amp;" | "&amp;C852)</f>
        <v/>
      </c>
      <c r="H852" s="27" t="str">
        <f aca="false">IF(G852="","",IFERROR(INDEX(Levels!$C$5:$C$94,MATCH(G852,Levels!$G$5:$G$94,0)),"Not this class's skill"))</f>
        <v/>
      </c>
    </row>
    <row r="853" customFormat="false" ht="15" hidden="false" customHeight="false" outlineLevel="0" collapsed="false">
      <c r="A853" s="23"/>
      <c r="B853" s="22"/>
      <c r="C853" s="22"/>
      <c r="D853" s="22"/>
      <c r="E853" s="22"/>
      <c r="F853" s="27" t="str">
        <f aca="false">IF(B853="","",IFERROR(INDEX(Roster!$B$5:$B$154,MATCH(B853,Roster!$A$5:$A$154,0)),"Not on roster"))</f>
        <v/>
      </c>
      <c r="G853" s="28" t="str">
        <f aca="false">IF(OR(B853="",C853=""),"",F853&amp;" | "&amp;C853)</f>
        <v/>
      </c>
      <c r="H853" s="27" t="str">
        <f aca="false">IF(G853="","",IFERROR(INDEX(Levels!$C$5:$C$94,MATCH(G853,Levels!$G$5:$G$94,0)),"Not this class's skill"))</f>
        <v/>
      </c>
    </row>
    <row r="854" customFormat="false" ht="15" hidden="false" customHeight="false" outlineLevel="0" collapsed="false">
      <c r="A854" s="23"/>
      <c r="B854" s="22"/>
      <c r="C854" s="22"/>
      <c r="D854" s="22"/>
      <c r="E854" s="22"/>
      <c r="F854" s="27" t="str">
        <f aca="false">IF(B854="","",IFERROR(INDEX(Roster!$B$5:$B$154,MATCH(B854,Roster!$A$5:$A$154,0)),"Not on roster"))</f>
        <v/>
      </c>
      <c r="G854" s="28" t="str">
        <f aca="false">IF(OR(B854="",C854=""),"",F854&amp;" | "&amp;C854)</f>
        <v/>
      </c>
      <c r="H854" s="27" t="str">
        <f aca="false">IF(G854="","",IFERROR(INDEX(Levels!$C$5:$C$94,MATCH(G854,Levels!$G$5:$G$94,0)),"Not this class's skill"))</f>
        <v/>
      </c>
    </row>
    <row r="855" customFormat="false" ht="15" hidden="false" customHeight="false" outlineLevel="0" collapsed="false">
      <c r="A855" s="23"/>
      <c r="B855" s="22"/>
      <c r="C855" s="22"/>
      <c r="D855" s="22"/>
      <c r="E855" s="22"/>
      <c r="F855" s="27" t="str">
        <f aca="false">IF(B855="","",IFERROR(INDEX(Roster!$B$5:$B$154,MATCH(B855,Roster!$A$5:$A$154,0)),"Not on roster"))</f>
        <v/>
      </c>
      <c r="G855" s="28" t="str">
        <f aca="false">IF(OR(B855="",C855=""),"",F855&amp;" | "&amp;C855)</f>
        <v/>
      </c>
      <c r="H855" s="27" t="str">
        <f aca="false">IF(G855="","",IFERROR(INDEX(Levels!$C$5:$C$94,MATCH(G855,Levels!$G$5:$G$94,0)),"Not this class's skill"))</f>
        <v/>
      </c>
    </row>
    <row r="856" customFormat="false" ht="15" hidden="false" customHeight="false" outlineLevel="0" collapsed="false">
      <c r="A856" s="23"/>
      <c r="B856" s="22"/>
      <c r="C856" s="22"/>
      <c r="D856" s="22"/>
      <c r="E856" s="22"/>
      <c r="F856" s="27" t="str">
        <f aca="false">IF(B856="","",IFERROR(INDEX(Roster!$B$5:$B$154,MATCH(B856,Roster!$A$5:$A$154,0)),"Not on roster"))</f>
        <v/>
      </c>
      <c r="G856" s="28" t="str">
        <f aca="false">IF(OR(B856="",C856=""),"",F856&amp;" | "&amp;C856)</f>
        <v/>
      </c>
      <c r="H856" s="27" t="str">
        <f aca="false">IF(G856="","",IFERROR(INDEX(Levels!$C$5:$C$94,MATCH(G856,Levels!$G$5:$G$94,0)),"Not this class's skill"))</f>
        <v/>
      </c>
    </row>
    <row r="857" customFormat="false" ht="15" hidden="false" customHeight="false" outlineLevel="0" collapsed="false">
      <c r="A857" s="23"/>
      <c r="B857" s="22"/>
      <c r="C857" s="22"/>
      <c r="D857" s="22"/>
      <c r="E857" s="22"/>
      <c r="F857" s="27" t="str">
        <f aca="false">IF(B857="","",IFERROR(INDEX(Roster!$B$5:$B$154,MATCH(B857,Roster!$A$5:$A$154,0)),"Not on roster"))</f>
        <v/>
      </c>
      <c r="G857" s="28" t="str">
        <f aca="false">IF(OR(B857="",C857=""),"",F857&amp;" | "&amp;C857)</f>
        <v/>
      </c>
      <c r="H857" s="27" t="str">
        <f aca="false">IF(G857="","",IFERROR(INDEX(Levels!$C$5:$C$94,MATCH(G857,Levels!$G$5:$G$94,0)),"Not this class's skill"))</f>
        <v/>
      </c>
    </row>
    <row r="858" customFormat="false" ht="15" hidden="false" customHeight="false" outlineLevel="0" collapsed="false">
      <c r="A858" s="23"/>
      <c r="B858" s="22"/>
      <c r="C858" s="22"/>
      <c r="D858" s="22"/>
      <c r="E858" s="22"/>
      <c r="F858" s="27" t="str">
        <f aca="false">IF(B858="","",IFERROR(INDEX(Roster!$B$5:$B$154,MATCH(B858,Roster!$A$5:$A$154,0)),"Not on roster"))</f>
        <v/>
      </c>
      <c r="G858" s="28" t="str">
        <f aca="false">IF(OR(B858="",C858=""),"",F858&amp;" | "&amp;C858)</f>
        <v/>
      </c>
      <c r="H858" s="27" t="str">
        <f aca="false">IF(G858="","",IFERROR(INDEX(Levels!$C$5:$C$94,MATCH(G858,Levels!$G$5:$G$94,0)),"Not this class's skill"))</f>
        <v/>
      </c>
    </row>
    <row r="859" customFormat="false" ht="15" hidden="false" customHeight="false" outlineLevel="0" collapsed="false">
      <c r="A859" s="23"/>
      <c r="B859" s="22"/>
      <c r="C859" s="22"/>
      <c r="D859" s="22"/>
      <c r="E859" s="22"/>
      <c r="F859" s="27" t="str">
        <f aca="false">IF(B859="","",IFERROR(INDEX(Roster!$B$5:$B$154,MATCH(B859,Roster!$A$5:$A$154,0)),"Not on roster"))</f>
        <v/>
      </c>
      <c r="G859" s="28" t="str">
        <f aca="false">IF(OR(B859="",C859=""),"",F859&amp;" | "&amp;C859)</f>
        <v/>
      </c>
      <c r="H859" s="27" t="str">
        <f aca="false">IF(G859="","",IFERROR(INDEX(Levels!$C$5:$C$94,MATCH(G859,Levels!$G$5:$G$94,0)),"Not this class's skill"))</f>
        <v/>
      </c>
    </row>
    <row r="860" customFormat="false" ht="15" hidden="false" customHeight="false" outlineLevel="0" collapsed="false">
      <c r="A860" s="23"/>
      <c r="B860" s="22"/>
      <c r="C860" s="22"/>
      <c r="D860" s="22"/>
      <c r="E860" s="22"/>
      <c r="F860" s="27" t="str">
        <f aca="false">IF(B860="","",IFERROR(INDEX(Roster!$B$5:$B$154,MATCH(B860,Roster!$A$5:$A$154,0)),"Not on roster"))</f>
        <v/>
      </c>
      <c r="G860" s="28" t="str">
        <f aca="false">IF(OR(B860="",C860=""),"",F860&amp;" | "&amp;C860)</f>
        <v/>
      </c>
      <c r="H860" s="27" t="str">
        <f aca="false">IF(G860="","",IFERROR(INDEX(Levels!$C$5:$C$94,MATCH(G860,Levels!$G$5:$G$94,0)),"Not this class's skill"))</f>
        <v/>
      </c>
    </row>
    <row r="861" customFormat="false" ht="15" hidden="false" customHeight="false" outlineLevel="0" collapsed="false">
      <c r="A861" s="23"/>
      <c r="B861" s="22"/>
      <c r="C861" s="22"/>
      <c r="D861" s="22"/>
      <c r="E861" s="22"/>
      <c r="F861" s="27" t="str">
        <f aca="false">IF(B861="","",IFERROR(INDEX(Roster!$B$5:$B$154,MATCH(B861,Roster!$A$5:$A$154,0)),"Not on roster"))</f>
        <v/>
      </c>
      <c r="G861" s="28" t="str">
        <f aca="false">IF(OR(B861="",C861=""),"",F861&amp;" | "&amp;C861)</f>
        <v/>
      </c>
      <c r="H861" s="27" t="str">
        <f aca="false">IF(G861="","",IFERROR(INDEX(Levels!$C$5:$C$94,MATCH(G861,Levels!$G$5:$G$94,0)),"Not this class's skill"))</f>
        <v/>
      </c>
    </row>
    <row r="862" customFormat="false" ht="15" hidden="false" customHeight="false" outlineLevel="0" collapsed="false">
      <c r="A862" s="23"/>
      <c r="B862" s="22"/>
      <c r="C862" s="22"/>
      <c r="D862" s="22"/>
      <c r="E862" s="22"/>
      <c r="F862" s="27" t="str">
        <f aca="false">IF(B862="","",IFERROR(INDEX(Roster!$B$5:$B$154,MATCH(B862,Roster!$A$5:$A$154,0)),"Not on roster"))</f>
        <v/>
      </c>
      <c r="G862" s="28" t="str">
        <f aca="false">IF(OR(B862="",C862=""),"",F862&amp;" | "&amp;C862)</f>
        <v/>
      </c>
      <c r="H862" s="27" t="str">
        <f aca="false">IF(G862="","",IFERROR(INDEX(Levels!$C$5:$C$94,MATCH(G862,Levels!$G$5:$G$94,0)),"Not this class's skill"))</f>
        <v/>
      </c>
    </row>
    <row r="863" customFormat="false" ht="15" hidden="false" customHeight="false" outlineLevel="0" collapsed="false">
      <c r="A863" s="23"/>
      <c r="B863" s="22"/>
      <c r="C863" s="22"/>
      <c r="D863" s="22"/>
      <c r="E863" s="22"/>
      <c r="F863" s="27" t="str">
        <f aca="false">IF(B863="","",IFERROR(INDEX(Roster!$B$5:$B$154,MATCH(B863,Roster!$A$5:$A$154,0)),"Not on roster"))</f>
        <v/>
      </c>
      <c r="G863" s="28" t="str">
        <f aca="false">IF(OR(B863="",C863=""),"",F863&amp;" | "&amp;C863)</f>
        <v/>
      </c>
      <c r="H863" s="27" t="str">
        <f aca="false">IF(G863="","",IFERROR(INDEX(Levels!$C$5:$C$94,MATCH(G863,Levels!$G$5:$G$94,0)),"Not this class's skill"))</f>
        <v/>
      </c>
    </row>
    <row r="864" customFormat="false" ht="15" hidden="false" customHeight="false" outlineLevel="0" collapsed="false">
      <c r="A864" s="23"/>
      <c r="B864" s="22"/>
      <c r="C864" s="22"/>
      <c r="D864" s="22"/>
      <c r="E864" s="22"/>
      <c r="F864" s="27" t="str">
        <f aca="false">IF(B864="","",IFERROR(INDEX(Roster!$B$5:$B$154,MATCH(B864,Roster!$A$5:$A$154,0)),"Not on roster"))</f>
        <v/>
      </c>
      <c r="G864" s="28" t="str">
        <f aca="false">IF(OR(B864="",C864=""),"",F864&amp;" | "&amp;C864)</f>
        <v/>
      </c>
      <c r="H864" s="27" t="str">
        <f aca="false">IF(G864="","",IFERROR(INDEX(Levels!$C$5:$C$94,MATCH(G864,Levels!$G$5:$G$94,0)),"Not this class's skill"))</f>
        <v/>
      </c>
    </row>
    <row r="865" customFormat="false" ht="15" hidden="false" customHeight="false" outlineLevel="0" collapsed="false">
      <c r="A865" s="23"/>
      <c r="B865" s="22"/>
      <c r="C865" s="22"/>
      <c r="D865" s="22"/>
      <c r="E865" s="22"/>
      <c r="F865" s="27" t="str">
        <f aca="false">IF(B865="","",IFERROR(INDEX(Roster!$B$5:$B$154,MATCH(B865,Roster!$A$5:$A$154,0)),"Not on roster"))</f>
        <v/>
      </c>
      <c r="G865" s="28" t="str">
        <f aca="false">IF(OR(B865="",C865=""),"",F865&amp;" | "&amp;C865)</f>
        <v/>
      </c>
      <c r="H865" s="27" t="str">
        <f aca="false">IF(G865="","",IFERROR(INDEX(Levels!$C$5:$C$94,MATCH(G865,Levels!$G$5:$G$94,0)),"Not this class's skill"))</f>
        <v/>
      </c>
    </row>
    <row r="866" customFormat="false" ht="15" hidden="false" customHeight="false" outlineLevel="0" collapsed="false">
      <c r="A866" s="23"/>
      <c r="B866" s="22"/>
      <c r="C866" s="22"/>
      <c r="D866" s="22"/>
      <c r="E866" s="22"/>
      <c r="F866" s="27" t="str">
        <f aca="false">IF(B866="","",IFERROR(INDEX(Roster!$B$5:$B$154,MATCH(B866,Roster!$A$5:$A$154,0)),"Not on roster"))</f>
        <v/>
      </c>
      <c r="G866" s="28" t="str">
        <f aca="false">IF(OR(B866="",C866=""),"",F866&amp;" | "&amp;C866)</f>
        <v/>
      </c>
      <c r="H866" s="27" t="str">
        <f aca="false">IF(G866="","",IFERROR(INDEX(Levels!$C$5:$C$94,MATCH(G866,Levels!$G$5:$G$94,0)),"Not this class's skill"))</f>
        <v/>
      </c>
    </row>
    <row r="867" customFormat="false" ht="15" hidden="false" customHeight="false" outlineLevel="0" collapsed="false">
      <c r="A867" s="23"/>
      <c r="B867" s="22"/>
      <c r="C867" s="22"/>
      <c r="D867" s="22"/>
      <c r="E867" s="22"/>
      <c r="F867" s="27" t="str">
        <f aca="false">IF(B867="","",IFERROR(INDEX(Roster!$B$5:$B$154,MATCH(B867,Roster!$A$5:$A$154,0)),"Not on roster"))</f>
        <v/>
      </c>
      <c r="G867" s="28" t="str">
        <f aca="false">IF(OR(B867="",C867=""),"",F867&amp;" | "&amp;C867)</f>
        <v/>
      </c>
      <c r="H867" s="27" t="str">
        <f aca="false">IF(G867="","",IFERROR(INDEX(Levels!$C$5:$C$94,MATCH(G867,Levels!$G$5:$G$94,0)),"Not this class's skill"))</f>
        <v/>
      </c>
    </row>
    <row r="868" customFormat="false" ht="15" hidden="false" customHeight="false" outlineLevel="0" collapsed="false">
      <c r="A868" s="23"/>
      <c r="B868" s="22"/>
      <c r="C868" s="22"/>
      <c r="D868" s="22"/>
      <c r="E868" s="22"/>
      <c r="F868" s="27" t="str">
        <f aca="false">IF(B868="","",IFERROR(INDEX(Roster!$B$5:$B$154,MATCH(B868,Roster!$A$5:$A$154,0)),"Not on roster"))</f>
        <v/>
      </c>
      <c r="G868" s="28" t="str">
        <f aca="false">IF(OR(B868="",C868=""),"",F868&amp;" | "&amp;C868)</f>
        <v/>
      </c>
      <c r="H868" s="27" t="str">
        <f aca="false">IF(G868="","",IFERROR(INDEX(Levels!$C$5:$C$94,MATCH(G868,Levels!$G$5:$G$94,0)),"Not this class's skill"))</f>
        <v/>
      </c>
    </row>
    <row r="869" customFormat="false" ht="15" hidden="false" customHeight="false" outlineLevel="0" collapsed="false">
      <c r="A869" s="23"/>
      <c r="B869" s="22"/>
      <c r="C869" s="22"/>
      <c r="D869" s="22"/>
      <c r="E869" s="22"/>
      <c r="F869" s="27" t="str">
        <f aca="false">IF(B869="","",IFERROR(INDEX(Roster!$B$5:$B$154,MATCH(B869,Roster!$A$5:$A$154,0)),"Not on roster"))</f>
        <v/>
      </c>
      <c r="G869" s="28" t="str">
        <f aca="false">IF(OR(B869="",C869=""),"",F869&amp;" | "&amp;C869)</f>
        <v/>
      </c>
      <c r="H869" s="27" t="str">
        <f aca="false">IF(G869="","",IFERROR(INDEX(Levels!$C$5:$C$94,MATCH(G869,Levels!$G$5:$G$94,0)),"Not this class's skill"))</f>
        <v/>
      </c>
    </row>
    <row r="870" customFormat="false" ht="15" hidden="false" customHeight="false" outlineLevel="0" collapsed="false">
      <c r="A870" s="23"/>
      <c r="B870" s="22"/>
      <c r="C870" s="22"/>
      <c r="D870" s="22"/>
      <c r="E870" s="22"/>
      <c r="F870" s="27" t="str">
        <f aca="false">IF(B870="","",IFERROR(INDEX(Roster!$B$5:$B$154,MATCH(B870,Roster!$A$5:$A$154,0)),"Not on roster"))</f>
        <v/>
      </c>
      <c r="G870" s="28" t="str">
        <f aca="false">IF(OR(B870="",C870=""),"",F870&amp;" | "&amp;C870)</f>
        <v/>
      </c>
      <c r="H870" s="27" t="str">
        <f aca="false">IF(G870="","",IFERROR(INDEX(Levels!$C$5:$C$94,MATCH(G870,Levels!$G$5:$G$94,0)),"Not this class's skill"))</f>
        <v/>
      </c>
    </row>
    <row r="871" customFormat="false" ht="15" hidden="false" customHeight="false" outlineLevel="0" collapsed="false">
      <c r="A871" s="23"/>
      <c r="B871" s="22"/>
      <c r="C871" s="22"/>
      <c r="D871" s="22"/>
      <c r="E871" s="22"/>
      <c r="F871" s="27" t="str">
        <f aca="false">IF(B871="","",IFERROR(INDEX(Roster!$B$5:$B$154,MATCH(B871,Roster!$A$5:$A$154,0)),"Not on roster"))</f>
        <v/>
      </c>
      <c r="G871" s="28" t="str">
        <f aca="false">IF(OR(B871="",C871=""),"",F871&amp;" | "&amp;C871)</f>
        <v/>
      </c>
      <c r="H871" s="27" t="str">
        <f aca="false">IF(G871="","",IFERROR(INDEX(Levels!$C$5:$C$94,MATCH(G871,Levels!$G$5:$G$94,0)),"Not this class's skill"))</f>
        <v/>
      </c>
    </row>
    <row r="872" customFormat="false" ht="15" hidden="false" customHeight="false" outlineLevel="0" collapsed="false">
      <c r="A872" s="23"/>
      <c r="B872" s="22"/>
      <c r="C872" s="22"/>
      <c r="D872" s="22"/>
      <c r="E872" s="22"/>
      <c r="F872" s="27" t="str">
        <f aca="false">IF(B872="","",IFERROR(INDEX(Roster!$B$5:$B$154,MATCH(B872,Roster!$A$5:$A$154,0)),"Not on roster"))</f>
        <v/>
      </c>
      <c r="G872" s="28" t="str">
        <f aca="false">IF(OR(B872="",C872=""),"",F872&amp;" | "&amp;C872)</f>
        <v/>
      </c>
      <c r="H872" s="27" t="str">
        <f aca="false">IF(G872="","",IFERROR(INDEX(Levels!$C$5:$C$94,MATCH(G872,Levels!$G$5:$G$94,0)),"Not this class's skill"))</f>
        <v/>
      </c>
    </row>
    <row r="873" customFormat="false" ht="15" hidden="false" customHeight="false" outlineLevel="0" collapsed="false">
      <c r="A873" s="23"/>
      <c r="B873" s="22"/>
      <c r="C873" s="22"/>
      <c r="D873" s="22"/>
      <c r="E873" s="22"/>
      <c r="F873" s="27" t="str">
        <f aca="false">IF(B873="","",IFERROR(INDEX(Roster!$B$5:$B$154,MATCH(B873,Roster!$A$5:$A$154,0)),"Not on roster"))</f>
        <v/>
      </c>
      <c r="G873" s="28" t="str">
        <f aca="false">IF(OR(B873="",C873=""),"",F873&amp;" | "&amp;C873)</f>
        <v/>
      </c>
      <c r="H873" s="27" t="str">
        <f aca="false">IF(G873="","",IFERROR(INDEX(Levels!$C$5:$C$94,MATCH(G873,Levels!$G$5:$G$94,0)),"Not this class's skill"))</f>
        <v/>
      </c>
    </row>
    <row r="874" customFormat="false" ht="15" hidden="false" customHeight="false" outlineLevel="0" collapsed="false">
      <c r="A874" s="23"/>
      <c r="B874" s="22"/>
      <c r="C874" s="22"/>
      <c r="D874" s="22"/>
      <c r="E874" s="22"/>
      <c r="F874" s="27" t="str">
        <f aca="false">IF(B874="","",IFERROR(INDEX(Roster!$B$5:$B$154,MATCH(B874,Roster!$A$5:$A$154,0)),"Not on roster"))</f>
        <v/>
      </c>
      <c r="G874" s="28" t="str">
        <f aca="false">IF(OR(B874="",C874=""),"",F874&amp;" | "&amp;C874)</f>
        <v/>
      </c>
      <c r="H874" s="27" t="str">
        <f aca="false">IF(G874="","",IFERROR(INDEX(Levels!$C$5:$C$94,MATCH(G874,Levels!$G$5:$G$94,0)),"Not this class's skill"))</f>
        <v/>
      </c>
    </row>
    <row r="875" customFormat="false" ht="15" hidden="false" customHeight="false" outlineLevel="0" collapsed="false">
      <c r="A875" s="23"/>
      <c r="B875" s="22"/>
      <c r="C875" s="22"/>
      <c r="D875" s="22"/>
      <c r="E875" s="22"/>
      <c r="F875" s="27" t="str">
        <f aca="false">IF(B875="","",IFERROR(INDEX(Roster!$B$5:$B$154,MATCH(B875,Roster!$A$5:$A$154,0)),"Not on roster"))</f>
        <v/>
      </c>
      <c r="G875" s="28" t="str">
        <f aca="false">IF(OR(B875="",C875=""),"",F875&amp;" | "&amp;C875)</f>
        <v/>
      </c>
      <c r="H875" s="27" t="str">
        <f aca="false">IF(G875="","",IFERROR(INDEX(Levels!$C$5:$C$94,MATCH(G875,Levels!$G$5:$G$94,0)),"Not this class's skill"))</f>
        <v/>
      </c>
    </row>
    <row r="876" customFormat="false" ht="15" hidden="false" customHeight="false" outlineLevel="0" collapsed="false">
      <c r="A876" s="23"/>
      <c r="B876" s="22"/>
      <c r="C876" s="22"/>
      <c r="D876" s="22"/>
      <c r="E876" s="22"/>
      <c r="F876" s="27" t="str">
        <f aca="false">IF(B876="","",IFERROR(INDEX(Roster!$B$5:$B$154,MATCH(B876,Roster!$A$5:$A$154,0)),"Not on roster"))</f>
        <v/>
      </c>
      <c r="G876" s="28" t="str">
        <f aca="false">IF(OR(B876="",C876=""),"",F876&amp;" | "&amp;C876)</f>
        <v/>
      </c>
      <c r="H876" s="27" t="str">
        <f aca="false">IF(G876="","",IFERROR(INDEX(Levels!$C$5:$C$94,MATCH(G876,Levels!$G$5:$G$94,0)),"Not this class's skill"))</f>
        <v/>
      </c>
    </row>
    <row r="877" customFormat="false" ht="15" hidden="false" customHeight="false" outlineLevel="0" collapsed="false">
      <c r="A877" s="23"/>
      <c r="B877" s="22"/>
      <c r="C877" s="22"/>
      <c r="D877" s="22"/>
      <c r="E877" s="22"/>
      <c r="F877" s="27" t="str">
        <f aca="false">IF(B877="","",IFERROR(INDEX(Roster!$B$5:$B$154,MATCH(B877,Roster!$A$5:$A$154,0)),"Not on roster"))</f>
        <v/>
      </c>
      <c r="G877" s="28" t="str">
        <f aca="false">IF(OR(B877="",C877=""),"",F877&amp;" | "&amp;C877)</f>
        <v/>
      </c>
      <c r="H877" s="27" t="str">
        <f aca="false">IF(G877="","",IFERROR(INDEX(Levels!$C$5:$C$94,MATCH(G877,Levels!$G$5:$G$94,0)),"Not this class's skill"))</f>
        <v/>
      </c>
    </row>
    <row r="878" customFormat="false" ht="15" hidden="false" customHeight="false" outlineLevel="0" collapsed="false">
      <c r="A878" s="23"/>
      <c r="B878" s="22"/>
      <c r="C878" s="22"/>
      <c r="D878" s="22"/>
      <c r="E878" s="22"/>
      <c r="F878" s="27" t="str">
        <f aca="false">IF(B878="","",IFERROR(INDEX(Roster!$B$5:$B$154,MATCH(B878,Roster!$A$5:$A$154,0)),"Not on roster"))</f>
        <v/>
      </c>
      <c r="G878" s="28" t="str">
        <f aca="false">IF(OR(B878="",C878=""),"",F878&amp;" | "&amp;C878)</f>
        <v/>
      </c>
      <c r="H878" s="27" t="str">
        <f aca="false">IF(G878="","",IFERROR(INDEX(Levels!$C$5:$C$94,MATCH(G878,Levels!$G$5:$G$94,0)),"Not this class's skill"))</f>
        <v/>
      </c>
    </row>
    <row r="879" customFormat="false" ht="15" hidden="false" customHeight="false" outlineLevel="0" collapsed="false">
      <c r="A879" s="23"/>
      <c r="B879" s="22"/>
      <c r="C879" s="22"/>
      <c r="D879" s="22"/>
      <c r="E879" s="22"/>
      <c r="F879" s="27" t="str">
        <f aca="false">IF(B879="","",IFERROR(INDEX(Roster!$B$5:$B$154,MATCH(B879,Roster!$A$5:$A$154,0)),"Not on roster"))</f>
        <v/>
      </c>
      <c r="G879" s="28" t="str">
        <f aca="false">IF(OR(B879="",C879=""),"",F879&amp;" | "&amp;C879)</f>
        <v/>
      </c>
      <c r="H879" s="27" t="str">
        <f aca="false">IF(G879="","",IFERROR(INDEX(Levels!$C$5:$C$94,MATCH(G879,Levels!$G$5:$G$94,0)),"Not this class's skill"))</f>
        <v/>
      </c>
    </row>
    <row r="880" customFormat="false" ht="15" hidden="false" customHeight="false" outlineLevel="0" collapsed="false">
      <c r="A880" s="23"/>
      <c r="B880" s="22"/>
      <c r="C880" s="22"/>
      <c r="D880" s="22"/>
      <c r="E880" s="22"/>
      <c r="F880" s="27" t="str">
        <f aca="false">IF(B880="","",IFERROR(INDEX(Roster!$B$5:$B$154,MATCH(B880,Roster!$A$5:$A$154,0)),"Not on roster"))</f>
        <v/>
      </c>
      <c r="G880" s="28" t="str">
        <f aca="false">IF(OR(B880="",C880=""),"",F880&amp;" | "&amp;C880)</f>
        <v/>
      </c>
      <c r="H880" s="27" t="str">
        <f aca="false">IF(G880="","",IFERROR(INDEX(Levels!$C$5:$C$94,MATCH(G880,Levels!$G$5:$G$94,0)),"Not this class's skill"))</f>
        <v/>
      </c>
    </row>
    <row r="881" customFormat="false" ht="15" hidden="false" customHeight="false" outlineLevel="0" collapsed="false">
      <c r="A881" s="23"/>
      <c r="B881" s="22"/>
      <c r="C881" s="22"/>
      <c r="D881" s="22"/>
      <c r="E881" s="22"/>
      <c r="F881" s="27" t="str">
        <f aca="false">IF(B881="","",IFERROR(INDEX(Roster!$B$5:$B$154,MATCH(B881,Roster!$A$5:$A$154,0)),"Not on roster"))</f>
        <v/>
      </c>
      <c r="G881" s="28" t="str">
        <f aca="false">IF(OR(B881="",C881=""),"",F881&amp;" | "&amp;C881)</f>
        <v/>
      </c>
      <c r="H881" s="27" t="str">
        <f aca="false">IF(G881="","",IFERROR(INDEX(Levels!$C$5:$C$94,MATCH(G881,Levels!$G$5:$G$94,0)),"Not this class's skill"))</f>
        <v/>
      </c>
    </row>
    <row r="882" customFormat="false" ht="15" hidden="false" customHeight="false" outlineLevel="0" collapsed="false">
      <c r="A882" s="23"/>
      <c r="B882" s="22"/>
      <c r="C882" s="22"/>
      <c r="D882" s="22"/>
      <c r="E882" s="22"/>
      <c r="F882" s="27" t="str">
        <f aca="false">IF(B882="","",IFERROR(INDEX(Roster!$B$5:$B$154,MATCH(B882,Roster!$A$5:$A$154,0)),"Not on roster"))</f>
        <v/>
      </c>
      <c r="G882" s="28" t="str">
        <f aca="false">IF(OR(B882="",C882=""),"",F882&amp;" | "&amp;C882)</f>
        <v/>
      </c>
      <c r="H882" s="27" t="str">
        <f aca="false">IF(G882="","",IFERROR(INDEX(Levels!$C$5:$C$94,MATCH(G882,Levels!$G$5:$G$94,0)),"Not this class's skill"))</f>
        <v/>
      </c>
    </row>
    <row r="883" customFormat="false" ht="15" hidden="false" customHeight="false" outlineLevel="0" collapsed="false">
      <c r="A883" s="23"/>
      <c r="B883" s="22"/>
      <c r="C883" s="22"/>
      <c r="D883" s="22"/>
      <c r="E883" s="22"/>
      <c r="F883" s="27" t="str">
        <f aca="false">IF(B883="","",IFERROR(INDEX(Roster!$B$5:$B$154,MATCH(B883,Roster!$A$5:$A$154,0)),"Not on roster"))</f>
        <v/>
      </c>
      <c r="G883" s="28" t="str">
        <f aca="false">IF(OR(B883="",C883=""),"",F883&amp;" | "&amp;C883)</f>
        <v/>
      </c>
      <c r="H883" s="27" t="str">
        <f aca="false">IF(G883="","",IFERROR(INDEX(Levels!$C$5:$C$94,MATCH(G883,Levels!$G$5:$G$94,0)),"Not this class's skill"))</f>
        <v/>
      </c>
    </row>
    <row r="884" customFormat="false" ht="15" hidden="false" customHeight="false" outlineLevel="0" collapsed="false">
      <c r="A884" s="23"/>
      <c r="B884" s="22"/>
      <c r="C884" s="22"/>
      <c r="D884" s="22"/>
      <c r="E884" s="22"/>
      <c r="F884" s="27" t="str">
        <f aca="false">IF(B884="","",IFERROR(INDEX(Roster!$B$5:$B$154,MATCH(B884,Roster!$A$5:$A$154,0)),"Not on roster"))</f>
        <v/>
      </c>
      <c r="G884" s="28" t="str">
        <f aca="false">IF(OR(B884="",C884=""),"",F884&amp;" | "&amp;C884)</f>
        <v/>
      </c>
      <c r="H884" s="27" t="str">
        <f aca="false">IF(G884="","",IFERROR(INDEX(Levels!$C$5:$C$94,MATCH(G884,Levels!$G$5:$G$94,0)),"Not this class's skill"))</f>
        <v/>
      </c>
    </row>
    <row r="885" customFormat="false" ht="15" hidden="false" customHeight="false" outlineLevel="0" collapsed="false">
      <c r="A885" s="23"/>
      <c r="B885" s="22"/>
      <c r="C885" s="22"/>
      <c r="D885" s="22"/>
      <c r="E885" s="22"/>
      <c r="F885" s="27" t="str">
        <f aca="false">IF(B885="","",IFERROR(INDEX(Roster!$B$5:$B$154,MATCH(B885,Roster!$A$5:$A$154,0)),"Not on roster"))</f>
        <v/>
      </c>
      <c r="G885" s="28" t="str">
        <f aca="false">IF(OR(B885="",C885=""),"",F885&amp;" | "&amp;C885)</f>
        <v/>
      </c>
      <c r="H885" s="27" t="str">
        <f aca="false">IF(G885="","",IFERROR(INDEX(Levels!$C$5:$C$94,MATCH(G885,Levels!$G$5:$G$94,0)),"Not this class's skill"))</f>
        <v/>
      </c>
    </row>
    <row r="886" customFormat="false" ht="15" hidden="false" customHeight="false" outlineLevel="0" collapsed="false">
      <c r="A886" s="23"/>
      <c r="B886" s="22"/>
      <c r="C886" s="22"/>
      <c r="D886" s="22"/>
      <c r="E886" s="22"/>
      <c r="F886" s="27" t="str">
        <f aca="false">IF(B886="","",IFERROR(INDEX(Roster!$B$5:$B$154,MATCH(B886,Roster!$A$5:$A$154,0)),"Not on roster"))</f>
        <v/>
      </c>
      <c r="G886" s="28" t="str">
        <f aca="false">IF(OR(B886="",C886=""),"",F886&amp;" | "&amp;C886)</f>
        <v/>
      </c>
      <c r="H886" s="27" t="str">
        <f aca="false">IF(G886="","",IFERROR(INDEX(Levels!$C$5:$C$94,MATCH(G886,Levels!$G$5:$G$94,0)),"Not this class's skill"))</f>
        <v/>
      </c>
    </row>
    <row r="887" customFormat="false" ht="15" hidden="false" customHeight="false" outlineLevel="0" collapsed="false">
      <c r="A887" s="23"/>
      <c r="B887" s="22"/>
      <c r="C887" s="22"/>
      <c r="D887" s="22"/>
      <c r="E887" s="22"/>
      <c r="F887" s="27" t="str">
        <f aca="false">IF(B887="","",IFERROR(INDEX(Roster!$B$5:$B$154,MATCH(B887,Roster!$A$5:$A$154,0)),"Not on roster"))</f>
        <v/>
      </c>
      <c r="G887" s="28" t="str">
        <f aca="false">IF(OR(B887="",C887=""),"",F887&amp;" | "&amp;C887)</f>
        <v/>
      </c>
      <c r="H887" s="27" t="str">
        <f aca="false">IF(G887="","",IFERROR(INDEX(Levels!$C$5:$C$94,MATCH(G887,Levels!$G$5:$G$94,0)),"Not this class's skill"))</f>
        <v/>
      </c>
    </row>
    <row r="888" customFormat="false" ht="15" hidden="false" customHeight="false" outlineLevel="0" collapsed="false">
      <c r="A888" s="23"/>
      <c r="B888" s="22"/>
      <c r="C888" s="22"/>
      <c r="D888" s="22"/>
      <c r="E888" s="22"/>
      <c r="F888" s="27" t="str">
        <f aca="false">IF(B888="","",IFERROR(INDEX(Roster!$B$5:$B$154,MATCH(B888,Roster!$A$5:$A$154,0)),"Not on roster"))</f>
        <v/>
      </c>
      <c r="G888" s="28" t="str">
        <f aca="false">IF(OR(B888="",C888=""),"",F888&amp;" | "&amp;C888)</f>
        <v/>
      </c>
      <c r="H888" s="27" t="str">
        <f aca="false">IF(G888="","",IFERROR(INDEX(Levels!$C$5:$C$94,MATCH(G888,Levels!$G$5:$G$94,0)),"Not this class's skill"))</f>
        <v/>
      </c>
    </row>
    <row r="889" customFormat="false" ht="15" hidden="false" customHeight="false" outlineLevel="0" collapsed="false">
      <c r="A889" s="23"/>
      <c r="B889" s="22"/>
      <c r="C889" s="22"/>
      <c r="D889" s="22"/>
      <c r="E889" s="22"/>
      <c r="F889" s="27" t="str">
        <f aca="false">IF(B889="","",IFERROR(INDEX(Roster!$B$5:$B$154,MATCH(B889,Roster!$A$5:$A$154,0)),"Not on roster"))</f>
        <v/>
      </c>
      <c r="G889" s="28" t="str">
        <f aca="false">IF(OR(B889="",C889=""),"",F889&amp;" | "&amp;C889)</f>
        <v/>
      </c>
      <c r="H889" s="27" t="str">
        <f aca="false">IF(G889="","",IFERROR(INDEX(Levels!$C$5:$C$94,MATCH(G889,Levels!$G$5:$G$94,0)),"Not this class's skill"))</f>
        <v/>
      </c>
    </row>
    <row r="890" customFormat="false" ht="15" hidden="false" customHeight="false" outlineLevel="0" collapsed="false">
      <c r="A890" s="23"/>
      <c r="B890" s="22"/>
      <c r="C890" s="22"/>
      <c r="D890" s="22"/>
      <c r="E890" s="22"/>
      <c r="F890" s="27" t="str">
        <f aca="false">IF(B890="","",IFERROR(INDEX(Roster!$B$5:$B$154,MATCH(B890,Roster!$A$5:$A$154,0)),"Not on roster"))</f>
        <v/>
      </c>
      <c r="G890" s="28" t="str">
        <f aca="false">IF(OR(B890="",C890=""),"",F890&amp;" | "&amp;C890)</f>
        <v/>
      </c>
      <c r="H890" s="27" t="str">
        <f aca="false">IF(G890="","",IFERROR(INDEX(Levels!$C$5:$C$94,MATCH(G890,Levels!$G$5:$G$94,0)),"Not this class's skill"))</f>
        <v/>
      </c>
    </row>
    <row r="891" customFormat="false" ht="15" hidden="false" customHeight="false" outlineLevel="0" collapsed="false">
      <c r="A891" s="23"/>
      <c r="B891" s="22"/>
      <c r="C891" s="22"/>
      <c r="D891" s="22"/>
      <c r="E891" s="22"/>
      <c r="F891" s="27" t="str">
        <f aca="false">IF(B891="","",IFERROR(INDEX(Roster!$B$5:$B$154,MATCH(B891,Roster!$A$5:$A$154,0)),"Not on roster"))</f>
        <v/>
      </c>
      <c r="G891" s="28" t="str">
        <f aca="false">IF(OR(B891="",C891=""),"",F891&amp;" | "&amp;C891)</f>
        <v/>
      </c>
      <c r="H891" s="27" t="str">
        <f aca="false">IF(G891="","",IFERROR(INDEX(Levels!$C$5:$C$94,MATCH(G891,Levels!$G$5:$G$94,0)),"Not this class's skill"))</f>
        <v/>
      </c>
    </row>
    <row r="892" customFormat="false" ht="15" hidden="false" customHeight="false" outlineLevel="0" collapsed="false">
      <c r="A892" s="23"/>
      <c r="B892" s="22"/>
      <c r="C892" s="22"/>
      <c r="D892" s="22"/>
      <c r="E892" s="22"/>
      <c r="F892" s="27" t="str">
        <f aca="false">IF(B892="","",IFERROR(INDEX(Roster!$B$5:$B$154,MATCH(B892,Roster!$A$5:$A$154,0)),"Not on roster"))</f>
        <v/>
      </c>
      <c r="G892" s="28" t="str">
        <f aca="false">IF(OR(B892="",C892=""),"",F892&amp;" | "&amp;C892)</f>
        <v/>
      </c>
      <c r="H892" s="27" t="str">
        <f aca="false">IF(G892="","",IFERROR(INDEX(Levels!$C$5:$C$94,MATCH(G892,Levels!$G$5:$G$94,0)),"Not this class's skill"))</f>
        <v/>
      </c>
    </row>
    <row r="893" customFormat="false" ht="15" hidden="false" customHeight="false" outlineLevel="0" collapsed="false">
      <c r="A893" s="23"/>
      <c r="B893" s="22"/>
      <c r="C893" s="22"/>
      <c r="D893" s="22"/>
      <c r="E893" s="22"/>
      <c r="F893" s="27" t="str">
        <f aca="false">IF(B893="","",IFERROR(INDEX(Roster!$B$5:$B$154,MATCH(B893,Roster!$A$5:$A$154,0)),"Not on roster"))</f>
        <v/>
      </c>
      <c r="G893" s="28" t="str">
        <f aca="false">IF(OR(B893="",C893=""),"",F893&amp;" | "&amp;C893)</f>
        <v/>
      </c>
      <c r="H893" s="27" t="str">
        <f aca="false">IF(G893="","",IFERROR(INDEX(Levels!$C$5:$C$94,MATCH(G893,Levels!$G$5:$G$94,0)),"Not this class's skill"))</f>
        <v/>
      </c>
    </row>
    <row r="894" customFormat="false" ht="15" hidden="false" customHeight="false" outlineLevel="0" collapsed="false">
      <c r="A894" s="23"/>
      <c r="B894" s="22"/>
      <c r="C894" s="22"/>
      <c r="D894" s="22"/>
      <c r="E894" s="22"/>
      <c r="F894" s="27" t="str">
        <f aca="false">IF(B894="","",IFERROR(INDEX(Roster!$B$5:$B$154,MATCH(B894,Roster!$A$5:$A$154,0)),"Not on roster"))</f>
        <v/>
      </c>
      <c r="G894" s="28" t="str">
        <f aca="false">IF(OR(B894="",C894=""),"",F894&amp;" | "&amp;C894)</f>
        <v/>
      </c>
      <c r="H894" s="27" t="str">
        <f aca="false">IF(G894="","",IFERROR(INDEX(Levels!$C$5:$C$94,MATCH(G894,Levels!$G$5:$G$94,0)),"Not this class's skill"))</f>
        <v/>
      </c>
    </row>
    <row r="895" customFormat="false" ht="15" hidden="false" customHeight="false" outlineLevel="0" collapsed="false">
      <c r="A895" s="23"/>
      <c r="B895" s="22"/>
      <c r="C895" s="22"/>
      <c r="D895" s="22"/>
      <c r="E895" s="22"/>
      <c r="F895" s="27" t="str">
        <f aca="false">IF(B895="","",IFERROR(INDEX(Roster!$B$5:$B$154,MATCH(B895,Roster!$A$5:$A$154,0)),"Not on roster"))</f>
        <v/>
      </c>
      <c r="G895" s="28" t="str">
        <f aca="false">IF(OR(B895="",C895=""),"",F895&amp;" | "&amp;C895)</f>
        <v/>
      </c>
      <c r="H895" s="27" t="str">
        <f aca="false">IF(G895="","",IFERROR(INDEX(Levels!$C$5:$C$94,MATCH(G895,Levels!$G$5:$G$94,0)),"Not this class's skill"))</f>
        <v/>
      </c>
    </row>
    <row r="896" customFormat="false" ht="15" hidden="false" customHeight="false" outlineLevel="0" collapsed="false">
      <c r="A896" s="23"/>
      <c r="B896" s="22"/>
      <c r="C896" s="22"/>
      <c r="D896" s="22"/>
      <c r="E896" s="22"/>
      <c r="F896" s="27" t="str">
        <f aca="false">IF(B896="","",IFERROR(INDEX(Roster!$B$5:$B$154,MATCH(B896,Roster!$A$5:$A$154,0)),"Not on roster"))</f>
        <v/>
      </c>
      <c r="G896" s="28" t="str">
        <f aca="false">IF(OR(B896="",C896=""),"",F896&amp;" | "&amp;C896)</f>
        <v/>
      </c>
      <c r="H896" s="27" t="str">
        <f aca="false">IF(G896="","",IFERROR(INDEX(Levels!$C$5:$C$94,MATCH(G896,Levels!$G$5:$G$94,0)),"Not this class's skill"))</f>
        <v/>
      </c>
    </row>
    <row r="897" customFormat="false" ht="15" hidden="false" customHeight="false" outlineLevel="0" collapsed="false">
      <c r="A897" s="23"/>
      <c r="B897" s="22"/>
      <c r="C897" s="22"/>
      <c r="D897" s="22"/>
      <c r="E897" s="22"/>
      <c r="F897" s="27" t="str">
        <f aca="false">IF(B897="","",IFERROR(INDEX(Roster!$B$5:$B$154,MATCH(B897,Roster!$A$5:$A$154,0)),"Not on roster"))</f>
        <v/>
      </c>
      <c r="G897" s="28" t="str">
        <f aca="false">IF(OR(B897="",C897=""),"",F897&amp;" | "&amp;C897)</f>
        <v/>
      </c>
      <c r="H897" s="27" t="str">
        <f aca="false">IF(G897="","",IFERROR(INDEX(Levels!$C$5:$C$94,MATCH(G897,Levels!$G$5:$G$94,0)),"Not this class's skill"))</f>
        <v/>
      </c>
    </row>
    <row r="898" customFormat="false" ht="15" hidden="false" customHeight="false" outlineLevel="0" collapsed="false">
      <c r="A898" s="23"/>
      <c r="B898" s="22"/>
      <c r="C898" s="22"/>
      <c r="D898" s="22"/>
      <c r="E898" s="22"/>
      <c r="F898" s="27" t="str">
        <f aca="false">IF(B898="","",IFERROR(INDEX(Roster!$B$5:$B$154,MATCH(B898,Roster!$A$5:$A$154,0)),"Not on roster"))</f>
        <v/>
      </c>
      <c r="G898" s="28" t="str">
        <f aca="false">IF(OR(B898="",C898=""),"",F898&amp;" | "&amp;C898)</f>
        <v/>
      </c>
      <c r="H898" s="27" t="str">
        <f aca="false">IF(G898="","",IFERROR(INDEX(Levels!$C$5:$C$94,MATCH(G898,Levels!$G$5:$G$94,0)),"Not this class's skill"))</f>
        <v/>
      </c>
    </row>
    <row r="899" customFormat="false" ht="15" hidden="false" customHeight="false" outlineLevel="0" collapsed="false">
      <c r="A899" s="23"/>
      <c r="B899" s="22"/>
      <c r="C899" s="22"/>
      <c r="D899" s="22"/>
      <c r="E899" s="22"/>
      <c r="F899" s="27" t="str">
        <f aca="false">IF(B899="","",IFERROR(INDEX(Roster!$B$5:$B$154,MATCH(B899,Roster!$A$5:$A$154,0)),"Not on roster"))</f>
        <v/>
      </c>
      <c r="G899" s="28" t="str">
        <f aca="false">IF(OR(B899="",C899=""),"",F899&amp;" | "&amp;C899)</f>
        <v/>
      </c>
      <c r="H899" s="27" t="str">
        <f aca="false">IF(G899="","",IFERROR(INDEX(Levels!$C$5:$C$94,MATCH(G899,Levels!$G$5:$G$94,0)),"Not this class's skill"))</f>
        <v/>
      </c>
    </row>
    <row r="900" customFormat="false" ht="15" hidden="false" customHeight="false" outlineLevel="0" collapsed="false">
      <c r="A900" s="23"/>
      <c r="B900" s="22"/>
      <c r="C900" s="22"/>
      <c r="D900" s="22"/>
      <c r="E900" s="22"/>
      <c r="F900" s="27" t="str">
        <f aca="false">IF(B900="","",IFERROR(INDEX(Roster!$B$5:$B$154,MATCH(B900,Roster!$A$5:$A$154,0)),"Not on roster"))</f>
        <v/>
      </c>
      <c r="G900" s="28" t="str">
        <f aca="false">IF(OR(B900="",C900=""),"",F900&amp;" | "&amp;C900)</f>
        <v/>
      </c>
      <c r="H900" s="27" t="str">
        <f aca="false">IF(G900="","",IFERROR(INDEX(Levels!$C$5:$C$94,MATCH(G900,Levels!$G$5:$G$94,0)),"Not this class's skill"))</f>
        <v/>
      </c>
    </row>
    <row r="901" customFormat="false" ht="15" hidden="false" customHeight="false" outlineLevel="0" collapsed="false">
      <c r="A901" s="23"/>
      <c r="B901" s="22"/>
      <c r="C901" s="22"/>
      <c r="D901" s="22"/>
      <c r="E901" s="22"/>
      <c r="F901" s="27" t="str">
        <f aca="false">IF(B901="","",IFERROR(INDEX(Roster!$B$5:$B$154,MATCH(B901,Roster!$A$5:$A$154,0)),"Not on roster"))</f>
        <v/>
      </c>
      <c r="G901" s="28" t="str">
        <f aca="false">IF(OR(B901="",C901=""),"",F901&amp;" | "&amp;C901)</f>
        <v/>
      </c>
      <c r="H901" s="27" t="str">
        <f aca="false">IF(G901="","",IFERROR(INDEX(Levels!$C$5:$C$94,MATCH(G901,Levels!$G$5:$G$94,0)),"Not this class's skill"))</f>
        <v/>
      </c>
    </row>
    <row r="902" customFormat="false" ht="15" hidden="false" customHeight="false" outlineLevel="0" collapsed="false">
      <c r="A902" s="23"/>
      <c r="B902" s="22"/>
      <c r="C902" s="22"/>
      <c r="D902" s="22"/>
      <c r="E902" s="22"/>
      <c r="F902" s="27" t="str">
        <f aca="false">IF(B902="","",IFERROR(INDEX(Roster!$B$5:$B$154,MATCH(B902,Roster!$A$5:$A$154,0)),"Not on roster"))</f>
        <v/>
      </c>
      <c r="G902" s="28" t="str">
        <f aca="false">IF(OR(B902="",C902=""),"",F902&amp;" | "&amp;C902)</f>
        <v/>
      </c>
      <c r="H902" s="27" t="str">
        <f aca="false">IF(G902="","",IFERROR(INDEX(Levels!$C$5:$C$94,MATCH(G902,Levels!$G$5:$G$94,0)),"Not this class's skill"))</f>
        <v/>
      </c>
    </row>
    <row r="903" customFormat="false" ht="15" hidden="false" customHeight="false" outlineLevel="0" collapsed="false">
      <c r="A903" s="23"/>
      <c r="B903" s="22"/>
      <c r="C903" s="22"/>
      <c r="D903" s="22"/>
      <c r="E903" s="22"/>
      <c r="F903" s="27" t="str">
        <f aca="false">IF(B903="","",IFERROR(INDEX(Roster!$B$5:$B$154,MATCH(B903,Roster!$A$5:$A$154,0)),"Not on roster"))</f>
        <v/>
      </c>
      <c r="G903" s="28" t="str">
        <f aca="false">IF(OR(B903="",C903=""),"",F903&amp;" | "&amp;C903)</f>
        <v/>
      </c>
      <c r="H903" s="27" t="str">
        <f aca="false">IF(G903="","",IFERROR(INDEX(Levels!$C$5:$C$94,MATCH(G903,Levels!$G$5:$G$94,0)),"Not this class's skill"))</f>
        <v/>
      </c>
    </row>
    <row r="904" customFormat="false" ht="15" hidden="false" customHeight="false" outlineLevel="0" collapsed="false">
      <c r="A904" s="23"/>
      <c r="B904" s="22"/>
      <c r="C904" s="22"/>
      <c r="D904" s="22"/>
      <c r="E904" s="22"/>
      <c r="F904" s="27" t="str">
        <f aca="false">IF(B904="","",IFERROR(INDEX(Roster!$B$5:$B$154,MATCH(B904,Roster!$A$5:$A$154,0)),"Not on roster"))</f>
        <v/>
      </c>
      <c r="G904" s="28" t="str">
        <f aca="false">IF(OR(B904="",C904=""),"",F904&amp;" | "&amp;C904)</f>
        <v/>
      </c>
      <c r="H904" s="27" t="str">
        <f aca="false">IF(G904="","",IFERROR(INDEX(Levels!$C$5:$C$94,MATCH(G904,Levels!$G$5:$G$94,0)),"Not this class's skill"))</f>
        <v/>
      </c>
    </row>
    <row r="905" customFormat="false" ht="15" hidden="false" customHeight="false" outlineLevel="0" collapsed="false">
      <c r="A905" s="23"/>
      <c r="B905" s="22"/>
      <c r="C905" s="22"/>
      <c r="D905" s="22"/>
      <c r="E905" s="22"/>
      <c r="F905" s="27" t="str">
        <f aca="false">IF(B905="","",IFERROR(INDEX(Roster!$B$5:$B$154,MATCH(B905,Roster!$A$5:$A$154,0)),"Not on roster"))</f>
        <v/>
      </c>
      <c r="G905" s="28" t="str">
        <f aca="false">IF(OR(B905="",C905=""),"",F905&amp;" | "&amp;C905)</f>
        <v/>
      </c>
      <c r="H905" s="27" t="str">
        <f aca="false">IF(G905="","",IFERROR(INDEX(Levels!$C$5:$C$94,MATCH(G905,Levels!$G$5:$G$94,0)),"Not this class's skill"))</f>
        <v/>
      </c>
    </row>
    <row r="906" customFormat="false" ht="15" hidden="false" customHeight="false" outlineLevel="0" collapsed="false">
      <c r="A906" s="23"/>
      <c r="B906" s="22"/>
      <c r="C906" s="22"/>
      <c r="D906" s="22"/>
      <c r="E906" s="22"/>
      <c r="F906" s="27" t="str">
        <f aca="false">IF(B906="","",IFERROR(INDEX(Roster!$B$5:$B$154,MATCH(B906,Roster!$A$5:$A$154,0)),"Not on roster"))</f>
        <v/>
      </c>
      <c r="G906" s="28" t="str">
        <f aca="false">IF(OR(B906="",C906=""),"",F906&amp;" | "&amp;C906)</f>
        <v/>
      </c>
      <c r="H906" s="27" t="str">
        <f aca="false">IF(G906="","",IFERROR(INDEX(Levels!$C$5:$C$94,MATCH(G906,Levels!$G$5:$G$94,0)),"Not this class's skill"))</f>
        <v/>
      </c>
    </row>
    <row r="907" customFormat="false" ht="15" hidden="false" customHeight="false" outlineLevel="0" collapsed="false">
      <c r="A907" s="23"/>
      <c r="B907" s="22"/>
      <c r="C907" s="22"/>
      <c r="D907" s="22"/>
      <c r="E907" s="22"/>
      <c r="F907" s="27" t="str">
        <f aca="false">IF(B907="","",IFERROR(INDEX(Roster!$B$5:$B$154,MATCH(B907,Roster!$A$5:$A$154,0)),"Not on roster"))</f>
        <v/>
      </c>
      <c r="G907" s="28" t="str">
        <f aca="false">IF(OR(B907="",C907=""),"",F907&amp;" | "&amp;C907)</f>
        <v/>
      </c>
      <c r="H907" s="27" t="str">
        <f aca="false">IF(G907="","",IFERROR(INDEX(Levels!$C$5:$C$94,MATCH(G907,Levels!$G$5:$G$94,0)),"Not this class's skill"))</f>
        <v/>
      </c>
    </row>
    <row r="908" customFormat="false" ht="15" hidden="false" customHeight="false" outlineLevel="0" collapsed="false">
      <c r="A908" s="23"/>
      <c r="B908" s="22"/>
      <c r="C908" s="22"/>
      <c r="D908" s="22"/>
      <c r="E908" s="22"/>
      <c r="F908" s="27" t="str">
        <f aca="false">IF(B908="","",IFERROR(INDEX(Roster!$B$5:$B$154,MATCH(B908,Roster!$A$5:$A$154,0)),"Not on roster"))</f>
        <v/>
      </c>
      <c r="G908" s="28" t="str">
        <f aca="false">IF(OR(B908="",C908=""),"",F908&amp;" | "&amp;C908)</f>
        <v/>
      </c>
      <c r="H908" s="27" t="str">
        <f aca="false">IF(G908="","",IFERROR(INDEX(Levels!$C$5:$C$94,MATCH(G908,Levels!$G$5:$G$94,0)),"Not this class's skill"))</f>
        <v/>
      </c>
    </row>
    <row r="909" customFormat="false" ht="15" hidden="false" customHeight="false" outlineLevel="0" collapsed="false">
      <c r="A909" s="23"/>
      <c r="B909" s="22"/>
      <c r="C909" s="22"/>
      <c r="D909" s="22"/>
      <c r="E909" s="22"/>
      <c r="F909" s="27" t="str">
        <f aca="false">IF(B909="","",IFERROR(INDEX(Roster!$B$5:$B$154,MATCH(B909,Roster!$A$5:$A$154,0)),"Not on roster"))</f>
        <v/>
      </c>
      <c r="G909" s="28" t="str">
        <f aca="false">IF(OR(B909="",C909=""),"",F909&amp;" | "&amp;C909)</f>
        <v/>
      </c>
      <c r="H909" s="27" t="str">
        <f aca="false">IF(G909="","",IFERROR(INDEX(Levels!$C$5:$C$94,MATCH(G909,Levels!$G$5:$G$94,0)),"Not this class's skill"))</f>
        <v/>
      </c>
    </row>
    <row r="910" customFormat="false" ht="15" hidden="false" customHeight="false" outlineLevel="0" collapsed="false">
      <c r="A910" s="23"/>
      <c r="B910" s="22"/>
      <c r="C910" s="22"/>
      <c r="D910" s="22"/>
      <c r="E910" s="22"/>
      <c r="F910" s="27" t="str">
        <f aca="false">IF(B910="","",IFERROR(INDEX(Roster!$B$5:$B$154,MATCH(B910,Roster!$A$5:$A$154,0)),"Not on roster"))</f>
        <v/>
      </c>
      <c r="G910" s="28" t="str">
        <f aca="false">IF(OR(B910="",C910=""),"",F910&amp;" | "&amp;C910)</f>
        <v/>
      </c>
      <c r="H910" s="27" t="str">
        <f aca="false">IF(G910="","",IFERROR(INDEX(Levels!$C$5:$C$94,MATCH(G910,Levels!$G$5:$G$94,0)),"Not this class's skill"))</f>
        <v/>
      </c>
    </row>
    <row r="911" customFormat="false" ht="15" hidden="false" customHeight="false" outlineLevel="0" collapsed="false">
      <c r="A911" s="23"/>
      <c r="B911" s="22"/>
      <c r="C911" s="22"/>
      <c r="D911" s="22"/>
      <c r="E911" s="22"/>
      <c r="F911" s="27" t="str">
        <f aca="false">IF(B911="","",IFERROR(INDEX(Roster!$B$5:$B$154,MATCH(B911,Roster!$A$5:$A$154,0)),"Not on roster"))</f>
        <v/>
      </c>
      <c r="G911" s="28" t="str">
        <f aca="false">IF(OR(B911="",C911=""),"",F911&amp;" | "&amp;C911)</f>
        <v/>
      </c>
      <c r="H911" s="27" t="str">
        <f aca="false">IF(G911="","",IFERROR(INDEX(Levels!$C$5:$C$94,MATCH(G911,Levels!$G$5:$G$94,0)),"Not this class's skill"))</f>
        <v/>
      </c>
    </row>
    <row r="912" customFormat="false" ht="15" hidden="false" customHeight="false" outlineLevel="0" collapsed="false">
      <c r="A912" s="23"/>
      <c r="B912" s="22"/>
      <c r="C912" s="22"/>
      <c r="D912" s="22"/>
      <c r="E912" s="22"/>
      <c r="F912" s="27" t="str">
        <f aca="false">IF(B912="","",IFERROR(INDEX(Roster!$B$5:$B$154,MATCH(B912,Roster!$A$5:$A$154,0)),"Not on roster"))</f>
        <v/>
      </c>
      <c r="G912" s="28" t="str">
        <f aca="false">IF(OR(B912="",C912=""),"",F912&amp;" | "&amp;C912)</f>
        <v/>
      </c>
      <c r="H912" s="27" t="str">
        <f aca="false">IF(G912="","",IFERROR(INDEX(Levels!$C$5:$C$94,MATCH(G912,Levels!$G$5:$G$94,0)),"Not this class's skill"))</f>
        <v/>
      </c>
    </row>
    <row r="913" customFormat="false" ht="15" hidden="false" customHeight="false" outlineLevel="0" collapsed="false">
      <c r="A913" s="23"/>
      <c r="B913" s="22"/>
      <c r="C913" s="22"/>
      <c r="D913" s="22"/>
      <c r="E913" s="22"/>
      <c r="F913" s="27" t="str">
        <f aca="false">IF(B913="","",IFERROR(INDEX(Roster!$B$5:$B$154,MATCH(B913,Roster!$A$5:$A$154,0)),"Not on roster"))</f>
        <v/>
      </c>
      <c r="G913" s="28" t="str">
        <f aca="false">IF(OR(B913="",C913=""),"",F913&amp;" | "&amp;C913)</f>
        <v/>
      </c>
      <c r="H913" s="27" t="str">
        <f aca="false">IF(G913="","",IFERROR(INDEX(Levels!$C$5:$C$94,MATCH(G913,Levels!$G$5:$G$94,0)),"Not this class's skill"))</f>
        <v/>
      </c>
    </row>
    <row r="914" customFormat="false" ht="15" hidden="false" customHeight="false" outlineLevel="0" collapsed="false">
      <c r="A914" s="23"/>
      <c r="B914" s="22"/>
      <c r="C914" s="22"/>
      <c r="D914" s="22"/>
      <c r="E914" s="22"/>
      <c r="F914" s="27" t="str">
        <f aca="false">IF(B914="","",IFERROR(INDEX(Roster!$B$5:$B$154,MATCH(B914,Roster!$A$5:$A$154,0)),"Not on roster"))</f>
        <v/>
      </c>
      <c r="G914" s="28" t="str">
        <f aca="false">IF(OR(B914="",C914=""),"",F914&amp;" | "&amp;C914)</f>
        <v/>
      </c>
      <c r="H914" s="27" t="str">
        <f aca="false">IF(G914="","",IFERROR(INDEX(Levels!$C$5:$C$94,MATCH(G914,Levels!$G$5:$G$94,0)),"Not this class's skill"))</f>
        <v/>
      </c>
    </row>
    <row r="915" customFormat="false" ht="15" hidden="false" customHeight="false" outlineLevel="0" collapsed="false">
      <c r="A915" s="23"/>
      <c r="B915" s="22"/>
      <c r="C915" s="22"/>
      <c r="D915" s="22"/>
      <c r="E915" s="22"/>
      <c r="F915" s="27" t="str">
        <f aca="false">IF(B915="","",IFERROR(INDEX(Roster!$B$5:$B$154,MATCH(B915,Roster!$A$5:$A$154,0)),"Not on roster"))</f>
        <v/>
      </c>
      <c r="G915" s="28" t="str">
        <f aca="false">IF(OR(B915="",C915=""),"",F915&amp;" | "&amp;C915)</f>
        <v/>
      </c>
      <c r="H915" s="27" t="str">
        <f aca="false">IF(G915="","",IFERROR(INDEX(Levels!$C$5:$C$94,MATCH(G915,Levels!$G$5:$G$94,0)),"Not this class's skill"))</f>
        <v/>
      </c>
    </row>
    <row r="916" customFormat="false" ht="15" hidden="false" customHeight="false" outlineLevel="0" collapsed="false">
      <c r="A916" s="23"/>
      <c r="B916" s="22"/>
      <c r="C916" s="22"/>
      <c r="D916" s="22"/>
      <c r="E916" s="22"/>
      <c r="F916" s="27" t="str">
        <f aca="false">IF(B916="","",IFERROR(INDEX(Roster!$B$5:$B$154,MATCH(B916,Roster!$A$5:$A$154,0)),"Not on roster"))</f>
        <v/>
      </c>
      <c r="G916" s="28" t="str">
        <f aca="false">IF(OR(B916="",C916=""),"",F916&amp;" | "&amp;C916)</f>
        <v/>
      </c>
      <c r="H916" s="27" t="str">
        <f aca="false">IF(G916="","",IFERROR(INDEX(Levels!$C$5:$C$94,MATCH(G916,Levels!$G$5:$G$94,0)),"Not this class's skill"))</f>
        <v/>
      </c>
    </row>
    <row r="917" customFormat="false" ht="15" hidden="false" customHeight="false" outlineLevel="0" collapsed="false">
      <c r="A917" s="23"/>
      <c r="B917" s="22"/>
      <c r="C917" s="22"/>
      <c r="D917" s="22"/>
      <c r="E917" s="22"/>
      <c r="F917" s="27" t="str">
        <f aca="false">IF(B917="","",IFERROR(INDEX(Roster!$B$5:$B$154,MATCH(B917,Roster!$A$5:$A$154,0)),"Not on roster"))</f>
        <v/>
      </c>
      <c r="G917" s="28" t="str">
        <f aca="false">IF(OR(B917="",C917=""),"",F917&amp;" | "&amp;C917)</f>
        <v/>
      </c>
      <c r="H917" s="27" t="str">
        <f aca="false">IF(G917="","",IFERROR(INDEX(Levels!$C$5:$C$94,MATCH(G917,Levels!$G$5:$G$94,0)),"Not this class's skill"))</f>
        <v/>
      </c>
    </row>
    <row r="918" customFormat="false" ht="15" hidden="false" customHeight="false" outlineLevel="0" collapsed="false">
      <c r="A918" s="23"/>
      <c r="B918" s="22"/>
      <c r="C918" s="22"/>
      <c r="D918" s="22"/>
      <c r="E918" s="22"/>
      <c r="F918" s="27" t="str">
        <f aca="false">IF(B918="","",IFERROR(INDEX(Roster!$B$5:$B$154,MATCH(B918,Roster!$A$5:$A$154,0)),"Not on roster"))</f>
        <v/>
      </c>
      <c r="G918" s="28" t="str">
        <f aca="false">IF(OR(B918="",C918=""),"",F918&amp;" | "&amp;C918)</f>
        <v/>
      </c>
      <c r="H918" s="27" t="str">
        <f aca="false">IF(G918="","",IFERROR(INDEX(Levels!$C$5:$C$94,MATCH(G918,Levels!$G$5:$G$94,0)),"Not this class's skill"))</f>
        <v/>
      </c>
    </row>
    <row r="919" customFormat="false" ht="15" hidden="false" customHeight="false" outlineLevel="0" collapsed="false">
      <c r="A919" s="23"/>
      <c r="B919" s="22"/>
      <c r="C919" s="22"/>
      <c r="D919" s="22"/>
      <c r="E919" s="22"/>
      <c r="F919" s="27" t="str">
        <f aca="false">IF(B919="","",IFERROR(INDEX(Roster!$B$5:$B$154,MATCH(B919,Roster!$A$5:$A$154,0)),"Not on roster"))</f>
        <v/>
      </c>
      <c r="G919" s="28" t="str">
        <f aca="false">IF(OR(B919="",C919=""),"",F919&amp;" | "&amp;C919)</f>
        <v/>
      </c>
      <c r="H919" s="27" t="str">
        <f aca="false">IF(G919="","",IFERROR(INDEX(Levels!$C$5:$C$94,MATCH(G919,Levels!$G$5:$G$94,0)),"Not this class's skill"))</f>
        <v/>
      </c>
    </row>
    <row r="920" customFormat="false" ht="15" hidden="false" customHeight="false" outlineLevel="0" collapsed="false">
      <c r="A920" s="23"/>
      <c r="B920" s="22"/>
      <c r="C920" s="22"/>
      <c r="D920" s="22"/>
      <c r="E920" s="22"/>
      <c r="F920" s="27" t="str">
        <f aca="false">IF(B920="","",IFERROR(INDEX(Roster!$B$5:$B$154,MATCH(B920,Roster!$A$5:$A$154,0)),"Not on roster"))</f>
        <v/>
      </c>
      <c r="G920" s="28" t="str">
        <f aca="false">IF(OR(B920="",C920=""),"",F920&amp;" | "&amp;C920)</f>
        <v/>
      </c>
      <c r="H920" s="27" t="str">
        <f aca="false">IF(G920="","",IFERROR(INDEX(Levels!$C$5:$C$94,MATCH(G920,Levels!$G$5:$G$94,0)),"Not this class's skill"))</f>
        <v/>
      </c>
    </row>
    <row r="921" customFormat="false" ht="15" hidden="false" customHeight="false" outlineLevel="0" collapsed="false">
      <c r="A921" s="23"/>
      <c r="B921" s="22"/>
      <c r="C921" s="22"/>
      <c r="D921" s="22"/>
      <c r="E921" s="22"/>
      <c r="F921" s="27" t="str">
        <f aca="false">IF(B921="","",IFERROR(INDEX(Roster!$B$5:$B$154,MATCH(B921,Roster!$A$5:$A$154,0)),"Not on roster"))</f>
        <v/>
      </c>
      <c r="G921" s="28" t="str">
        <f aca="false">IF(OR(B921="",C921=""),"",F921&amp;" | "&amp;C921)</f>
        <v/>
      </c>
      <c r="H921" s="27" t="str">
        <f aca="false">IF(G921="","",IFERROR(INDEX(Levels!$C$5:$C$94,MATCH(G921,Levels!$G$5:$G$94,0)),"Not this class's skill"))</f>
        <v/>
      </c>
    </row>
    <row r="922" customFormat="false" ht="15" hidden="false" customHeight="false" outlineLevel="0" collapsed="false">
      <c r="A922" s="23"/>
      <c r="B922" s="22"/>
      <c r="C922" s="22"/>
      <c r="D922" s="22"/>
      <c r="E922" s="22"/>
      <c r="F922" s="27" t="str">
        <f aca="false">IF(B922="","",IFERROR(INDEX(Roster!$B$5:$B$154,MATCH(B922,Roster!$A$5:$A$154,0)),"Not on roster"))</f>
        <v/>
      </c>
      <c r="G922" s="28" t="str">
        <f aca="false">IF(OR(B922="",C922=""),"",F922&amp;" | "&amp;C922)</f>
        <v/>
      </c>
      <c r="H922" s="27" t="str">
        <f aca="false">IF(G922="","",IFERROR(INDEX(Levels!$C$5:$C$94,MATCH(G922,Levels!$G$5:$G$94,0)),"Not this class's skill"))</f>
        <v/>
      </c>
    </row>
    <row r="923" customFormat="false" ht="15" hidden="false" customHeight="false" outlineLevel="0" collapsed="false">
      <c r="A923" s="23"/>
      <c r="B923" s="22"/>
      <c r="C923" s="22"/>
      <c r="D923" s="22"/>
      <c r="E923" s="22"/>
      <c r="F923" s="27" t="str">
        <f aca="false">IF(B923="","",IFERROR(INDEX(Roster!$B$5:$B$154,MATCH(B923,Roster!$A$5:$A$154,0)),"Not on roster"))</f>
        <v/>
      </c>
      <c r="G923" s="28" t="str">
        <f aca="false">IF(OR(B923="",C923=""),"",F923&amp;" | "&amp;C923)</f>
        <v/>
      </c>
      <c r="H923" s="27" t="str">
        <f aca="false">IF(G923="","",IFERROR(INDEX(Levels!$C$5:$C$94,MATCH(G923,Levels!$G$5:$G$94,0)),"Not this class's skill"))</f>
        <v/>
      </c>
    </row>
    <row r="924" customFormat="false" ht="15" hidden="false" customHeight="false" outlineLevel="0" collapsed="false">
      <c r="A924" s="23"/>
      <c r="B924" s="22"/>
      <c r="C924" s="22"/>
      <c r="D924" s="22"/>
      <c r="E924" s="22"/>
      <c r="F924" s="27" t="str">
        <f aca="false">IF(B924="","",IFERROR(INDEX(Roster!$B$5:$B$154,MATCH(B924,Roster!$A$5:$A$154,0)),"Not on roster"))</f>
        <v/>
      </c>
      <c r="G924" s="28" t="str">
        <f aca="false">IF(OR(B924="",C924=""),"",F924&amp;" | "&amp;C924)</f>
        <v/>
      </c>
      <c r="H924" s="27" t="str">
        <f aca="false">IF(G924="","",IFERROR(INDEX(Levels!$C$5:$C$94,MATCH(G924,Levels!$G$5:$G$94,0)),"Not this class's skill"))</f>
        <v/>
      </c>
    </row>
    <row r="925" customFormat="false" ht="15" hidden="false" customHeight="false" outlineLevel="0" collapsed="false">
      <c r="A925" s="23"/>
      <c r="B925" s="22"/>
      <c r="C925" s="22"/>
      <c r="D925" s="22"/>
      <c r="E925" s="22"/>
      <c r="F925" s="27" t="str">
        <f aca="false">IF(B925="","",IFERROR(INDEX(Roster!$B$5:$B$154,MATCH(B925,Roster!$A$5:$A$154,0)),"Not on roster"))</f>
        <v/>
      </c>
      <c r="G925" s="28" t="str">
        <f aca="false">IF(OR(B925="",C925=""),"",F925&amp;" | "&amp;C925)</f>
        <v/>
      </c>
      <c r="H925" s="27" t="str">
        <f aca="false">IF(G925="","",IFERROR(INDEX(Levels!$C$5:$C$94,MATCH(G925,Levels!$G$5:$G$94,0)),"Not this class's skill"))</f>
        <v/>
      </c>
    </row>
    <row r="926" customFormat="false" ht="15" hidden="false" customHeight="false" outlineLevel="0" collapsed="false">
      <c r="A926" s="23"/>
      <c r="B926" s="22"/>
      <c r="C926" s="22"/>
      <c r="D926" s="22"/>
      <c r="E926" s="22"/>
      <c r="F926" s="27" t="str">
        <f aca="false">IF(B926="","",IFERROR(INDEX(Roster!$B$5:$B$154,MATCH(B926,Roster!$A$5:$A$154,0)),"Not on roster"))</f>
        <v/>
      </c>
      <c r="G926" s="28" t="str">
        <f aca="false">IF(OR(B926="",C926=""),"",F926&amp;" | "&amp;C926)</f>
        <v/>
      </c>
      <c r="H926" s="27" t="str">
        <f aca="false">IF(G926="","",IFERROR(INDEX(Levels!$C$5:$C$94,MATCH(G926,Levels!$G$5:$G$94,0)),"Not this class's skill"))</f>
        <v/>
      </c>
    </row>
    <row r="927" customFormat="false" ht="15" hidden="false" customHeight="false" outlineLevel="0" collapsed="false">
      <c r="A927" s="23"/>
      <c r="B927" s="22"/>
      <c r="C927" s="22"/>
      <c r="D927" s="22"/>
      <c r="E927" s="22"/>
      <c r="F927" s="27" t="str">
        <f aca="false">IF(B927="","",IFERROR(INDEX(Roster!$B$5:$B$154,MATCH(B927,Roster!$A$5:$A$154,0)),"Not on roster"))</f>
        <v/>
      </c>
      <c r="G927" s="28" t="str">
        <f aca="false">IF(OR(B927="",C927=""),"",F927&amp;" | "&amp;C927)</f>
        <v/>
      </c>
      <c r="H927" s="27" t="str">
        <f aca="false">IF(G927="","",IFERROR(INDEX(Levels!$C$5:$C$94,MATCH(G927,Levels!$G$5:$G$94,0)),"Not this class's skill"))</f>
        <v/>
      </c>
    </row>
    <row r="928" customFormat="false" ht="15" hidden="false" customHeight="false" outlineLevel="0" collapsed="false">
      <c r="A928" s="23"/>
      <c r="B928" s="22"/>
      <c r="C928" s="22"/>
      <c r="D928" s="22"/>
      <c r="E928" s="22"/>
      <c r="F928" s="27" t="str">
        <f aca="false">IF(B928="","",IFERROR(INDEX(Roster!$B$5:$B$154,MATCH(B928,Roster!$A$5:$A$154,0)),"Not on roster"))</f>
        <v/>
      </c>
      <c r="G928" s="28" t="str">
        <f aca="false">IF(OR(B928="",C928=""),"",F928&amp;" | "&amp;C928)</f>
        <v/>
      </c>
      <c r="H928" s="27" t="str">
        <f aca="false">IF(G928="","",IFERROR(INDEX(Levels!$C$5:$C$94,MATCH(G928,Levels!$G$5:$G$94,0)),"Not this class's skill"))</f>
        <v/>
      </c>
    </row>
    <row r="929" customFormat="false" ht="15" hidden="false" customHeight="false" outlineLevel="0" collapsed="false">
      <c r="A929" s="23"/>
      <c r="B929" s="22"/>
      <c r="C929" s="22"/>
      <c r="D929" s="22"/>
      <c r="E929" s="22"/>
      <c r="F929" s="27" t="str">
        <f aca="false">IF(B929="","",IFERROR(INDEX(Roster!$B$5:$B$154,MATCH(B929,Roster!$A$5:$A$154,0)),"Not on roster"))</f>
        <v/>
      </c>
      <c r="G929" s="28" t="str">
        <f aca="false">IF(OR(B929="",C929=""),"",F929&amp;" | "&amp;C929)</f>
        <v/>
      </c>
      <c r="H929" s="27" t="str">
        <f aca="false">IF(G929="","",IFERROR(INDEX(Levels!$C$5:$C$94,MATCH(G929,Levels!$G$5:$G$94,0)),"Not this class's skill"))</f>
        <v/>
      </c>
    </row>
    <row r="930" customFormat="false" ht="15" hidden="false" customHeight="false" outlineLevel="0" collapsed="false">
      <c r="A930" s="23"/>
      <c r="B930" s="22"/>
      <c r="C930" s="22"/>
      <c r="D930" s="22"/>
      <c r="E930" s="22"/>
      <c r="F930" s="27" t="str">
        <f aca="false">IF(B930="","",IFERROR(INDEX(Roster!$B$5:$B$154,MATCH(B930,Roster!$A$5:$A$154,0)),"Not on roster"))</f>
        <v/>
      </c>
      <c r="G930" s="28" t="str">
        <f aca="false">IF(OR(B930="",C930=""),"",F930&amp;" | "&amp;C930)</f>
        <v/>
      </c>
      <c r="H930" s="27" t="str">
        <f aca="false">IF(G930="","",IFERROR(INDEX(Levels!$C$5:$C$94,MATCH(G930,Levels!$G$5:$G$94,0)),"Not this class's skill"))</f>
        <v/>
      </c>
    </row>
    <row r="931" customFormat="false" ht="15" hidden="false" customHeight="false" outlineLevel="0" collapsed="false">
      <c r="A931" s="23"/>
      <c r="B931" s="22"/>
      <c r="C931" s="22"/>
      <c r="D931" s="22"/>
      <c r="E931" s="22"/>
      <c r="F931" s="27" t="str">
        <f aca="false">IF(B931="","",IFERROR(INDEX(Roster!$B$5:$B$154,MATCH(B931,Roster!$A$5:$A$154,0)),"Not on roster"))</f>
        <v/>
      </c>
      <c r="G931" s="28" t="str">
        <f aca="false">IF(OR(B931="",C931=""),"",F931&amp;" | "&amp;C931)</f>
        <v/>
      </c>
      <c r="H931" s="27" t="str">
        <f aca="false">IF(G931="","",IFERROR(INDEX(Levels!$C$5:$C$94,MATCH(G931,Levels!$G$5:$G$94,0)),"Not this class's skill"))</f>
        <v/>
      </c>
    </row>
    <row r="932" customFormat="false" ht="15" hidden="false" customHeight="false" outlineLevel="0" collapsed="false">
      <c r="A932" s="23"/>
      <c r="B932" s="22"/>
      <c r="C932" s="22"/>
      <c r="D932" s="22"/>
      <c r="E932" s="22"/>
      <c r="F932" s="27" t="str">
        <f aca="false">IF(B932="","",IFERROR(INDEX(Roster!$B$5:$B$154,MATCH(B932,Roster!$A$5:$A$154,0)),"Not on roster"))</f>
        <v/>
      </c>
      <c r="G932" s="28" t="str">
        <f aca="false">IF(OR(B932="",C932=""),"",F932&amp;" | "&amp;C932)</f>
        <v/>
      </c>
      <c r="H932" s="27" t="str">
        <f aca="false">IF(G932="","",IFERROR(INDEX(Levels!$C$5:$C$94,MATCH(G932,Levels!$G$5:$G$94,0)),"Not this class's skill"))</f>
        <v/>
      </c>
    </row>
    <row r="933" customFormat="false" ht="15" hidden="false" customHeight="false" outlineLevel="0" collapsed="false">
      <c r="A933" s="23"/>
      <c r="B933" s="22"/>
      <c r="C933" s="22"/>
      <c r="D933" s="22"/>
      <c r="E933" s="22"/>
      <c r="F933" s="27" t="str">
        <f aca="false">IF(B933="","",IFERROR(INDEX(Roster!$B$5:$B$154,MATCH(B933,Roster!$A$5:$A$154,0)),"Not on roster"))</f>
        <v/>
      </c>
      <c r="G933" s="28" t="str">
        <f aca="false">IF(OR(B933="",C933=""),"",F933&amp;" | "&amp;C933)</f>
        <v/>
      </c>
      <c r="H933" s="27" t="str">
        <f aca="false">IF(G933="","",IFERROR(INDEX(Levels!$C$5:$C$94,MATCH(G933,Levels!$G$5:$G$94,0)),"Not this class's skill"))</f>
        <v/>
      </c>
    </row>
    <row r="934" customFormat="false" ht="15" hidden="false" customHeight="false" outlineLevel="0" collapsed="false">
      <c r="A934" s="23"/>
      <c r="B934" s="22"/>
      <c r="C934" s="22"/>
      <c r="D934" s="22"/>
      <c r="E934" s="22"/>
      <c r="F934" s="27" t="str">
        <f aca="false">IF(B934="","",IFERROR(INDEX(Roster!$B$5:$B$154,MATCH(B934,Roster!$A$5:$A$154,0)),"Not on roster"))</f>
        <v/>
      </c>
      <c r="G934" s="28" t="str">
        <f aca="false">IF(OR(B934="",C934=""),"",F934&amp;" | "&amp;C934)</f>
        <v/>
      </c>
      <c r="H934" s="27" t="str">
        <f aca="false">IF(G934="","",IFERROR(INDEX(Levels!$C$5:$C$94,MATCH(G934,Levels!$G$5:$G$94,0)),"Not this class's skill"))</f>
        <v/>
      </c>
    </row>
    <row r="935" customFormat="false" ht="15" hidden="false" customHeight="false" outlineLevel="0" collapsed="false">
      <c r="A935" s="23"/>
      <c r="B935" s="22"/>
      <c r="C935" s="22"/>
      <c r="D935" s="22"/>
      <c r="E935" s="22"/>
      <c r="F935" s="27" t="str">
        <f aca="false">IF(B935="","",IFERROR(INDEX(Roster!$B$5:$B$154,MATCH(B935,Roster!$A$5:$A$154,0)),"Not on roster"))</f>
        <v/>
      </c>
      <c r="G935" s="28" t="str">
        <f aca="false">IF(OR(B935="",C935=""),"",F935&amp;" | "&amp;C935)</f>
        <v/>
      </c>
      <c r="H935" s="27" t="str">
        <f aca="false">IF(G935="","",IFERROR(INDEX(Levels!$C$5:$C$94,MATCH(G935,Levels!$G$5:$G$94,0)),"Not this class's skill"))</f>
        <v/>
      </c>
    </row>
    <row r="936" customFormat="false" ht="15" hidden="false" customHeight="false" outlineLevel="0" collapsed="false">
      <c r="A936" s="23"/>
      <c r="B936" s="22"/>
      <c r="C936" s="22"/>
      <c r="D936" s="22"/>
      <c r="E936" s="22"/>
      <c r="F936" s="27" t="str">
        <f aca="false">IF(B936="","",IFERROR(INDEX(Roster!$B$5:$B$154,MATCH(B936,Roster!$A$5:$A$154,0)),"Not on roster"))</f>
        <v/>
      </c>
      <c r="G936" s="28" t="str">
        <f aca="false">IF(OR(B936="",C936=""),"",F936&amp;" | "&amp;C936)</f>
        <v/>
      </c>
      <c r="H936" s="27" t="str">
        <f aca="false">IF(G936="","",IFERROR(INDEX(Levels!$C$5:$C$94,MATCH(G936,Levels!$G$5:$G$94,0)),"Not this class's skill"))</f>
        <v/>
      </c>
    </row>
    <row r="937" customFormat="false" ht="15" hidden="false" customHeight="false" outlineLevel="0" collapsed="false">
      <c r="A937" s="23"/>
      <c r="B937" s="22"/>
      <c r="C937" s="22"/>
      <c r="D937" s="22"/>
      <c r="E937" s="22"/>
      <c r="F937" s="27" t="str">
        <f aca="false">IF(B937="","",IFERROR(INDEX(Roster!$B$5:$B$154,MATCH(B937,Roster!$A$5:$A$154,0)),"Not on roster"))</f>
        <v/>
      </c>
      <c r="G937" s="28" t="str">
        <f aca="false">IF(OR(B937="",C937=""),"",F937&amp;" | "&amp;C937)</f>
        <v/>
      </c>
      <c r="H937" s="27" t="str">
        <f aca="false">IF(G937="","",IFERROR(INDEX(Levels!$C$5:$C$94,MATCH(G937,Levels!$G$5:$G$94,0)),"Not this class's skill"))</f>
        <v/>
      </c>
    </row>
    <row r="938" customFormat="false" ht="15" hidden="false" customHeight="false" outlineLevel="0" collapsed="false">
      <c r="A938" s="23"/>
      <c r="B938" s="22"/>
      <c r="C938" s="22"/>
      <c r="D938" s="22"/>
      <c r="E938" s="22"/>
      <c r="F938" s="27" t="str">
        <f aca="false">IF(B938="","",IFERROR(INDEX(Roster!$B$5:$B$154,MATCH(B938,Roster!$A$5:$A$154,0)),"Not on roster"))</f>
        <v/>
      </c>
      <c r="G938" s="28" t="str">
        <f aca="false">IF(OR(B938="",C938=""),"",F938&amp;" | "&amp;C938)</f>
        <v/>
      </c>
      <c r="H938" s="27" t="str">
        <f aca="false">IF(G938="","",IFERROR(INDEX(Levels!$C$5:$C$94,MATCH(G938,Levels!$G$5:$G$94,0)),"Not this class's skill"))</f>
        <v/>
      </c>
    </row>
    <row r="939" customFormat="false" ht="15" hidden="false" customHeight="false" outlineLevel="0" collapsed="false">
      <c r="A939" s="23"/>
      <c r="B939" s="22"/>
      <c r="C939" s="22"/>
      <c r="D939" s="22"/>
      <c r="E939" s="22"/>
      <c r="F939" s="27" t="str">
        <f aca="false">IF(B939="","",IFERROR(INDEX(Roster!$B$5:$B$154,MATCH(B939,Roster!$A$5:$A$154,0)),"Not on roster"))</f>
        <v/>
      </c>
      <c r="G939" s="28" t="str">
        <f aca="false">IF(OR(B939="",C939=""),"",F939&amp;" | "&amp;C939)</f>
        <v/>
      </c>
      <c r="H939" s="27" t="str">
        <f aca="false">IF(G939="","",IFERROR(INDEX(Levels!$C$5:$C$94,MATCH(G939,Levels!$G$5:$G$94,0)),"Not this class's skill"))</f>
        <v/>
      </c>
    </row>
    <row r="940" customFormat="false" ht="15" hidden="false" customHeight="false" outlineLevel="0" collapsed="false">
      <c r="A940" s="23"/>
      <c r="B940" s="22"/>
      <c r="C940" s="22"/>
      <c r="D940" s="22"/>
      <c r="E940" s="22"/>
      <c r="F940" s="27" t="str">
        <f aca="false">IF(B940="","",IFERROR(INDEX(Roster!$B$5:$B$154,MATCH(B940,Roster!$A$5:$A$154,0)),"Not on roster"))</f>
        <v/>
      </c>
      <c r="G940" s="28" t="str">
        <f aca="false">IF(OR(B940="",C940=""),"",F940&amp;" | "&amp;C940)</f>
        <v/>
      </c>
      <c r="H940" s="27" t="str">
        <f aca="false">IF(G940="","",IFERROR(INDEX(Levels!$C$5:$C$94,MATCH(G940,Levels!$G$5:$G$94,0)),"Not this class's skill"))</f>
        <v/>
      </c>
    </row>
    <row r="941" customFormat="false" ht="15" hidden="false" customHeight="false" outlineLevel="0" collapsed="false">
      <c r="A941" s="23"/>
      <c r="B941" s="22"/>
      <c r="C941" s="22"/>
      <c r="D941" s="22"/>
      <c r="E941" s="22"/>
      <c r="F941" s="27" t="str">
        <f aca="false">IF(B941="","",IFERROR(INDEX(Roster!$B$5:$B$154,MATCH(B941,Roster!$A$5:$A$154,0)),"Not on roster"))</f>
        <v/>
      </c>
      <c r="G941" s="28" t="str">
        <f aca="false">IF(OR(B941="",C941=""),"",F941&amp;" | "&amp;C941)</f>
        <v/>
      </c>
      <c r="H941" s="27" t="str">
        <f aca="false">IF(G941="","",IFERROR(INDEX(Levels!$C$5:$C$94,MATCH(G941,Levels!$G$5:$G$94,0)),"Not this class's skill"))</f>
        <v/>
      </c>
    </row>
    <row r="942" customFormat="false" ht="15" hidden="false" customHeight="false" outlineLevel="0" collapsed="false">
      <c r="A942" s="23"/>
      <c r="B942" s="22"/>
      <c r="C942" s="22"/>
      <c r="D942" s="22"/>
      <c r="E942" s="22"/>
      <c r="F942" s="27" t="str">
        <f aca="false">IF(B942="","",IFERROR(INDEX(Roster!$B$5:$B$154,MATCH(B942,Roster!$A$5:$A$154,0)),"Not on roster"))</f>
        <v/>
      </c>
      <c r="G942" s="28" t="str">
        <f aca="false">IF(OR(B942="",C942=""),"",F942&amp;" | "&amp;C942)</f>
        <v/>
      </c>
      <c r="H942" s="27" t="str">
        <f aca="false">IF(G942="","",IFERROR(INDEX(Levels!$C$5:$C$94,MATCH(G942,Levels!$G$5:$G$94,0)),"Not this class's skill"))</f>
        <v/>
      </c>
    </row>
    <row r="943" customFormat="false" ht="15" hidden="false" customHeight="false" outlineLevel="0" collapsed="false">
      <c r="A943" s="23"/>
      <c r="B943" s="22"/>
      <c r="C943" s="22"/>
      <c r="D943" s="22"/>
      <c r="E943" s="22"/>
      <c r="F943" s="27" t="str">
        <f aca="false">IF(B943="","",IFERROR(INDEX(Roster!$B$5:$B$154,MATCH(B943,Roster!$A$5:$A$154,0)),"Not on roster"))</f>
        <v/>
      </c>
      <c r="G943" s="28" t="str">
        <f aca="false">IF(OR(B943="",C943=""),"",F943&amp;" | "&amp;C943)</f>
        <v/>
      </c>
      <c r="H943" s="27" t="str">
        <f aca="false">IF(G943="","",IFERROR(INDEX(Levels!$C$5:$C$94,MATCH(G943,Levels!$G$5:$G$94,0)),"Not this class's skill"))</f>
        <v/>
      </c>
    </row>
    <row r="944" customFormat="false" ht="15" hidden="false" customHeight="false" outlineLevel="0" collapsed="false">
      <c r="A944" s="23"/>
      <c r="B944" s="22"/>
      <c r="C944" s="22"/>
      <c r="D944" s="22"/>
      <c r="E944" s="22"/>
      <c r="F944" s="27" t="str">
        <f aca="false">IF(B944="","",IFERROR(INDEX(Roster!$B$5:$B$154,MATCH(B944,Roster!$A$5:$A$154,0)),"Not on roster"))</f>
        <v/>
      </c>
      <c r="G944" s="28" t="str">
        <f aca="false">IF(OR(B944="",C944=""),"",F944&amp;" | "&amp;C944)</f>
        <v/>
      </c>
      <c r="H944" s="27" t="str">
        <f aca="false">IF(G944="","",IFERROR(INDEX(Levels!$C$5:$C$94,MATCH(G944,Levels!$G$5:$G$94,0)),"Not this class's skill"))</f>
        <v/>
      </c>
    </row>
    <row r="945" customFormat="false" ht="15" hidden="false" customHeight="false" outlineLevel="0" collapsed="false">
      <c r="A945" s="23"/>
      <c r="B945" s="22"/>
      <c r="C945" s="22"/>
      <c r="D945" s="22"/>
      <c r="E945" s="22"/>
      <c r="F945" s="27" t="str">
        <f aca="false">IF(B945="","",IFERROR(INDEX(Roster!$B$5:$B$154,MATCH(B945,Roster!$A$5:$A$154,0)),"Not on roster"))</f>
        <v/>
      </c>
      <c r="G945" s="28" t="str">
        <f aca="false">IF(OR(B945="",C945=""),"",F945&amp;" | "&amp;C945)</f>
        <v/>
      </c>
      <c r="H945" s="27" t="str">
        <f aca="false">IF(G945="","",IFERROR(INDEX(Levels!$C$5:$C$94,MATCH(G945,Levels!$G$5:$G$94,0)),"Not this class's skill"))</f>
        <v/>
      </c>
    </row>
    <row r="946" customFormat="false" ht="15" hidden="false" customHeight="false" outlineLevel="0" collapsed="false">
      <c r="A946" s="23"/>
      <c r="B946" s="22"/>
      <c r="C946" s="22"/>
      <c r="D946" s="22"/>
      <c r="E946" s="22"/>
      <c r="F946" s="27" t="str">
        <f aca="false">IF(B946="","",IFERROR(INDEX(Roster!$B$5:$B$154,MATCH(B946,Roster!$A$5:$A$154,0)),"Not on roster"))</f>
        <v/>
      </c>
      <c r="G946" s="28" t="str">
        <f aca="false">IF(OR(B946="",C946=""),"",F946&amp;" | "&amp;C946)</f>
        <v/>
      </c>
      <c r="H946" s="27" t="str">
        <f aca="false">IF(G946="","",IFERROR(INDEX(Levels!$C$5:$C$94,MATCH(G946,Levels!$G$5:$G$94,0)),"Not this class's skill"))</f>
        <v/>
      </c>
    </row>
    <row r="947" customFormat="false" ht="15" hidden="false" customHeight="false" outlineLevel="0" collapsed="false">
      <c r="A947" s="23"/>
      <c r="B947" s="22"/>
      <c r="C947" s="22"/>
      <c r="D947" s="22"/>
      <c r="E947" s="22"/>
      <c r="F947" s="27" t="str">
        <f aca="false">IF(B947="","",IFERROR(INDEX(Roster!$B$5:$B$154,MATCH(B947,Roster!$A$5:$A$154,0)),"Not on roster"))</f>
        <v/>
      </c>
      <c r="G947" s="28" t="str">
        <f aca="false">IF(OR(B947="",C947=""),"",F947&amp;" | "&amp;C947)</f>
        <v/>
      </c>
      <c r="H947" s="27" t="str">
        <f aca="false">IF(G947="","",IFERROR(INDEX(Levels!$C$5:$C$94,MATCH(G947,Levels!$G$5:$G$94,0)),"Not this class's skill"))</f>
        <v/>
      </c>
    </row>
    <row r="948" customFormat="false" ht="15" hidden="false" customHeight="false" outlineLevel="0" collapsed="false">
      <c r="A948" s="23"/>
      <c r="B948" s="22"/>
      <c r="C948" s="22"/>
      <c r="D948" s="22"/>
      <c r="E948" s="22"/>
      <c r="F948" s="27" t="str">
        <f aca="false">IF(B948="","",IFERROR(INDEX(Roster!$B$5:$B$154,MATCH(B948,Roster!$A$5:$A$154,0)),"Not on roster"))</f>
        <v/>
      </c>
      <c r="G948" s="28" t="str">
        <f aca="false">IF(OR(B948="",C948=""),"",F948&amp;" | "&amp;C948)</f>
        <v/>
      </c>
      <c r="H948" s="27" t="str">
        <f aca="false">IF(G948="","",IFERROR(INDEX(Levels!$C$5:$C$94,MATCH(G948,Levels!$G$5:$G$94,0)),"Not this class's skill"))</f>
        <v/>
      </c>
    </row>
    <row r="949" customFormat="false" ht="15" hidden="false" customHeight="false" outlineLevel="0" collapsed="false">
      <c r="A949" s="23"/>
      <c r="B949" s="22"/>
      <c r="C949" s="22"/>
      <c r="D949" s="22"/>
      <c r="E949" s="22"/>
      <c r="F949" s="27" t="str">
        <f aca="false">IF(B949="","",IFERROR(INDEX(Roster!$B$5:$B$154,MATCH(B949,Roster!$A$5:$A$154,0)),"Not on roster"))</f>
        <v/>
      </c>
      <c r="G949" s="28" t="str">
        <f aca="false">IF(OR(B949="",C949=""),"",F949&amp;" | "&amp;C949)</f>
        <v/>
      </c>
      <c r="H949" s="27" t="str">
        <f aca="false">IF(G949="","",IFERROR(INDEX(Levels!$C$5:$C$94,MATCH(G949,Levels!$G$5:$G$94,0)),"Not this class's skill"))</f>
        <v/>
      </c>
    </row>
    <row r="950" customFormat="false" ht="15" hidden="false" customHeight="false" outlineLevel="0" collapsed="false">
      <c r="A950" s="23"/>
      <c r="B950" s="22"/>
      <c r="C950" s="22"/>
      <c r="D950" s="22"/>
      <c r="E950" s="22"/>
      <c r="F950" s="27" t="str">
        <f aca="false">IF(B950="","",IFERROR(INDEX(Roster!$B$5:$B$154,MATCH(B950,Roster!$A$5:$A$154,0)),"Not on roster"))</f>
        <v/>
      </c>
      <c r="G950" s="28" t="str">
        <f aca="false">IF(OR(B950="",C950=""),"",F950&amp;" | "&amp;C950)</f>
        <v/>
      </c>
      <c r="H950" s="27" t="str">
        <f aca="false">IF(G950="","",IFERROR(INDEX(Levels!$C$5:$C$94,MATCH(G950,Levels!$G$5:$G$94,0)),"Not this class's skill"))</f>
        <v/>
      </c>
    </row>
    <row r="951" customFormat="false" ht="15" hidden="false" customHeight="false" outlineLevel="0" collapsed="false">
      <c r="A951" s="23"/>
      <c r="B951" s="22"/>
      <c r="C951" s="22"/>
      <c r="D951" s="22"/>
      <c r="E951" s="22"/>
      <c r="F951" s="27" t="str">
        <f aca="false">IF(B951="","",IFERROR(INDEX(Roster!$B$5:$B$154,MATCH(B951,Roster!$A$5:$A$154,0)),"Not on roster"))</f>
        <v/>
      </c>
      <c r="G951" s="28" t="str">
        <f aca="false">IF(OR(B951="",C951=""),"",F951&amp;" | "&amp;C951)</f>
        <v/>
      </c>
      <c r="H951" s="27" t="str">
        <f aca="false">IF(G951="","",IFERROR(INDEX(Levels!$C$5:$C$94,MATCH(G951,Levels!$G$5:$G$94,0)),"Not this class's skill"))</f>
        <v/>
      </c>
    </row>
    <row r="952" customFormat="false" ht="15" hidden="false" customHeight="false" outlineLevel="0" collapsed="false">
      <c r="A952" s="23"/>
      <c r="B952" s="22"/>
      <c r="C952" s="22"/>
      <c r="D952" s="22"/>
      <c r="E952" s="22"/>
      <c r="F952" s="27" t="str">
        <f aca="false">IF(B952="","",IFERROR(INDEX(Roster!$B$5:$B$154,MATCH(B952,Roster!$A$5:$A$154,0)),"Not on roster"))</f>
        <v/>
      </c>
      <c r="G952" s="28" t="str">
        <f aca="false">IF(OR(B952="",C952=""),"",F952&amp;" | "&amp;C952)</f>
        <v/>
      </c>
      <c r="H952" s="27" t="str">
        <f aca="false">IF(G952="","",IFERROR(INDEX(Levels!$C$5:$C$94,MATCH(G952,Levels!$G$5:$G$94,0)),"Not this class's skill"))</f>
        <v/>
      </c>
    </row>
    <row r="953" customFormat="false" ht="15" hidden="false" customHeight="false" outlineLevel="0" collapsed="false">
      <c r="A953" s="23"/>
      <c r="B953" s="22"/>
      <c r="C953" s="22"/>
      <c r="D953" s="22"/>
      <c r="E953" s="22"/>
      <c r="F953" s="27" t="str">
        <f aca="false">IF(B953="","",IFERROR(INDEX(Roster!$B$5:$B$154,MATCH(B953,Roster!$A$5:$A$154,0)),"Not on roster"))</f>
        <v/>
      </c>
      <c r="G953" s="28" t="str">
        <f aca="false">IF(OR(B953="",C953=""),"",F953&amp;" | "&amp;C953)</f>
        <v/>
      </c>
      <c r="H953" s="27" t="str">
        <f aca="false">IF(G953="","",IFERROR(INDEX(Levels!$C$5:$C$94,MATCH(G953,Levels!$G$5:$G$94,0)),"Not this class's skill"))</f>
        <v/>
      </c>
    </row>
    <row r="954" customFormat="false" ht="15" hidden="false" customHeight="false" outlineLevel="0" collapsed="false">
      <c r="A954" s="23"/>
      <c r="B954" s="22"/>
      <c r="C954" s="22"/>
      <c r="D954" s="22"/>
      <c r="E954" s="22"/>
      <c r="F954" s="27" t="str">
        <f aca="false">IF(B954="","",IFERROR(INDEX(Roster!$B$5:$B$154,MATCH(B954,Roster!$A$5:$A$154,0)),"Not on roster"))</f>
        <v/>
      </c>
      <c r="G954" s="28" t="str">
        <f aca="false">IF(OR(B954="",C954=""),"",F954&amp;" | "&amp;C954)</f>
        <v/>
      </c>
      <c r="H954" s="27" t="str">
        <f aca="false">IF(G954="","",IFERROR(INDEX(Levels!$C$5:$C$94,MATCH(G954,Levels!$G$5:$G$94,0)),"Not this class's skill"))</f>
        <v/>
      </c>
    </row>
    <row r="955" customFormat="false" ht="15" hidden="false" customHeight="false" outlineLevel="0" collapsed="false">
      <c r="A955" s="23"/>
      <c r="B955" s="22"/>
      <c r="C955" s="22"/>
      <c r="D955" s="22"/>
      <c r="E955" s="22"/>
      <c r="F955" s="27" t="str">
        <f aca="false">IF(B955="","",IFERROR(INDEX(Roster!$B$5:$B$154,MATCH(B955,Roster!$A$5:$A$154,0)),"Not on roster"))</f>
        <v/>
      </c>
      <c r="G955" s="28" t="str">
        <f aca="false">IF(OR(B955="",C955=""),"",F955&amp;" | "&amp;C955)</f>
        <v/>
      </c>
      <c r="H955" s="27" t="str">
        <f aca="false">IF(G955="","",IFERROR(INDEX(Levels!$C$5:$C$94,MATCH(G955,Levels!$G$5:$G$94,0)),"Not this class's skill"))</f>
        <v/>
      </c>
    </row>
    <row r="956" customFormat="false" ht="15" hidden="false" customHeight="false" outlineLevel="0" collapsed="false">
      <c r="A956" s="23"/>
      <c r="B956" s="22"/>
      <c r="C956" s="22"/>
      <c r="D956" s="22"/>
      <c r="E956" s="22"/>
      <c r="F956" s="27" t="str">
        <f aca="false">IF(B956="","",IFERROR(INDEX(Roster!$B$5:$B$154,MATCH(B956,Roster!$A$5:$A$154,0)),"Not on roster"))</f>
        <v/>
      </c>
      <c r="G956" s="28" t="str">
        <f aca="false">IF(OR(B956="",C956=""),"",F956&amp;" | "&amp;C956)</f>
        <v/>
      </c>
      <c r="H956" s="27" t="str">
        <f aca="false">IF(G956="","",IFERROR(INDEX(Levels!$C$5:$C$94,MATCH(G956,Levels!$G$5:$G$94,0)),"Not this class's skill"))</f>
        <v/>
      </c>
    </row>
    <row r="957" customFormat="false" ht="15" hidden="false" customHeight="false" outlineLevel="0" collapsed="false">
      <c r="A957" s="23"/>
      <c r="B957" s="22"/>
      <c r="C957" s="22"/>
      <c r="D957" s="22"/>
      <c r="E957" s="22"/>
      <c r="F957" s="27" t="str">
        <f aca="false">IF(B957="","",IFERROR(INDEX(Roster!$B$5:$B$154,MATCH(B957,Roster!$A$5:$A$154,0)),"Not on roster"))</f>
        <v/>
      </c>
      <c r="G957" s="28" t="str">
        <f aca="false">IF(OR(B957="",C957=""),"",F957&amp;" | "&amp;C957)</f>
        <v/>
      </c>
      <c r="H957" s="27" t="str">
        <f aca="false">IF(G957="","",IFERROR(INDEX(Levels!$C$5:$C$94,MATCH(G957,Levels!$G$5:$G$94,0)),"Not this class's skill"))</f>
        <v/>
      </c>
    </row>
    <row r="958" customFormat="false" ht="15" hidden="false" customHeight="false" outlineLevel="0" collapsed="false">
      <c r="A958" s="23"/>
      <c r="B958" s="22"/>
      <c r="C958" s="22"/>
      <c r="D958" s="22"/>
      <c r="E958" s="22"/>
      <c r="F958" s="27" t="str">
        <f aca="false">IF(B958="","",IFERROR(INDEX(Roster!$B$5:$B$154,MATCH(B958,Roster!$A$5:$A$154,0)),"Not on roster"))</f>
        <v/>
      </c>
      <c r="G958" s="28" t="str">
        <f aca="false">IF(OR(B958="",C958=""),"",F958&amp;" | "&amp;C958)</f>
        <v/>
      </c>
      <c r="H958" s="27" t="str">
        <f aca="false">IF(G958="","",IFERROR(INDEX(Levels!$C$5:$C$94,MATCH(G958,Levels!$G$5:$G$94,0)),"Not this class's skill"))</f>
        <v/>
      </c>
    </row>
    <row r="959" customFormat="false" ht="15" hidden="false" customHeight="false" outlineLevel="0" collapsed="false">
      <c r="A959" s="23"/>
      <c r="B959" s="22"/>
      <c r="C959" s="22"/>
      <c r="D959" s="22"/>
      <c r="E959" s="22"/>
      <c r="F959" s="27" t="str">
        <f aca="false">IF(B959="","",IFERROR(INDEX(Roster!$B$5:$B$154,MATCH(B959,Roster!$A$5:$A$154,0)),"Not on roster"))</f>
        <v/>
      </c>
      <c r="G959" s="28" t="str">
        <f aca="false">IF(OR(B959="",C959=""),"",F959&amp;" | "&amp;C959)</f>
        <v/>
      </c>
      <c r="H959" s="27" t="str">
        <f aca="false">IF(G959="","",IFERROR(INDEX(Levels!$C$5:$C$94,MATCH(G959,Levels!$G$5:$G$94,0)),"Not this class's skill"))</f>
        <v/>
      </c>
    </row>
    <row r="960" customFormat="false" ht="15" hidden="false" customHeight="false" outlineLevel="0" collapsed="false">
      <c r="A960" s="23"/>
      <c r="B960" s="22"/>
      <c r="C960" s="22"/>
      <c r="D960" s="22"/>
      <c r="E960" s="22"/>
      <c r="F960" s="27" t="str">
        <f aca="false">IF(B960="","",IFERROR(INDEX(Roster!$B$5:$B$154,MATCH(B960,Roster!$A$5:$A$154,0)),"Not on roster"))</f>
        <v/>
      </c>
      <c r="G960" s="28" t="str">
        <f aca="false">IF(OR(B960="",C960=""),"",F960&amp;" | "&amp;C960)</f>
        <v/>
      </c>
      <c r="H960" s="27" t="str">
        <f aca="false">IF(G960="","",IFERROR(INDEX(Levels!$C$5:$C$94,MATCH(G960,Levels!$G$5:$G$94,0)),"Not this class's skill"))</f>
        <v/>
      </c>
    </row>
    <row r="961" customFormat="false" ht="15" hidden="false" customHeight="false" outlineLevel="0" collapsed="false">
      <c r="A961" s="23"/>
      <c r="B961" s="22"/>
      <c r="C961" s="22"/>
      <c r="D961" s="22"/>
      <c r="E961" s="22"/>
      <c r="F961" s="27" t="str">
        <f aca="false">IF(B961="","",IFERROR(INDEX(Roster!$B$5:$B$154,MATCH(B961,Roster!$A$5:$A$154,0)),"Not on roster"))</f>
        <v/>
      </c>
      <c r="G961" s="28" t="str">
        <f aca="false">IF(OR(B961="",C961=""),"",F961&amp;" | "&amp;C961)</f>
        <v/>
      </c>
      <c r="H961" s="27" t="str">
        <f aca="false">IF(G961="","",IFERROR(INDEX(Levels!$C$5:$C$94,MATCH(G961,Levels!$G$5:$G$94,0)),"Not this class's skill"))</f>
        <v/>
      </c>
    </row>
    <row r="962" customFormat="false" ht="15" hidden="false" customHeight="false" outlineLevel="0" collapsed="false">
      <c r="A962" s="23"/>
      <c r="B962" s="22"/>
      <c r="C962" s="22"/>
      <c r="D962" s="22"/>
      <c r="E962" s="22"/>
      <c r="F962" s="27" t="str">
        <f aca="false">IF(B962="","",IFERROR(INDEX(Roster!$B$5:$B$154,MATCH(B962,Roster!$A$5:$A$154,0)),"Not on roster"))</f>
        <v/>
      </c>
      <c r="G962" s="28" t="str">
        <f aca="false">IF(OR(B962="",C962=""),"",F962&amp;" | "&amp;C962)</f>
        <v/>
      </c>
      <c r="H962" s="27" t="str">
        <f aca="false">IF(G962="","",IFERROR(INDEX(Levels!$C$5:$C$94,MATCH(G962,Levels!$G$5:$G$94,0)),"Not this class's skill"))</f>
        <v/>
      </c>
    </row>
    <row r="963" customFormat="false" ht="15" hidden="false" customHeight="false" outlineLevel="0" collapsed="false">
      <c r="A963" s="23"/>
      <c r="B963" s="22"/>
      <c r="C963" s="22"/>
      <c r="D963" s="22"/>
      <c r="E963" s="22"/>
      <c r="F963" s="27" t="str">
        <f aca="false">IF(B963="","",IFERROR(INDEX(Roster!$B$5:$B$154,MATCH(B963,Roster!$A$5:$A$154,0)),"Not on roster"))</f>
        <v/>
      </c>
      <c r="G963" s="28" t="str">
        <f aca="false">IF(OR(B963="",C963=""),"",F963&amp;" | "&amp;C963)</f>
        <v/>
      </c>
      <c r="H963" s="27" t="str">
        <f aca="false">IF(G963="","",IFERROR(INDEX(Levels!$C$5:$C$94,MATCH(G963,Levels!$G$5:$G$94,0)),"Not this class's skill"))</f>
        <v/>
      </c>
    </row>
    <row r="964" customFormat="false" ht="15" hidden="false" customHeight="false" outlineLevel="0" collapsed="false">
      <c r="A964" s="23"/>
      <c r="B964" s="22"/>
      <c r="C964" s="22"/>
      <c r="D964" s="22"/>
      <c r="E964" s="22"/>
      <c r="F964" s="27" t="str">
        <f aca="false">IF(B964="","",IFERROR(INDEX(Roster!$B$5:$B$154,MATCH(B964,Roster!$A$5:$A$154,0)),"Not on roster"))</f>
        <v/>
      </c>
      <c r="G964" s="28" t="str">
        <f aca="false">IF(OR(B964="",C964=""),"",F964&amp;" | "&amp;C964)</f>
        <v/>
      </c>
      <c r="H964" s="27" t="str">
        <f aca="false">IF(G964="","",IFERROR(INDEX(Levels!$C$5:$C$94,MATCH(G964,Levels!$G$5:$G$94,0)),"Not this class's skill"))</f>
        <v/>
      </c>
    </row>
    <row r="965" customFormat="false" ht="15" hidden="false" customHeight="false" outlineLevel="0" collapsed="false">
      <c r="A965" s="23"/>
      <c r="B965" s="22"/>
      <c r="C965" s="22"/>
      <c r="D965" s="22"/>
      <c r="E965" s="22"/>
      <c r="F965" s="27" t="str">
        <f aca="false">IF(B965="","",IFERROR(INDEX(Roster!$B$5:$B$154,MATCH(B965,Roster!$A$5:$A$154,0)),"Not on roster"))</f>
        <v/>
      </c>
      <c r="G965" s="28" t="str">
        <f aca="false">IF(OR(B965="",C965=""),"",F965&amp;" | "&amp;C965)</f>
        <v/>
      </c>
      <c r="H965" s="27" t="str">
        <f aca="false">IF(G965="","",IFERROR(INDEX(Levels!$C$5:$C$94,MATCH(G965,Levels!$G$5:$G$94,0)),"Not this class's skill"))</f>
        <v/>
      </c>
    </row>
    <row r="966" customFormat="false" ht="15" hidden="false" customHeight="false" outlineLevel="0" collapsed="false">
      <c r="A966" s="23"/>
      <c r="B966" s="22"/>
      <c r="C966" s="22"/>
      <c r="D966" s="22"/>
      <c r="E966" s="22"/>
      <c r="F966" s="27" t="str">
        <f aca="false">IF(B966="","",IFERROR(INDEX(Roster!$B$5:$B$154,MATCH(B966,Roster!$A$5:$A$154,0)),"Not on roster"))</f>
        <v/>
      </c>
      <c r="G966" s="28" t="str">
        <f aca="false">IF(OR(B966="",C966=""),"",F966&amp;" | "&amp;C966)</f>
        <v/>
      </c>
      <c r="H966" s="27" t="str">
        <f aca="false">IF(G966="","",IFERROR(INDEX(Levels!$C$5:$C$94,MATCH(G966,Levels!$G$5:$G$94,0)),"Not this class's skill"))</f>
        <v/>
      </c>
    </row>
    <row r="967" customFormat="false" ht="15" hidden="false" customHeight="false" outlineLevel="0" collapsed="false">
      <c r="A967" s="23"/>
      <c r="B967" s="22"/>
      <c r="C967" s="22"/>
      <c r="D967" s="22"/>
      <c r="E967" s="22"/>
      <c r="F967" s="27" t="str">
        <f aca="false">IF(B967="","",IFERROR(INDEX(Roster!$B$5:$B$154,MATCH(B967,Roster!$A$5:$A$154,0)),"Not on roster"))</f>
        <v/>
      </c>
      <c r="G967" s="28" t="str">
        <f aca="false">IF(OR(B967="",C967=""),"",F967&amp;" | "&amp;C967)</f>
        <v/>
      </c>
      <c r="H967" s="27" t="str">
        <f aca="false">IF(G967="","",IFERROR(INDEX(Levels!$C$5:$C$94,MATCH(G967,Levels!$G$5:$G$94,0)),"Not this class's skill"))</f>
        <v/>
      </c>
    </row>
    <row r="968" customFormat="false" ht="15" hidden="false" customHeight="false" outlineLevel="0" collapsed="false">
      <c r="A968" s="23"/>
      <c r="B968" s="22"/>
      <c r="C968" s="22"/>
      <c r="D968" s="22"/>
      <c r="E968" s="22"/>
      <c r="F968" s="27" t="str">
        <f aca="false">IF(B968="","",IFERROR(INDEX(Roster!$B$5:$B$154,MATCH(B968,Roster!$A$5:$A$154,0)),"Not on roster"))</f>
        <v/>
      </c>
      <c r="G968" s="28" t="str">
        <f aca="false">IF(OR(B968="",C968=""),"",F968&amp;" | "&amp;C968)</f>
        <v/>
      </c>
      <c r="H968" s="27" t="str">
        <f aca="false">IF(G968="","",IFERROR(INDEX(Levels!$C$5:$C$94,MATCH(G968,Levels!$G$5:$G$94,0)),"Not this class's skill"))</f>
        <v/>
      </c>
    </row>
    <row r="969" customFormat="false" ht="15" hidden="false" customHeight="false" outlineLevel="0" collapsed="false">
      <c r="A969" s="23"/>
      <c r="B969" s="22"/>
      <c r="C969" s="22"/>
      <c r="D969" s="22"/>
      <c r="E969" s="22"/>
      <c r="F969" s="27" t="str">
        <f aca="false">IF(B969="","",IFERROR(INDEX(Roster!$B$5:$B$154,MATCH(B969,Roster!$A$5:$A$154,0)),"Not on roster"))</f>
        <v/>
      </c>
      <c r="G969" s="28" t="str">
        <f aca="false">IF(OR(B969="",C969=""),"",F969&amp;" | "&amp;C969)</f>
        <v/>
      </c>
      <c r="H969" s="27" t="str">
        <f aca="false">IF(G969="","",IFERROR(INDEX(Levels!$C$5:$C$94,MATCH(G969,Levels!$G$5:$G$94,0)),"Not this class's skill"))</f>
        <v/>
      </c>
    </row>
    <row r="970" customFormat="false" ht="15" hidden="false" customHeight="false" outlineLevel="0" collapsed="false">
      <c r="A970" s="23"/>
      <c r="B970" s="22"/>
      <c r="C970" s="22"/>
      <c r="D970" s="22"/>
      <c r="E970" s="22"/>
      <c r="F970" s="27" t="str">
        <f aca="false">IF(B970="","",IFERROR(INDEX(Roster!$B$5:$B$154,MATCH(B970,Roster!$A$5:$A$154,0)),"Not on roster"))</f>
        <v/>
      </c>
      <c r="G970" s="28" t="str">
        <f aca="false">IF(OR(B970="",C970=""),"",F970&amp;" | "&amp;C970)</f>
        <v/>
      </c>
      <c r="H970" s="27" t="str">
        <f aca="false">IF(G970="","",IFERROR(INDEX(Levels!$C$5:$C$94,MATCH(G970,Levels!$G$5:$G$94,0)),"Not this class's skill"))</f>
        <v/>
      </c>
    </row>
    <row r="971" customFormat="false" ht="15" hidden="false" customHeight="false" outlineLevel="0" collapsed="false">
      <c r="A971" s="23"/>
      <c r="B971" s="22"/>
      <c r="C971" s="22"/>
      <c r="D971" s="22"/>
      <c r="E971" s="22"/>
      <c r="F971" s="27" t="str">
        <f aca="false">IF(B971="","",IFERROR(INDEX(Roster!$B$5:$B$154,MATCH(B971,Roster!$A$5:$A$154,0)),"Not on roster"))</f>
        <v/>
      </c>
      <c r="G971" s="28" t="str">
        <f aca="false">IF(OR(B971="",C971=""),"",F971&amp;" | "&amp;C971)</f>
        <v/>
      </c>
      <c r="H971" s="27" t="str">
        <f aca="false">IF(G971="","",IFERROR(INDEX(Levels!$C$5:$C$94,MATCH(G971,Levels!$G$5:$G$94,0)),"Not this class's skill"))</f>
        <v/>
      </c>
    </row>
    <row r="972" customFormat="false" ht="15" hidden="false" customHeight="false" outlineLevel="0" collapsed="false">
      <c r="A972" s="23"/>
      <c r="B972" s="22"/>
      <c r="C972" s="22"/>
      <c r="D972" s="22"/>
      <c r="E972" s="22"/>
      <c r="F972" s="27" t="str">
        <f aca="false">IF(B972="","",IFERROR(INDEX(Roster!$B$5:$B$154,MATCH(B972,Roster!$A$5:$A$154,0)),"Not on roster"))</f>
        <v/>
      </c>
      <c r="G972" s="28" t="str">
        <f aca="false">IF(OR(B972="",C972=""),"",F972&amp;" | "&amp;C972)</f>
        <v/>
      </c>
      <c r="H972" s="27" t="str">
        <f aca="false">IF(G972="","",IFERROR(INDEX(Levels!$C$5:$C$94,MATCH(G972,Levels!$G$5:$G$94,0)),"Not this class's skill"))</f>
        <v/>
      </c>
    </row>
    <row r="973" customFormat="false" ht="15" hidden="false" customHeight="false" outlineLevel="0" collapsed="false">
      <c r="A973" s="23"/>
      <c r="B973" s="22"/>
      <c r="C973" s="22"/>
      <c r="D973" s="22"/>
      <c r="E973" s="22"/>
      <c r="F973" s="27" t="str">
        <f aca="false">IF(B973="","",IFERROR(INDEX(Roster!$B$5:$B$154,MATCH(B973,Roster!$A$5:$A$154,0)),"Not on roster"))</f>
        <v/>
      </c>
      <c r="G973" s="28" t="str">
        <f aca="false">IF(OR(B973="",C973=""),"",F973&amp;" | "&amp;C973)</f>
        <v/>
      </c>
      <c r="H973" s="27" t="str">
        <f aca="false">IF(G973="","",IFERROR(INDEX(Levels!$C$5:$C$94,MATCH(G973,Levels!$G$5:$G$94,0)),"Not this class's skill"))</f>
        <v/>
      </c>
    </row>
    <row r="974" customFormat="false" ht="15" hidden="false" customHeight="false" outlineLevel="0" collapsed="false">
      <c r="A974" s="23"/>
      <c r="B974" s="22"/>
      <c r="C974" s="22"/>
      <c r="D974" s="22"/>
      <c r="E974" s="22"/>
      <c r="F974" s="27" t="str">
        <f aca="false">IF(B974="","",IFERROR(INDEX(Roster!$B$5:$B$154,MATCH(B974,Roster!$A$5:$A$154,0)),"Not on roster"))</f>
        <v/>
      </c>
      <c r="G974" s="28" t="str">
        <f aca="false">IF(OR(B974="",C974=""),"",F974&amp;" | "&amp;C974)</f>
        <v/>
      </c>
      <c r="H974" s="27" t="str">
        <f aca="false">IF(G974="","",IFERROR(INDEX(Levels!$C$5:$C$94,MATCH(G974,Levels!$G$5:$G$94,0)),"Not this class's skill"))</f>
        <v/>
      </c>
    </row>
    <row r="975" customFormat="false" ht="15" hidden="false" customHeight="false" outlineLevel="0" collapsed="false">
      <c r="A975" s="23"/>
      <c r="B975" s="22"/>
      <c r="C975" s="22"/>
      <c r="D975" s="22"/>
      <c r="E975" s="22"/>
      <c r="F975" s="27" t="str">
        <f aca="false">IF(B975="","",IFERROR(INDEX(Roster!$B$5:$B$154,MATCH(B975,Roster!$A$5:$A$154,0)),"Not on roster"))</f>
        <v/>
      </c>
      <c r="G975" s="28" t="str">
        <f aca="false">IF(OR(B975="",C975=""),"",F975&amp;" | "&amp;C975)</f>
        <v/>
      </c>
      <c r="H975" s="27" t="str">
        <f aca="false">IF(G975="","",IFERROR(INDEX(Levels!$C$5:$C$94,MATCH(G975,Levels!$G$5:$G$94,0)),"Not this class's skill"))</f>
        <v/>
      </c>
    </row>
    <row r="976" customFormat="false" ht="15" hidden="false" customHeight="false" outlineLevel="0" collapsed="false">
      <c r="A976" s="23"/>
      <c r="B976" s="22"/>
      <c r="C976" s="22"/>
      <c r="D976" s="22"/>
      <c r="E976" s="22"/>
      <c r="F976" s="27" t="str">
        <f aca="false">IF(B976="","",IFERROR(INDEX(Roster!$B$5:$B$154,MATCH(B976,Roster!$A$5:$A$154,0)),"Not on roster"))</f>
        <v/>
      </c>
      <c r="G976" s="28" t="str">
        <f aca="false">IF(OR(B976="",C976=""),"",F976&amp;" | "&amp;C976)</f>
        <v/>
      </c>
      <c r="H976" s="27" t="str">
        <f aca="false">IF(G976="","",IFERROR(INDEX(Levels!$C$5:$C$94,MATCH(G976,Levels!$G$5:$G$94,0)),"Not this class's skill"))</f>
        <v/>
      </c>
    </row>
    <row r="977" customFormat="false" ht="15" hidden="false" customHeight="false" outlineLevel="0" collapsed="false">
      <c r="A977" s="23"/>
      <c r="B977" s="22"/>
      <c r="C977" s="22"/>
      <c r="D977" s="22"/>
      <c r="E977" s="22"/>
      <c r="F977" s="27" t="str">
        <f aca="false">IF(B977="","",IFERROR(INDEX(Roster!$B$5:$B$154,MATCH(B977,Roster!$A$5:$A$154,0)),"Not on roster"))</f>
        <v/>
      </c>
      <c r="G977" s="28" t="str">
        <f aca="false">IF(OR(B977="",C977=""),"",F977&amp;" | "&amp;C977)</f>
        <v/>
      </c>
      <c r="H977" s="27" t="str">
        <f aca="false">IF(G977="","",IFERROR(INDEX(Levels!$C$5:$C$94,MATCH(G977,Levels!$G$5:$G$94,0)),"Not this class's skill"))</f>
        <v/>
      </c>
    </row>
    <row r="978" customFormat="false" ht="15" hidden="false" customHeight="false" outlineLevel="0" collapsed="false">
      <c r="A978" s="23"/>
      <c r="B978" s="22"/>
      <c r="C978" s="22"/>
      <c r="D978" s="22"/>
      <c r="E978" s="22"/>
      <c r="F978" s="27" t="str">
        <f aca="false">IF(B978="","",IFERROR(INDEX(Roster!$B$5:$B$154,MATCH(B978,Roster!$A$5:$A$154,0)),"Not on roster"))</f>
        <v/>
      </c>
      <c r="G978" s="28" t="str">
        <f aca="false">IF(OR(B978="",C978=""),"",F978&amp;" | "&amp;C978)</f>
        <v/>
      </c>
      <c r="H978" s="27" t="str">
        <f aca="false">IF(G978="","",IFERROR(INDEX(Levels!$C$5:$C$94,MATCH(G978,Levels!$G$5:$G$94,0)),"Not this class's skill"))</f>
        <v/>
      </c>
    </row>
    <row r="979" customFormat="false" ht="15" hidden="false" customHeight="false" outlineLevel="0" collapsed="false">
      <c r="A979" s="23"/>
      <c r="B979" s="22"/>
      <c r="C979" s="22"/>
      <c r="D979" s="22"/>
      <c r="E979" s="22"/>
      <c r="F979" s="27" t="str">
        <f aca="false">IF(B979="","",IFERROR(INDEX(Roster!$B$5:$B$154,MATCH(B979,Roster!$A$5:$A$154,0)),"Not on roster"))</f>
        <v/>
      </c>
      <c r="G979" s="28" t="str">
        <f aca="false">IF(OR(B979="",C979=""),"",F979&amp;" | "&amp;C979)</f>
        <v/>
      </c>
      <c r="H979" s="27" t="str">
        <f aca="false">IF(G979="","",IFERROR(INDEX(Levels!$C$5:$C$94,MATCH(G979,Levels!$G$5:$G$94,0)),"Not this class's skill"))</f>
        <v/>
      </c>
    </row>
    <row r="980" customFormat="false" ht="15" hidden="false" customHeight="false" outlineLevel="0" collapsed="false">
      <c r="A980" s="23"/>
      <c r="B980" s="22"/>
      <c r="C980" s="22"/>
      <c r="D980" s="22"/>
      <c r="E980" s="22"/>
      <c r="F980" s="27" t="str">
        <f aca="false">IF(B980="","",IFERROR(INDEX(Roster!$B$5:$B$154,MATCH(B980,Roster!$A$5:$A$154,0)),"Not on roster"))</f>
        <v/>
      </c>
      <c r="G980" s="28" t="str">
        <f aca="false">IF(OR(B980="",C980=""),"",F980&amp;" | "&amp;C980)</f>
        <v/>
      </c>
      <c r="H980" s="27" t="str">
        <f aca="false">IF(G980="","",IFERROR(INDEX(Levels!$C$5:$C$94,MATCH(G980,Levels!$G$5:$G$94,0)),"Not this class's skill"))</f>
        <v/>
      </c>
    </row>
    <row r="981" customFormat="false" ht="15" hidden="false" customHeight="false" outlineLevel="0" collapsed="false">
      <c r="A981" s="23"/>
      <c r="B981" s="22"/>
      <c r="C981" s="22"/>
      <c r="D981" s="22"/>
      <c r="E981" s="22"/>
      <c r="F981" s="27" t="str">
        <f aca="false">IF(B981="","",IFERROR(INDEX(Roster!$B$5:$B$154,MATCH(B981,Roster!$A$5:$A$154,0)),"Not on roster"))</f>
        <v/>
      </c>
      <c r="G981" s="28" t="str">
        <f aca="false">IF(OR(B981="",C981=""),"",F981&amp;" | "&amp;C981)</f>
        <v/>
      </c>
      <c r="H981" s="27" t="str">
        <f aca="false">IF(G981="","",IFERROR(INDEX(Levels!$C$5:$C$94,MATCH(G981,Levels!$G$5:$G$94,0)),"Not this class's skill"))</f>
        <v/>
      </c>
    </row>
    <row r="982" customFormat="false" ht="15" hidden="false" customHeight="false" outlineLevel="0" collapsed="false">
      <c r="A982" s="23"/>
      <c r="B982" s="22"/>
      <c r="C982" s="22"/>
      <c r="D982" s="22"/>
      <c r="E982" s="22"/>
      <c r="F982" s="27" t="str">
        <f aca="false">IF(B982="","",IFERROR(INDEX(Roster!$B$5:$B$154,MATCH(B982,Roster!$A$5:$A$154,0)),"Not on roster"))</f>
        <v/>
      </c>
      <c r="G982" s="28" t="str">
        <f aca="false">IF(OR(B982="",C982=""),"",F982&amp;" | "&amp;C982)</f>
        <v/>
      </c>
      <c r="H982" s="27" t="str">
        <f aca="false">IF(G982="","",IFERROR(INDEX(Levels!$C$5:$C$94,MATCH(G982,Levels!$G$5:$G$94,0)),"Not this class's skill"))</f>
        <v/>
      </c>
    </row>
    <row r="983" customFormat="false" ht="15" hidden="false" customHeight="false" outlineLevel="0" collapsed="false">
      <c r="A983" s="23"/>
      <c r="B983" s="22"/>
      <c r="C983" s="22"/>
      <c r="D983" s="22"/>
      <c r="E983" s="22"/>
      <c r="F983" s="27" t="str">
        <f aca="false">IF(B983="","",IFERROR(INDEX(Roster!$B$5:$B$154,MATCH(B983,Roster!$A$5:$A$154,0)),"Not on roster"))</f>
        <v/>
      </c>
      <c r="G983" s="28" t="str">
        <f aca="false">IF(OR(B983="",C983=""),"",F983&amp;" | "&amp;C983)</f>
        <v/>
      </c>
      <c r="H983" s="27" t="str">
        <f aca="false">IF(G983="","",IFERROR(INDEX(Levels!$C$5:$C$94,MATCH(G983,Levels!$G$5:$G$94,0)),"Not this class's skill"))</f>
        <v/>
      </c>
    </row>
    <row r="984" customFormat="false" ht="15" hidden="false" customHeight="false" outlineLevel="0" collapsed="false">
      <c r="A984" s="23"/>
      <c r="B984" s="22"/>
      <c r="C984" s="22"/>
      <c r="D984" s="22"/>
      <c r="E984" s="22"/>
      <c r="F984" s="27" t="str">
        <f aca="false">IF(B984="","",IFERROR(INDEX(Roster!$B$5:$B$154,MATCH(B984,Roster!$A$5:$A$154,0)),"Not on roster"))</f>
        <v/>
      </c>
      <c r="G984" s="28" t="str">
        <f aca="false">IF(OR(B984="",C984=""),"",F984&amp;" | "&amp;C984)</f>
        <v/>
      </c>
      <c r="H984" s="27" t="str">
        <f aca="false">IF(G984="","",IFERROR(INDEX(Levels!$C$5:$C$94,MATCH(G984,Levels!$G$5:$G$94,0)),"Not this class's skill"))</f>
        <v/>
      </c>
    </row>
    <row r="985" customFormat="false" ht="15" hidden="false" customHeight="false" outlineLevel="0" collapsed="false">
      <c r="A985" s="23"/>
      <c r="B985" s="22"/>
      <c r="C985" s="22"/>
      <c r="D985" s="22"/>
      <c r="E985" s="22"/>
      <c r="F985" s="27" t="str">
        <f aca="false">IF(B985="","",IFERROR(INDEX(Roster!$B$5:$B$154,MATCH(B985,Roster!$A$5:$A$154,0)),"Not on roster"))</f>
        <v/>
      </c>
      <c r="G985" s="28" t="str">
        <f aca="false">IF(OR(B985="",C985=""),"",F985&amp;" | "&amp;C985)</f>
        <v/>
      </c>
      <c r="H985" s="27" t="str">
        <f aca="false">IF(G985="","",IFERROR(INDEX(Levels!$C$5:$C$94,MATCH(G985,Levels!$G$5:$G$94,0)),"Not this class's skill"))</f>
        <v/>
      </c>
    </row>
    <row r="986" customFormat="false" ht="15" hidden="false" customHeight="false" outlineLevel="0" collapsed="false">
      <c r="A986" s="23"/>
      <c r="B986" s="22"/>
      <c r="C986" s="22"/>
      <c r="D986" s="22"/>
      <c r="E986" s="22"/>
      <c r="F986" s="27" t="str">
        <f aca="false">IF(B986="","",IFERROR(INDEX(Roster!$B$5:$B$154,MATCH(B986,Roster!$A$5:$A$154,0)),"Not on roster"))</f>
        <v/>
      </c>
      <c r="G986" s="28" t="str">
        <f aca="false">IF(OR(B986="",C986=""),"",F986&amp;" | "&amp;C986)</f>
        <v/>
      </c>
      <c r="H986" s="27" t="str">
        <f aca="false">IF(G986="","",IFERROR(INDEX(Levels!$C$5:$C$94,MATCH(G986,Levels!$G$5:$G$94,0)),"Not this class's skill"))</f>
        <v/>
      </c>
    </row>
    <row r="987" customFormat="false" ht="15" hidden="false" customHeight="false" outlineLevel="0" collapsed="false">
      <c r="A987" s="23"/>
      <c r="B987" s="22"/>
      <c r="C987" s="22"/>
      <c r="D987" s="22"/>
      <c r="E987" s="22"/>
      <c r="F987" s="27" t="str">
        <f aca="false">IF(B987="","",IFERROR(INDEX(Roster!$B$5:$B$154,MATCH(B987,Roster!$A$5:$A$154,0)),"Not on roster"))</f>
        <v/>
      </c>
      <c r="G987" s="28" t="str">
        <f aca="false">IF(OR(B987="",C987=""),"",F987&amp;" | "&amp;C987)</f>
        <v/>
      </c>
      <c r="H987" s="27" t="str">
        <f aca="false">IF(G987="","",IFERROR(INDEX(Levels!$C$5:$C$94,MATCH(G987,Levels!$G$5:$G$94,0)),"Not this class's skill"))</f>
        <v/>
      </c>
    </row>
    <row r="988" customFormat="false" ht="15" hidden="false" customHeight="false" outlineLevel="0" collapsed="false">
      <c r="A988" s="23"/>
      <c r="B988" s="22"/>
      <c r="C988" s="22"/>
      <c r="D988" s="22"/>
      <c r="E988" s="22"/>
      <c r="F988" s="27" t="str">
        <f aca="false">IF(B988="","",IFERROR(INDEX(Roster!$B$5:$B$154,MATCH(B988,Roster!$A$5:$A$154,0)),"Not on roster"))</f>
        <v/>
      </c>
      <c r="G988" s="28" t="str">
        <f aca="false">IF(OR(B988="",C988=""),"",F988&amp;" | "&amp;C988)</f>
        <v/>
      </c>
      <c r="H988" s="27" t="str">
        <f aca="false">IF(G988="","",IFERROR(INDEX(Levels!$C$5:$C$94,MATCH(G988,Levels!$G$5:$G$94,0)),"Not this class's skill"))</f>
        <v/>
      </c>
    </row>
    <row r="989" customFormat="false" ht="15" hidden="false" customHeight="false" outlineLevel="0" collapsed="false">
      <c r="A989" s="23"/>
      <c r="B989" s="22"/>
      <c r="C989" s="22"/>
      <c r="D989" s="22"/>
      <c r="E989" s="22"/>
      <c r="F989" s="27" t="str">
        <f aca="false">IF(B989="","",IFERROR(INDEX(Roster!$B$5:$B$154,MATCH(B989,Roster!$A$5:$A$154,0)),"Not on roster"))</f>
        <v/>
      </c>
      <c r="G989" s="28" t="str">
        <f aca="false">IF(OR(B989="",C989=""),"",F989&amp;" | "&amp;C989)</f>
        <v/>
      </c>
      <c r="H989" s="27" t="str">
        <f aca="false">IF(G989="","",IFERROR(INDEX(Levels!$C$5:$C$94,MATCH(G989,Levels!$G$5:$G$94,0)),"Not this class's skill"))</f>
        <v/>
      </c>
    </row>
    <row r="990" customFormat="false" ht="15" hidden="false" customHeight="false" outlineLevel="0" collapsed="false">
      <c r="A990" s="23"/>
      <c r="B990" s="22"/>
      <c r="C990" s="22"/>
      <c r="D990" s="22"/>
      <c r="E990" s="22"/>
      <c r="F990" s="27" t="str">
        <f aca="false">IF(B990="","",IFERROR(INDEX(Roster!$B$5:$B$154,MATCH(B990,Roster!$A$5:$A$154,0)),"Not on roster"))</f>
        <v/>
      </c>
      <c r="G990" s="28" t="str">
        <f aca="false">IF(OR(B990="",C990=""),"",F990&amp;" | "&amp;C990)</f>
        <v/>
      </c>
      <c r="H990" s="27" t="str">
        <f aca="false">IF(G990="","",IFERROR(INDEX(Levels!$C$5:$C$94,MATCH(G990,Levels!$G$5:$G$94,0)),"Not this class's skill"))</f>
        <v/>
      </c>
    </row>
    <row r="991" customFormat="false" ht="15" hidden="false" customHeight="false" outlineLevel="0" collapsed="false">
      <c r="A991" s="23"/>
      <c r="B991" s="22"/>
      <c r="C991" s="22"/>
      <c r="D991" s="22"/>
      <c r="E991" s="22"/>
      <c r="F991" s="27" t="str">
        <f aca="false">IF(B991="","",IFERROR(INDEX(Roster!$B$5:$B$154,MATCH(B991,Roster!$A$5:$A$154,0)),"Not on roster"))</f>
        <v/>
      </c>
      <c r="G991" s="28" t="str">
        <f aca="false">IF(OR(B991="",C991=""),"",F991&amp;" | "&amp;C991)</f>
        <v/>
      </c>
      <c r="H991" s="27" t="str">
        <f aca="false">IF(G991="","",IFERROR(INDEX(Levels!$C$5:$C$94,MATCH(G991,Levels!$G$5:$G$94,0)),"Not this class's skill"))</f>
        <v/>
      </c>
    </row>
    <row r="992" customFormat="false" ht="15" hidden="false" customHeight="false" outlineLevel="0" collapsed="false">
      <c r="A992" s="23"/>
      <c r="B992" s="22"/>
      <c r="C992" s="22"/>
      <c r="D992" s="22"/>
      <c r="E992" s="22"/>
      <c r="F992" s="27" t="str">
        <f aca="false">IF(B992="","",IFERROR(INDEX(Roster!$B$5:$B$154,MATCH(B992,Roster!$A$5:$A$154,0)),"Not on roster"))</f>
        <v/>
      </c>
      <c r="G992" s="28" t="str">
        <f aca="false">IF(OR(B992="",C992=""),"",F992&amp;" | "&amp;C992)</f>
        <v/>
      </c>
      <c r="H992" s="27" t="str">
        <f aca="false">IF(G992="","",IFERROR(INDEX(Levels!$C$5:$C$94,MATCH(G992,Levels!$G$5:$G$94,0)),"Not this class's skill"))</f>
        <v/>
      </c>
    </row>
    <row r="993" customFormat="false" ht="15" hidden="false" customHeight="false" outlineLevel="0" collapsed="false">
      <c r="A993" s="23"/>
      <c r="B993" s="22"/>
      <c r="C993" s="22"/>
      <c r="D993" s="22"/>
      <c r="E993" s="22"/>
      <c r="F993" s="27" t="str">
        <f aca="false">IF(B993="","",IFERROR(INDEX(Roster!$B$5:$B$154,MATCH(B993,Roster!$A$5:$A$154,0)),"Not on roster"))</f>
        <v/>
      </c>
      <c r="G993" s="28" t="str">
        <f aca="false">IF(OR(B993="",C993=""),"",F993&amp;" | "&amp;C993)</f>
        <v/>
      </c>
      <c r="H993" s="27" t="str">
        <f aca="false">IF(G993="","",IFERROR(INDEX(Levels!$C$5:$C$94,MATCH(G993,Levels!$G$5:$G$94,0)),"Not this class's skill"))</f>
        <v/>
      </c>
    </row>
    <row r="994" customFormat="false" ht="15" hidden="false" customHeight="false" outlineLevel="0" collapsed="false">
      <c r="A994" s="23"/>
      <c r="B994" s="22"/>
      <c r="C994" s="22"/>
      <c r="D994" s="22"/>
      <c r="E994" s="22"/>
      <c r="F994" s="27" t="str">
        <f aca="false">IF(B994="","",IFERROR(INDEX(Roster!$B$5:$B$154,MATCH(B994,Roster!$A$5:$A$154,0)),"Not on roster"))</f>
        <v/>
      </c>
      <c r="G994" s="28" t="str">
        <f aca="false">IF(OR(B994="",C994=""),"",F994&amp;" | "&amp;C994)</f>
        <v/>
      </c>
      <c r="H994" s="27" t="str">
        <f aca="false">IF(G994="","",IFERROR(INDEX(Levels!$C$5:$C$94,MATCH(G994,Levels!$G$5:$G$94,0)),"Not this class's skill"))</f>
        <v/>
      </c>
    </row>
    <row r="995" customFormat="false" ht="15" hidden="false" customHeight="false" outlineLevel="0" collapsed="false">
      <c r="A995" s="23"/>
      <c r="B995" s="22"/>
      <c r="C995" s="22"/>
      <c r="D995" s="22"/>
      <c r="E995" s="22"/>
      <c r="F995" s="27" t="str">
        <f aca="false">IF(B995="","",IFERROR(INDEX(Roster!$B$5:$B$154,MATCH(B995,Roster!$A$5:$A$154,0)),"Not on roster"))</f>
        <v/>
      </c>
      <c r="G995" s="28" t="str">
        <f aca="false">IF(OR(B995="",C995=""),"",F995&amp;" | "&amp;C995)</f>
        <v/>
      </c>
      <c r="H995" s="27" t="str">
        <f aca="false">IF(G995="","",IFERROR(INDEX(Levels!$C$5:$C$94,MATCH(G995,Levels!$G$5:$G$94,0)),"Not this class's skill"))</f>
        <v/>
      </c>
    </row>
    <row r="996" customFormat="false" ht="15" hidden="false" customHeight="false" outlineLevel="0" collapsed="false">
      <c r="A996" s="23"/>
      <c r="B996" s="22"/>
      <c r="C996" s="22"/>
      <c r="D996" s="22"/>
      <c r="E996" s="22"/>
      <c r="F996" s="27" t="str">
        <f aca="false">IF(B996="","",IFERROR(INDEX(Roster!$B$5:$B$154,MATCH(B996,Roster!$A$5:$A$154,0)),"Not on roster"))</f>
        <v/>
      </c>
      <c r="G996" s="28" t="str">
        <f aca="false">IF(OR(B996="",C996=""),"",F996&amp;" | "&amp;C996)</f>
        <v/>
      </c>
      <c r="H996" s="27" t="str">
        <f aca="false">IF(G996="","",IFERROR(INDEX(Levels!$C$5:$C$94,MATCH(G996,Levels!$G$5:$G$94,0)),"Not this class's skill"))</f>
        <v/>
      </c>
    </row>
    <row r="997" customFormat="false" ht="15" hidden="false" customHeight="false" outlineLevel="0" collapsed="false">
      <c r="A997" s="23"/>
      <c r="B997" s="22"/>
      <c r="C997" s="22"/>
      <c r="D997" s="22"/>
      <c r="E997" s="22"/>
      <c r="F997" s="27" t="str">
        <f aca="false">IF(B997="","",IFERROR(INDEX(Roster!$B$5:$B$154,MATCH(B997,Roster!$A$5:$A$154,0)),"Not on roster"))</f>
        <v/>
      </c>
      <c r="G997" s="28" t="str">
        <f aca="false">IF(OR(B997="",C997=""),"",F997&amp;" | "&amp;C997)</f>
        <v/>
      </c>
      <c r="H997" s="27" t="str">
        <f aca="false">IF(G997="","",IFERROR(INDEX(Levels!$C$5:$C$94,MATCH(G997,Levels!$G$5:$G$94,0)),"Not this class's skill"))</f>
        <v/>
      </c>
    </row>
    <row r="998" customFormat="false" ht="15" hidden="false" customHeight="false" outlineLevel="0" collapsed="false">
      <c r="A998" s="23"/>
      <c r="B998" s="22"/>
      <c r="C998" s="22"/>
      <c r="D998" s="22"/>
      <c r="E998" s="22"/>
      <c r="F998" s="27" t="str">
        <f aca="false">IF(B998="","",IFERROR(INDEX(Roster!$B$5:$B$154,MATCH(B998,Roster!$A$5:$A$154,0)),"Not on roster"))</f>
        <v/>
      </c>
      <c r="G998" s="28" t="str">
        <f aca="false">IF(OR(B998="",C998=""),"",F998&amp;" | "&amp;C998)</f>
        <v/>
      </c>
      <c r="H998" s="27" t="str">
        <f aca="false">IF(G998="","",IFERROR(INDEX(Levels!$C$5:$C$94,MATCH(G998,Levels!$G$5:$G$94,0)),"Not this class's skill"))</f>
        <v/>
      </c>
    </row>
    <row r="999" customFormat="false" ht="15" hidden="false" customHeight="false" outlineLevel="0" collapsed="false">
      <c r="A999" s="23"/>
      <c r="B999" s="22"/>
      <c r="C999" s="22"/>
      <c r="D999" s="22"/>
      <c r="E999" s="22"/>
      <c r="F999" s="27" t="str">
        <f aca="false">IF(B999="","",IFERROR(INDEX(Roster!$B$5:$B$154,MATCH(B999,Roster!$A$5:$A$154,0)),"Not on roster"))</f>
        <v/>
      </c>
      <c r="G999" s="28" t="str">
        <f aca="false">IF(OR(B999="",C999=""),"",F999&amp;" | "&amp;C999)</f>
        <v/>
      </c>
      <c r="H999" s="27" t="str">
        <f aca="false">IF(G999="","",IFERROR(INDEX(Levels!$C$5:$C$94,MATCH(G999,Levels!$G$5:$G$94,0)),"Not this class's skill"))</f>
        <v/>
      </c>
    </row>
    <row r="1000" customFormat="false" ht="15" hidden="false" customHeight="false" outlineLevel="0" collapsed="false">
      <c r="A1000" s="23"/>
      <c r="B1000" s="22"/>
      <c r="C1000" s="22"/>
      <c r="D1000" s="22"/>
      <c r="E1000" s="22"/>
      <c r="F1000" s="27" t="str">
        <f aca="false">IF(B1000="","",IFERROR(INDEX(Roster!$B$5:$B$154,MATCH(B1000,Roster!$A$5:$A$154,0)),"Not on roster"))</f>
        <v/>
      </c>
      <c r="G1000" s="28" t="str">
        <f aca="false">IF(OR(B1000="",C1000=""),"",F1000&amp;" | "&amp;C1000)</f>
        <v/>
      </c>
      <c r="H1000" s="27" t="str">
        <f aca="false">IF(G1000="","",IFERROR(INDEX(Levels!$C$5:$C$94,MATCH(G1000,Levels!$G$5:$G$94,0)),"Not this class's skill"))</f>
        <v/>
      </c>
    </row>
    <row r="1001" customFormat="false" ht="15" hidden="false" customHeight="false" outlineLevel="0" collapsed="false">
      <c r="A1001" s="23"/>
      <c r="B1001" s="22"/>
      <c r="C1001" s="22"/>
      <c r="D1001" s="22"/>
      <c r="E1001" s="22"/>
      <c r="F1001" s="27" t="str">
        <f aca="false">IF(B1001="","",IFERROR(INDEX(Roster!$B$5:$B$154,MATCH(B1001,Roster!$A$5:$A$154,0)),"Not on roster"))</f>
        <v/>
      </c>
      <c r="G1001" s="28" t="str">
        <f aca="false">IF(OR(B1001="",C1001=""),"",F1001&amp;" | "&amp;C1001)</f>
        <v/>
      </c>
      <c r="H1001" s="27" t="str">
        <f aca="false">IF(G1001="","",IFERROR(INDEX(Levels!$C$5:$C$94,MATCH(G1001,Levels!$G$5:$G$94,0)),"Not this class's skill"))</f>
        <v/>
      </c>
    </row>
    <row r="1002" customFormat="false" ht="15" hidden="false" customHeight="false" outlineLevel="0" collapsed="false">
      <c r="A1002" s="23"/>
      <c r="B1002" s="22"/>
      <c r="C1002" s="22"/>
      <c r="D1002" s="22"/>
      <c r="E1002" s="22"/>
      <c r="F1002" s="27" t="str">
        <f aca="false">IF(B1002="","",IFERROR(INDEX(Roster!$B$5:$B$154,MATCH(B1002,Roster!$A$5:$A$154,0)),"Not on roster"))</f>
        <v/>
      </c>
      <c r="G1002" s="28" t="str">
        <f aca="false">IF(OR(B1002="",C1002=""),"",F1002&amp;" | "&amp;C1002)</f>
        <v/>
      </c>
      <c r="H1002" s="27" t="str">
        <f aca="false">IF(G1002="","",IFERROR(INDEX(Levels!$C$5:$C$94,MATCH(G1002,Levels!$G$5:$G$94,0)),"Not this class's skill"))</f>
        <v/>
      </c>
    </row>
    <row r="1003" customFormat="false" ht="15" hidden="false" customHeight="false" outlineLevel="0" collapsed="false">
      <c r="A1003" s="23"/>
      <c r="B1003" s="22"/>
      <c r="C1003" s="22"/>
      <c r="D1003" s="22"/>
      <c r="E1003" s="22"/>
      <c r="F1003" s="27" t="str">
        <f aca="false">IF(B1003="","",IFERROR(INDEX(Roster!$B$5:$B$154,MATCH(B1003,Roster!$A$5:$A$154,0)),"Not on roster"))</f>
        <v/>
      </c>
      <c r="G1003" s="28" t="str">
        <f aca="false">IF(OR(B1003="",C1003=""),"",F1003&amp;" | "&amp;C1003)</f>
        <v/>
      </c>
      <c r="H1003" s="27" t="str">
        <f aca="false">IF(G1003="","",IFERROR(INDEX(Levels!$C$5:$C$94,MATCH(G1003,Levels!$G$5:$G$94,0)),"Not this class's skill"))</f>
        <v/>
      </c>
    </row>
    <row r="1004" customFormat="false" ht="15" hidden="false" customHeight="false" outlineLevel="0" collapsed="false">
      <c r="A1004" s="23"/>
      <c r="B1004" s="22"/>
      <c r="C1004" s="22"/>
      <c r="D1004" s="22"/>
      <c r="E1004" s="22"/>
      <c r="F1004" s="27" t="str">
        <f aca="false">IF(B1004="","",IFERROR(INDEX(Roster!$B$5:$B$154,MATCH(B1004,Roster!$A$5:$A$154,0)),"Not on roster"))</f>
        <v/>
      </c>
      <c r="G1004" s="28" t="str">
        <f aca="false">IF(OR(B1004="",C1004=""),"",F1004&amp;" | "&amp;C1004)</f>
        <v/>
      </c>
      <c r="H1004" s="27" t="str">
        <f aca="false">IF(G1004="","",IFERROR(INDEX(Levels!$C$5:$C$94,MATCH(G1004,Levels!$G$5:$G$94,0)),"Not this class's skill"))</f>
        <v/>
      </c>
    </row>
    <row r="1005" customFormat="false" ht="15" hidden="false" customHeight="false" outlineLevel="0" collapsed="false">
      <c r="A1005" s="23"/>
      <c r="B1005" s="22"/>
      <c r="C1005" s="22"/>
      <c r="D1005" s="22"/>
      <c r="E1005" s="22"/>
      <c r="F1005" s="27" t="str">
        <f aca="false">IF(B1005="","",IFERROR(INDEX(Roster!$B$5:$B$154,MATCH(B1005,Roster!$A$5:$A$154,0)),"Not on roster"))</f>
        <v/>
      </c>
      <c r="G1005" s="28" t="str">
        <f aca="false">IF(OR(B1005="",C1005=""),"",F1005&amp;" | "&amp;C1005)</f>
        <v/>
      </c>
      <c r="H1005" s="27" t="str">
        <f aca="false">IF(G1005="","",IFERROR(INDEX(Levels!$C$5:$C$94,MATCH(G1005,Levels!$G$5:$G$94,0)),"Not this class's skill"))</f>
        <v/>
      </c>
    </row>
    <row r="1006" customFormat="false" ht="15" hidden="false" customHeight="false" outlineLevel="0" collapsed="false">
      <c r="A1006" s="23"/>
      <c r="B1006" s="22"/>
      <c r="C1006" s="22"/>
      <c r="D1006" s="22"/>
      <c r="E1006" s="22"/>
      <c r="F1006" s="27" t="str">
        <f aca="false">IF(B1006="","",IFERROR(INDEX(Roster!$B$5:$B$154,MATCH(B1006,Roster!$A$5:$A$154,0)),"Not on roster"))</f>
        <v/>
      </c>
      <c r="G1006" s="28" t="str">
        <f aca="false">IF(OR(B1006="",C1006=""),"",F1006&amp;" | "&amp;C1006)</f>
        <v/>
      </c>
      <c r="H1006" s="27" t="str">
        <f aca="false">IF(G1006="","",IFERROR(INDEX(Levels!$C$5:$C$94,MATCH(G1006,Levels!$G$5:$G$94,0)),"Not this class's skill"))</f>
        <v/>
      </c>
    </row>
    <row r="1007" customFormat="false" ht="15" hidden="false" customHeight="false" outlineLevel="0" collapsed="false">
      <c r="A1007" s="23"/>
      <c r="B1007" s="22"/>
      <c r="C1007" s="22"/>
      <c r="D1007" s="22"/>
      <c r="E1007" s="22"/>
      <c r="F1007" s="27" t="str">
        <f aca="false">IF(B1007="","",IFERROR(INDEX(Roster!$B$5:$B$154,MATCH(B1007,Roster!$A$5:$A$154,0)),"Not on roster"))</f>
        <v/>
      </c>
      <c r="G1007" s="28" t="str">
        <f aca="false">IF(OR(B1007="",C1007=""),"",F1007&amp;" | "&amp;C1007)</f>
        <v/>
      </c>
      <c r="H1007" s="27" t="str">
        <f aca="false">IF(G1007="","",IFERROR(INDEX(Levels!$C$5:$C$94,MATCH(G1007,Levels!$G$5:$G$94,0)),"Not this class's skill"))</f>
        <v/>
      </c>
    </row>
    <row r="1008" customFormat="false" ht="15" hidden="false" customHeight="false" outlineLevel="0" collapsed="false">
      <c r="A1008" s="23"/>
      <c r="B1008" s="22"/>
      <c r="C1008" s="22"/>
      <c r="D1008" s="22"/>
      <c r="E1008" s="22"/>
      <c r="F1008" s="27" t="str">
        <f aca="false">IF(B1008="","",IFERROR(INDEX(Roster!$B$5:$B$154,MATCH(B1008,Roster!$A$5:$A$154,0)),"Not on roster"))</f>
        <v/>
      </c>
      <c r="G1008" s="28" t="str">
        <f aca="false">IF(OR(B1008="",C1008=""),"",F1008&amp;" | "&amp;C1008)</f>
        <v/>
      </c>
      <c r="H1008" s="27" t="str">
        <f aca="false">IF(G1008="","",IFERROR(INDEX(Levels!$C$5:$C$94,MATCH(G1008,Levels!$G$5:$G$94,0)),"Not this class's skill"))</f>
        <v/>
      </c>
    </row>
    <row r="1009" customFormat="false" ht="15" hidden="false" customHeight="false" outlineLevel="0" collapsed="false">
      <c r="A1009" s="23"/>
      <c r="B1009" s="22"/>
      <c r="C1009" s="22"/>
      <c r="D1009" s="22"/>
      <c r="E1009" s="22"/>
      <c r="F1009" s="27" t="str">
        <f aca="false">IF(B1009="","",IFERROR(INDEX(Roster!$B$5:$B$154,MATCH(B1009,Roster!$A$5:$A$154,0)),"Not on roster"))</f>
        <v/>
      </c>
      <c r="G1009" s="28" t="str">
        <f aca="false">IF(OR(B1009="",C1009=""),"",F1009&amp;" | "&amp;C1009)</f>
        <v/>
      </c>
      <c r="H1009" s="27" t="str">
        <f aca="false">IF(G1009="","",IFERROR(INDEX(Levels!$C$5:$C$94,MATCH(G1009,Levels!$G$5:$G$94,0)),"Not this class's skill"))</f>
        <v/>
      </c>
    </row>
    <row r="1010" customFormat="false" ht="15" hidden="false" customHeight="false" outlineLevel="0" collapsed="false">
      <c r="A1010" s="23"/>
      <c r="B1010" s="22"/>
      <c r="C1010" s="22"/>
      <c r="D1010" s="22"/>
      <c r="E1010" s="22"/>
      <c r="F1010" s="27" t="str">
        <f aca="false">IF(B1010="","",IFERROR(INDEX(Roster!$B$5:$B$154,MATCH(B1010,Roster!$A$5:$A$154,0)),"Not on roster"))</f>
        <v/>
      </c>
      <c r="G1010" s="28" t="str">
        <f aca="false">IF(OR(B1010="",C1010=""),"",F1010&amp;" | "&amp;C1010)</f>
        <v/>
      </c>
      <c r="H1010" s="27" t="str">
        <f aca="false">IF(G1010="","",IFERROR(INDEX(Levels!$C$5:$C$94,MATCH(G1010,Levels!$G$5:$G$94,0)),"Not this class's skill"))</f>
        <v/>
      </c>
    </row>
    <row r="1011" customFormat="false" ht="15" hidden="false" customHeight="false" outlineLevel="0" collapsed="false">
      <c r="A1011" s="23"/>
      <c r="B1011" s="22"/>
      <c r="C1011" s="22"/>
      <c r="D1011" s="22"/>
      <c r="E1011" s="22"/>
      <c r="F1011" s="27" t="str">
        <f aca="false">IF(B1011="","",IFERROR(INDEX(Roster!$B$5:$B$154,MATCH(B1011,Roster!$A$5:$A$154,0)),"Not on roster"))</f>
        <v/>
      </c>
      <c r="G1011" s="28" t="str">
        <f aca="false">IF(OR(B1011="",C1011=""),"",F1011&amp;" | "&amp;C1011)</f>
        <v/>
      </c>
      <c r="H1011" s="27" t="str">
        <f aca="false">IF(G1011="","",IFERROR(INDEX(Levels!$C$5:$C$94,MATCH(G1011,Levels!$G$5:$G$94,0)),"Not this class's skill"))</f>
        <v/>
      </c>
    </row>
    <row r="1012" customFormat="false" ht="15" hidden="false" customHeight="false" outlineLevel="0" collapsed="false">
      <c r="A1012" s="23"/>
      <c r="B1012" s="22"/>
      <c r="C1012" s="22"/>
      <c r="D1012" s="22"/>
      <c r="E1012" s="22"/>
      <c r="F1012" s="27" t="str">
        <f aca="false">IF(B1012="","",IFERROR(INDEX(Roster!$B$5:$B$154,MATCH(B1012,Roster!$A$5:$A$154,0)),"Not on roster"))</f>
        <v/>
      </c>
      <c r="G1012" s="28" t="str">
        <f aca="false">IF(OR(B1012="",C1012=""),"",F1012&amp;" | "&amp;C1012)</f>
        <v/>
      </c>
      <c r="H1012" s="27" t="str">
        <f aca="false">IF(G1012="","",IFERROR(INDEX(Levels!$C$5:$C$94,MATCH(G1012,Levels!$G$5:$G$94,0)),"Not this class's skill"))</f>
        <v/>
      </c>
    </row>
    <row r="1013" customFormat="false" ht="15" hidden="false" customHeight="false" outlineLevel="0" collapsed="false">
      <c r="A1013" s="23"/>
      <c r="B1013" s="22"/>
      <c r="C1013" s="22"/>
      <c r="D1013" s="22"/>
      <c r="E1013" s="22"/>
      <c r="F1013" s="27" t="str">
        <f aca="false">IF(B1013="","",IFERROR(INDEX(Roster!$B$5:$B$154,MATCH(B1013,Roster!$A$5:$A$154,0)),"Not on roster"))</f>
        <v/>
      </c>
      <c r="G1013" s="28" t="str">
        <f aca="false">IF(OR(B1013="",C1013=""),"",F1013&amp;" | "&amp;C1013)</f>
        <v/>
      </c>
      <c r="H1013" s="27" t="str">
        <f aca="false">IF(G1013="","",IFERROR(INDEX(Levels!$C$5:$C$94,MATCH(G1013,Levels!$G$5:$G$94,0)),"Not this class's skill"))</f>
        <v/>
      </c>
    </row>
    <row r="1014" customFormat="false" ht="15" hidden="false" customHeight="false" outlineLevel="0" collapsed="false">
      <c r="A1014" s="23"/>
      <c r="B1014" s="22"/>
      <c r="C1014" s="22"/>
      <c r="D1014" s="22"/>
      <c r="E1014" s="22"/>
      <c r="F1014" s="27" t="str">
        <f aca="false">IF(B1014="","",IFERROR(INDEX(Roster!$B$5:$B$154,MATCH(B1014,Roster!$A$5:$A$154,0)),"Not on roster"))</f>
        <v/>
      </c>
      <c r="G1014" s="28" t="str">
        <f aca="false">IF(OR(B1014="",C1014=""),"",F1014&amp;" | "&amp;C1014)</f>
        <v/>
      </c>
      <c r="H1014" s="27" t="str">
        <f aca="false">IF(G1014="","",IFERROR(INDEX(Levels!$C$5:$C$94,MATCH(G1014,Levels!$G$5:$G$94,0)),"Not this class's skill"))</f>
        <v/>
      </c>
    </row>
    <row r="1015" customFormat="false" ht="15" hidden="false" customHeight="false" outlineLevel="0" collapsed="false">
      <c r="A1015" s="23"/>
      <c r="B1015" s="22"/>
      <c r="C1015" s="22"/>
      <c r="D1015" s="22"/>
      <c r="E1015" s="22"/>
      <c r="F1015" s="27" t="str">
        <f aca="false">IF(B1015="","",IFERROR(INDEX(Roster!$B$5:$B$154,MATCH(B1015,Roster!$A$5:$A$154,0)),"Not on roster"))</f>
        <v/>
      </c>
      <c r="G1015" s="28" t="str">
        <f aca="false">IF(OR(B1015="",C1015=""),"",F1015&amp;" | "&amp;C1015)</f>
        <v/>
      </c>
      <c r="H1015" s="27" t="str">
        <f aca="false">IF(G1015="","",IFERROR(INDEX(Levels!$C$5:$C$94,MATCH(G1015,Levels!$G$5:$G$94,0)),"Not this class's skill"))</f>
        <v/>
      </c>
    </row>
    <row r="1016" customFormat="false" ht="15" hidden="false" customHeight="false" outlineLevel="0" collapsed="false">
      <c r="A1016" s="23"/>
      <c r="B1016" s="22"/>
      <c r="C1016" s="22"/>
      <c r="D1016" s="22"/>
      <c r="E1016" s="22"/>
      <c r="F1016" s="27" t="str">
        <f aca="false">IF(B1016="","",IFERROR(INDEX(Roster!$B$5:$B$154,MATCH(B1016,Roster!$A$5:$A$154,0)),"Not on roster"))</f>
        <v/>
      </c>
      <c r="G1016" s="28" t="str">
        <f aca="false">IF(OR(B1016="",C1016=""),"",F1016&amp;" | "&amp;C1016)</f>
        <v/>
      </c>
      <c r="H1016" s="27" t="str">
        <f aca="false">IF(G1016="","",IFERROR(INDEX(Levels!$C$5:$C$94,MATCH(G1016,Levels!$G$5:$G$94,0)),"Not this class's skill"))</f>
        <v/>
      </c>
    </row>
    <row r="1017" customFormat="false" ht="15" hidden="false" customHeight="false" outlineLevel="0" collapsed="false">
      <c r="A1017" s="23"/>
      <c r="B1017" s="22"/>
      <c r="C1017" s="22"/>
      <c r="D1017" s="22"/>
      <c r="E1017" s="22"/>
      <c r="F1017" s="27" t="str">
        <f aca="false">IF(B1017="","",IFERROR(INDEX(Roster!$B$5:$B$154,MATCH(B1017,Roster!$A$5:$A$154,0)),"Not on roster"))</f>
        <v/>
      </c>
      <c r="G1017" s="28" t="str">
        <f aca="false">IF(OR(B1017="",C1017=""),"",F1017&amp;" | "&amp;C1017)</f>
        <v/>
      </c>
      <c r="H1017" s="27" t="str">
        <f aca="false">IF(G1017="","",IFERROR(INDEX(Levels!$C$5:$C$94,MATCH(G1017,Levels!$G$5:$G$94,0)),"Not this class's skill"))</f>
        <v/>
      </c>
    </row>
    <row r="1018" customFormat="false" ht="15" hidden="false" customHeight="false" outlineLevel="0" collapsed="false">
      <c r="A1018" s="23"/>
      <c r="B1018" s="22"/>
      <c r="C1018" s="22"/>
      <c r="D1018" s="22"/>
      <c r="E1018" s="22"/>
      <c r="F1018" s="27" t="str">
        <f aca="false">IF(B1018="","",IFERROR(INDEX(Roster!$B$5:$B$154,MATCH(B1018,Roster!$A$5:$A$154,0)),"Not on roster"))</f>
        <v/>
      </c>
      <c r="G1018" s="28" t="str">
        <f aca="false">IF(OR(B1018="",C1018=""),"",F1018&amp;" | "&amp;C1018)</f>
        <v/>
      </c>
      <c r="H1018" s="27" t="str">
        <f aca="false">IF(G1018="","",IFERROR(INDEX(Levels!$C$5:$C$94,MATCH(G1018,Levels!$G$5:$G$94,0)),"Not this class's skill"))</f>
        <v/>
      </c>
    </row>
    <row r="1019" customFormat="false" ht="15" hidden="false" customHeight="false" outlineLevel="0" collapsed="false">
      <c r="A1019" s="23"/>
      <c r="B1019" s="22"/>
      <c r="C1019" s="22"/>
      <c r="D1019" s="22"/>
      <c r="E1019" s="22"/>
      <c r="F1019" s="27" t="str">
        <f aca="false">IF(B1019="","",IFERROR(INDEX(Roster!$B$5:$B$154,MATCH(B1019,Roster!$A$5:$A$154,0)),"Not on roster"))</f>
        <v/>
      </c>
      <c r="G1019" s="28" t="str">
        <f aca="false">IF(OR(B1019="",C1019=""),"",F1019&amp;" | "&amp;C1019)</f>
        <v/>
      </c>
      <c r="H1019" s="27" t="str">
        <f aca="false">IF(G1019="","",IFERROR(INDEX(Levels!$C$5:$C$94,MATCH(G1019,Levels!$G$5:$G$94,0)),"Not this class's skill"))</f>
        <v/>
      </c>
    </row>
    <row r="1020" customFormat="false" ht="15" hidden="false" customHeight="false" outlineLevel="0" collapsed="false">
      <c r="A1020" s="23"/>
      <c r="B1020" s="22"/>
      <c r="C1020" s="22"/>
      <c r="D1020" s="22"/>
      <c r="E1020" s="22"/>
      <c r="F1020" s="27" t="str">
        <f aca="false">IF(B1020="","",IFERROR(INDEX(Roster!$B$5:$B$154,MATCH(B1020,Roster!$A$5:$A$154,0)),"Not on roster"))</f>
        <v/>
      </c>
      <c r="G1020" s="28" t="str">
        <f aca="false">IF(OR(B1020="",C1020=""),"",F1020&amp;" | "&amp;C1020)</f>
        <v/>
      </c>
      <c r="H1020" s="27" t="str">
        <f aca="false">IF(G1020="","",IFERROR(INDEX(Levels!$C$5:$C$94,MATCH(G1020,Levels!$G$5:$G$94,0)),"Not this class's skill"))</f>
        <v/>
      </c>
    </row>
    <row r="1021" customFormat="false" ht="15" hidden="false" customHeight="false" outlineLevel="0" collapsed="false">
      <c r="A1021" s="23"/>
      <c r="B1021" s="22"/>
      <c r="C1021" s="22"/>
      <c r="D1021" s="22"/>
      <c r="E1021" s="22"/>
      <c r="F1021" s="27" t="str">
        <f aca="false">IF(B1021="","",IFERROR(INDEX(Roster!$B$5:$B$154,MATCH(B1021,Roster!$A$5:$A$154,0)),"Not on roster"))</f>
        <v/>
      </c>
      <c r="G1021" s="28" t="str">
        <f aca="false">IF(OR(B1021="",C1021=""),"",F1021&amp;" | "&amp;C1021)</f>
        <v/>
      </c>
      <c r="H1021" s="27" t="str">
        <f aca="false">IF(G1021="","",IFERROR(INDEX(Levels!$C$5:$C$94,MATCH(G1021,Levels!$G$5:$G$94,0)),"Not this class's skill"))</f>
        <v/>
      </c>
    </row>
    <row r="1022" customFormat="false" ht="15" hidden="false" customHeight="false" outlineLevel="0" collapsed="false">
      <c r="A1022" s="23"/>
      <c r="B1022" s="22"/>
      <c r="C1022" s="22"/>
      <c r="D1022" s="22"/>
      <c r="E1022" s="22"/>
      <c r="F1022" s="27" t="str">
        <f aca="false">IF(B1022="","",IFERROR(INDEX(Roster!$B$5:$B$154,MATCH(B1022,Roster!$A$5:$A$154,0)),"Not on roster"))</f>
        <v/>
      </c>
      <c r="G1022" s="28" t="str">
        <f aca="false">IF(OR(B1022="",C1022=""),"",F1022&amp;" | "&amp;C1022)</f>
        <v/>
      </c>
      <c r="H1022" s="27" t="str">
        <f aca="false">IF(G1022="","",IFERROR(INDEX(Levels!$C$5:$C$94,MATCH(G1022,Levels!$G$5:$G$94,0)),"Not this class's skill"))</f>
        <v/>
      </c>
    </row>
    <row r="1023" customFormat="false" ht="15" hidden="false" customHeight="false" outlineLevel="0" collapsed="false">
      <c r="A1023" s="23"/>
      <c r="B1023" s="22"/>
      <c r="C1023" s="22"/>
      <c r="D1023" s="22"/>
      <c r="E1023" s="22"/>
      <c r="F1023" s="27" t="str">
        <f aca="false">IF(B1023="","",IFERROR(INDEX(Roster!$B$5:$B$154,MATCH(B1023,Roster!$A$5:$A$154,0)),"Not on roster"))</f>
        <v/>
      </c>
      <c r="G1023" s="28" t="str">
        <f aca="false">IF(OR(B1023="",C1023=""),"",F1023&amp;" | "&amp;C1023)</f>
        <v/>
      </c>
      <c r="H1023" s="27" t="str">
        <f aca="false">IF(G1023="","",IFERROR(INDEX(Levels!$C$5:$C$94,MATCH(G1023,Levels!$G$5:$G$94,0)),"Not this class's skill"))</f>
        <v/>
      </c>
    </row>
    <row r="1024" customFormat="false" ht="15" hidden="false" customHeight="false" outlineLevel="0" collapsed="false">
      <c r="A1024" s="23"/>
      <c r="B1024" s="22"/>
      <c r="C1024" s="22"/>
      <c r="D1024" s="22"/>
      <c r="E1024" s="22"/>
      <c r="F1024" s="27" t="str">
        <f aca="false">IF(B1024="","",IFERROR(INDEX(Roster!$B$5:$B$154,MATCH(B1024,Roster!$A$5:$A$154,0)),"Not on roster"))</f>
        <v/>
      </c>
      <c r="G1024" s="28" t="str">
        <f aca="false">IF(OR(B1024="",C1024=""),"",F1024&amp;" | "&amp;C1024)</f>
        <v/>
      </c>
      <c r="H1024" s="27" t="str">
        <f aca="false">IF(G1024="","",IFERROR(INDEX(Levels!$C$5:$C$94,MATCH(G1024,Levels!$G$5:$G$94,0)),"Not this class's skill"))</f>
        <v/>
      </c>
    </row>
    <row r="1025" customFormat="false" ht="15" hidden="false" customHeight="false" outlineLevel="0" collapsed="false">
      <c r="A1025" s="23"/>
      <c r="B1025" s="22"/>
      <c r="C1025" s="22"/>
      <c r="D1025" s="22"/>
      <c r="E1025" s="22"/>
      <c r="F1025" s="27" t="str">
        <f aca="false">IF(B1025="","",IFERROR(INDEX(Roster!$B$5:$B$154,MATCH(B1025,Roster!$A$5:$A$154,0)),"Not on roster"))</f>
        <v/>
      </c>
      <c r="G1025" s="28" t="str">
        <f aca="false">IF(OR(B1025="",C1025=""),"",F1025&amp;" | "&amp;C1025)</f>
        <v/>
      </c>
      <c r="H1025" s="27" t="str">
        <f aca="false">IF(G1025="","",IFERROR(INDEX(Levels!$C$5:$C$94,MATCH(G1025,Levels!$G$5:$G$94,0)),"Not this class's skill"))</f>
        <v/>
      </c>
    </row>
    <row r="1026" customFormat="false" ht="15" hidden="false" customHeight="false" outlineLevel="0" collapsed="false">
      <c r="A1026" s="23"/>
      <c r="B1026" s="22"/>
      <c r="C1026" s="22"/>
      <c r="D1026" s="22"/>
      <c r="E1026" s="22"/>
      <c r="F1026" s="27" t="str">
        <f aca="false">IF(B1026="","",IFERROR(INDEX(Roster!$B$5:$B$154,MATCH(B1026,Roster!$A$5:$A$154,0)),"Not on roster"))</f>
        <v/>
      </c>
      <c r="G1026" s="28" t="str">
        <f aca="false">IF(OR(B1026="",C1026=""),"",F1026&amp;" | "&amp;C1026)</f>
        <v/>
      </c>
      <c r="H1026" s="27" t="str">
        <f aca="false">IF(G1026="","",IFERROR(INDEX(Levels!$C$5:$C$94,MATCH(G1026,Levels!$G$5:$G$94,0)),"Not this class's skill"))</f>
        <v/>
      </c>
    </row>
    <row r="1027" customFormat="false" ht="15" hidden="false" customHeight="false" outlineLevel="0" collapsed="false">
      <c r="A1027" s="23"/>
      <c r="B1027" s="22"/>
      <c r="C1027" s="22"/>
      <c r="D1027" s="22"/>
      <c r="E1027" s="22"/>
      <c r="F1027" s="27" t="str">
        <f aca="false">IF(B1027="","",IFERROR(INDEX(Roster!$B$5:$B$154,MATCH(B1027,Roster!$A$5:$A$154,0)),"Not on roster"))</f>
        <v/>
      </c>
      <c r="G1027" s="28" t="str">
        <f aca="false">IF(OR(B1027="",C1027=""),"",F1027&amp;" | "&amp;C1027)</f>
        <v/>
      </c>
      <c r="H1027" s="27" t="str">
        <f aca="false">IF(G1027="","",IFERROR(INDEX(Levels!$C$5:$C$94,MATCH(G1027,Levels!$G$5:$G$94,0)),"Not this class's skill"))</f>
        <v/>
      </c>
    </row>
    <row r="1028" customFormat="false" ht="15" hidden="false" customHeight="false" outlineLevel="0" collapsed="false">
      <c r="A1028" s="23"/>
      <c r="B1028" s="22"/>
      <c r="C1028" s="22"/>
      <c r="D1028" s="22"/>
      <c r="E1028" s="22"/>
      <c r="F1028" s="27" t="str">
        <f aca="false">IF(B1028="","",IFERROR(INDEX(Roster!$B$5:$B$154,MATCH(B1028,Roster!$A$5:$A$154,0)),"Not on roster"))</f>
        <v/>
      </c>
      <c r="G1028" s="28" t="str">
        <f aca="false">IF(OR(B1028="",C1028=""),"",F1028&amp;" | "&amp;C1028)</f>
        <v/>
      </c>
      <c r="H1028" s="27" t="str">
        <f aca="false">IF(G1028="","",IFERROR(INDEX(Levels!$C$5:$C$94,MATCH(G1028,Levels!$G$5:$G$94,0)),"Not this class's skill"))</f>
        <v/>
      </c>
    </row>
    <row r="1029" customFormat="false" ht="15" hidden="false" customHeight="false" outlineLevel="0" collapsed="false">
      <c r="A1029" s="23"/>
      <c r="B1029" s="22"/>
      <c r="C1029" s="22"/>
      <c r="D1029" s="22"/>
      <c r="E1029" s="22"/>
      <c r="F1029" s="27" t="str">
        <f aca="false">IF(B1029="","",IFERROR(INDEX(Roster!$B$5:$B$154,MATCH(B1029,Roster!$A$5:$A$154,0)),"Not on roster"))</f>
        <v/>
      </c>
      <c r="G1029" s="28" t="str">
        <f aca="false">IF(OR(B1029="",C1029=""),"",F1029&amp;" | "&amp;C1029)</f>
        <v/>
      </c>
      <c r="H1029" s="27" t="str">
        <f aca="false">IF(G1029="","",IFERROR(INDEX(Levels!$C$5:$C$94,MATCH(G1029,Levels!$G$5:$G$94,0)),"Not this class's skill"))</f>
        <v/>
      </c>
    </row>
    <row r="1030" customFormat="false" ht="15" hidden="false" customHeight="false" outlineLevel="0" collapsed="false">
      <c r="A1030" s="23"/>
      <c r="B1030" s="22"/>
      <c r="C1030" s="22"/>
      <c r="D1030" s="22"/>
      <c r="E1030" s="22"/>
      <c r="F1030" s="27" t="str">
        <f aca="false">IF(B1030="","",IFERROR(INDEX(Roster!$B$5:$B$154,MATCH(B1030,Roster!$A$5:$A$154,0)),"Not on roster"))</f>
        <v/>
      </c>
      <c r="G1030" s="28" t="str">
        <f aca="false">IF(OR(B1030="",C1030=""),"",F1030&amp;" | "&amp;C1030)</f>
        <v/>
      </c>
      <c r="H1030" s="27" t="str">
        <f aca="false">IF(G1030="","",IFERROR(INDEX(Levels!$C$5:$C$94,MATCH(G1030,Levels!$G$5:$G$94,0)),"Not this class's skill"))</f>
        <v/>
      </c>
    </row>
    <row r="1031" customFormat="false" ht="15" hidden="false" customHeight="false" outlineLevel="0" collapsed="false">
      <c r="A1031" s="23"/>
      <c r="B1031" s="22"/>
      <c r="C1031" s="22"/>
      <c r="D1031" s="22"/>
      <c r="E1031" s="22"/>
      <c r="F1031" s="27" t="str">
        <f aca="false">IF(B1031="","",IFERROR(INDEX(Roster!$B$5:$B$154,MATCH(B1031,Roster!$A$5:$A$154,0)),"Not on roster"))</f>
        <v/>
      </c>
      <c r="G1031" s="28" t="str">
        <f aca="false">IF(OR(B1031="",C1031=""),"",F1031&amp;" | "&amp;C1031)</f>
        <v/>
      </c>
      <c r="H1031" s="27" t="str">
        <f aca="false">IF(G1031="","",IFERROR(INDEX(Levels!$C$5:$C$94,MATCH(G1031,Levels!$G$5:$G$94,0)),"Not this class's skill"))</f>
        <v/>
      </c>
    </row>
    <row r="1032" customFormat="false" ht="15" hidden="false" customHeight="false" outlineLevel="0" collapsed="false">
      <c r="A1032" s="23"/>
      <c r="B1032" s="22"/>
      <c r="C1032" s="22"/>
      <c r="D1032" s="22"/>
      <c r="E1032" s="22"/>
      <c r="F1032" s="27" t="str">
        <f aca="false">IF(B1032="","",IFERROR(INDEX(Roster!$B$5:$B$154,MATCH(B1032,Roster!$A$5:$A$154,0)),"Not on roster"))</f>
        <v/>
      </c>
      <c r="G1032" s="28" t="str">
        <f aca="false">IF(OR(B1032="",C1032=""),"",F1032&amp;" | "&amp;C1032)</f>
        <v/>
      </c>
      <c r="H1032" s="27" t="str">
        <f aca="false">IF(G1032="","",IFERROR(INDEX(Levels!$C$5:$C$94,MATCH(G1032,Levels!$G$5:$G$94,0)),"Not this class's skill"))</f>
        <v/>
      </c>
    </row>
    <row r="1033" customFormat="false" ht="15" hidden="false" customHeight="false" outlineLevel="0" collapsed="false">
      <c r="A1033" s="23"/>
      <c r="B1033" s="22"/>
      <c r="C1033" s="22"/>
      <c r="D1033" s="22"/>
      <c r="E1033" s="22"/>
      <c r="F1033" s="27" t="str">
        <f aca="false">IF(B1033="","",IFERROR(INDEX(Roster!$B$5:$B$154,MATCH(B1033,Roster!$A$5:$A$154,0)),"Not on roster"))</f>
        <v/>
      </c>
      <c r="G1033" s="28" t="str">
        <f aca="false">IF(OR(B1033="",C1033=""),"",F1033&amp;" | "&amp;C1033)</f>
        <v/>
      </c>
      <c r="H1033" s="27" t="str">
        <f aca="false">IF(G1033="","",IFERROR(INDEX(Levels!$C$5:$C$94,MATCH(G1033,Levels!$G$5:$G$94,0)),"Not this class's skill"))</f>
        <v/>
      </c>
    </row>
    <row r="1034" customFormat="false" ht="15" hidden="false" customHeight="false" outlineLevel="0" collapsed="false">
      <c r="A1034" s="23"/>
      <c r="B1034" s="22"/>
      <c r="C1034" s="22"/>
      <c r="D1034" s="22"/>
      <c r="E1034" s="22"/>
      <c r="F1034" s="27" t="str">
        <f aca="false">IF(B1034="","",IFERROR(INDEX(Roster!$B$5:$B$154,MATCH(B1034,Roster!$A$5:$A$154,0)),"Not on roster"))</f>
        <v/>
      </c>
      <c r="G1034" s="28" t="str">
        <f aca="false">IF(OR(B1034="",C1034=""),"",F1034&amp;" | "&amp;C1034)</f>
        <v/>
      </c>
      <c r="H1034" s="27" t="str">
        <f aca="false">IF(G1034="","",IFERROR(INDEX(Levels!$C$5:$C$94,MATCH(G1034,Levels!$G$5:$G$94,0)),"Not this class's skill"))</f>
        <v/>
      </c>
    </row>
    <row r="1035" customFormat="false" ht="15" hidden="false" customHeight="false" outlineLevel="0" collapsed="false">
      <c r="A1035" s="23"/>
      <c r="B1035" s="22"/>
      <c r="C1035" s="22"/>
      <c r="D1035" s="22"/>
      <c r="E1035" s="22"/>
      <c r="F1035" s="27" t="str">
        <f aca="false">IF(B1035="","",IFERROR(INDEX(Roster!$B$5:$B$154,MATCH(B1035,Roster!$A$5:$A$154,0)),"Not on roster"))</f>
        <v/>
      </c>
      <c r="G1035" s="28" t="str">
        <f aca="false">IF(OR(B1035="",C1035=""),"",F1035&amp;" | "&amp;C1035)</f>
        <v/>
      </c>
      <c r="H1035" s="27" t="str">
        <f aca="false">IF(G1035="","",IFERROR(INDEX(Levels!$C$5:$C$94,MATCH(G1035,Levels!$G$5:$G$94,0)),"Not this class's skill"))</f>
        <v/>
      </c>
    </row>
    <row r="1036" customFormat="false" ht="15" hidden="false" customHeight="false" outlineLevel="0" collapsed="false">
      <c r="A1036" s="23"/>
      <c r="B1036" s="22"/>
      <c r="C1036" s="22"/>
      <c r="D1036" s="22"/>
      <c r="E1036" s="22"/>
      <c r="F1036" s="27" t="str">
        <f aca="false">IF(B1036="","",IFERROR(INDEX(Roster!$B$5:$B$154,MATCH(B1036,Roster!$A$5:$A$154,0)),"Not on roster"))</f>
        <v/>
      </c>
      <c r="G1036" s="28" t="str">
        <f aca="false">IF(OR(B1036="",C1036=""),"",F1036&amp;" | "&amp;C1036)</f>
        <v/>
      </c>
      <c r="H1036" s="27" t="str">
        <f aca="false">IF(G1036="","",IFERROR(INDEX(Levels!$C$5:$C$94,MATCH(G1036,Levels!$G$5:$G$94,0)),"Not this class's skill"))</f>
        <v/>
      </c>
    </row>
    <row r="1037" customFormat="false" ht="15" hidden="false" customHeight="false" outlineLevel="0" collapsed="false">
      <c r="A1037" s="23"/>
      <c r="B1037" s="22"/>
      <c r="C1037" s="22"/>
      <c r="D1037" s="22"/>
      <c r="E1037" s="22"/>
      <c r="F1037" s="27" t="str">
        <f aca="false">IF(B1037="","",IFERROR(INDEX(Roster!$B$5:$B$154,MATCH(B1037,Roster!$A$5:$A$154,0)),"Not on roster"))</f>
        <v/>
      </c>
      <c r="G1037" s="28" t="str">
        <f aca="false">IF(OR(B1037="",C1037=""),"",F1037&amp;" | "&amp;C1037)</f>
        <v/>
      </c>
      <c r="H1037" s="27" t="str">
        <f aca="false">IF(G1037="","",IFERROR(INDEX(Levels!$C$5:$C$94,MATCH(G1037,Levels!$G$5:$G$94,0)),"Not this class's skill"))</f>
        <v/>
      </c>
    </row>
    <row r="1038" customFormat="false" ht="15" hidden="false" customHeight="false" outlineLevel="0" collapsed="false">
      <c r="A1038" s="23"/>
      <c r="B1038" s="22"/>
      <c r="C1038" s="22"/>
      <c r="D1038" s="22"/>
      <c r="E1038" s="22"/>
      <c r="F1038" s="27" t="str">
        <f aca="false">IF(B1038="","",IFERROR(INDEX(Roster!$B$5:$B$154,MATCH(B1038,Roster!$A$5:$A$154,0)),"Not on roster"))</f>
        <v/>
      </c>
      <c r="G1038" s="28" t="str">
        <f aca="false">IF(OR(B1038="",C1038=""),"",F1038&amp;" | "&amp;C1038)</f>
        <v/>
      </c>
      <c r="H1038" s="27" t="str">
        <f aca="false">IF(G1038="","",IFERROR(INDEX(Levels!$C$5:$C$94,MATCH(G1038,Levels!$G$5:$G$94,0)),"Not this class's skill"))</f>
        <v/>
      </c>
    </row>
    <row r="1039" customFormat="false" ht="15" hidden="false" customHeight="false" outlineLevel="0" collapsed="false">
      <c r="A1039" s="23"/>
      <c r="B1039" s="22"/>
      <c r="C1039" s="22"/>
      <c r="D1039" s="22"/>
      <c r="E1039" s="22"/>
      <c r="F1039" s="27" t="str">
        <f aca="false">IF(B1039="","",IFERROR(INDEX(Roster!$B$5:$B$154,MATCH(B1039,Roster!$A$5:$A$154,0)),"Not on roster"))</f>
        <v/>
      </c>
      <c r="G1039" s="28" t="str">
        <f aca="false">IF(OR(B1039="",C1039=""),"",F1039&amp;" | "&amp;C1039)</f>
        <v/>
      </c>
      <c r="H1039" s="27" t="str">
        <f aca="false">IF(G1039="","",IFERROR(INDEX(Levels!$C$5:$C$94,MATCH(G1039,Levels!$G$5:$G$94,0)),"Not this class's skill"))</f>
        <v/>
      </c>
    </row>
    <row r="1040" customFormat="false" ht="15" hidden="false" customHeight="false" outlineLevel="0" collapsed="false">
      <c r="A1040" s="23"/>
      <c r="B1040" s="22"/>
      <c r="C1040" s="22"/>
      <c r="D1040" s="22"/>
      <c r="E1040" s="22"/>
      <c r="F1040" s="27" t="str">
        <f aca="false">IF(B1040="","",IFERROR(INDEX(Roster!$B$5:$B$154,MATCH(B1040,Roster!$A$5:$A$154,0)),"Not on roster"))</f>
        <v/>
      </c>
      <c r="G1040" s="28" t="str">
        <f aca="false">IF(OR(B1040="",C1040=""),"",F1040&amp;" | "&amp;C1040)</f>
        <v/>
      </c>
      <c r="H1040" s="27" t="str">
        <f aca="false">IF(G1040="","",IFERROR(INDEX(Levels!$C$5:$C$94,MATCH(G1040,Levels!$G$5:$G$94,0)),"Not this class's skill"))</f>
        <v/>
      </c>
    </row>
    <row r="1041" customFormat="false" ht="15" hidden="false" customHeight="false" outlineLevel="0" collapsed="false">
      <c r="A1041" s="23"/>
      <c r="B1041" s="22"/>
      <c r="C1041" s="22"/>
      <c r="D1041" s="22"/>
      <c r="E1041" s="22"/>
      <c r="F1041" s="27" t="str">
        <f aca="false">IF(B1041="","",IFERROR(INDEX(Roster!$B$5:$B$154,MATCH(B1041,Roster!$A$5:$A$154,0)),"Not on roster"))</f>
        <v/>
      </c>
      <c r="G1041" s="28" t="str">
        <f aca="false">IF(OR(B1041="",C1041=""),"",F1041&amp;" | "&amp;C1041)</f>
        <v/>
      </c>
      <c r="H1041" s="27" t="str">
        <f aca="false">IF(G1041="","",IFERROR(INDEX(Levels!$C$5:$C$94,MATCH(G1041,Levels!$G$5:$G$94,0)),"Not this class's skill"))</f>
        <v/>
      </c>
    </row>
    <row r="1042" customFormat="false" ht="15" hidden="false" customHeight="false" outlineLevel="0" collapsed="false">
      <c r="A1042" s="23"/>
      <c r="B1042" s="22"/>
      <c r="C1042" s="22"/>
      <c r="D1042" s="22"/>
      <c r="E1042" s="22"/>
      <c r="F1042" s="27" t="str">
        <f aca="false">IF(B1042="","",IFERROR(INDEX(Roster!$B$5:$B$154,MATCH(B1042,Roster!$A$5:$A$154,0)),"Not on roster"))</f>
        <v/>
      </c>
      <c r="G1042" s="28" t="str">
        <f aca="false">IF(OR(B1042="",C1042=""),"",F1042&amp;" | "&amp;C1042)</f>
        <v/>
      </c>
      <c r="H1042" s="27" t="str">
        <f aca="false">IF(G1042="","",IFERROR(INDEX(Levels!$C$5:$C$94,MATCH(G1042,Levels!$G$5:$G$94,0)),"Not this class's skill"))</f>
        <v/>
      </c>
    </row>
    <row r="1043" customFormat="false" ht="15" hidden="false" customHeight="false" outlineLevel="0" collapsed="false">
      <c r="A1043" s="23"/>
      <c r="B1043" s="22"/>
      <c r="C1043" s="22"/>
      <c r="D1043" s="22"/>
      <c r="E1043" s="22"/>
      <c r="F1043" s="27" t="str">
        <f aca="false">IF(B1043="","",IFERROR(INDEX(Roster!$B$5:$B$154,MATCH(B1043,Roster!$A$5:$A$154,0)),"Not on roster"))</f>
        <v/>
      </c>
      <c r="G1043" s="28" t="str">
        <f aca="false">IF(OR(B1043="",C1043=""),"",F1043&amp;" | "&amp;C1043)</f>
        <v/>
      </c>
      <c r="H1043" s="27" t="str">
        <f aca="false">IF(G1043="","",IFERROR(INDEX(Levels!$C$5:$C$94,MATCH(G1043,Levels!$G$5:$G$94,0)),"Not this class's skill"))</f>
        <v/>
      </c>
    </row>
    <row r="1044" customFormat="false" ht="15" hidden="false" customHeight="false" outlineLevel="0" collapsed="false">
      <c r="A1044" s="23"/>
      <c r="B1044" s="22"/>
      <c r="C1044" s="22"/>
      <c r="D1044" s="22"/>
      <c r="E1044" s="22"/>
      <c r="F1044" s="27" t="str">
        <f aca="false">IF(B1044="","",IFERROR(INDEX(Roster!$B$5:$B$154,MATCH(B1044,Roster!$A$5:$A$154,0)),"Not on roster"))</f>
        <v/>
      </c>
      <c r="G1044" s="28" t="str">
        <f aca="false">IF(OR(B1044="",C1044=""),"",F1044&amp;" | "&amp;C1044)</f>
        <v/>
      </c>
      <c r="H1044" s="27" t="str">
        <f aca="false">IF(G1044="","",IFERROR(INDEX(Levels!$C$5:$C$94,MATCH(G1044,Levels!$G$5:$G$94,0)),"Not this class's skill"))</f>
        <v/>
      </c>
    </row>
    <row r="1045" customFormat="false" ht="15" hidden="false" customHeight="false" outlineLevel="0" collapsed="false">
      <c r="A1045" s="23"/>
      <c r="B1045" s="22"/>
      <c r="C1045" s="22"/>
      <c r="D1045" s="22"/>
      <c r="E1045" s="22"/>
      <c r="F1045" s="27" t="str">
        <f aca="false">IF(B1045="","",IFERROR(INDEX(Roster!$B$5:$B$154,MATCH(B1045,Roster!$A$5:$A$154,0)),"Not on roster"))</f>
        <v/>
      </c>
      <c r="G1045" s="28" t="str">
        <f aca="false">IF(OR(B1045="",C1045=""),"",F1045&amp;" | "&amp;C1045)</f>
        <v/>
      </c>
      <c r="H1045" s="27" t="str">
        <f aca="false">IF(G1045="","",IFERROR(INDEX(Levels!$C$5:$C$94,MATCH(G1045,Levels!$G$5:$G$94,0)),"Not this class's skill"))</f>
        <v/>
      </c>
    </row>
    <row r="1046" customFormat="false" ht="15" hidden="false" customHeight="false" outlineLevel="0" collapsed="false">
      <c r="A1046" s="23"/>
      <c r="B1046" s="22"/>
      <c r="C1046" s="22"/>
      <c r="D1046" s="22"/>
      <c r="E1046" s="22"/>
      <c r="F1046" s="27" t="str">
        <f aca="false">IF(B1046="","",IFERROR(INDEX(Roster!$B$5:$B$154,MATCH(B1046,Roster!$A$5:$A$154,0)),"Not on roster"))</f>
        <v/>
      </c>
      <c r="G1046" s="28" t="str">
        <f aca="false">IF(OR(B1046="",C1046=""),"",F1046&amp;" | "&amp;C1046)</f>
        <v/>
      </c>
      <c r="H1046" s="27" t="str">
        <f aca="false">IF(G1046="","",IFERROR(INDEX(Levels!$C$5:$C$94,MATCH(G1046,Levels!$G$5:$G$94,0)),"Not this class's skill"))</f>
        <v/>
      </c>
    </row>
    <row r="1047" customFormat="false" ht="15" hidden="false" customHeight="false" outlineLevel="0" collapsed="false">
      <c r="A1047" s="23"/>
      <c r="B1047" s="22"/>
      <c r="C1047" s="22"/>
      <c r="D1047" s="22"/>
      <c r="E1047" s="22"/>
      <c r="F1047" s="27" t="str">
        <f aca="false">IF(B1047="","",IFERROR(INDEX(Roster!$B$5:$B$154,MATCH(B1047,Roster!$A$5:$A$154,0)),"Not on roster"))</f>
        <v/>
      </c>
      <c r="G1047" s="28" t="str">
        <f aca="false">IF(OR(B1047="",C1047=""),"",F1047&amp;" | "&amp;C1047)</f>
        <v/>
      </c>
      <c r="H1047" s="27" t="str">
        <f aca="false">IF(G1047="","",IFERROR(INDEX(Levels!$C$5:$C$94,MATCH(G1047,Levels!$G$5:$G$94,0)),"Not this class's skill"))</f>
        <v/>
      </c>
    </row>
    <row r="1048" customFormat="false" ht="15" hidden="false" customHeight="false" outlineLevel="0" collapsed="false">
      <c r="A1048" s="23"/>
      <c r="B1048" s="22"/>
      <c r="C1048" s="22"/>
      <c r="D1048" s="22"/>
      <c r="E1048" s="22"/>
      <c r="F1048" s="27" t="str">
        <f aca="false">IF(B1048="","",IFERROR(INDEX(Roster!$B$5:$B$154,MATCH(B1048,Roster!$A$5:$A$154,0)),"Not on roster"))</f>
        <v/>
      </c>
      <c r="G1048" s="28" t="str">
        <f aca="false">IF(OR(B1048="",C1048=""),"",F1048&amp;" | "&amp;C1048)</f>
        <v/>
      </c>
      <c r="H1048" s="27" t="str">
        <f aca="false">IF(G1048="","",IFERROR(INDEX(Levels!$C$5:$C$94,MATCH(G1048,Levels!$G$5:$G$94,0)),"Not this class's skill"))</f>
        <v/>
      </c>
    </row>
    <row r="1049" customFormat="false" ht="15" hidden="false" customHeight="false" outlineLevel="0" collapsed="false">
      <c r="A1049" s="23"/>
      <c r="B1049" s="22"/>
      <c r="C1049" s="22"/>
      <c r="D1049" s="22"/>
      <c r="E1049" s="22"/>
      <c r="F1049" s="27" t="str">
        <f aca="false">IF(B1049="","",IFERROR(INDEX(Roster!$B$5:$B$154,MATCH(B1049,Roster!$A$5:$A$154,0)),"Not on roster"))</f>
        <v/>
      </c>
      <c r="G1049" s="28" t="str">
        <f aca="false">IF(OR(B1049="",C1049=""),"",F1049&amp;" | "&amp;C1049)</f>
        <v/>
      </c>
      <c r="H1049" s="27" t="str">
        <f aca="false">IF(G1049="","",IFERROR(INDEX(Levels!$C$5:$C$94,MATCH(G1049,Levels!$G$5:$G$94,0)),"Not this class's skill"))</f>
        <v/>
      </c>
    </row>
    <row r="1050" customFormat="false" ht="15" hidden="false" customHeight="false" outlineLevel="0" collapsed="false">
      <c r="A1050" s="23"/>
      <c r="B1050" s="22"/>
      <c r="C1050" s="22"/>
      <c r="D1050" s="22"/>
      <c r="E1050" s="22"/>
      <c r="F1050" s="27" t="str">
        <f aca="false">IF(B1050="","",IFERROR(INDEX(Roster!$B$5:$B$154,MATCH(B1050,Roster!$A$5:$A$154,0)),"Not on roster"))</f>
        <v/>
      </c>
      <c r="G1050" s="28" t="str">
        <f aca="false">IF(OR(B1050="",C1050=""),"",F1050&amp;" | "&amp;C1050)</f>
        <v/>
      </c>
      <c r="H1050" s="27" t="str">
        <f aca="false">IF(G1050="","",IFERROR(INDEX(Levels!$C$5:$C$94,MATCH(G1050,Levels!$G$5:$G$94,0)),"Not this class's skill"))</f>
        <v/>
      </c>
    </row>
    <row r="1051" customFormat="false" ht="15" hidden="false" customHeight="false" outlineLevel="0" collapsed="false">
      <c r="A1051" s="23"/>
      <c r="B1051" s="22"/>
      <c r="C1051" s="22"/>
      <c r="D1051" s="22"/>
      <c r="E1051" s="22"/>
      <c r="F1051" s="27" t="str">
        <f aca="false">IF(B1051="","",IFERROR(INDEX(Roster!$B$5:$B$154,MATCH(B1051,Roster!$A$5:$A$154,0)),"Not on roster"))</f>
        <v/>
      </c>
      <c r="G1051" s="28" t="str">
        <f aca="false">IF(OR(B1051="",C1051=""),"",F1051&amp;" | "&amp;C1051)</f>
        <v/>
      </c>
      <c r="H1051" s="27" t="str">
        <f aca="false">IF(G1051="","",IFERROR(INDEX(Levels!$C$5:$C$94,MATCH(G1051,Levels!$G$5:$G$94,0)),"Not this class's skill"))</f>
        <v/>
      </c>
    </row>
    <row r="1052" customFormat="false" ht="15" hidden="false" customHeight="false" outlineLevel="0" collapsed="false">
      <c r="A1052" s="23"/>
      <c r="B1052" s="22"/>
      <c r="C1052" s="22"/>
      <c r="D1052" s="22"/>
      <c r="E1052" s="22"/>
      <c r="F1052" s="27" t="str">
        <f aca="false">IF(B1052="","",IFERROR(INDEX(Roster!$B$5:$B$154,MATCH(B1052,Roster!$A$5:$A$154,0)),"Not on roster"))</f>
        <v/>
      </c>
      <c r="G1052" s="28" t="str">
        <f aca="false">IF(OR(B1052="",C1052=""),"",F1052&amp;" | "&amp;C1052)</f>
        <v/>
      </c>
      <c r="H1052" s="27" t="str">
        <f aca="false">IF(G1052="","",IFERROR(INDEX(Levels!$C$5:$C$94,MATCH(G1052,Levels!$G$5:$G$94,0)),"Not this class's skill"))</f>
        <v/>
      </c>
    </row>
    <row r="1053" customFormat="false" ht="15" hidden="false" customHeight="false" outlineLevel="0" collapsed="false">
      <c r="A1053" s="23"/>
      <c r="B1053" s="22"/>
      <c r="C1053" s="22"/>
      <c r="D1053" s="22"/>
      <c r="E1053" s="22"/>
      <c r="F1053" s="27" t="str">
        <f aca="false">IF(B1053="","",IFERROR(INDEX(Roster!$B$5:$B$154,MATCH(B1053,Roster!$A$5:$A$154,0)),"Not on roster"))</f>
        <v/>
      </c>
      <c r="G1053" s="28" t="str">
        <f aca="false">IF(OR(B1053="",C1053=""),"",F1053&amp;" | "&amp;C1053)</f>
        <v/>
      </c>
      <c r="H1053" s="27" t="str">
        <f aca="false">IF(G1053="","",IFERROR(INDEX(Levels!$C$5:$C$94,MATCH(G1053,Levels!$G$5:$G$94,0)),"Not this class's skill"))</f>
        <v/>
      </c>
    </row>
    <row r="1054" customFormat="false" ht="15" hidden="false" customHeight="false" outlineLevel="0" collapsed="false">
      <c r="A1054" s="23"/>
      <c r="B1054" s="22"/>
      <c r="C1054" s="22"/>
      <c r="D1054" s="22"/>
      <c r="E1054" s="22"/>
      <c r="F1054" s="27" t="str">
        <f aca="false">IF(B1054="","",IFERROR(INDEX(Roster!$B$5:$B$154,MATCH(B1054,Roster!$A$5:$A$154,0)),"Not on roster"))</f>
        <v/>
      </c>
      <c r="G1054" s="28" t="str">
        <f aca="false">IF(OR(B1054="",C1054=""),"",F1054&amp;" | "&amp;C1054)</f>
        <v/>
      </c>
      <c r="H1054" s="27" t="str">
        <f aca="false">IF(G1054="","",IFERROR(INDEX(Levels!$C$5:$C$94,MATCH(G1054,Levels!$G$5:$G$94,0)),"Not this class's skill"))</f>
        <v/>
      </c>
    </row>
    <row r="1055" customFormat="false" ht="15" hidden="false" customHeight="false" outlineLevel="0" collapsed="false">
      <c r="A1055" s="23"/>
      <c r="B1055" s="22"/>
      <c r="C1055" s="22"/>
      <c r="D1055" s="22"/>
      <c r="E1055" s="22"/>
      <c r="F1055" s="27" t="str">
        <f aca="false">IF(B1055="","",IFERROR(INDEX(Roster!$B$5:$B$154,MATCH(B1055,Roster!$A$5:$A$154,0)),"Not on roster"))</f>
        <v/>
      </c>
      <c r="G1055" s="28" t="str">
        <f aca="false">IF(OR(B1055="",C1055=""),"",F1055&amp;" | "&amp;C1055)</f>
        <v/>
      </c>
      <c r="H1055" s="27" t="str">
        <f aca="false">IF(G1055="","",IFERROR(INDEX(Levels!$C$5:$C$94,MATCH(G1055,Levels!$G$5:$G$94,0)),"Not this class's skill"))</f>
        <v/>
      </c>
    </row>
    <row r="1056" customFormat="false" ht="15" hidden="false" customHeight="false" outlineLevel="0" collapsed="false">
      <c r="A1056" s="23"/>
      <c r="B1056" s="22"/>
      <c r="C1056" s="22"/>
      <c r="D1056" s="22"/>
      <c r="E1056" s="22"/>
      <c r="F1056" s="27" t="str">
        <f aca="false">IF(B1056="","",IFERROR(INDEX(Roster!$B$5:$B$154,MATCH(B1056,Roster!$A$5:$A$154,0)),"Not on roster"))</f>
        <v/>
      </c>
      <c r="G1056" s="28" t="str">
        <f aca="false">IF(OR(B1056="",C1056=""),"",F1056&amp;" | "&amp;C1056)</f>
        <v/>
      </c>
      <c r="H1056" s="27" t="str">
        <f aca="false">IF(G1056="","",IFERROR(INDEX(Levels!$C$5:$C$94,MATCH(G1056,Levels!$G$5:$G$94,0)),"Not this class's skill"))</f>
        <v/>
      </c>
    </row>
    <row r="1057" customFormat="false" ht="15" hidden="false" customHeight="false" outlineLevel="0" collapsed="false">
      <c r="A1057" s="23"/>
      <c r="B1057" s="22"/>
      <c r="C1057" s="22"/>
      <c r="D1057" s="22"/>
      <c r="E1057" s="22"/>
      <c r="F1057" s="27" t="str">
        <f aca="false">IF(B1057="","",IFERROR(INDEX(Roster!$B$5:$B$154,MATCH(B1057,Roster!$A$5:$A$154,0)),"Not on roster"))</f>
        <v/>
      </c>
      <c r="G1057" s="28" t="str">
        <f aca="false">IF(OR(B1057="",C1057=""),"",F1057&amp;" | "&amp;C1057)</f>
        <v/>
      </c>
      <c r="H1057" s="27" t="str">
        <f aca="false">IF(G1057="","",IFERROR(INDEX(Levels!$C$5:$C$94,MATCH(G1057,Levels!$G$5:$G$94,0)),"Not this class's skill"))</f>
        <v/>
      </c>
    </row>
    <row r="1058" customFormat="false" ht="15" hidden="false" customHeight="false" outlineLevel="0" collapsed="false">
      <c r="A1058" s="23"/>
      <c r="B1058" s="22"/>
      <c r="C1058" s="22"/>
      <c r="D1058" s="22"/>
      <c r="E1058" s="22"/>
      <c r="F1058" s="27" t="str">
        <f aca="false">IF(B1058="","",IFERROR(INDEX(Roster!$B$5:$B$154,MATCH(B1058,Roster!$A$5:$A$154,0)),"Not on roster"))</f>
        <v/>
      </c>
      <c r="G1058" s="28" t="str">
        <f aca="false">IF(OR(B1058="",C1058=""),"",F1058&amp;" | "&amp;C1058)</f>
        <v/>
      </c>
      <c r="H1058" s="27" t="str">
        <f aca="false">IF(G1058="","",IFERROR(INDEX(Levels!$C$5:$C$94,MATCH(G1058,Levels!$G$5:$G$94,0)),"Not this class's skill"))</f>
        <v/>
      </c>
    </row>
    <row r="1059" customFormat="false" ht="15" hidden="false" customHeight="false" outlineLevel="0" collapsed="false">
      <c r="A1059" s="23"/>
      <c r="B1059" s="22"/>
      <c r="C1059" s="22"/>
      <c r="D1059" s="22"/>
      <c r="E1059" s="22"/>
      <c r="F1059" s="27" t="str">
        <f aca="false">IF(B1059="","",IFERROR(INDEX(Roster!$B$5:$B$154,MATCH(B1059,Roster!$A$5:$A$154,0)),"Not on roster"))</f>
        <v/>
      </c>
      <c r="G1059" s="28" t="str">
        <f aca="false">IF(OR(B1059="",C1059=""),"",F1059&amp;" | "&amp;C1059)</f>
        <v/>
      </c>
      <c r="H1059" s="27" t="str">
        <f aca="false">IF(G1059="","",IFERROR(INDEX(Levels!$C$5:$C$94,MATCH(G1059,Levels!$G$5:$G$94,0)),"Not this class's skill"))</f>
        <v/>
      </c>
    </row>
    <row r="1060" customFormat="false" ht="15" hidden="false" customHeight="false" outlineLevel="0" collapsed="false">
      <c r="A1060" s="23"/>
      <c r="B1060" s="22"/>
      <c r="C1060" s="22"/>
      <c r="D1060" s="22"/>
      <c r="E1060" s="22"/>
      <c r="F1060" s="27" t="str">
        <f aca="false">IF(B1060="","",IFERROR(INDEX(Roster!$B$5:$B$154,MATCH(B1060,Roster!$A$5:$A$154,0)),"Not on roster"))</f>
        <v/>
      </c>
      <c r="G1060" s="28" t="str">
        <f aca="false">IF(OR(B1060="",C1060=""),"",F1060&amp;" | "&amp;C1060)</f>
        <v/>
      </c>
      <c r="H1060" s="27" t="str">
        <f aca="false">IF(G1060="","",IFERROR(INDEX(Levels!$C$5:$C$94,MATCH(G1060,Levels!$G$5:$G$94,0)),"Not this class's skill"))</f>
        <v/>
      </c>
    </row>
    <row r="1061" customFormat="false" ht="15" hidden="false" customHeight="false" outlineLevel="0" collapsed="false">
      <c r="A1061" s="23"/>
      <c r="B1061" s="22"/>
      <c r="C1061" s="22"/>
      <c r="D1061" s="22"/>
      <c r="E1061" s="22"/>
      <c r="F1061" s="27" t="str">
        <f aca="false">IF(B1061="","",IFERROR(INDEX(Roster!$B$5:$B$154,MATCH(B1061,Roster!$A$5:$A$154,0)),"Not on roster"))</f>
        <v/>
      </c>
      <c r="G1061" s="28" t="str">
        <f aca="false">IF(OR(B1061="",C1061=""),"",F1061&amp;" | "&amp;C1061)</f>
        <v/>
      </c>
      <c r="H1061" s="27" t="str">
        <f aca="false">IF(G1061="","",IFERROR(INDEX(Levels!$C$5:$C$94,MATCH(G1061,Levels!$G$5:$G$94,0)),"Not this class's skill"))</f>
        <v/>
      </c>
    </row>
    <row r="1062" customFormat="false" ht="15" hidden="false" customHeight="false" outlineLevel="0" collapsed="false">
      <c r="A1062" s="23"/>
      <c r="B1062" s="22"/>
      <c r="C1062" s="22"/>
      <c r="D1062" s="22"/>
      <c r="E1062" s="22"/>
      <c r="F1062" s="27" t="str">
        <f aca="false">IF(B1062="","",IFERROR(INDEX(Roster!$B$5:$B$154,MATCH(B1062,Roster!$A$5:$A$154,0)),"Not on roster"))</f>
        <v/>
      </c>
      <c r="G1062" s="28" t="str">
        <f aca="false">IF(OR(B1062="",C1062=""),"",F1062&amp;" | "&amp;C1062)</f>
        <v/>
      </c>
      <c r="H1062" s="27" t="str">
        <f aca="false">IF(G1062="","",IFERROR(INDEX(Levels!$C$5:$C$94,MATCH(G1062,Levels!$G$5:$G$94,0)),"Not this class's skill"))</f>
        <v/>
      </c>
    </row>
    <row r="1063" customFormat="false" ht="15" hidden="false" customHeight="false" outlineLevel="0" collapsed="false">
      <c r="A1063" s="23"/>
      <c r="B1063" s="22"/>
      <c r="C1063" s="22"/>
      <c r="D1063" s="22"/>
      <c r="E1063" s="22"/>
      <c r="F1063" s="27" t="str">
        <f aca="false">IF(B1063="","",IFERROR(INDEX(Roster!$B$5:$B$154,MATCH(B1063,Roster!$A$5:$A$154,0)),"Not on roster"))</f>
        <v/>
      </c>
      <c r="G1063" s="28" t="str">
        <f aca="false">IF(OR(B1063="",C1063=""),"",F1063&amp;" | "&amp;C1063)</f>
        <v/>
      </c>
      <c r="H1063" s="27" t="str">
        <f aca="false">IF(G1063="","",IFERROR(INDEX(Levels!$C$5:$C$94,MATCH(G1063,Levels!$G$5:$G$94,0)),"Not this class's skill"))</f>
        <v/>
      </c>
    </row>
    <row r="1064" customFormat="false" ht="15" hidden="false" customHeight="false" outlineLevel="0" collapsed="false">
      <c r="A1064" s="23"/>
      <c r="B1064" s="22"/>
      <c r="C1064" s="22"/>
      <c r="D1064" s="22"/>
      <c r="E1064" s="22"/>
      <c r="F1064" s="27" t="str">
        <f aca="false">IF(B1064="","",IFERROR(INDEX(Roster!$B$5:$B$154,MATCH(B1064,Roster!$A$5:$A$154,0)),"Not on roster"))</f>
        <v/>
      </c>
      <c r="G1064" s="28" t="str">
        <f aca="false">IF(OR(B1064="",C1064=""),"",F1064&amp;" | "&amp;C1064)</f>
        <v/>
      </c>
      <c r="H1064" s="27" t="str">
        <f aca="false">IF(G1064="","",IFERROR(INDEX(Levels!$C$5:$C$94,MATCH(G1064,Levels!$G$5:$G$94,0)),"Not this class's skill"))</f>
        <v/>
      </c>
    </row>
    <row r="1065" customFormat="false" ht="15" hidden="false" customHeight="false" outlineLevel="0" collapsed="false">
      <c r="A1065" s="23"/>
      <c r="B1065" s="22"/>
      <c r="C1065" s="22"/>
      <c r="D1065" s="22"/>
      <c r="E1065" s="22"/>
      <c r="F1065" s="27" t="str">
        <f aca="false">IF(B1065="","",IFERROR(INDEX(Roster!$B$5:$B$154,MATCH(B1065,Roster!$A$5:$A$154,0)),"Not on roster"))</f>
        <v/>
      </c>
      <c r="G1065" s="28" t="str">
        <f aca="false">IF(OR(B1065="",C1065=""),"",F1065&amp;" | "&amp;C1065)</f>
        <v/>
      </c>
      <c r="H1065" s="27" t="str">
        <f aca="false">IF(G1065="","",IFERROR(INDEX(Levels!$C$5:$C$94,MATCH(G1065,Levels!$G$5:$G$94,0)),"Not this class's skill"))</f>
        <v/>
      </c>
    </row>
    <row r="1066" customFormat="false" ht="15" hidden="false" customHeight="false" outlineLevel="0" collapsed="false">
      <c r="A1066" s="23"/>
      <c r="B1066" s="22"/>
      <c r="C1066" s="22"/>
      <c r="D1066" s="22"/>
      <c r="E1066" s="22"/>
      <c r="F1066" s="27" t="str">
        <f aca="false">IF(B1066="","",IFERROR(INDEX(Roster!$B$5:$B$154,MATCH(B1066,Roster!$A$5:$A$154,0)),"Not on roster"))</f>
        <v/>
      </c>
      <c r="G1066" s="28" t="str">
        <f aca="false">IF(OR(B1066="",C1066=""),"",F1066&amp;" | "&amp;C1066)</f>
        <v/>
      </c>
      <c r="H1066" s="27" t="str">
        <f aca="false">IF(G1066="","",IFERROR(INDEX(Levels!$C$5:$C$94,MATCH(G1066,Levels!$G$5:$G$94,0)),"Not this class's skill"))</f>
        <v/>
      </c>
    </row>
    <row r="1067" customFormat="false" ht="15" hidden="false" customHeight="false" outlineLevel="0" collapsed="false">
      <c r="A1067" s="23"/>
      <c r="B1067" s="22"/>
      <c r="C1067" s="22"/>
      <c r="D1067" s="22"/>
      <c r="E1067" s="22"/>
      <c r="F1067" s="27" t="str">
        <f aca="false">IF(B1067="","",IFERROR(INDEX(Roster!$B$5:$B$154,MATCH(B1067,Roster!$A$5:$A$154,0)),"Not on roster"))</f>
        <v/>
      </c>
      <c r="G1067" s="28" t="str">
        <f aca="false">IF(OR(B1067="",C1067=""),"",F1067&amp;" | "&amp;C1067)</f>
        <v/>
      </c>
      <c r="H1067" s="27" t="str">
        <f aca="false">IF(G1067="","",IFERROR(INDEX(Levels!$C$5:$C$94,MATCH(G1067,Levels!$G$5:$G$94,0)),"Not this class's skill"))</f>
        <v/>
      </c>
    </row>
    <row r="1068" customFormat="false" ht="15" hidden="false" customHeight="false" outlineLevel="0" collapsed="false">
      <c r="A1068" s="23"/>
      <c r="B1068" s="22"/>
      <c r="C1068" s="22"/>
      <c r="D1068" s="22"/>
      <c r="E1068" s="22"/>
      <c r="F1068" s="27" t="str">
        <f aca="false">IF(B1068="","",IFERROR(INDEX(Roster!$B$5:$B$154,MATCH(B1068,Roster!$A$5:$A$154,0)),"Not on roster"))</f>
        <v/>
      </c>
      <c r="G1068" s="28" t="str">
        <f aca="false">IF(OR(B1068="",C1068=""),"",F1068&amp;" | "&amp;C1068)</f>
        <v/>
      </c>
      <c r="H1068" s="27" t="str">
        <f aca="false">IF(G1068="","",IFERROR(INDEX(Levels!$C$5:$C$94,MATCH(G1068,Levels!$G$5:$G$94,0)),"Not this class's skill"))</f>
        <v/>
      </c>
    </row>
    <row r="1069" customFormat="false" ht="15" hidden="false" customHeight="false" outlineLevel="0" collapsed="false">
      <c r="A1069" s="23"/>
      <c r="B1069" s="22"/>
      <c r="C1069" s="22"/>
      <c r="D1069" s="22"/>
      <c r="E1069" s="22"/>
      <c r="F1069" s="27" t="str">
        <f aca="false">IF(B1069="","",IFERROR(INDEX(Roster!$B$5:$B$154,MATCH(B1069,Roster!$A$5:$A$154,0)),"Not on roster"))</f>
        <v/>
      </c>
      <c r="G1069" s="28" t="str">
        <f aca="false">IF(OR(B1069="",C1069=""),"",F1069&amp;" | "&amp;C1069)</f>
        <v/>
      </c>
      <c r="H1069" s="27" t="str">
        <f aca="false">IF(G1069="","",IFERROR(INDEX(Levels!$C$5:$C$94,MATCH(G1069,Levels!$G$5:$G$94,0)),"Not this class's skill"))</f>
        <v/>
      </c>
    </row>
    <row r="1070" customFormat="false" ht="15" hidden="false" customHeight="false" outlineLevel="0" collapsed="false">
      <c r="A1070" s="23"/>
      <c r="B1070" s="22"/>
      <c r="C1070" s="22"/>
      <c r="D1070" s="22"/>
      <c r="E1070" s="22"/>
      <c r="F1070" s="27" t="str">
        <f aca="false">IF(B1070="","",IFERROR(INDEX(Roster!$B$5:$B$154,MATCH(B1070,Roster!$A$5:$A$154,0)),"Not on roster"))</f>
        <v/>
      </c>
      <c r="G1070" s="28" t="str">
        <f aca="false">IF(OR(B1070="",C1070=""),"",F1070&amp;" | "&amp;C1070)</f>
        <v/>
      </c>
      <c r="H1070" s="27" t="str">
        <f aca="false">IF(G1070="","",IFERROR(INDEX(Levels!$C$5:$C$94,MATCH(G1070,Levels!$G$5:$G$94,0)),"Not this class's skill"))</f>
        <v/>
      </c>
    </row>
    <row r="1071" customFormat="false" ht="15" hidden="false" customHeight="false" outlineLevel="0" collapsed="false">
      <c r="A1071" s="23"/>
      <c r="B1071" s="22"/>
      <c r="C1071" s="22"/>
      <c r="D1071" s="22"/>
      <c r="E1071" s="22"/>
      <c r="F1071" s="27" t="str">
        <f aca="false">IF(B1071="","",IFERROR(INDEX(Roster!$B$5:$B$154,MATCH(B1071,Roster!$A$5:$A$154,0)),"Not on roster"))</f>
        <v/>
      </c>
      <c r="G1071" s="28" t="str">
        <f aca="false">IF(OR(B1071="",C1071=""),"",F1071&amp;" | "&amp;C1071)</f>
        <v/>
      </c>
      <c r="H1071" s="27" t="str">
        <f aca="false">IF(G1071="","",IFERROR(INDEX(Levels!$C$5:$C$94,MATCH(G1071,Levels!$G$5:$G$94,0)),"Not this class's skill"))</f>
        <v/>
      </c>
    </row>
    <row r="1072" customFormat="false" ht="15" hidden="false" customHeight="false" outlineLevel="0" collapsed="false">
      <c r="A1072" s="23"/>
      <c r="B1072" s="22"/>
      <c r="C1072" s="22"/>
      <c r="D1072" s="22"/>
      <c r="E1072" s="22"/>
      <c r="F1072" s="27" t="str">
        <f aca="false">IF(B1072="","",IFERROR(INDEX(Roster!$B$5:$B$154,MATCH(B1072,Roster!$A$5:$A$154,0)),"Not on roster"))</f>
        <v/>
      </c>
      <c r="G1072" s="28" t="str">
        <f aca="false">IF(OR(B1072="",C1072=""),"",F1072&amp;" | "&amp;C1072)</f>
        <v/>
      </c>
      <c r="H1072" s="27" t="str">
        <f aca="false">IF(G1072="","",IFERROR(INDEX(Levels!$C$5:$C$94,MATCH(G1072,Levels!$G$5:$G$94,0)),"Not this class's skill"))</f>
        <v/>
      </c>
    </row>
    <row r="1073" customFormat="false" ht="15" hidden="false" customHeight="false" outlineLevel="0" collapsed="false">
      <c r="A1073" s="23"/>
      <c r="B1073" s="22"/>
      <c r="C1073" s="22"/>
      <c r="D1073" s="22"/>
      <c r="E1073" s="22"/>
      <c r="F1073" s="27" t="str">
        <f aca="false">IF(B1073="","",IFERROR(INDEX(Roster!$B$5:$B$154,MATCH(B1073,Roster!$A$5:$A$154,0)),"Not on roster"))</f>
        <v/>
      </c>
      <c r="G1073" s="28" t="str">
        <f aca="false">IF(OR(B1073="",C1073=""),"",F1073&amp;" | "&amp;C1073)</f>
        <v/>
      </c>
      <c r="H1073" s="27" t="str">
        <f aca="false">IF(G1073="","",IFERROR(INDEX(Levels!$C$5:$C$94,MATCH(G1073,Levels!$G$5:$G$94,0)),"Not this class's skill"))</f>
        <v/>
      </c>
    </row>
    <row r="1074" customFormat="false" ht="15" hidden="false" customHeight="false" outlineLevel="0" collapsed="false">
      <c r="A1074" s="23"/>
      <c r="B1074" s="22"/>
      <c r="C1074" s="22"/>
      <c r="D1074" s="22"/>
      <c r="E1074" s="22"/>
      <c r="F1074" s="27" t="str">
        <f aca="false">IF(B1074="","",IFERROR(INDEX(Roster!$B$5:$B$154,MATCH(B1074,Roster!$A$5:$A$154,0)),"Not on roster"))</f>
        <v/>
      </c>
      <c r="G1074" s="28" t="str">
        <f aca="false">IF(OR(B1074="",C1074=""),"",F1074&amp;" | "&amp;C1074)</f>
        <v/>
      </c>
      <c r="H1074" s="27" t="str">
        <f aca="false">IF(G1074="","",IFERROR(INDEX(Levels!$C$5:$C$94,MATCH(G1074,Levels!$G$5:$G$94,0)),"Not this class's skill"))</f>
        <v/>
      </c>
    </row>
    <row r="1075" customFormat="false" ht="15" hidden="false" customHeight="false" outlineLevel="0" collapsed="false">
      <c r="A1075" s="23"/>
      <c r="B1075" s="22"/>
      <c r="C1075" s="22"/>
      <c r="D1075" s="22"/>
      <c r="E1075" s="22"/>
      <c r="F1075" s="27" t="str">
        <f aca="false">IF(B1075="","",IFERROR(INDEX(Roster!$B$5:$B$154,MATCH(B1075,Roster!$A$5:$A$154,0)),"Not on roster"))</f>
        <v/>
      </c>
      <c r="G1075" s="28" t="str">
        <f aca="false">IF(OR(B1075="",C1075=""),"",F1075&amp;" | "&amp;C1075)</f>
        <v/>
      </c>
      <c r="H1075" s="27" t="str">
        <f aca="false">IF(G1075="","",IFERROR(INDEX(Levels!$C$5:$C$94,MATCH(G1075,Levels!$G$5:$G$94,0)),"Not this class's skill"))</f>
        <v/>
      </c>
    </row>
    <row r="1076" customFormat="false" ht="15" hidden="false" customHeight="false" outlineLevel="0" collapsed="false">
      <c r="A1076" s="23"/>
      <c r="B1076" s="22"/>
      <c r="C1076" s="22"/>
      <c r="D1076" s="22"/>
      <c r="E1076" s="22"/>
      <c r="F1076" s="27" t="str">
        <f aca="false">IF(B1076="","",IFERROR(INDEX(Roster!$B$5:$B$154,MATCH(B1076,Roster!$A$5:$A$154,0)),"Not on roster"))</f>
        <v/>
      </c>
      <c r="G1076" s="28" t="str">
        <f aca="false">IF(OR(B1076="",C1076=""),"",F1076&amp;" | "&amp;C1076)</f>
        <v/>
      </c>
      <c r="H1076" s="27" t="str">
        <f aca="false">IF(G1076="","",IFERROR(INDEX(Levels!$C$5:$C$94,MATCH(G1076,Levels!$G$5:$G$94,0)),"Not this class's skill"))</f>
        <v/>
      </c>
    </row>
    <row r="1077" customFormat="false" ht="15" hidden="false" customHeight="false" outlineLevel="0" collapsed="false">
      <c r="A1077" s="23"/>
      <c r="B1077" s="22"/>
      <c r="C1077" s="22"/>
      <c r="D1077" s="22"/>
      <c r="E1077" s="22"/>
      <c r="F1077" s="27" t="str">
        <f aca="false">IF(B1077="","",IFERROR(INDEX(Roster!$B$5:$B$154,MATCH(B1077,Roster!$A$5:$A$154,0)),"Not on roster"))</f>
        <v/>
      </c>
      <c r="G1077" s="28" t="str">
        <f aca="false">IF(OR(B1077="",C1077=""),"",F1077&amp;" | "&amp;C1077)</f>
        <v/>
      </c>
      <c r="H1077" s="27" t="str">
        <f aca="false">IF(G1077="","",IFERROR(INDEX(Levels!$C$5:$C$94,MATCH(G1077,Levels!$G$5:$G$94,0)),"Not this class's skill"))</f>
        <v/>
      </c>
    </row>
    <row r="1078" customFormat="false" ht="15" hidden="false" customHeight="false" outlineLevel="0" collapsed="false">
      <c r="A1078" s="23"/>
      <c r="B1078" s="22"/>
      <c r="C1078" s="22"/>
      <c r="D1078" s="22"/>
      <c r="E1078" s="22"/>
      <c r="F1078" s="27" t="str">
        <f aca="false">IF(B1078="","",IFERROR(INDEX(Roster!$B$5:$B$154,MATCH(B1078,Roster!$A$5:$A$154,0)),"Not on roster"))</f>
        <v/>
      </c>
      <c r="G1078" s="28" t="str">
        <f aca="false">IF(OR(B1078="",C1078=""),"",F1078&amp;" | "&amp;C1078)</f>
        <v/>
      </c>
      <c r="H1078" s="27" t="str">
        <f aca="false">IF(G1078="","",IFERROR(INDEX(Levels!$C$5:$C$94,MATCH(G1078,Levels!$G$5:$G$94,0)),"Not this class's skill"))</f>
        <v/>
      </c>
    </row>
    <row r="1079" customFormat="false" ht="15" hidden="false" customHeight="false" outlineLevel="0" collapsed="false">
      <c r="A1079" s="23"/>
      <c r="B1079" s="22"/>
      <c r="C1079" s="22"/>
      <c r="D1079" s="22"/>
      <c r="E1079" s="22"/>
      <c r="F1079" s="27" t="str">
        <f aca="false">IF(B1079="","",IFERROR(INDEX(Roster!$B$5:$B$154,MATCH(B1079,Roster!$A$5:$A$154,0)),"Not on roster"))</f>
        <v/>
      </c>
      <c r="G1079" s="28" t="str">
        <f aca="false">IF(OR(B1079="",C1079=""),"",F1079&amp;" | "&amp;C1079)</f>
        <v/>
      </c>
      <c r="H1079" s="27" t="str">
        <f aca="false">IF(G1079="","",IFERROR(INDEX(Levels!$C$5:$C$94,MATCH(G1079,Levels!$G$5:$G$94,0)),"Not this class's skill"))</f>
        <v/>
      </c>
    </row>
    <row r="1080" customFormat="false" ht="15" hidden="false" customHeight="false" outlineLevel="0" collapsed="false">
      <c r="A1080" s="23"/>
      <c r="B1080" s="22"/>
      <c r="C1080" s="22"/>
      <c r="D1080" s="22"/>
      <c r="E1080" s="22"/>
      <c r="F1080" s="27" t="str">
        <f aca="false">IF(B1080="","",IFERROR(INDEX(Roster!$B$5:$B$154,MATCH(B1080,Roster!$A$5:$A$154,0)),"Not on roster"))</f>
        <v/>
      </c>
      <c r="G1080" s="28" t="str">
        <f aca="false">IF(OR(B1080="",C1080=""),"",F1080&amp;" | "&amp;C1080)</f>
        <v/>
      </c>
      <c r="H1080" s="27" t="str">
        <f aca="false">IF(G1080="","",IFERROR(INDEX(Levels!$C$5:$C$94,MATCH(G1080,Levels!$G$5:$G$94,0)),"Not this class's skill"))</f>
        <v/>
      </c>
    </row>
    <row r="1081" customFormat="false" ht="15" hidden="false" customHeight="false" outlineLevel="0" collapsed="false">
      <c r="A1081" s="23"/>
      <c r="B1081" s="22"/>
      <c r="C1081" s="22"/>
      <c r="D1081" s="22"/>
      <c r="E1081" s="22"/>
      <c r="F1081" s="27" t="str">
        <f aca="false">IF(B1081="","",IFERROR(INDEX(Roster!$B$5:$B$154,MATCH(B1081,Roster!$A$5:$A$154,0)),"Not on roster"))</f>
        <v/>
      </c>
      <c r="G1081" s="28" t="str">
        <f aca="false">IF(OR(B1081="",C1081=""),"",F1081&amp;" | "&amp;C1081)</f>
        <v/>
      </c>
      <c r="H1081" s="27" t="str">
        <f aca="false">IF(G1081="","",IFERROR(INDEX(Levels!$C$5:$C$94,MATCH(G1081,Levels!$G$5:$G$94,0)),"Not this class's skill"))</f>
        <v/>
      </c>
    </row>
    <row r="1082" customFormat="false" ht="15" hidden="false" customHeight="false" outlineLevel="0" collapsed="false">
      <c r="A1082" s="23"/>
      <c r="B1082" s="22"/>
      <c r="C1082" s="22"/>
      <c r="D1082" s="22"/>
      <c r="E1082" s="22"/>
      <c r="F1082" s="27" t="str">
        <f aca="false">IF(B1082="","",IFERROR(INDEX(Roster!$B$5:$B$154,MATCH(B1082,Roster!$A$5:$A$154,0)),"Not on roster"))</f>
        <v/>
      </c>
      <c r="G1082" s="28" t="str">
        <f aca="false">IF(OR(B1082="",C1082=""),"",F1082&amp;" | "&amp;C1082)</f>
        <v/>
      </c>
      <c r="H1082" s="27" t="str">
        <f aca="false">IF(G1082="","",IFERROR(INDEX(Levels!$C$5:$C$94,MATCH(G1082,Levels!$G$5:$G$94,0)),"Not this class's skill"))</f>
        <v/>
      </c>
    </row>
    <row r="1083" customFormat="false" ht="15" hidden="false" customHeight="false" outlineLevel="0" collapsed="false">
      <c r="A1083" s="23"/>
      <c r="B1083" s="22"/>
      <c r="C1083" s="22"/>
      <c r="D1083" s="22"/>
      <c r="E1083" s="22"/>
      <c r="F1083" s="27" t="str">
        <f aca="false">IF(B1083="","",IFERROR(INDEX(Roster!$B$5:$B$154,MATCH(B1083,Roster!$A$5:$A$154,0)),"Not on roster"))</f>
        <v/>
      </c>
      <c r="G1083" s="28" t="str">
        <f aca="false">IF(OR(B1083="",C1083=""),"",F1083&amp;" | "&amp;C1083)</f>
        <v/>
      </c>
      <c r="H1083" s="27" t="str">
        <f aca="false">IF(G1083="","",IFERROR(INDEX(Levels!$C$5:$C$94,MATCH(G1083,Levels!$G$5:$G$94,0)),"Not this class's skill"))</f>
        <v/>
      </c>
    </row>
    <row r="1084" customFormat="false" ht="15" hidden="false" customHeight="false" outlineLevel="0" collapsed="false">
      <c r="A1084" s="23"/>
      <c r="B1084" s="22"/>
      <c r="C1084" s="22"/>
      <c r="D1084" s="22"/>
      <c r="E1084" s="22"/>
      <c r="F1084" s="27" t="str">
        <f aca="false">IF(B1084="","",IFERROR(INDEX(Roster!$B$5:$B$154,MATCH(B1084,Roster!$A$5:$A$154,0)),"Not on roster"))</f>
        <v/>
      </c>
      <c r="G1084" s="28" t="str">
        <f aca="false">IF(OR(B1084="",C1084=""),"",F1084&amp;" | "&amp;C1084)</f>
        <v/>
      </c>
      <c r="H1084" s="27" t="str">
        <f aca="false">IF(G1084="","",IFERROR(INDEX(Levels!$C$5:$C$94,MATCH(G1084,Levels!$G$5:$G$94,0)),"Not this class's skill"))</f>
        <v/>
      </c>
    </row>
    <row r="1085" customFormat="false" ht="15" hidden="false" customHeight="false" outlineLevel="0" collapsed="false">
      <c r="A1085" s="23"/>
      <c r="B1085" s="22"/>
      <c r="C1085" s="22"/>
      <c r="D1085" s="22"/>
      <c r="E1085" s="22"/>
      <c r="F1085" s="27" t="str">
        <f aca="false">IF(B1085="","",IFERROR(INDEX(Roster!$B$5:$B$154,MATCH(B1085,Roster!$A$5:$A$154,0)),"Not on roster"))</f>
        <v/>
      </c>
      <c r="G1085" s="28" t="str">
        <f aca="false">IF(OR(B1085="",C1085=""),"",F1085&amp;" | "&amp;C1085)</f>
        <v/>
      </c>
      <c r="H1085" s="27" t="str">
        <f aca="false">IF(G1085="","",IFERROR(INDEX(Levels!$C$5:$C$94,MATCH(G1085,Levels!$G$5:$G$94,0)),"Not this class's skill"))</f>
        <v/>
      </c>
    </row>
    <row r="1086" customFormat="false" ht="15" hidden="false" customHeight="false" outlineLevel="0" collapsed="false">
      <c r="A1086" s="23"/>
      <c r="B1086" s="22"/>
      <c r="C1086" s="22"/>
      <c r="D1086" s="22"/>
      <c r="E1086" s="22"/>
      <c r="F1086" s="27" t="str">
        <f aca="false">IF(B1086="","",IFERROR(INDEX(Roster!$B$5:$B$154,MATCH(B1086,Roster!$A$5:$A$154,0)),"Not on roster"))</f>
        <v/>
      </c>
      <c r="G1086" s="28" t="str">
        <f aca="false">IF(OR(B1086="",C1086=""),"",F1086&amp;" | "&amp;C1086)</f>
        <v/>
      </c>
      <c r="H1086" s="27" t="str">
        <f aca="false">IF(G1086="","",IFERROR(INDEX(Levels!$C$5:$C$94,MATCH(G1086,Levels!$G$5:$G$94,0)),"Not this class's skill"))</f>
        <v/>
      </c>
    </row>
    <row r="1087" customFormat="false" ht="15" hidden="false" customHeight="false" outlineLevel="0" collapsed="false">
      <c r="A1087" s="23"/>
      <c r="B1087" s="22"/>
      <c r="C1087" s="22"/>
      <c r="D1087" s="22"/>
      <c r="E1087" s="22"/>
      <c r="F1087" s="27" t="str">
        <f aca="false">IF(B1087="","",IFERROR(INDEX(Roster!$B$5:$B$154,MATCH(B1087,Roster!$A$5:$A$154,0)),"Not on roster"))</f>
        <v/>
      </c>
      <c r="G1087" s="28" t="str">
        <f aca="false">IF(OR(B1087="",C1087=""),"",F1087&amp;" | "&amp;C1087)</f>
        <v/>
      </c>
      <c r="H1087" s="27" t="str">
        <f aca="false">IF(G1087="","",IFERROR(INDEX(Levels!$C$5:$C$94,MATCH(G1087,Levels!$G$5:$G$94,0)),"Not this class's skill"))</f>
        <v/>
      </c>
    </row>
    <row r="1088" customFormat="false" ht="15" hidden="false" customHeight="false" outlineLevel="0" collapsed="false">
      <c r="A1088" s="23"/>
      <c r="B1088" s="22"/>
      <c r="C1088" s="22"/>
      <c r="D1088" s="22"/>
      <c r="E1088" s="22"/>
      <c r="F1088" s="27" t="str">
        <f aca="false">IF(B1088="","",IFERROR(INDEX(Roster!$B$5:$B$154,MATCH(B1088,Roster!$A$5:$A$154,0)),"Not on roster"))</f>
        <v/>
      </c>
      <c r="G1088" s="28" t="str">
        <f aca="false">IF(OR(B1088="",C1088=""),"",F1088&amp;" | "&amp;C1088)</f>
        <v/>
      </c>
      <c r="H1088" s="27" t="str">
        <f aca="false">IF(G1088="","",IFERROR(INDEX(Levels!$C$5:$C$94,MATCH(G1088,Levels!$G$5:$G$94,0)),"Not this class's skill"))</f>
        <v/>
      </c>
    </row>
    <row r="1089" customFormat="false" ht="15" hidden="false" customHeight="false" outlineLevel="0" collapsed="false">
      <c r="A1089" s="23"/>
      <c r="B1089" s="22"/>
      <c r="C1089" s="22"/>
      <c r="D1089" s="22"/>
      <c r="E1089" s="22"/>
      <c r="F1089" s="27" t="str">
        <f aca="false">IF(B1089="","",IFERROR(INDEX(Roster!$B$5:$B$154,MATCH(B1089,Roster!$A$5:$A$154,0)),"Not on roster"))</f>
        <v/>
      </c>
      <c r="G1089" s="28" t="str">
        <f aca="false">IF(OR(B1089="",C1089=""),"",F1089&amp;" | "&amp;C1089)</f>
        <v/>
      </c>
      <c r="H1089" s="27" t="str">
        <f aca="false">IF(G1089="","",IFERROR(INDEX(Levels!$C$5:$C$94,MATCH(G1089,Levels!$G$5:$G$94,0)),"Not this class's skill"))</f>
        <v/>
      </c>
    </row>
    <row r="1090" customFormat="false" ht="15" hidden="false" customHeight="false" outlineLevel="0" collapsed="false">
      <c r="A1090" s="23"/>
      <c r="B1090" s="22"/>
      <c r="C1090" s="22"/>
      <c r="D1090" s="22"/>
      <c r="E1090" s="22"/>
      <c r="F1090" s="27" t="str">
        <f aca="false">IF(B1090="","",IFERROR(INDEX(Roster!$B$5:$B$154,MATCH(B1090,Roster!$A$5:$A$154,0)),"Not on roster"))</f>
        <v/>
      </c>
      <c r="G1090" s="28" t="str">
        <f aca="false">IF(OR(B1090="",C1090=""),"",F1090&amp;" | "&amp;C1090)</f>
        <v/>
      </c>
      <c r="H1090" s="27" t="str">
        <f aca="false">IF(G1090="","",IFERROR(INDEX(Levels!$C$5:$C$94,MATCH(G1090,Levels!$G$5:$G$94,0)),"Not this class's skill"))</f>
        <v/>
      </c>
    </row>
    <row r="1091" customFormat="false" ht="15" hidden="false" customHeight="false" outlineLevel="0" collapsed="false">
      <c r="A1091" s="23"/>
      <c r="B1091" s="22"/>
      <c r="C1091" s="22"/>
      <c r="D1091" s="22"/>
      <c r="E1091" s="22"/>
      <c r="F1091" s="27" t="str">
        <f aca="false">IF(B1091="","",IFERROR(INDEX(Roster!$B$5:$B$154,MATCH(B1091,Roster!$A$5:$A$154,0)),"Not on roster"))</f>
        <v/>
      </c>
      <c r="G1091" s="28" t="str">
        <f aca="false">IF(OR(B1091="",C1091=""),"",F1091&amp;" | "&amp;C1091)</f>
        <v/>
      </c>
      <c r="H1091" s="27" t="str">
        <f aca="false">IF(G1091="","",IFERROR(INDEX(Levels!$C$5:$C$94,MATCH(G1091,Levels!$G$5:$G$94,0)),"Not this class's skill"))</f>
        <v/>
      </c>
    </row>
    <row r="1092" customFormat="false" ht="15" hidden="false" customHeight="false" outlineLevel="0" collapsed="false">
      <c r="A1092" s="23"/>
      <c r="B1092" s="22"/>
      <c r="C1092" s="22"/>
      <c r="D1092" s="22"/>
      <c r="E1092" s="22"/>
      <c r="F1092" s="27" t="str">
        <f aca="false">IF(B1092="","",IFERROR(INDEX(Roster!$B$5:$B$154,MATCH(B1092,Roster!$A$5:$A$154,0)),"Not on roster"))</f>
        <v/>
      </c>
      <c r="G1092" s="28" t="str">
        <f aca="false">IF(OR(B1092="",C1092=""),"",F1092&amp;" | "&amp;C1092)</f>
        <v/>
      </c>
      <c r="H1092" s="27" t="str">
        <f aca="false">IF(G1092="","",IFERROR(INDEX(Levels!$C$5:$C$94,MATCH(G1092,Levels!$G$5:$G$94,0)),"Not this class's skill"))</f>
        <v/>
      </c>
    </row>
    <row r="1093" customFormat="false" ht="15" hidden="false" customHeight="false" outlineLevel="0" collapsed="false">
      <c r="A1093" s="23"/>
      <c r="B1093" s="22"/>
      <c r="C1093" s="22"/>
      <c r="D1093" s="22"/>
      <c r="E1093" s="22"/>
      <c r="F1093" s="27" t="str">
        <f aca="false">IF(B1093="","",IFERROR(INDEX(Roster!$B$5:$B$154,MATCH(B1093,Roster!$A$5:$A$154,0)),"Not on roster"))</f>
        <v/>
      </c>
      <c r="G1093" s="28" t="str">
        <f aca="false">IF(OR(B1093="",C1093=""),"",F1093&amp;" | "&amp;C1093)</f>
        <v/>
      </c>
      <c r="H1093" s="27" t="str">
        <f aca="false">IF(G1093="","",IFERROR(INDEX(Levels!$C$5:$C$94,MATCH(G1093,Levels!$G$5:$G$94,0)),"Not this class's skill"))</f>
        <v/>
      </c>
    </row>
    <row r="1094" customFormat="false" ht="15" hidden="false" customHeight="false" outlineLevel="0" collapsed="false">
      <c r="A1094" s="23"/>
      <c r="B1094" s="22"/>
      <c r="C1094" s="22"/>
      <c r="D1094" s="22"/>
      <c r="E1094" s="22"/>
      <c r="F1094" s="27" t="str">
        <f aca="false">IF(B1094="","",IFERROR(INDEX(Roster!$B$5:$B$154,MATCH(B1094,Roster!$A$5:$A$154,0)),"Not on roster"))</f>
        <v/>
      </c>
      <c r="G1094" s="28" t="str">
        <f aca="false">IF(OR(B1094="",C1094=""),"",F1094&amp;" | "&amp;C1094)</f>
        <v/>
      </c>
      <c r="H1094" s="27" t="str">
        <f aca="false">IF(G1094="","",IFERROR(INDEX(Levels!$C$5:$C$94,MATCH(G1094,Levels!$G$5:$G$94,0)),"Not this class's skill"))</f>
        <v/>
      </c>
    </row>
    <row r="1095" customFormat="false" ht="15" hidden="false" customHeight="false" outlineLevel="0" collapsed="false">
      <c r="A1095" s="23"/>
      <c r="B1095" s="22"/>
      <c r="C1095" s="22"/>
      <c r="D1095" s="22"/>
      <c r="E1095" s="22"/>
      <c r="F1095" s="27" t="str">
        <f aca="false">IF(B1095="","",IFERROR(INDEX(Roster!$B$5:$B$154,MATCH(B1095,Roster!$A$5:$A$154,0)),"Not on roster"))</f>
        <v/>
      </c>
      <c r="G1095" s="28" t="str">
        <f aca="false">IF(OR(B1095="",C1095=""),"",F1095&amp;" | "&amp;C1095)</f>
        <v/>
      </c>
      <c r="H1095" s="27" t="str">
        <f aca="false">IF(G1095="","",IFERROR(INDEX(Levels!$C$5:$C$94,MATCH(G1095,Levels!$G$5:$G$94,0)),"Not this class's skill"))</f>
        <v/>
      </c>
    </row>
    <row r="1096" customFormat="false" ht="15" hidden="false" customHeight="false" outlineLevel="0" collapsed="false">
      <c r="A1096" s="23"/>
      <c r="B1096" s="22"/>
      <c r="C1096" s="22"/>
      <c r="D1096" s="22"/>
      <c r="E1096" s="22"/>
      <c r="F1096" s="27" t="str">
        <f aca="false">IF(B1096="","",IFERROR(INDEX(Roster!$B$5:$B$154,MATCH(B1096,Roster!$A$5:$A$154,0)),"Not on roster"))</f>
        <v/>
      </c>
      <c r="G1096" s="28" t="str">
        <f aca="false">IF(OR(B1096="",C1096=""),"",F1096&amp;" | "&amp;C1096)</f>
        <v/>
      </c>
      <c r="H1096" s="27" t="str">
        <f aca="false">IF(G1096="","",IFERROR(INDEX(Levels!$C$5:$C$94,MATCH(G1096,Levels!$G$5:$G$94,0)),"Not this class's skill"))</f>
        <v/>
      </c>
    </row>
    <row r="1097" customFormat="false" ht="15" hidden="false" customHeight="false" outlineLevel="0" collapsed="false">
      <c r="A1097" s="23"/>
      <c r="B1097" s="22"/>
      <c r="C1097" s="22"/>
      <c r="D1097" s="22"/>
      <c r="E1097" s="22"/>
      <c r="F1097" s="27" t="str">
        <f aca="false">IF(B1097="","",IFERROR(INDEX(Roster!$B$5:$B$154,MATCH(B1097,Roster!$A$5:$A$154,0)),"Not on roster"))</f>
        <v/>
      </c>
      <c r="G1097" s="28" t="str">
        <f aca="false">IF(OR(B1097="",C1097=""),"",F1097&amp;" | "&amp;C1097)</f>
        <v/>
      </c>
      <c r="H1097" s="27" t="str">
        <f aca="false">IF(G1097="","",IFERROR(INDEX(Levels!$C$5:$C$94,MATCH(G1097,Levels!$G$5:$G$94,0)),"Not this class's skill"))</f>
        <v/>
      </c>
    </row>
    <row r="1098" customFormat="false" ht="15" hidden="false" customHeight="false" outlineLevel="0" collapsed="false">
      <c r="A1098" s="23"/>
      <c r="B1098" s="22"/>
      <c r="C1098" s="22"/>
      <c r="D1098" s="22"/>
      <c r="E1098" s="22"/>
      <c r="F1098" s="27" t="str">
        <f aca="false">IF(B1098="","",IFERROR(INDEX(Roster!$B$5:$B$154,MATCH(B1098,Roster!$A$5:$A$154,0)),"Not on roster"))</f>
        <v/>
      </c>
      <c r="G1098" s="28" t="str">
        <f aca="false">IF(OR(B1098="",C1098=""),"",F1098&amp;" | "&amp;C1098)</f>
        <v/>
      </c>
      <c r="H1098" s="27" t="str">
        <f aca="false">IF(G1098="","",IFERROR(INDEX(Levels!$C$5:$C$94,MATCH(G1098,Levels!$G$5:$G$94,0)),"Not this class's skill"))</f>
        <v/>
      </c>
    </row>
    <row r="1099" customFormat="false" ht="15" hidden="false" customHeight="false" outlineLevel="0" collapsed="false">
      <c r="A1099" s="23"/>
      <c r="B1099" s="22"/>
      <c r="C1099" s="22"/>
      <c r="D1099" s="22"/>
      <c r="E1099" s="22"/>
      <c r="F1099" s="27" t="str">
        <f aca="false">IF(B1099="","",IFERROR(INDEX(Roster!$B$5:$B$154,MATCH(B1099,Roster!$A$5:$A$154,0)),"Not on roster"))</f>
        <v/>
      </c>
      <c r="G1099" s="28" t="str">
        <f aca="false">IF(OR(B1099="",C1099=""),"",F1099&amp;" | "&amp;C1099)</f>
        <v/>
      </c>
      <c r="H1099" s="27" t="str">
        <f aca="false">IF(G1099="","",IFERROR(INDEX(Levels!$C$5:$C$94,MATCH(G1099,Levels!$G$5:$G$94,0)),"Not this class's skill"))</f>
        <v/>
      </c>
    </row>
    <row r="1100" customFormat="false" ht="15" hidden="false" customHeight="false" outlineLevel="0" collapsed="false">
      <c r="A1100" s="23"/>
      <c r="B1100" s="22"/>
      <c r="C1100" s="22"/>
      <c r="D1100" s="22"/>
      <c r="E1100" s="22"/>
      <c r="F1100" s="27" t="str">
        <f aca="false">IF(B1100="","",IFERROR(INDEX(Roster!$B$5:$B$154,MATCH(B1100,Roster!$A$5:$A$154,0)),"Not on roster"))</f>
        <v/>
      </c>
      <c r="G1100" s="28" t="str">
        <f aca="false">IF(OR(B1100="",C1100=""),"",F1100&amp;" | "&amp;C1100)</f>
        <v/>
      </c>
      <c r="H1100" s="27" t="str">
        <f aca="false">IF(G1100="","",IFERROR(INDEX(Levels!$C$5:$C$94,MATCH(G1100,Levels!$G$5:$G$94,0)),"Not this class's skill"))</f>
        <v/>
      </c>
    </row>
    <row r="1101" customFormat="false" ht="15" hidden="false" customHeight="false" outlineLevel="0" collapsed="false">
      <c r="A1101" s="23"/>
      <c r="B1101" s="22"/>
      <c r="C1101" s="22"/>
      <c r="D1101" s="22"/>
      <c r="E1101" s="22"/>
      <c r="F1101" s="27" t="str">
        <f aca="false">IF(B1101="","",IFERROR(INDEX(Roster!$B$5:$B$154,MATCH(B1101,Roster!$A$5:$A$154,0)),"Not on roster"))</f>
        <v/>
      </c>
      <c r="G1101" s="28" t="str">
        <f aca="false">IF(OR(B1101="",C1101=""),"",F1101&amp;" | "&amp;C1101)</f>
        <v/>
      </c>
      <c r="H1101" s="27" t="str">
        <f aca="false">IF(G1101="","",IFERROR(INDEX(Levels!$C$5:$C$94,MATCH(G1101,Levels!$G$5:$G$94,0)),"Not this class's skill"))</f>
        <v/>
      </c>
    </row>
    <row r="1102" customFormat="false" ht="15" hidden="false" customHeight="false" outlineLevel="0" collapsed="false">
      <c r="A1102" s="23"/>
      <c r="B1102" s="22"/>
      <c r="C1102" s="22"/>
      <c r="D1102" s="22"/>
      <c r="E1102" s="22"/>
      <c r="F1102" s="27" t="str">
        <f aca="false">IF(B1102="","",IFERROR(INDEX(Roster!$B$5:$B$154,MATCH(B1102,Roster!$A$5:$A$154,0)),"Not on roster"))</f>
        <v/>
      </c>
      <c r="G1102" s="28" t="str">
        <f aca="false">IF(OR(B1102="",C1102=""),"",F1102&amp;" | "&amp;C1102)</f>
        <v/>
      </c>
      <c r="H1102" s="27" t="str">
        <f aca="false">IF(G1102="","",IFERROR(INDEX(Levels!$C$5:$C$94,MATCH(G1102,Levels!$G$5:$G$94,0)),"Not this class's skill"))</f>
        <v/>
      </c>
    </row>
    <row r="1103" customFormat="false" ht="15" hidden="false" customHeight="false" outlineLevel="0" collapsed="false">
      <c r="A1103" s="23"/>
      <c r="B1103" s="22"/>
      <c r="C1103" s="22"/>
      <c r="D1103" s="22"/>
      <c r="E1103" s="22"/>
      <c r="F1103" s="27" t="str">
        <f aca="false">IF(B1103="","",IFERROR(INDEX(Roster!$B$5:$B$154,MATCH(B1103,Roster!$A$5:$A$154,0)),"Not on roster"))</f>
        <v/>
      </c>
      <c r="G1103" s="28" t="str">
        <f aca="false">IF(OR(B1103="",C1103=""),"",F1103&amp;" | "&amp;C1103)</f>
        <v/>
      </c>
      <c r="H1103" s="27" t="str">
        <f aca="false">IF(G1103="","",IFERROR(INDEX(Levels!$C$5:$C$94,MATCH(G1103,Levels!$G$5:$G$94,0)),"Not this class's skill"))</f>
        <v/>
      </c>
    </row>
    <row r="1104" customFormat="false" ht="15" hidden="false" customHeight="false" outlineLevel="0" collapsed="false">
      <c r="A1104" s="23"/>
      <c r="B1104" s="22"/>
      <c r="C1104" s="22"/>
      <c r="D1104" s="22"/>
      <c r="E1104" s="22"/>
      <c r="F1104" s="27" t="str">
        <f aca="false">IF(B1104="","",IFERROR(INDEX(Roster!$B$5:$B$154,MATCH(B1104,Roster!$A$5:$A$154,0)),"Not on roster"))</f>
        <v/>
      </c>
      <c r="G1104" s="28" t="str">
        <f aca="false">IF(OR(B1104="",C1104=""),"",F1104&amp;" | "&amp;C1104)</f>
        <v/>
      </c>
      <c r="H1104" s="27" t="str">
        <f aca="false">IF(G1104="","",IFERROR(INDEX(Levels!$C$5:$C$94,MATCH(G1104,Levels!$G$5:$G$94,0)),"Not this class's skill"))</f>
        <v/>
      </c>
    </row>
    <row r="1105" customFormat="false" ht="15" hidden="false" customHeight="false" outlineLevel="0" collapsed="false">
      <c r="A1105" s="23"/>
      <c r="B1105" s="22"/>
      <c r="C1105" s="22"/>
      <c r="D1105" s="22"/>
      <c r="E1105" s="22"/>
      <c r="F1105" s="27" t="str">
        <f aca="false">IF(B1105="","",IFERROR(INDEX(Roster!$B$5:$B$154,MATCH(B1105,Roster!$A$5:$A$154,0)),"Not on roster"))</f>
        <v/>
      </c>
      <c r="G1105" s="28" t="str">
        <f aca="false">IF(OR(B1105="",C1105=""),"",F1105&amp;" | "&amp;C1105)</f>
        <v/>
      </c>
      <c r="H1105" s="27" t="str">
        <f aca="false">IF(G1105="","",IFERROR(INDEX(Levels!$C$5:$C$94,MATCH(G1105,Levels!$G$5:$G$94,0)),"Not this class's skill"))</f>
        <v/>
      </c>
    </row>
    <row r="1106" customFormat="false" ht="15" hidden="false" customHeight="false" outlineLevel="0" collapsed="false">
      <c r="A1106" s="23"/>
      <c r="B1106" s="22"/>
      <c r="C1106" s="22"/>
      <c r="D1106" s="22"/>
      <c r="E1106" s="22"/>
      <c r="F1106" s="27" t="str">
        <f aca="false">IF(B1106="","",IFERROR(INDEX(Roster!$B$5:$B$154,MATCH(B1106,Roster!$A$5:$A$154,0)),"Not on roster"))</f>
        <v/>
      </c>
      <c r="G1106" s="28" t="str">
        <f aca="false">IF(OR(B1106="",C1106=""),"",F1106&amp;" | "&amp;C1106)</f>
        <v/>
      </c>
      <c r="H1106" s="27" t="str">
        <f aca="false">IF(G1106="","",IFERROR(INDEX(Levels!$C$5:$C$94,MATCH(G1106,Levels!$G$5:$G$94,0)),"Not this class's skill"))</f>
        <v/>
      </c>
    </row>
    <row r="1107" customFormat="false" ht="15" hidden="false" customHeight="false" outlineLevel="0" collapsed="false">
      <c r="A1107" s="23"/>
      <c r="B1107" s="22"/>
      <c r="C1107" s="22"/>
      <c r="D1107" s="22"/>
      <c r="E1107" s="22"/>
      <c r="F1107" s="27" t="str">
        <f aca="false">IF(B1107="","",IFERROR(INDEX(Roster!$B$5:$B$154,MATCH(B1107,Roster!$A$5:$A$154,0)),"Not on roster"))</f>
        <v/>
      </c>
      <c r="G1107" s="28" t="str">
        <f aca="false">IF(OR(B1107="",C1107=""),"",F1107&amp;" | "&amp;C1107)</f>
        <v/>
      </c>
      <c r="H1107" s="27" t="str">
        <f aca="false">IF(G1107="","",IFERROR(INDEX(Levels!$C$5:$C$94,MATCH(G1107,Levels!$G$5:$G$94,0)),"Not this class's skill"))</f>
        <v/>
      </c>
    </row>
    <row r="1108" customFormat="false" ht="15" hidden="false" customHeight="false" outlineLevel="0" collapsed="false">
      <c r="A1108" s="23"/>
      <c r="B1108" s="22"/>
      <c r="C1108" s="22"/>
      <c r="D1108" s="22"/>
      <c r="E1108" s="22"/>
      <c r="F1108" s="27" t="str">
        <f aca="false">IF(B1108="","",IFERROR(INDEX(Roster!$B$5:$B$154,MATCH(B1108,Roster!$A$5:$A$154,0)),"Not on roster"))</f>
        <v/>
      </c>
      <c r="G1108" s="28" t="str">
        <f aca="false">IF(OR(B1108="",C1108=""),"",F1108&amp;" | "&amp;C1108)</f>
        <v/>
      </c>
      <c r="H1108" s="27" t="str">
        <f aca="false">IF(G1108="","",IFERROR(INDEX(Levels!$C$5:$C$94,MATCH(G1108,Levels!$G$5:$G$94,0)),"Not this class's skill"))</f>
        <v/>
      </c>
    </row>
    <row r="1109" customFormat="false" ht="15" hidden="false" customHeight="false" outlineLevel="0" collapsed="false">
      <c r="A1109" s="23"/>
      <c r="B1109" s="22"/>
      <c r="C1109" s="22"/>
      <c r="D1109" s="22"/>
      <c r="E1109" s="22"/>
      <c r="F1109" s="27" t="str">
        <f aca="false">IF(B1109="","",IFERROR(INDEX(Roster!$B$5:$B$154,MATCH(B1109,Roster!$A$5:$A$154,0)),"Not on roster"))</f>
        <v/>
      </c>
      <c r="G1109" s="28" t="str">
        <f aca="false">IF(OR(B1109="",C1109=""),"",F1109&amp;" | "&amp;C1109)</f>
        <v/>
      </c>
      <c r="H1109" s="27" t="str">
        <f aca="false">IF(G1109="","",IFERROR(INDEX(Levels!$C$5:$C$94,MATCH(G1109,Levels!$G$5:$G$94,0)),"Not this class's skill"))</f>
        <v/>
      </c>
    </row>
    <row r="1110" customFormat="false" ht="15" hidden="false" customHeight="false" outlineLevel="0" collapsed="false">
      <c r="A1110" s="23"/>
      <c r="B1110" s="22"/>
      <c r="C1110" s="22"/>
      <c r="D1110" s="22"/>
      <c r="E1110" s="22"/>
      <c r="F1110" s="27" t="str">
        <f aca="false">IF(B1110="","",IFERROR(INDEX(Roster!$B$5:$B$154,MATCH(B1110,Roster!$A$5:$A$154,0)),"Not on roster"))</f>
        <v/>
      </c>
      <c r="G1110" s="28" t="str">
        <f aca="false">IF(OR(B1110="",C1110=""),"",F1110&amp;" | "&amp;C1110)</f>
        <v/>
      </c>
      <c r="H1110" s="27" t="str">
        <f aca="false">IF(G1110="","",IFERROR(INDEX(Levels!$C$5:$C$94,MATCH(G1110,Levels!$G$5:$G$94,0)),"Not this class's skill"))</f>
        <v/>
      </c>
    </row>
    <row r="1111" customFormat="false" ht="15" hidden="false" customHeight="false" outlineLevel="0" collapsed="false">
      <c r="A1111" s="23"/>
      <c r="B1111" s="22"/>
      <c r="C1111" s="22"/>
      <c r="D1111" s="22"/>
      <c r="E1111" s="22"/>
      <c r="F1111" s="27" t="str">
        <f aca="false">IF(B1111="","",IFERROR(INDEX(Roster!$B$5:$B$154,MATCH(B1111,Roster!$A$5:$A$154,0)),"Not on roster"))</f>
        <v/>
      </c>
      <c r="G1111" s="28" t="str">
        <f aca="false">IF(OR(B1111="",C1111=""),"",F1111&amp;" | "&amp;C1111)</f>
        <v/>
      </c>
      <c r="H1111" s="27" t="str">
        <f aca="false">IF(G1111="","",IFERROR(INDEX(Levels!$C$5:$C$94,MATCH(G1111,Levels!$G$5:$G$94,0)),"Not this class's skill"))</f>
        <v/>
      </c>
    </row>
    <row r="1112" customFormat="false" ht="15" hidden="false" customHeight="false" outlineLevel="0" collapsed="false">
      <c r="A1112" s="23"/>
      <c r="B1112" s="22"/>
      <c r="C1112" s="22"/>
      <c r="D1112" s="22"/>
      <c r="E1112" s="22"/>
      <c r="F1112" s="27" t="str">
        <f aca="false">IF(B1112="","",IFERROR(INDEX(Roster!$B$5:$B$154,MATCH(B1112,Roster!$A$5:$A$154,0)),"Not on roster"))</f>
        <v/>
      </c>
      <c r="G1112" s="28" t="str">
        <f aca="false">IF(OR(B1112="",C1112=""),"",F1112&amp;" | "&amp;C1112)</f>
        <v/>
      </c>
      <c r="H1112" s="27" t="str">
        <f aca="false">IF(G1112="","",IFERROR(INDEX(Levels!$C$5:$C$94,MATCH(G1112,Levels!$G$5:$G$94,0)),"Not this class's skill"))</f>
        <v/>
      </c>
    </row>
    <row r="1113" customFormat="false" ht="15" hidden="false" customHeight="false" outlineLevel="0" collapsed="false">
      <c r="A1113" s="23"/>
      <c r="B1113" s="22"/>
      <c r="C1113" s="22"/>
      <c r="D1113" s="22"/>
      <c r="E1113" s="22"/>
      <c r="F1113" s="27" t="str">
        <f aca="false">IF(B1113="","",IFERROR(INDEX(Roster!$B$5:$B$154,MATCH(B1113,Roster!$A$5:$A$154,0)),"Not on roster"))</f>
        <v/>
      </c>
      <c r="G1113" s="28" t="str">
        <f aca="false">IF(OR(B1113="",C1113=""),"",F1113&amp;" | "&amp;C1113)</f>
        <v/>
      </c>
      <c r="H1113" s="27" t="str">
        <f aca="false">IF(G1113="","",IFERROR(INDEX(Levels!$C$5:$C$94,MATCH(G1113,Levels!$G$5:$G$94,0)),"Not this class's skill"))</f>
        <v/>
      </c>
    </row>
    <row r="1114" customFormat="false" ht="15" hidden="false" customHeight="false" outlineLevel="0" collapsed="false">
      <c r="A1114" s="23"/>
      <c r="B1114" s="22"/>
      <c r="C1114" s="22"/>
      <c r="D1114" s="22"/>
      <c r="E1114" s="22"/>
      <c r="F1114" s="27" t="str">
        <f aca="false">IF(B1114="","",IFERROR(INDEX(Roster!$B$5:$B$154,MATCH(B1114,Roster!$A$5:$A$154,0)),"Not on roster"))</f>
        <v/>
      </c>
      <c r="G1114" s="28" t="str">
        <f aca="false">IF(OR(B1114="",C1114=""),"",F1114&amp;" | "&amp;C1114)</f>
        <v/>
      </c>
      <c r="H1114" s="27" t="str">
        <f aca="false">IF(G1114="","",IFERROR(INDEX(Levels!$C$5:$C$94,MATCH(G1114,Levels!$G$5:$G$94,0)),"Not this class's skill"))</f>
        <v/>
      </c>
    </row>
    <row r="1115" customFormat="false" ht="15" hidden="false" customHeight="false" outlineLevel="0" collapsed="false">
      <c r="A1115" s="23"/>
      <c r="B1115" s="22"/>
      <c r="C1115" s="22"/>
      <c r="D1115" s="22"/>
      <c r="E1115" s="22"/>
      <c r="F1115" s="27" t="str">
        <f aca="false">IF(B1115="","",IFERROR(INDEX(Roster!$B$5:$B$154,MATCH(B1115,Roster!$A$5:$A$154,0)),"Not on roster"))</f>
        <v/>
      </c>
      <c r="G1115" s="28" t="str">
        <f aca="false">IF(OR(B1115="",C1115=""),"",F1115&amp;" | "&amp;C1115)</f>
        <v/>
      </c>
      <c r="H1115" s="27" t="str">
        <f aca="false">IF(G1115="","",IFERROR(INDEX(Levels!$C$5:$C$94,MATCH(G1115,Levels!$G$5:$G$94,0)),"Not this class's skill"))</f>
        <v/>
      </c>
    </row>
    <row r="1116" customFormat="false" ht="15" hidden="false" customHeight="false" outlineLevel="0" collapsed="false">
      <c r="A1116" s="23"/>
      <c r="B1116" s="22"/>
      <c r="C1116" s="22"/>
      <c r="D1116" s="22"/>
      <c r="E1116" s="22"/>
      <c r="F1116" s="27" t="str">
        <f aca="false">IF(B1116="","",IFERROR(INDEX(Roster!$B$5:$B$154,MATCH(B1116,Roster!$A$5:$A$154,0)),"Not on roster"))</f>
        <v/>
      </c>
      <c r="G1116" s="28" t="str">
        <f aca="false">IF(OR(B1116="",C1116=""),"",F1116&amp;" | "&amp;C1116)</f>
        <v/>
      </c>
      <c r="H1116" s="27" t="str">
        <f aca="false">IF(G1116="","",IFERROR(INDEX(Levels!$C$5:$C$94,MATCH(G1116,Levels!$G$5:$G$94,0)),"Not this class's skill"))</f>
        <v/>
      </c>
    </row>
    <row r="1117" customFormat="false" ht="15" hidden="false" customHeight="false" outlineLevel="0" collapsed="false">
      <c r="A1117" s="23"/>
      <c r="B1117" s="22"/>
      <c r="C1117" s="22"/>
      <c r="D1117" s="22"/>
      <c r="E1117" s="22"/>
      <c r="F1117" s="27" t="str">
        <f aca="false">IF(B1117="","",IFERROR(INDEX(Roster!$B$5:$B$154,MATCH(B1117,Roster!$A$5:$A$154,0)),"Not on roster"))</f>
        <v/>
      </c>
      <c r="G1117" s="28" t="str">
        <f aca="false">IF(OR(B1117="",C1117=""),"",F1117&amp;" | "&amp;C1117)</f>
        <v/>
      </c>
      <c r="H1117" s="27" t="str">
        <f aca="false">IF(G1117="","",IFERROR(INDEX(Levels!$C$5:$C$94,MATCH(G1117,Levels!$G$5:$G$94,0)),"Not this class's skill"))</f>
        <v/>
      </c>
    </row>
    <row r="1118" customFormat="false" ht="15" hidden="false" customHeight="false" outlineLevel="0" collapsed="false">
      <c r="A1118" s="23"/>
      <c r="B1118" s="22"/>
      <c r="C1118" s="22"/>
      <c r="D1118" s="22"/>
      <c r="E1118" s="22"/>
      <c r="F1118" s="27" t="str">
        <f aca="false">IF(B1118="","",IFERROR(INDEX(Roster!$B$5:$B$154,MATCH(B1118,Roster!$A$5:$A$154,0)),"Not on roster"))</f>
        <v/>
      </c>
      <c r="G1118" s="28" t="str">
        <f aca="false">IF(OR(B1118="",C1118=""),"",F1118&amp;" | "&amp;C1118)</f>
        <v/>
      </c>
      <c r="H1118" s="27" t="str">
        <f aca="false">IF(G1118="","",IFERROR(INDEX(Levels!$C$5:$C$94,MATCH(G1118,Levels!$G$5:$G$94,0)),"Not this class's skill"))</f>
        <v/>
      </c>
    </row>
    <row r="1119" customFormat="false" ht="15" hidden="false" customHeight="false" outlineLevel="0" collapsed="false">
      <c r="A1119" s="23"/>
      <c r="B1119" s="22"/>
      <c r="C1119" s="22"/>
      <c r="D1119" s="22"/>
      <c r="E1119" s="22"/>
      <c r="F1119" s="27" t="str">
        <f aca="false">IF(B1119="","",IFERROR(INDEX(Roster!$B$5:$B$154,MATCH(B1119,Roster!$A$5:$A$154,0)),"Not on roster"))</f>
        <v/>
      </c>
      <c r="G1119" s="28" t="str">
        <f aca="false">IF(OR(B1119="",C1119=""),"",F1119&amp;" | "&amp;C1119)</f>
        <v/>
      </c>
      <c r="H1119" s="27" t="str">
        <f aca="false">IF(G1119="","",IFERROR(INDEX(Levels!$C$5:$C$94,MATCH(G1119,Levels!$G$5:$G$94,0)),"Not this class's skill"))</f>
        <v/>
      </c>
    </row>
    <row r="1120" customFormat="false" ht="15" hidden="false" customHeight="false" outlineLevel="0" collapsed="false">
      <c r="A1120" s="23"/>
      <c r="B1120" s="22"/>
      <c r="C1120" s="22"/>
      <c r="D1120" s="22"/>
      <c r="E1120" s="22"/>
      <c r="F1120" s="27" t="str">
        <f aca="false">IF(B1120="","",IFERROR(INDEX(Roster!$B$5:$B$154,MATCH(B1120,Roster!$A$5:$A$154,0)),"Not on roster"))</f>
        <v/>
      </c>
      <c r="G1120" s="28" t="str">
        <f aca="false">IF(OR(B1120="",C1120=""),"",F1120&amp;" | "&amp;C1120)</f>
        <v/>
      </c>
      <c r="H1120" s="27" t="str">
        <f aca="false">IF(G1120="","",IFERROR(INDEX(Levels!$C$5:$C$94,MATCH(G1120,Levels!$G$5:$G$94,0)),"Not this class's skill"))</f>
        <v/>
      </c>
    </row>
    <row r="1121" customFormat="false" ht="15" hidden="false" customHeight="false" outlineLevel="0" collapsed="false">
      <c r="A1121" s="23"/>
      <c r="B1121" s="22"/>
      <c r="C1121" s="22"/>
      <c r="D1121" s="22"/>
      <c r="E1121" s="22"/>
      <c r="F1121" s="27" t="str">
        <f aca="false">IF(B1121="","",IFERROR(INDEX(Roster!$B$5:$B$154,MATCH(B1121,Roster!$A$5:$A$154,0)),"Not on roster"))</f>
        <v/>
      </c>
      <c r="G1121" s="28" t="str">
        <f aca="false">IF(OR(B1121="",C1121=""),"",F1121&amp;" | "&amp;C1121)</f>
        <v/>
      </c>
      <c r="H1121" s="27" t="str">
        <f aca="false">IF(G1121="","",IFERROR(INDEX(Levels!$C$5:$C$94,MATCH(G1121,Levels!$G$5:$G$94,0)),"Not this class's skill"))</f>
        <v/>
      </c>
    </row>
    <row r="1122" customFormat="false" ht="15" hidden="false" customHeight="false" outlineLevel="0" collapsed="false">
      <c r="A1122" s="23"/>
      <c r="B1122" s="22"/>
      <c r="C1122" s="22"/>
      <c r="D1122" s="22"/>
      <c r="E1122" s="22"/>
      <c r="F1122" s="27" t="str">
        <f aca="false">IF(B1122="","",IFERROR(INDEX(Roster!$B$5:$B$154,MATCH(B1122,Roster!$A$5:$A$154,0)),"Not on roster"))</f>
        <v/>
      </c>
      <c r="G1122" s="28" t="str">
        <f aca="false">IF(OR(B1122="",C1122=""),"",F1122&amp;" | "&amp;C1122)</f>
        <v/>
      </c>
      <c r="H1122" s="27" t="str">
        <f aca="false">IF(G1122="","",IFERROR(INDEX(Levels!$C$5:$C$94,MATCH(G1122,Levels!$G$5:$G$94,0)),"Not this class's skill"))</f>
        <v/>
      </c>
    </row>
    <row r="1123" customFormat="false" ht="15" hidden="false" customHeight="false" outlineLevel="0" collapsed="false">
      <c r="A1123" s="23"/>
      <c r="B1123" s="22"/>
      <c r="C1123" s="22"/>
      <c r="D1123" s="22"/>
      <c r="E1123" s="22"/>
      <c r="F1123" s="27" t="str">
        <f aca="false">IF(B1123="","",IFERROR(INDEX(Roster!$B$5:$B$154,MATCH(B1123,Roster!$A$5:$A$154,0)),"Not on roster"))</f>
        <v/>
      </c>
      <c r="G1123" s="28" t="str">
        <f aca="false">IF(OR(B1123="",C1123=""),"",F1123&amp;" | "&amp;C1123)</f>
        <v/>
      </c>
      <c r="H1123" s="27" t="str">
        <f aca="false">IF(G1123="","",IFERROR(INDEX(Levels!$C$5:$C$94,MATCH(G1123,Levels!$G$5:$G$94,0)),"Not this class's skill"))</f>
        <v/>
      </c>
    </row>
    <row r="1124" customFormat="false" ht="15" hidden="false" customHeight="false" outlineLevel="0" collapsed="false">
      <c r="A1124" s="23"/>
      <c r="B1124" s="22"/>
      <c r="C1124" s="22"/>
      <c r="D1124" s="22"/>
      <c r="E1124" s="22"/>
      <c r="F1124" s="27" t="str">
        <f aca="false">IF(B1124="","",IFERROR(INDEX(Roster!$B$5:$B$154,MATCH(B1124,Roster!$A$5:$A$154,0)),"Not on roster"))</f>
        <v/>
      </c>
      <c r="G1124" s="28" t="str">
        <f aca="false">IF(OR(B1124="",C1124=""),"",F1124&amp;" | "&amp;C1124)</f>
        <v/>
      </c>
      <c r="H1124" s="27" t="str">
        <f aca="false">IF(G1124="","",IFERROR(INDEX(Levels!$C$5:$C$94,MATCH(G1124,Levels!$G$5:$G$94,0)),"Not this class's skill"))</f>
        <v/>
      </c>
    </row>
    <row r="1125" customFormat="false" ht="15" hidden="false" customHeight="false" outlineLevel="0" collapsed="false">
      <c r="A1125" s="23"/>
      <c r="B1125" s="22"/>
      <c r="C1125" s="22"/>
      <c r="D1125" s="22"/>
      <c r="E1125" s="22"/>
      <c r="F1125" s="27" t="str">
        <f aca="false">IF(B1125="","",IFERROR(INDEX(Roster!$B$5:$B$154,MATCH(B1125,Roster!$A$5:$A$154,0)),"Not on roster"))</f>
        <v/>
      </c>
      <c r="G1125" s="28" t="str">
        <f aca="false">IF(OR(B1125="",C1125=""),"",F1125&amp;" | "&amp;C1125)</f>
        <v/>
      </c>
      <c r="H1125" s="27" t="str">
        <f aca="false">IF(G1125="","",IFERROR(INDEX(Levels!$C$5:$C$94,MATCH(G1125,Levels!$G$5:$G$94,0)),"Not this class's skill"))</f>
        <v/>
      </c>
    </row>
    <row r="1126" customFormat="false" ht="15" hidden="false" customHeight="false" outlineLevel="0" collapsed="false">
      <c r="A1126" s="23"/>
      <c r="B1126" s="22"/>
      <c r="C1126" s="22"/>
      <c r="D1126" s="22"/>
      <c r="E1126" s="22"/>
      <c r="F1126" s="27" t="str">
        <f aca="false">IF(B1126="","",IFERROR(INDEX(Roster!$B$5:$B$154,MATCH(B1126,Roster!$A$5:$A$154,0)),"Not on roster"))</f>
        <v/>
      </c>
      <c r="G1126" s="28" t="str">
        <f aca="false">IF(OR(B1126="",C1126=""),"",F1126&amp;" | "&amp;C1126)</f>
        <v/>
      </c>
      <c r="H1126" s="27" t="str">
        <f aca="false">IF(G1126="","",IFERROR(INDEX(Levels!$C$5:$C$94,MATCH(G1126,Levels!$G$5:$G$94,0)),"Not this class's skill"))</f>
        <v/>
      </c>
    </row>
    <row r="1127" customFormat="false" ht="15" hidden="false" customHeight="false" outlineLevel="0" collapsed="false">
      <c r="A1127" s="23"/>
      <c r="B1127" s="22"/>
      <c r="C1127" s="22"/>
      <c r="D1127" s="22"/>
      <c r="E1127" s="22"/>
      <c r="F1127" s="27" t="str">
        <f aca="false">IF(B1127="","",IFERROR(INDEX(Roster!$B$5:$B$154,MATCH(B1127,Roster!$A$5:$A$154,0)),"Not on roster"))</f>
        <v/>
      </c>
      <c r="G1127" s="28" t="str">
        <f aca="false">IF(OR(B1127="",C1127=""),"",F1127&amp;" | "&amp;C1127)</f>
        <v/>
      </c>
      <c r="H1127" s="27" t="str">
        <f aca="false">IF(G1127="","",IFERROR(INDEX(Levels!$C$5:$C$94,MATCH(G1127,Levels!$G$5:$G$94,0)),"Not this class's skill"))</f>
        <v/>
      </c>
    </row>
    <row r="1128" customFormat="false" ht="15" hidden="false" customHeight="false" outlineLevel="0" collapsed="false">
      <c r="A1128" s="23"/>
      <c r="B1128" s="22"/>
      <c r="C1128" s="22"/>
      <c r="D1128" s="22"/>
      <c r="E1128" s="22"/>
      <c r="F1128" s="27" t="str">
        <f aca="false">IF(B1128="","",IFERROR(INDEX(Roster!$B$5:$B$154,MATCH(B1128,Roster!$A$5:$A$154,0)),"Not on roster"))</f>
        <v/>
      </c>
      <c r="G1128" s="28" t="str">
        <f aca="false">IF(OR(B1128="",C1128=""),"",F1128&amp;" | "&amp;C1128)</f>
        <v/>
      </c>
      <c r="H1128" s="27" t="str">
        <f aca="false">IF(G1128="","",IFERROR(INDEX(Levels!$C$5:$C$94,MATCH(G1128,Levels!$G$5:$G$94,0)),"Not this class's skill"))</f>
        <v/>
      </c>
    </row>
    <row r="1129" customFormat="false" ht="15" hidden="false" customHeight="false" outlineLevel="0" collapsed="false">
      <c r="A1129" s="23"/>
      <c r="B1129" s="22"/>
      <c r="C1129" s="22"/>
      <c r="D1129" s="22"/>
      <c r="E1129" s="22"/>
      <c r="F1129" s="27" t="str">
        <f aca="false">IF(B1129="","",IFERROR(INDEX(Roster!$B$5:$B$154,MATCH(B1129,Roster!$A$5:$A$154,0)),"Not on roster"))</f>
        <v/>
      </c>
      <c r="G1129" s="28" t="str">
        <f aca="false">IF(OR(B1129="",C1129=""),"",F1129&amp;" | "&amp;C1129)</f>
        <v/>
      </c>
      <c r="H1129" s="27" t="str">
        <f aca="false">IF(G1129="","",IFERROR(INDEX(Levels!$C$5:$C$94,MATCH(G1129,Levels!$G$5:$G$94,0)),"Not this class's skill"))</f>
        <v/>
      </c>
    </row>
    <row r="1130" customFormat="false" ht="15" hidden="false" customHeight="false" outlineLevel="0" collapsed="false">
      <c r="A1130" s="23"/>
      <c r="B1130" s="22"/>
      <c r="C1130" s="22"/>
      <c r="D1130" s="22"/>
      <c r="E1130" s="22"/>
      <c r="F1130" s="27" t="str">
        <f aca="false">IF(B1130="","",IFERROR(INDEX(Roster!$B$5:$B$154,MATCH(B1130,Roster!$A$5:$A$154,0)),"Not on roster"))</f>
        <v/>
      </c>
      <c r="G1130" s="28" t="str">
        <f aca="false">IF(OR(B1130="",C1130=""),"",F1130&amp;" | "&amp;C1130)</f>
        <v/>
      </c>
      <c r="H1130" s="27" t="str">
        <f aca="false">IF(G1130="","",IFERROR(INDEX(Levels!$C$5:$C$94,MATCH(G1130,Levels!$G$5:$G$94,0)),"Not this class's skill"))</f>
        <v/>
      </c>
    </row>
    <row r="1131" customFormat="false" ht="15" hidden="false" customHeight="false" outlineLevel="0" collapsed="false">
      <c r="A1131" s="23"/>
      <c r="B1131" s="22"/>
      <c r="C1131" s="22"/>
      <c r="D1131" s="22"/>
      <c r="E1131" s="22"/>
      <c r="F1131" s="27" t="str">
        <f aca="false">IF(B1131="","",IFERROR(INDEX(Roster!$B$5:$B$154,MATCH(B1131,Roster!$A$5:$A$154,0)),"Not on roster"))</f>
        <v/>
      </c>
      <c r="G1131" s="28" t="str">
        <f aca="false">IF(OR(B1131="",C1131=""),"",F1131&amp;" | "&amp;C1131)</f>
        <v/>
      </c>
      <c r="H1131" s="27" t="str">
        <f aca="false">IF(G1131="","",IFERROR(INDEX(Levels!$C$5:$C$94,MATCH(G1131,Levels!$G$5:$G$94,0)),"Not this class's skill"))</f>
        <v/>
      </c>
    </row>
    <row r="1132" customFormat="false" ht="15" hidden="false" customHeight="false" outlineLevel="0" collapsed="false">
      <c r="A1132" s="23"/>
      <c r="B1132" s="22"/>
      <c r="C1132" s="22"/>
      <c r="D1132" s="22"/>
      <c r="E1132" s="22"/>
      <c r="F1132" s="27" t="str">
        <f aca="false">IF(B1132="","",IFERROR(INDEX(Roster!$B$5:$B$154,MATCH(B1132,Roster!$A$5:$A$154,0)),"Not on roster"))</f>
        <v/>
      </c>
      <c r="G1132" s="28" t="str">
        <f aca="false">IF(OR(B1132="",C1132=""),"",F1132&amp;" | "&amp;C1132)</f>
        <v/>
      </c>
      <c r="H1132" s="27" t="str">
        <f aca="false">IF(G1132="","",IFERROR(INDEX(Levels!$C$5:$C$94,MATCH(G1132,Levels!$G$5:$G$94,0)),"Not this class's skill"))</f>
        <v/>
      </c>
    </row>
    <row r="1133" customFormat="false" ht="15" hidden="false" customHeight="false" outlineLevel="0" collapsed="false">
      <c r="A1133" s="23"/>
      <c r="B1133" s="22"/>
      <c r="C1133" s="22"/>
      <c r="D1133" s="22"/>
      <c r="E1133" s="22"/>
      <c r="F1133" s="27" t="str">
        <f aca="false">IF(B1133="","",IFERROR(INDEX(Roster!$B$5:$B$154,MATCH(B1133,Roster!$A$5:$A$154,0)),"Not on roster"))</f>
        <v/>
      </c>
      <c r="G1133" s="28" t="str">
        <f aca="false">IF(OR(B1133="",C1133=""),"",F1133&amp;" | "&amp;C1133)</f>
        <v/>
      </c>
      <c r="H1133" s="27" t="str">
        <f aca="false">IF(G1133="","",IFERROR(INDEX(Levels!$C$5:$C$94,MATCH(G1133,Levels!$G$5:$G$94,0)),"Not this class's skill"))</f>
        <v/>
      </c>
    </row>
    <row r="1134" customFormat="false" ht="15" hidden="false" customHeight="false" outlineLevel="0" collapsed="false">
      <c r="A1134" s="23"/>
      <c r="B1134" s="22"/>
      <c r="C1134" s="22"/>
      <c r="D1134" s="22"/>
      <c r="E1134" s="22"/>
      <c r="F1134" s="27" t="str">
        <f aca="false">IF(B1134="","",IFERROR(INDEX(Roster!$B$5:$B$154,MATCH(B1134,Roster!$A$5:$A$154,0)),"Not on roster"))</f>
        <v/>
      </c>
      <c r="G1134" s="28" t="str">
        <f aca="false">IF(OR(B1134="",C1134=""),"",F1134&amp;" | "&amp;C1134)</f>
        <v/>
      </c>
      <c r="H1134" s="27" t="str">
        <f aca="false">IF(G1134="","",IFERROR(INDEX(Levels!$C$5:$C$94,MATCH(G1134,Levels!$G$5:$G$94,0)),"Not this class's skill"))</f>
        <v/>
      </c>
    </row>
    <row r="1135" customFormat="false" ht="15" hidden="false" customHeight="false" outlineLevel="0" collapsed="false">
      <c r="A1135" s="23"/>
      <c r="B1135" s="22"/>
      <c r="C1135" s="22"/>
      <c r="D1135" s="22"/>
      <c r="E1135" s="22"/>
      <c r="F1135" s="27" t="str">
        <f aca="false">IF(B1135="","",IFERROR(INDEX(Roster!$B$5:$B$154,MATCH(B1135,Roster!$A$5:$A$154,0)),"Not on roster"))</f>
        <v/>
      </c>
      <c r="G1135" s="28" t="str">
        <f aca="false">IF(OR(B1135="",C1135=""),"",F1135&amp;" | "&amp;C1135)</f>
        <v/>
      </c>
      <c r="H1135" s="27" t="str">
        <f aca="false">IF(G1135="","",IFERROR(INDEX(Levels!$C$5:$C$94,MATCH(G1135,Levels!$G$5:$G$94,0)),"Not this class's skill"))</f>
        <v/>
      </c>
    </row>
    <row r="1136" customFormat="false" ht="15" hidden="false" customHeight="false" outlineLevel="0" collapsed="false">
      <c r="A1136" s="23"/>
      <c r="B1136" s="22"/>
      <c r="C1136" s="22"/>
      <c r="D1136" s="22"/>
      <c r="E1136" s="22"/>
      <c r="F1136" s="27" t="str">
        <f aca="false">IF(B1136="","",IFERROR(INDEX(Roster!$B$5:$B$154,MATCH(B1136,Roster!$A$5:$A$154,0)),"Not on roster"))</f>
        <v/>
      </c>
      <c r="G1136" s="28" t="str">
        <f aca="false">IF(OR(B1136="",C1136=""),"",F1136&amp;" | "&amp;C1136)</f>
        <v/>
      </c>
      <c r="H1136" s="27" t="str">
        <f aca="false">IF(G1136="","",IFERROR(INDEX(Levels!$C$5:$C$94,MATCH(G1136,Levels!$G$5:$G$94,0)),"Not this class's skill"))</f>
        <v/>
      </c>
    </row>
    <row r="1137" customFormat="false" ht="15" hidden="false" customHeight="false" outlineLevel="0" collapsed="false">
      <c r="A1137" s="23"/>
      <c r="B1137" s="22"/>
      <c r="C1137" s="22"/>
      <c r="D1137" s="22"/>
      <c r="E1137" s="22"/>
      <c r="F1137" s="27" t="str">
        <f aca="false">IF(B1137="","",IFERROR(INDEX(Roster!$B$5:$B$154,MATCH(B1137,Roster!$A$5:$A$154,0)),"Not on roster"))</f>
        <v/>
      </c>
      <c r="G1137" s="28" t="str">
        <f aca="false">IF(OR(B1137="",C1137=""),"",F1137&amp;" | "&amp;C1137)</f>
        <v/>
      </c>
      <c r="H1137" s="27" t="str">
        <f aca="false">IF(G1137="","",IFERROR(INDEX(Levels!$C$5:$C$94,MATCH(G1137,Levels!$G$5:$G$94,0)),"Not this class's skill"))</f>
        <v/>
      </c>
    </row>
    <row r="1138" customFormat="false" ht="15" hidden="false" customHeight="false" outlineLevel="0" collapsed="false">
      <c r="A1138" s="23"/>
      <c r="B1138" s="22"/>
      <c r="C1138" s="22"/>
      <c r="D1138" s="22"/>
      <c r="E1138" s="22"/>
      <c r="F1138" s="27" t="str">
        <f aca="false">IF(B1138="","",IFERROR(INDEX(Roster!$B$5:$B$154,MATCH(B1138,Roster!$A$5:$A$154,0)),"Not on roster"))</f>
        <v/>
      </c>
      <c r="G1138" s="28" t="str">
        <f aca="false">IF(OR(B1138="",C1138=""),"",F1138&amp;" | "&amp;C1138)</f>
        <v/>
      </c>
      <c r="H1138" s="27" t="str">
        <f aca="false">IF(G1138="","",IFERROR(INDEX(Levels!$C$5:$C$94,MATCH(G1138,Levels!$G$5:$G$94,0)),"Not this class's skill"))</f>
        <v/>
      </c>
    </row>
    <row r="1139" customFormat="false" ht="15" hidden="false" customHeight="false" outlineLevel="0" collapsed="false">
      <c r="A1139" s="23"/>
      <c r="B1139" s="22"/>
      <c r="C1139" s="22"/>
      <c r="D1139" s="22"/>
      <c r="E1139" s="22"/>
      <c r="F1139" s="27" t="str">
        <f aca="false">IF(B1139="","",IFERROR(INDEX(Roster!$B$5:$B$154,MATCH(B1139,Roster!$A$5:$A$154,0)),"Not on roster"))</f>
        <v/>
      </c>
      <c r="G1139" s="28" t="str">
        <f aca="false">IF(OR(B1139="",C1139=""),"",F1139&amp;" | "&amp;C1139)</f>
        <v/>
      </c>
      <c r="H1139" s="27" t="str">
        <f aca="false">IF(G1139="","",IFERROR(INDEX(Levels!$C$5:$C$94,MATCH(G1139,Levels!$G$5:$G$94,0)),"Not this class's skill"))</f>
        <v/>
      </c>
    </row>
    <row r="1140" customFormat="false" ht="15" hidden="false" customHeight="false" outlineLevel="0" collapsed="false">
      <c r="A1140" s="23"/>
      <c r="B1140" s="22"/>
      <c r="C1140" s="22"/>
      <c r="D1140" s="22"/>
      <c r="E1140" s="22"/>
      <c r="F1140" s="27" t="str">
        <f aca="false">IF(B1140="","",IFERROR(INDEX(Roster!$B$5:$B$154,MATCH(B1140,Roster!$A$5:$A$154,0)),"Not on roster"))</f>
        <v/>
      </c>
      <c r="G1140" s="28" t="str">
        <f aca="false">IF(OR(B1140="",C1140=""),"",F1140&amp;" | "&amp;C1140)</f>
        <v/>
      </c>
      <c r="H1140" s="27" t="str">
        <f aca="false">IF(G1140="","",IFERROR(INDEX(Levels!$C$5:$C$94,MATCH(G1140,Levels!$G$5:$G$94,0)),"Not this class's skill"))</f>
        <v/>
      </c>
    </row>
    <row r="1141" customFormat="false" ht="15" hidden="false" customHeight="false" outlineLevel="0" collapsed="false">
      <c r="A1141" s="23"/>
      <c r="B1141" s="22"/>
      <c r="C1141" s="22"/>
      <c r="D1141" s="22"/>
      <c r="E1141" s="22"/>
      <c r="F1141" s="27" t="str">
        <f aca="false">IF(B1141="","",IFERROR(INDEX(Roster!$B$5:$B$154,MATCH(B1141,Roster!$A$5:$A$154,0)),"Not on roster"))</f>
        <v/>
      </c>
      <c r="G1141" s="28" t="str">
        <f aca="false">IF(OR(B1141="",C1141=""),"",F1141&amp;" | "&amp;C1141)</f>
        <v/>
      </c>
      <c r="H1141" s="27" t="str">
        <f aca="false">IF(G1141="","",IFERROR(INDEX(Levels!$C$5:$C$94,MATCH(G1141,Levels!$G$5:$G$94,0)),"Not this class's skill"))</f>
        <v/>
      </c>
    </row>
    <row r="1142" customFormat="false" ht="15" hidden="false" customHeight="false" outlineLevel="0" collapsed="false">
      <c r="A1142" s="23"/>
      <c r="B1142" s="22"/>
      <c r="C1142" s="22"/>
      <c r="D1142" s="22"/>
      <c r="E1142" s="22"/>
      <c r="F1142" s="27" t="str">
        <f aca="false">IF(B1142="","",IFERROR(INDEX(Roster!$B$5:$B$154,MATCH(B1142,Roster!$A$5:$A$154,0)),"Not on roster"))</f>
        <v/>
      </c>
      <c r="G1142" s="28" t="str">
        <f aca="false">IF(OR(B1142="",C1142=""),"",F1142&amp;" | "&amp;C1142)</f>
        <v/>
      </c>
      <c r="H1142" s="27" t="str">
        <f aca="false">IF(G1142="","",IFERROR(INDEX(Levels!$C$5:$C$94,MATCH(G1142,Levels!$G$5:$G$94,0)),"Not this class's skill"))</f>
        <v/>
      </c>
    </row>
    <row r="1143" customFormat="false" ht="15" hidden="false" customHeight="false" outlineLevel="0" collapsed="false">
      <c r="A1143" s="23"/>
      <c r="B1143" s="22"/>
      <c r="C1143" s="22"/>
      <c r="D1143" s="22"/>
      <c r="E1143" s="22"/>
      <c r="F1143" s="27" t="str">
        <f aca="false">IF(B1143="","",IFERROR(INDEX(Roster!$B$5:$B$154,MATCH(B1143,Roster!$A$5:$A$154,0)),"Not on roster"))</f>
        <v/>
      </c>
      <c r="G1143" s="28" t="str">
        <f aca="false">IF(OR(B1143="",C1143=""),"",F1143&amp;" | "&amp;C1143)</f>
        <v/>
      </c>
      <c r="H1143" s="27" t="str">
        <f aca="false">IF(G1143="","",IFERROR(INDEX(Levels!$C$5:$C$94,MATCH(G1143,Levels!$G$5:$G$94,0)),"Not this class's skill"))</f>
        <v/>
      </c>
    </row>
    <row r="1144" customFormat="false" ht="15" hidden="false" customHeight="false" outlineLevel="0" collapsed="false">
      <c r="A1144" s="23"/>
      <c r="B1144" s="22"/>
      <c r="C1144" s="22"/>
      <c r="D1144" s="22"/>
      <c r="E1144" s="22"/>
      <c r="F1144" s="27" t="str">
        <f aca="false">IF(B1144="","",IFERROR(INDEX(Roster!$B$5:$B$154,MATCH(B1144,Roster!$A$5:$A$154,0)),"Not on roster"))</f>
        <v/>
      </c>
      <c r="G1144" s="28" t="str">
        <f aca="false">IF(OR(B1144="",C1144=""),"",F1144&amp;" | "&amp;C1144)</f>
        <v/>
      </c>
      <c r="H1144" s="27" t="str">
        <f aca="false">IF(G1144="","",IFERROR(INDEX(Levels!$C$5:$C$94,MATCH(G1144,Levels!$G$5:$G$94,0)),"Not this class's skill"))</f>
        <v/>
      </c>
    </row>
    <row r="1145" customFormat="false" ht="15" hidden="false" customHeight="false" outlineLevel="0" collapsed="false">
      <c r="A1145" s="23"/>
      <c r="B1145" s="22"/>
      <c r="C1145" s="22"/>
      <c r="D1145" s="22"/>
      <c r="E1145" s="22"/>
      <c r="F1145" s="27" t="str">
        <f aca="false">IF(B1145="","",IFERROR(INDEX(Roster!$B$5:$B$154,MATCH(B1145,Roster!$A$5:$A$154,0)),"Not on roster"))</f>
        <v/>
      </c>
      <c r="G1145" s="28" t="str">
        <f aca="false">IF(OR(B1145="",C1145=""),"",F1145&amp;" | "&amp;C1145)</f>
        <v/>
      </c>
      <c r="H1145" s="27" t="str">
        <f aca="false">IF(G1145="","",IFERROR(INDEX(Levels!$C$5:$C$94,MATCH(G1145,Levels!$G$5:$G$94,0)),"Not this class's skill"))</f>
        <v/>
      </c>
    </row>
    <row r="1146" customFormat="false" ht="15" hidden="false" customHeight="false" outlineLevel="0" collapsed="false">
      <c r="A1146" s="23"/>
      <c r="B1146" s="22"/>
      <c r="C1146" s="22"/>
      <c r="D1146" s="22"/>
      <c r="E1146" s="22"/>
      <c r="F1146" s="27" t="str">
        <f aca="false">IF(B1146="","",IFERROR(INDEX(Roster!$B$5:$B$154,MATCH(B1146,Roster!$A$5:$A$154,0)),"Not on roster"))</f>
        <v/>
      </c>
      <c r="G1146" s="28" t="str">
        <f aca="false">IF(OR(B1146="",C1146=""),"",F1146&amp;" | "&amp;C1146)</f>
        <v/>
      </c>
      <c r="H1146" s="27" t="str">
        <f aca="false">IF(G1146="","",IFERROR(INDEX(Levels!$C$5:$C$94,MATCH(G1146,Levels!$G$5:$G$94,0)),"Not this class's skill"))</f>
        <v/>
      </c>
    </row>
    <row r="1147" customFormat="false" ht="15" hidden="false" customHeight="false" outlineLevel="0" collapsed="false">
      <c r="A1147" s="23"/>
      <c r="B1147" s="22"/>
      <c r="C1147" s="22"/>
      <c r="D1147" s="22"/>
      <c r="E1147" s="22"/>
      <c r="F1147" s="27" t="str">
        <f aca="false">IF(B1147="","",IFERROR(INDEX(Roster!$B$5:$B$154,MATCH(B1147,Roster!$A$5:$A$154,0)),"Not on roster"))</f>
        <v/>
      </c>
      <c r="G1147" s="28" t="str">
        <f aca="false">IF(OR(B1147="",C1147=""),"",F1147&amp;" | "&amp;C1147)</f>
        <v/>
      </c>
      <c r="H1147" s="27" t="str">
        <f aca="false">IF(G1147="","",IFERROR(INDEX(Levels!$C$5:$C$94,MATCH(G1147,Levels!$G$5:$G$94,0)),"Not this class's skill"))</f>
        <v/>
      </c>
    </row>
    <row r="1148" customFormat="false" ht="15" hidden="false" customHeight="false" outlineLevel="0" collapsed="false">
      <c r="A1148" s="23"/>
      <c r="B1148" s="22"/>
      <c r="C1148" s="22"/>
      <c r="D1148" s="22"/>
      <c r="E1148" s="22"/>
      <c r="F1148" s="27" t="str">
        <f aca="false">IF(B1148="","",IFERROR(INDEX(Roster!$B$5:$B$154,MATCH(B1148,Roster!$A$5:$A$154,0)),"Not on roster"))</f>
        <v/>
      </c>
      <c r="G1148" s="28" t="str">
        <f aca="false">IF(OR(B1148="",C1148=""),"",F1148&amp;" | "&amp;C1148)</f>
        <v/>
      </c>
      <c r="H1148" s="27" t="str">
        <f aca="false">IF(G1148="","",IFERROR(INDEX(Levels!$C$5:$C$94,MATCH(G1148,Levels!$G$5:$G$94,0)),"Not this class's skill"))</f>
        <v/>
      </c>
    </row>
    <row r="1149" customFormat="false" ht="15" hidden="false" customHeight="false" outlineLevel="0" collapsed="false">
      <c r="A1149" s="23"/>
      <c r="B1149" s="22"/>
      <c r="C1149" s="22"/>
      <c r="D1149" s="22"/>
      <c r="E1149" s="22"/>
      <c r="F1149" s="27" t="str">
        <f aca="false">IF(B1149="","",IFERROR(INDEX(Roster!$B$5:$B$154,MATCH(B1149,Roster!$A$5:$A$154,0)),"Not on roster"))</f>
        <v/>
      </c>
      <c r="G1149" s="28" t="str">
        <f aca="false">IF(OR(B1149="",C1149=""),"",F1149&amp;" | "&amp;C1149)</f>
        <v/>
      </c>
      <c r="H1149" s="27" t="str">
        <f aca="false">IF(G1149="","",IFERROR(INDEX(Levels!$C$5:$C$94,MATCH(G1149,Levels!$G$5:$G$94,0)),"Not this class's skill"))</f>
        <v/>
      </c>
    </row>
    <row r="1150" customFormat="false" ht="15" hidden="false" customHeight="false" outlineLevel="0" collapsed="false">
      <c r="A1150" s="23"/>
      <c r="B1150" s="22"/>
      <c r="C1150" s="22"/>
      <c r="D1150" s="22"/>
      <c r="E1150" s="22"/>
      <c r="F1150" s="27" t="str">
        <f aca="false">IF(B1150="","",IFERROR(INDEX(Roster!$B$5:$B$154,MATCH(B1150,Roster!$A$5:$A$154,0)),"Not on roster"))</f>
        <v/>
      </c>
      <c r="G1150" s="28" t="str">
        <f aca="false">IF(OR(B1150="",C1150=""),"",F1150&amp;" | "&amp;C1150)</f>
        <v/>
      </c>
      <c r="H1150" s="27" t="str">
        <f aca="false">IF(G1150="","",IFERROR(INDEX(Levels!$C$5:$C$94,MATCH(G1150,Levels!$G$5:$G$94,0)),"Not this class's skill"))</f>
        <v/>
      </c>
    </row>
    <row r="1151" customFormat="false" ht="15" hidden="false" customHeight="false" outlineLevel="0" collapsed="false">
      <c r="A1151" s="23"/>
      <c r="B1151" s="22"/>
      <c r="C1151" s="22"/>
      <c r="D1151" s="22"/>
      <c r="E1151" s="22"/>
      <c r="F1151" s="27" t="str">
        <f aca="false">IF(B1151="","",IFERROR(INDEX(Roster!$B$5:$B$154,MATCH(B1151,Roster!$A$5:$A$154,0)),"Not on roster"))</f>
        <v/>
      </c>
      <c r="G1151" s="28" t="str">
        <f aca="false">IF(OR(B1151="",C1151=""),"",F1151&amp;" | "&amp;C1151)</f>
        <v/>
      </c>
      <c r="H1151" s="27" t="str">
        <f aca="false">IF(G1151="","",IFERROR(INDEX(Levels!$C$5:$C$94,MATCH(G1151,Levels!$G$5:$G$94,0)),"Not this class's skill"))</f>
        <v/>
      </c>
    </row>
    <row r="1152" customFormat="false" ht="15" hidden="false" customHeight="false" outlineLevel="0" collapsed="false">
      <c r="A1152" s="23"/>
      <c r="B1152" s="22"/>
      <c r="C1152" s="22"/>
      <c r="D1152" s="22"/>
      <c r="E1152" s="22"/>
      <c r="F1152" s="27" t="str">
        <f aca="false">IF(B1152="","",IFERROR(INDEX(Roster!$B$5:$B$154,MATCH(B1152,Roster!$A$5:$A$154,0)),"Not on roster"))</f>
        <v/>
      </c>
      <c r="G1152" s="28" t="str">
        <f aca="false">IF(OR(B1152="",C1152=""),"",F1152&amp;" | "&amp;C1152)</f>
        <v/>
      </c>
      <c r="H1152" s="27" t="str">
        <f aca="false">IF(G1152="","",IFERROR(INDEX(Levels!$C$5:$C$94,MATCH(G1152,Levels!$G$5:$G$94,0)),"Not this class's skill"))</f>
        <v/>
      </c>
    </row>
    <row r="1153" customFormat="false" ht="15" hidden="false" customHeight="false" outlineLevel="0" collapsed="false">
      <c r="A1153" s="23"/>
      <c r="B1153" s="22"/>
      <c r="C1153" s="22"/>
      <c r="D1153" s="22"/>
      <c r="E1153" s="22"/>
      <c r="F1153" s="27" t="str">
        <f aca="false">IF(B1153="","",IFERROR(INDEX(Roster!$B$5:$B$154,MATCH(B1153,Roster!$A$5:$A$154,0)),"Not on roster"))</f>
        <v/>
      </c>
      <c r="G1153" s="28" t="str">
        <f aca="false">IF(OR(B1153="",C1153=""),"",F1153&amp;" | "&amp;C1153)</f>
        <v/>
      </c>
      <c r="H1153" s="27" t="str">
        <f aca="false">IF(G1153="","",IFERROR(INDEX(Levels!$C$5:$C$94,MATCH(G1153,Levels!$G$5:$G$94,0)),"Not this class's skill"))</f>
        <v/>
      </c>
    </row>
    <row r="1154" customFormat="false" ht="15" hidden="false" customHeight="false" outlineLevel="0" collapsed="false">
      <c r="A1154" s="23"/>
      <c r="B1154" s="22"/>
      <c r="C1154" s="22"/>
      <c r="D1154" s="22"/>
      <c r="E1154" s="22"/>
      <c r="F1154" s="27" t="str">
        <f aca="false">IF(B1154="","",IFERROR(INDEX(Roster!$B$5:$B$154,MATCH(B1154,Roster!$A$5:$A$154,0)),"Not on roster"))</f>
        <v/>
      </c>
      <c r="G1154" s="28" t="str">
        <f aca="false">IF(OR(B1154="",C1154=""),"",F1154&amp;" | "&amp;C1154)</f>
        <v/>
      </c>
      <c r="H1154" s="27" t="str">
        <f aca="false">IF(G1154="","",IFERROR(INDEX(Levels!$C$5:$C$94,MATCH(G1154,Levels!$G$5:$G$94,0)),"Not this class's skill"))</f>
        <v/>
      </c>
    </row>
    <row r="1155" customFormat="false" ht="15" hidden="false" customHeight="false" outlineLevel="0" collapsed="false">
      <c r="A1155" s="23"/>
      <c r="B1155" s="22"/>
      <c r="C1155" s="22"/>
      <c r="D1155" s="22"/>
      <c r="E1155" s="22"/>
      <c r="F1155" s="27" t="str">
        <f aca="false">IF(B1155="","",IFERROR(INDEX(Roster!$B$5:$B$154,MATCH(B1155,Roster!$A$5:$A$154,0)),"Not on roster"))</f>
        <v/>
      </c>
      <c r="G1155" s="28" t="str">
        <f aca="false">IF(OR(B1155="",C1155=""),"",F1155&amp;" | "&amp;C1155)</f>
        <v/>
      </c>
      <c r="H1155" s="27" t="str">
        <f aca="false">IF(G1155="","",IFERROR(INDEX(Levels!$C$5:$C$94,MATCH(G1155,Levels!$G$5:$G$94,0)),"Not this class's skill"))</f>
        <v/>
      </c>
    </row>
    <row r="1156" customFormat="false" ht="15" hidden="false" customHeight="false" outlineLevel="0" collapsed="false">
      <c r="A1156" s="23"/>
      <c r="B1156" s="22"/>
      <c r="C1156" s="22"/>
      <c r="D1156" s="22"/>
      <c r="E1156" s="22"/>
      <c r="F1156" s="27" t="str">
        <f aca="false">IF(B1156="","",IFERROR(INDEX(Roster!$B$5:$B$154,MATCH(B1156,Roster!$A$5:$A$154,0)),"Not on roster"))</f>
        <v/>
      </c>
      <c r="G1156" s="28" t="str">
        <f aca="false">IF(OR(B1156="",C1156=""),"",F1156&amp;" | "&amp;C1156)</f>
        <v/>
      </c>
      <c r="H1156" s="27" t="str">
        <f aca="false">IF(G1156="","",IFERROR(INDEX(Levels!$C$5:$C$94,MATCH(G1156,Levels!$G$5:$G$94,0)),"Not this class's skill"))</f>
        <v/>
      </c>
    </row>
    <row r="1157" customFormat="false" ht="15" hidden="false" customHeight="false" outlineLevel="0" collapsed="false">
      <c r="A1157" s="23"/>
      <c r="B1157" s="22"/>
      <c r="C1157" s="22"/>
      <c r="D1157" s="22"/>
      <c r="E1157" s="22"/>
      <c r="F1157" s="27" t="str">
        <f aca="false">IF(B1157="","",IFERROR(INDEX(Roster!$B$5:$B$154,MATCH(B1157,Roster!$A$5:$A$154,0)),"Not on roster"))</f>
        <v/>
      </c>
      <c r="G1157" s="28" t="str">
        <f aca="false">IF(OR(B1157="",C1157=""),"",F1157&amp;" | "&amp;C1157)</f>
        <v/>
      </c>
      <c r="H1157" s="27" t="str">
        <f aca="false">IF(G1157="","",IFERROR(INDEX(Levels!$C$5:$C$94,MATCH(G1157,Levels!$G$5:$G$94,0)),"Not this class's skill"))</f>
        <v/>
      </c>
    </row>
    <row r="1158" customFormat="false" ht="15" hidden="false" customHeight="false" outlineLevel="0" collapsed="false">
      <c r="A1158" s="23"/>
      <c r="B1158" s="22"/>
      <c r="C1158" s="22"/>
      <c r="D1158" s="22"/>
      <c r="E1158" s="22"/>
      <c r="F1158" s="27" t="str">
        <f aca="false">IF(B1158="","",IFERROR(INDEX(Roster!$B$5:$B$154,MATCH(B1158,Roster!$A$5:$A$154,0)),"Not on roster"))</f>
        <v/>
      </c>
      <c r="G1158" s="28" t="str">
        <f aca="false">IF(OR(B1158="",C1158=""),"",F1158&amp;" | "&amp;C1158)</f>
        <v/>
      </c>
      <c r="H1158" s="27" t="str">
        <f aca="false">IF(G1158="","",IFERROR(INDEX(Levels!$C$5:$C$94,MATCH(G1158,Levels!$G$5:$G$94,0)),"Not this class's skill"))</f>
        <v/>
      </c>
    </row>
    <row r="1159" customFormat="false" ht="15" hidden="false" customHeight="false" outlineLevel="0" collapsed="false">
      <c r="A1159" s="23"/>
      <c r="B1159" s="22"/>
      <c r="C1159" s="22"/>
      <c r="D1159" s="22"/>
      <c r="E1159" s="22"/>
      <c r="F1159" s="27" t="str">
        <f aca="false">IF(B1159="","",IFERROR(INDEX(Roster!$B$5:$B$154,MATCH(B1159,Roster!$A$5:$A$154,0)),"Not on roster"))</f>
        <v/>
      </c>
      <c r="G1159" s="28" t="str">
        <f aca="false">IF(OR(B1159="",C1159=""),"",F1159&amp;" | "&amp;C1159)</f>
        <v/>
      </c>
      <c r="H1159" s="27" t="str">
        <f aca="false">IF(G1159="","",IFERROR(INDEX(Levels!$C$5:$C$94,MATCH(G1159,Levels!$G$5:$G$94,0)),"Not this class's skill"))</f>
        <v/>
      </c>
    </row>
    <row r="1160" customFormat="false" ht="15" hidden="false" customHeight="false" outlineLevel="0" collapsed="false">
      <c r="A1160" s="23"/>
      <c r="B1160" s="22"/>
      <c r="C1160" s="22"/>
      <c r="D1160" s="22"/>
      <c r="E1160" s="22"/>
      <c r="F1160" s="27" t="str">
        <f aca="false">IF(B1160="","",IFERROR(INDEX(Roster!$B$5:$B$154,MATCH(B1160,Roster!$A$5:$A$154,0)),"Not on roster"))</f>
        <v/>
      </c>
      <c r="G1160" s="28" t="str">
        <f aca="false">IF(OR(B1160="",C1160=""),"",F1160&amp;" | "&amp;C1160)</f>
        <v/>
      </c>
      <c r="H1160" s="27" t="str">
        <f aca="false">IF(G1160="","",IFERROR(INDEX(Levels!$C$5:$C$94,MATCH(G1160,Levels!$G$5:$G$94,0)),"Not this class's skill"))</f>
        <v/>
      </c>
    </row>
    <row r="1161" customFormat="false" ht="15" hidden="false" customHeight="false" outlineLevel="0" collapsed="false">
      <c r="A1161" s="23"/>
      <c r="B1161" s="22"/>
      <c r="C1161" s="22"/>
      <c r="D1161" s="22"/>
      <c r="E1161" s="22"/>
      <c r="F1161" s="27" t="str">
        <f aca="false">IF(B1161="","",IFERROR(INDEX(Roster!$B$5:$B$154,MATCH(B1161,Roster!$A$5:$A$154,0)),"Not on roster"))</f>
        <v/>
      </c>
      <c r="G1161" s="28" t="str">
        <f aca="false">IF(OR(B1161="",C1161=""),"",F1161&amp;" | "&amp;C1161)</f>
        <v/>
      </c>
      <c r="H1161" s="27" t="str">
        <f aca="false">IF(G1161="","",IFERROR(INDEX(Levels!$C$5:$C$94,MATCH(G1161,Levels!$G$5:$G$94,0)),"Not this class's skill"))</f>
        <v/>
      </c>
    </row>
    <row r="1162" customFormat="false" ht="15" hidden="false" customHeight="false" outlineLevel="0" collapsed="false">
      <c r="A1162" s="23"/>
      <c r="B1162" s="22"/>
      <c r="C1162" s="22"/>
      <c r="D1162" s="22"/>
      <c r="E1162" s="22"/>
      <c r="F1162" s="27" t="str">
        <f aca="false">IF(B1162="","",IFERROR(INDEX(Roster!$B$5:$B$154,MATCH(B1162,Roster!$A$5:$A$154,0)),"Not on roster"))</f>
        <v/>
      </c>
      <c r="G1162" s="28" t="str">
        <f aca="false">IF(OR(B1162="",C1162=""),"",F1162&amp;" | "&amp;C1162)</f>
        <v/>
      </c>
      <c r="H1162" s="27" t="str">
        <f aca="false">IF(G1162="","",IFERROR(INDEX(Levels!$C$5:$C$94,MATCH(G1162,Levels!$G$5:$G$94,0)),"Not this class's skill"))</f>
        <v/>
      </c>
    </row>
    <row r="1163" customFormat="false" ht="15" hidden="false" customHeight="false" outlineLevel="0" collapsed="false">
      <c r="A1163" s="23"/>
      <c r="B1163" s="22"/>
      <c r="C1163" s="22"/>
      <c r="D1163" s="22"/>
      <c r="E1163" s="22"/>
      <c r="F1163" s="27" t="str">
        <f aca="false">IF(B1163="","",IFERROR(INDEX(Roster!$B$5:$B$154,MATCH(B1163,Roster!$A$5:$A$154,0)),"Not on roster"))</f>
        <v/>
      </c>
      <c r="G1163" s="28" t="str">
        <f aca="false">IF(OR(B1163="",C1163=""),"",F1163&amp;" | "&amp;C1163)</f>
        <v/>
      </c>
      <c r="H1163" s="27" t="str">
        <f aca="false">IF(G1163="","",IFERROR(INDEX(Levels!$C$5:$C$94,MATCH(G1163,Levels!$G$5:$G$94,0)),"Not this class's skill"))</f>
        <v/>
      </c>
    </row>
    <row r="1164" customFormat="false" ht="15" hidden="false" customHeight="false" outlineLevel="0" collapsed="false">
      <c r="A1164" s="23"/>
      <c r="B1164" s="22"/>
      <c r="C1164" s="22"/>
      <c r="D1164" s="22"/>
      <c r="E1164" s="22"/>
      <c r="F1164" s="27" t="str">
        <f aca="false">IF(B1164="","",IFERROR(INDEX(Roster!$B$5:$B$154,MATCH(B1164,Roster!$A$5:$A$154,0)),"Not on roster"))</f>
        <v/>
      </c>
      <c r="G1164" s="28" t="str">
        <f aca="false">IF(OR(B1164="",C1164=""),"",F1164&amp;" | "&amp;C1164)</f>
        <v/>
      </c>
      <c r="H1164" s="27" t="str">
        <f aca="false">IF(G1164="","",IFERROR(INDEX(Levels!$C$5:$C$94,MATCH(G1164,Levels!$G$5:$G$94,0)),"Not this class's skill"))</f>
        <v/>
      </c>
    </row>
    <row r="1165" customFormat="false" ht="15" hidden="false" customHeight="false" outlineLevel="0" collapsed="false">
      <c r="A1165" s="23"/>
      <c r="B1165" s="22"/>
      <c r="C1165" s="22"/>
      <c r="D1165" s="22"/>
      <c r="E1165" s="22"/>
      <c r="F1165" s="27" t="str">
        <f aca="false">IF(B1165="","",IFERROR(INDEX(Roster!$B$5:$B$154,MATCH(B1165,Roster!$A$5:$A$154,0)),"Not on roster"))</f>
        <v/>
      </c>
      <c r="G1165" s="28" t="str">
        <f aca="false">IF(OR(B1165="",C1165=""),"",F1165&amp;" | "&amp;C1165)</f>
        <v/>
      </c>
      <c r="H1165" s="27" t="str">
        <f aca="false">IF(G1165="","",IFERROR(INDEX(Levels!$C$5:$C$94,MATCH(G1165,Levels!$G$5:$G$94,0)),"Not this class's skill"))</f>
        <v/>
      </c>
    </row>
    <row r="1166" customFormat="false" ht="15" hidden="false" customHeight="false" outlineLevel="0" collapsed="false">
      <c r="A1166" s="23"/>
      <c r="B1166" s="22"/>
      <c r="C1166" s="22"/>
      <c r="D1166" s="22"/>
      <c r="E1166" s="22"/>
      <c r="F1166" s="27" t="str">
        <f aca="false">IF(B1166="","",IFERROR(INDEX(Roster!$B$5:$B$154,MATCH(B1166,Roster!$A$5:$A$154,0)),"Not on roster"))</f>
        <v/>
      </c>
      <c r="G1166" s="28" t="str">
        <f aca="false">IF(OR(B1166="",C1166=""),"",F1166&amp;" | "&amp;C1166)</f>
        <v/>
      </c>
      <c r="H1166" s="27" t="str">
        <f aca="false">IF(G1166="","",IFERROR(INDEX(Levels!$C$5:$C$94,MATCH(G1166,Levels!$G$5:$G$94,0)),"Not this class's skill"))</f>
        <v/>
      </c>
    </row>
    <row r="1167" customFormat="false" ht="15" hidden="false" customHeight="false" outlineLevel="0" collapsed="false">
      <c r="A1167" s="23"/>
      <c r="B1167" s="22"/>
      <c r="C1167" s="22"/>
      <c r="D1167" s="22"/>
      <c r="E1167" s="22"/>
      <c r="F1167" s="27" t="str">
        <f aca="false">IF(B1167="","",IFERROR(INDEX(Roster!$B$5:$B$154,MATCH(B1167,Roster!$A$5:$A$154,0)),"Not on roster"))</f>
        <v/>
      </c>
      <c r="G1167" s="28" t="str">
        <f aca="false">IF(OR(B1167="",C1167=""),"",F1167&amp;" | "&amp;C1167)</f>
        <v/>
      </c>
      <c r="H1167" s="27" t="str">
        <f aca="false">IF(G1167="","",IFERROR(INDEX(Levels!$C$5:$C$94,MATCH(G1167,Levels!$G$5:$G$94,0)),"Not this class's skill"))</f>
        <v/>
      </c>
    </row>
    <row r="1168" customFormat="false" ht="15" hidden="false" customHeight="false" outlineLevel="0" collapsed="false">
      <c r="A1168" s="23"/>
      <c r="B1168" s="22"/>
      <c r="C1168" s="22"/>
      <c r="D1168" s="22"/>
      <c r="E1168" s="22"/>
      <c r="F1168" s="27" t="str">
        <f aca="false">IF(B1168="","",IFERROR(INDEX(Roster!$B$5:$B$154,MATCH(B1168,Roster!$A$5:$A$154,0)),"Not on roster"))</f>
        <v/>
      </c>
      <c r="G1168" s="28" t="str">
        <f aca="false">IF(OR(B1168="",C1168=""),"",F1168&amp;" | "&amp;C1168)</f>
        <v/>
      </c>
      <c r="H1168" s="27" t="str">
        <f aca="false">IF(G1168="","",IFERROR(INDEX(Levels!$C$5:$C$94,MATCH(G1168,Levels!$G$5:$G$94,0)),"Not this class's skill"))</f>
        <v/>
      </c>
    </row>
    <row r="1169" customFormat="false" ht="15" hidden="false" customHeight="false" outlineLevel="0" collapsed="false">
      <c r="A1169" s="23"/>
      <c r="B1169" s="22"/>
      <c r="C1169" s="22"/>
      <c r="D1169" s="22"/>
      <c r="E1169" s="22"/>
      <c r="F1169" s="27" t="str">
        <f aca="false">IF(B1169="","",IFERROR(INDEX(Roster!$B$5:$B$154,MATCH(B1169,Roster!$A$5:$A$154,0)),"Not on roster"))</f>
        <v/>
      </c>
      <c r="G1169" s="28" t="str">
        <f aca="false">IF(OR(B1169="",C1169=""),"",F1169&amp;" | "&amp;C1169)</f>
        <v/>
      </c>
      <c r="H1169" s="27" t="str">
        <f aca="false">IF(G1169="","",IFERROR(INDEX(Levels!$C$5:$C$94,MATCH(G1169,Levels!$G$5:$G$94,0)),"Not this class's skill"))</f>
        <v/>
      </c>
    </row>
    <row r="1170" customFormat="false" ht="15" hidden="false" customHeight="false" outlineLevel="0" collapsed="false">
      <c r="A1170" s="23"/>
      <c r="B1170" s="22"/>
      <c r="C1170" s="22"/>
      <c r="D1170" s="22"/>
      <c r="E1170" s="22"/>
      <c r="F1170" s="27" t="str">
        <f aca="false">IF(B1170="","",IFERROR(INDEX(Roster!$B$5:$B$154,MATCH(B1170,Roster!$A$5:$A$154,0)),"Not on roster"))</f>
        <v/>
      </c>
      <c r="G1170" s="28" t="str">
        <f aca="false">IF(OR(B1170="",C1170=""),"",F1170&amp;" | "&amp;C1170)</f>
        <v/>
      </c>
      <c r="H1170" s="27" t="str">
        <f aca="false">IF(G1170="","",IFERROR(INDEX(Levels!$C$5:$C$94,MATCH(G1170,Levels!$G$5:$G$94,0)),"Not this class's skill"))</f>
        <v/>
      </c>
    </row>
    <row r="1171" customFormat="false" ht="15" hidden="false" customHeight="false" outlineLevel="0" collapsed="false">
      <c r="A1171" s="23"/>
      <c r="B1171" s="22"/>
      <c r="C1171" s="22"/>
      <c r="D1171" s="22"/>
      <c r="E1171" s="22"/>
      <c r="F1171" s="27" t="str">
        <f aca="false">IF(B1171="","",IFERROR(INDEX(Roster!$B$5:$B$154,MATCH(B1171,Roster!$A$5:$A$154,0)),"Not on roster"))</f>
        <v/>
      </c>
      <c r="G1171" s="28" t="str">
        <f aca="false">IF(OR(B1171="",C1171=""),"",F1171&amp;" | "&amp;C1171)</f>
        <v/>
      </c>
      <c r="H1171" s="27" t="str">
        <f aca="false">IF(G1171="","",IFERROR(INDEX(Levels!$C$5:$C$94,MATCH(G1171,Levels!$G$5:$G$94,0)),"Not this class's skill"))</f>
        <v/>
      </c>
    </row>
    <row r="1172" customFormat="false" ht="15" hidden="false" customHeight="false" outlineLevel="0" collapsed="false">
      <c r="A1172" s="23"/>
      <c r="B1172" s="22"/>
      <c r="C1172" s="22"/>
      <c r="D1172" s="22"/>
      <c r="E1172" s="22"/>
      <c r="F1172" s="27" t="str">
        <f aca="false">IF(B1172="","",IFERROR(INDEX(Roster!$B$5:$B$154,MATCH(B1172,Roster!$A$5:$A$154,0)),"Not on roster"))</f>
        <v/>
      </c>
      <c r="G1172" s="28" t="str">
        <f aca="false">IF(OR(B1172="",C1172=""),"",F1172&amp;" | "&amp;C1172)</f>
        <v/>
      </c>
      <c r="H1172" s="27" t="str">
        <f aca="false">IF(G1172="","",IFERROR(INDEX(Levels!$C$5:$C$94,MATCH(G1172,Levels!$G$5:$G$94,0)),"Not this class's skill"))</f>
        <v/>
      </c>
    </row>
    <row r="1173" customFormat="false" ht="15" hidden="false" customHeight="false" outlineLevel="0" collapsed="false">
      <c r="A1173" s="23"/>
      <c r="B1173" s="22"/>
      <c r="C1173" s="22"/>
      <c r="D1173" s="22"/>
      <c r="E1173" s="22"/>
      <c r="F1173" s="27" t="str">
        <f aca="false">IF(B1173="","",IFERROR(INDEX(Roster!$B$5:$B$154,MATCH(B1173,Roster!$A$5:$A$154,0)),"Not on roster"))</f>
        <v/>
      </c>
      <c r="G1173" s="28" t="str">
        <f aca="false">IF(OR(B1173="",C1173=""),"",F1173&amp;" | "&amp;C1173)</f>
        <v/>
      </c>
      <c r="H1173" s="27" t="str">
        <f aca="false">IF(G1173="","",IFERROR(INDEX(Levels!$C$5:$C$94,MATCH(G1173,Levels!$G$5:$G$94,0)),"Not this class's skill"))</f>
        <v/>
      </c>
    </row>
    <row r="1174" customFormat="false" ht="15" hidden="false" customHeight="false" outlineLevel="0" collapsed="false">
      <c r="A1174" s="23"/>
      <c r="B1174" s="22"/>
      <c r="C1174" s="22"/>
      <c r="D1174" s="22"/>
      <c r="E1174" s="22"/>
      <c r="F1174" s="27" t="str">
        <f aca="false">IF(B1174="","",IFERROR(INDEX(Roster!$B$5:$B$154,MATCH(B1174,Roster!$A$5:$A$154,0)),"Not on roster"))</f>
        <v/>
      </c>
      <c r="G1174" s="28" t="str">
        <f aca="false">IF(OR(B1174="",C1174=""),"",F1174&amp;" | "&amp;C1174)</f>
        <v/>
      </c>
      <c r="H1174" s="27" t="str">
        <f aca="false">IF(G1174="","",IFERROR(INDEX(Levels!$C$5:$C$94,MATCH(G1174,Levels!$G$5:$G$94,0)),"Not this class's skill"))</f>
        <v/>
      </c>
    </row>
    <row r="1175" customFormat="false" ht="15" hidden="false" customHeight="false" outlineLevel="0" collapsed="false">
      <c r="A1175" s="23"/>
      <c r="B1175" s="22"/>
      <c r="C1175" s="22"/>
      <c r="D1175" s="22"/>
      <c r="E1175" s="22"/>
      <c r="F1175" s="27" t="str">
        <f aca="false">IF(B1175="","",IFERROR(INDEX(Roster!$B$5:$B$154,MATCH(B1175,Roster!$A$5:$A$154,0)),"Not on roster"))</f>
        <v/>
      </c>
      <c r="G1175" s="28" t="str">
        <f aca="false">IF(OR(B1175="",C1175=""),"",F1175&amp;" | "&amp;C1175)</f>
        <v/>
      </c>
      <c r="H1175" s="27" t="str">
        <f aca="false">IF(G1175="","",IFERROR(INDEX(Levels!$C$5:$C$94,MATCH(G1175,Levels!$G$5:$G$94,0)),"Not this class's skill"))</f>
        <v/>
      </c>
    </row>
    <row r="1176" customFormat="false" ht="15" hidden="false" customHeight="false" outlineLevel="0" collapsed="false">
      <c r="A1176" s="23"/>
      <c r="B1176" s="22"/>
      <c r="C1176" s="22"/>
      <c r="D1176" s="22"/>
      <c r="E1176" s="22"/>
      <c r="F1176" s="27" t="str">
        <f aca="false">IF(B1176="","",IFERROR(INDEX(Roster!$B$5:$B$154,MATCH(B1176,Roster!$A$5:$A$154,0)),"Not on roster"))</f>
        <v/>
      </c>
      <c r="G1176" s="28" t="str">
        <f aca="false">IF(OR(B1176="",C1176=""),"",F1176&amp;" | "&amp;C1176)</f>
        <v/>
      </c>
      <c r="H1176" s="27" t="str">
        <f aca="false">IF(G1176="","",IFERROR(INDEX(Levels!$C$5:$C$94,MATCH(G1176,Levels!$G$5:$G$94,0)),"Not this class's skill"))</f>
        <v/>
      </c>
    </row>
    <row r="1177" customFormat="false" ht="15" hidden="false" customHeight="false" outlineLevel="0" collapsed="false">
      <c r="A1177" s="23"/>
      <c r="B1177" s="22"/>
      <c r="C1177" s="22"/>
      <c r="D1177" s="22"/>
      <c r="E1177" s="22"/>
      <c r="F1177" s="27" t="str">
        <f aca="false">IF(B1177="","",IFERROR(INDEX(Roster!$B$5:$B$154,MATCH(B1177,Roster!$A$5:$A$154,0)),"Not on roster"))</f>
        <v/>
      </c>
      <c r="G1177" s="28" t="str">
        <f aca="false">IF(OR(B1177="",C1177=""),"",F1177&amp;" | "&amp;C1177)</f>
        <v/>
      </c>
      <c r="H1177" s="27" t="str">
        <f aca="false">IF(G1177="","",IFERROR(INDEX(Levels!$C$5:$C$94,MATCH(G1177,Levels!$G$5:$G$94,0)),"Not this class's skill"))</f>
        <v/>
      </c>
    </row>
    <row r="1178" customFormat="false" ht="15" hidden="false" customHeight="false" outlineLevel="0" collapsed="false">
      <c r="A1178" s="23"/>
      <c r="B1178" s="22"/>
      <c r="C1178" s="22"/>
      <c r="D1178" s="22"/>
      <c r="E1178" s="22"/>
      <c r="F1178" s="27" t="str">
        <f aca="false">IF(B1178="","",IFERROR(INDEX(Roster!$B$5:$B$154,MATCH(B1178,Roster!$A$5:$A$154,0)),"Not on roster"))</f>
        <v/>
      </c>
      <c r="G1178" s="28" t="str">
        <f aca="false">IF(OR(B1178="",C1178=""),"",F1178&amp;" | "&amp;C1178)</f>
        <v/>
      </c>
      <c r="H1178" s="27" t="str">
        <f aca="false">IF(G1178="","",IFERROR(INDEX(Levels!$C$5:$C$94,MATCH(G1178,Levels!$G$5:$G$94,0)),"Not this class's skill"))</f>
        <v/>
      </c>
    </row>
    <row r="1179" customFormat="false" ht="15" hidden="false" customHeight="false" outlineLevel="0" collapsed="false">
      <c r="A1179" s="23"/>
      <c r="B1179" s="22"/>
      <c r="C1179" s="22"/>
      <c r="D1179" s="22"/>
      <c r="E1179" s="22"/>
      <c r="F1179" s="27" t="str">
        <f aca="false">IF(B1179="","",IFERROR(INDEX(Roster!$B$5:$B$154,MATCH(B1179,Roster!$A$5:$A$154,0)),"Not on roster"))</f>
        <v/>
      </c>
      <c r="G1179" s="28" t="str">
        <f aca="false">IF(OR(B1179="",C1179=""),"",F1179&amp;" | "&amp;C1179)</f>
        <v/>
      </c>
      <c r="H1179" s="27" t="str">
        <f aca="false">IF(G1179="","",IFERROR(INDEX(Levels!$C$5:$C$94,MATCH(G1179,Levels!$G$5:$G$94,0)),"Not this class's skill"))</f>
        <v/>
      </c>
    </row>
    <row r="1180" customFormat="false" ht="15" hidden="false" customHeight="false" outlineLevel="0" collapsed="false">
      <c r="A1180" s="23"/>
      <c r="B1180" s="22"/>
      <c r="C1180" s="22"/>
      <c r="D1180" s="22"/>
      <c r="E1180" s="22"/>
      <c r="F1180" s="27" t="str">
        <f aca="false">IF(B1180="","",IFERROR(INDEX(Roster!$B$5:$B$154,MATCH(B1180,Roster!$A$5:$A$154,0)),"Not on roster"))</f>
        <v/>
      </c>
      <c r="G1180" s="28" t="str">
        <f aca="false">IF(OR(B1180="",C1180=""),"",F1180&amp;" | "&amp;C1180)</f>
        <v/>
      </c>
      <c r="H1180" s="27" t="str">
        <f aca="false">IF(G1180="","",IFERROR(INDEX(Levels!$C$5:$C$94,MATCH(G1180,Levels!$G$5:$G$94,0)),"Not this class's skill"))</f>
        <v/>
      </c>
    </row>
    <row r="1181" customFormat="false" ht="15" hidden="false" customHeight="false" outlineLevel="0" collapsed="false">
      <c r="A1181" s="23"/>
      <c r="B1181" s="22"/>
      <c r="C1181" s="22"/>
      <c r="D1181" s="22"/>
      <c r="E1181" s="22"/>
      <c r="F1181" s="27" t="str">
        <f aca="false">IF(B1181="","",IFERROR(INDEX(Roster!$B$5:$B$154,MATCH(B1181,Roster!$A$5:$A$154,0)),"Not on roster"))</f>
        <v/>
      </c>
      <c r="G1181" s="28" t="str">
        <f aca="false">IF(OR(B1181="",C1181=""),"",F1181&amp;" | "&amp;C1181)</f>
        <v/>
      </c>
      <c r="H1181" s="27" t="str">
        <f aca="false">IF(G1181="","",IFERROR(INDEX(Levels!$C$5:$C$94,MATCH(G1181,Levels!$G$5:$G$94,0)),"Not this class's skill"))</f>
        <v/>
      </c>
    </row>
    <row r="1182" customFormat="false" ht="15" hidden="false" customHeight="false" outlineLevel="0" collapsed="false">
      <c r="A1182" s="23"/>
      <c r="B1182" s="22"/>
      <c r="C1182" s="22"/>
      <c r="D1182" s="22"/>
      <c r="E1182" s="22"/>
      <c r="F1182" s="27" t="str">
        <f aca="false">IF(B1182="","",IFERROR(INDEX(Roster!$B$5:$B$154,MATCH(B1182,Roster!$A$5:$A$154,0)),"Not on roster"))</f>
        <v/>
      </c>
      <c r="G1182" s="28" t="str">
        <f aca="false">IF(OR(B1182="",C1182=""),"",F1182&amp;" | "&amp;C1182)</f>
        <v/>
      </c>
      <c r="H1182" s="27" t="str">
        <f aca="false">IF(G1182="","",IFERROR(INDEX(Levels!$C$5:$C$94,MATCH(G1182,Levels!$G$5:$G$94,0)),"Not this class's skill"))</f>
        <v/>
      </c>
    </row>
    <row r="1183" customFormat="false" ht="15" hidden="false" customHeight="false" outlineLevel="0" collapsed="false">
      <c r="A1183" s="23"/>
      <c r="B1183" s="22"/>
      <c r="C1183" s="22"/>
      <c r="D1183" s="22"/>
      <c r="E1183" s="22"/>
      <c r="F1183" s="27" t="str">
        <f aca="false">IF(B1183="","",IFERROR(INDEX(Roster!$B$5:$B$154,MATCH(B1183,Roster!$A$5:$A$154,0)),"Not on roster"))</f>
        <v/>
      </c>
      <c r="G1183" s="28" t="str">
        <f aca="false">IF(OR(B1183="",C1183=""),"",F1183&amp;" | "&amp;C1183)</f>
        <v/>
      </c>
      <c r="H1183" s="27" t="str">
        <f aca="false">IF(G1183="","",IFERROR(INDEX(Levels!$C$5:$C$94,MATCH(G1183,Levels!$G$5:$G$94,0)),"Not this class's skill"))</f>
        <v/>
      </c>
    </row>
    <row r="1184" customFormat="false" ht="15" hidden="false" customHeight="false" outlineLevel="0" collapsed="false">
      <c r="A1184" s="23"/>
      <c r="B1184" s="22"/>
      <c r="C1184" s="22"/>
      <c r="D1184" s="22"/>
      <c r="E1184" s="22"/>
      <c r="F1184" s="27" t="str">
        <f aca="false">IF(B1184="","",IFERROR(INDEX(Roster!$B$5:$B$154,MATCH(B1184,Roster!$A$5:$A$154,0)),"Not on roster"))</f>
        <v/>
      </c>
      <c r="G1184" s="28" t="str">
        <f aca="false">IF(OR(B1184="",C1184=""),"",F1184&amp;" | "&amp;C1184)</f>
        <v/>
      </c>
      <c r="H1184" s="27" t="str">
        <f aca="false">IF(G1184="","",IFERROR(INDEX(Levels!$C$5:$C$94,MATCH(G1184,Levels!$G$5:$G$94,0)),"Not this class's skill"))</f>
        <v/>
      </c>
    </row>
    <row r="1185" customFormat="false" ht="15" hidden="false" customHeight="false" outlineLevel="0" collapsed="false">
      <c r="A1185" s="23"/>
      <c r="B1185" s="22"/>
      <c r="C1185" s="22"/>
      <c r="D1185" s="22"/>
      <c r="E1185" s="22"/>
      <c r="F1185" s="27" t="str">
        <f aca="false">IF(B1185="","",IFERROR(INDEX(Roster!$B$5:$B$154,MATCH(B1185,Roster!$A$5:$A$154,0)),"Not on roster"))</f>
        <v/>
      </c>
      <c r="G1185" s="28" t="str">
        <f aca="false">IF(OR(B1185="",C1185=""),"",F1185&amp;" | "&amp;C1185)</f>
        <v/>
      </c>
      <c r="H1185" s="27" t="str">
        <f aca="false">IF(G1185="","",IFERROR(INDEX(Levels!$C$5:$C$94,MATCH(G1185,Levels!$G$5:$G$94,0)),"Not this class's skill"))</f>
        <v/>
      </c>
    </row>
    <row r="1186" customFormat="false" ht="15" hidden="false" customHeight="false" outlineLevel="0" collapsed="false">
      <c r="A1186" s="23"/>
      <c r="B1186" s="22"/>
      <c r="C1186" s="22"/>
      <c r="D1186" s="22"/>
      <c r="E1186" s="22"/>
      <c r="F1186" s="27" t="str">
        <f aca="false">IF(B1186="","",IFERROR(INDEX(Roster!$B$5:$B$154,MATCH(B1186,Roster!$A$5:$A$154,0)),"Not on roster"))</f>
        <v/>
      </c>
      <c r="G1186" s="28" t="str">
        <f aca="false">IF(OR(B1186="",C1186=""),"",F1186&amp;" | "&amp;C1186)</f>
        <v/>
      </c>
      <c r="H1186" s="27" t="str">
        <f aca="false">IF(G1186="","",IFERROR(INDEX(Levels!$C$5:$C$94,MATCH(G1186,Levels!$G$5:$G$94,0)),"Not this class's skill"))</f>
        <v/>
      </c>
    </row>
    <row r="1187" customFormat="false" ht="15" hidden="false" customHeight="false" outlineLevel="0" collapsed="false">
      <c r="A1187" s="23"/>
      <c r="B1187" s="22"/>
      <c r="C1187" s="22"/>
      <c r="D1187" s="22"/>
      <c r="E1187" s="22"/>
      <c r="F1187" s="27" t="str">
        <f aca="false">IF(B1187="","",IFERROR(INDEX(Roster!$B$5:$B$154,MATCH(B1187,Roster!$A$5:$A$154,0)),"Not on roster"))</f>
        <v/>
      </c>
      <c r="G1187" s="28" t="str">
        <f aca="false">IF(OR(B1187="",C1187=""),"",F1187&amp;" | "&amp;C1187)</f>
        <v/>
      </c>
      <c r="H1187" s="27" t="str">
        <f aca="false">IF(G1187="","",IFERROR(INDEX(Levels!$C$5:$C$94,MATCH(G1187,Levels!$G$5:$G$94,0)),"Not this class's skill"))</f>
        <v/>
      </c>
    </row>
    <row r="1188" customFormat="false" ht="15" hidden="false" customHeight="false" outlineLevel="0" collapsed="false">
      <c r="A1188" s="23"/>
      <c r="B1188" s="22"/>
      <c r="C1188" s="22"/>
      <c r="D1188" s="22"/>
      <c r="E1188" s="22"/>
      <c r="F1188" s="27" t="str">
        <f aca="false">IF(B1188="","",IFERROR(INDEX(Roster!$B$5:$B$154,MATCH(B1188,Roster!$A$5:$A$154,0)),"Not on roster"))</f>
        <v/>
      </c>
      <c r="G1188" s="28" t="str">
        <f aca="false">IF(OR(B1188="",C1188=""),"",F1188&amp;" | "&amp;C1188)</f>
        <v/>
      </c>
      <c r="H1188" s="27" t="str">
        <f aca="false">IF(G1188="","",IFERROR(INDEX(Levels!$C$5:$C$94,MATCH(G1188,Levels!$G$5:$G$94,0)),"Not this class's skill"))</f>
        <v/>
      </c>
    </row>
    <row r="1189" customFormat="false" ht="15" hidden="false" customHeight="false" outlineLevel="0" collapsed="false">
      <c r="A1189" s="23"/>
      <c r="B1189" s="22"/>
      <c r="C1189" s="22"/>
      <c r="D1189" s="22"/>
      <c r="E1189" s="22"/>
      <c r="F1189" s="27" t="str">
        <f aca="false">IF(B1189="","",IFERROR(INDEX(Roster!$B$5:$B$154,MATCH(B1189,Roster!$A$5:$A$154,0)),"Not on roster"))</f>
        <v/>
      </c>
      <c r="G1189" s="28" t="str">
        <f aca="false">IF(OR(B1189="",C1189=""),"",F1189&amp;" | "&amp;C1189)</f>
        <v/>
      </c>
      <c r="H1189" s="27" t="str">
        <f aca="false">IF(G1189="","",IFERROR(INDEX(Levels!$C$5:$C$94,MATCH(G1189,Levels!$G$5:$G$94,0)),"Not this class's skill"))</f>
        <v/>
      </c>
    </row>
    <row r="1190" customFormat="false" ht="15" hidden="false" customHeight="false" outlineLevel="0" collapsed="false">
      <c r="A1190" s="23"/>
      <c r="B1190" s="22"/>
      <c r="C1190" s="22"/>
      <c r="D1190" s="22"/>
      <c r="E1190" s="22"/>
      <c r="F1190" s="27" t="str">
        <f aca="false">IF(B1190="","",IFERROR(INDEX(Roster!$B$5:$B$154,MATCH(B1190,Roster!$A$5:$A$154,0)),"Not on roster"))</f>
        <v/>
      </c>
      <c r="G1190" s="28" t="str">
        <f aca="false">IF(OR(B1190="",C1190=""),"",F1190&amp;" | "&amp;C1190)</f>
        <v/>
      </c>
      <c r="H1190" s="27" t="str">
        <f aca="false">IF(G1190="","",IFERROR(INDEX(Levels!$C$5:$C$94,MATCH(G1190,Levels!$G$5:$G$94,0)),"Not this class's skill"))</f>
        <v/>
      </c>
    </row>
    <row r="1191" customFormat="false" ht="15" hidden="false" customHeight="false" outlineLevel="0" collapsed="false">
      <c r="A1191" s="23"/>
      <c r="B1191" s="22"/>
      <c r="C1191" s="22"/>
      <c r="D1191" s="22"/>
      <c r="E1191" s="22"/>
      <c r="F1191" s="27" t="str">
        <f aca="false">IF(B1191="","",IFERROR(INDEX(Roster!$B$5:$B$154,MATCH(B1191,Roster!$A$5:$A$154,0)),"Not on roster"))</f>
        <v/>
      </c>
      <c r="G1191" s="28" t="str">
        <f aca="false">IF(OR(B1191="",C1191=""),"",F1191&amp;" | "&amp;C1191)</f>
        <v/>
      </c>
      <c r="H1191" s="27" t="str">
        <f aca="false">IF(G1191="","",IFERROR(INDEX(Levels!$C$5:$C$94,MATCH(G1191,Levels!$G$5:$G$94,0)),"Not this class's skill"))</f>
        <v/>
      </c>
    </row>
    <row r="1192" customFormat="false" ht="15" hidden="false" customHeight="false" outlineLevel="0" collapsed="false">
      <c r="A1192" s="23"/>
      <c r="B1192" s="22"/>
      <c r="C1192" s="22"/>
      <c r="D1192" s="22"/>
      <c r="E1192" s="22"/>
      <c r="F1192" s="27" t="str">
        <f aca="false">IF(B1192="","",IFERROR(INDEX(Roster!$B$5:$B$154,MATCH(B1192,Roster!$A$5:$A$154,0)),"Not on roster"))</f>
        <v/>
      </c>
      <c r="G1192" s="28" t="str">
        <f aca="false">IF(OR(B1192="",C1192=""),"",F1192&amp;" | "&amp;C1192)</f>
        <v/>
      </c>
      <c r="H1192" s="27" t="str">
        <f aca="false">IF(G1192="","",IFERROR(INDEX(Levels!$C$5:$C$94,MATCH(G1192,Levels!$G$5:$G$94,0)),"Not this class's skill"))</f>
        <v/>
      </c>
    </row>
    <row r="1193" customFormat="false" ht="15" hidden="false" customHeight="false" outlineLevel="0" collapsed="false">
      <c r="A1193" s="23"/>
      <c r="B1193" s="22"/>
      <c r="C1193" s="22"/>
      <c r="D1193" s="22"/>
      <c r="E1193" s="22"/>
      <c r="F1193" s="27" t="str">
        <f aca="false">IF(B1193="","",IFERROR(INDEX(Roster!$B$5:$B$154,MATCH(B1193,Roster!$A$5:$A$154,0)),"Not on roster"))</f>
        <v/>
      </c>
      <c r="G1193" s="28" t="str">
        <f aca="false">IF(OR(B1193="",C1193=""),"",F1193&amp;" | "&amp;C1193)</f>
        <v/>
      </c>
      <c r="H1193" s="27" t="str">
        <f aca="false">IF(G1193="","",IFERROR(INDEX(Levels!$C$5:$C$94,MATCH(G1193,Levels!$G$5:$G$94,0)),"Not this class's skill"))</f>
        <v/>
      </c>
    </row>
    <row r="1194" customFormat="false" ht="15" hidden="false" customHeight="false" outlineLevel="0" collapsed="false">
      <c r="A1194" s="23"/>
      <c r="B1194" s="22"/>
      <c r="C1194" s="22"/>
      <c r="D1194" s="22"/>
      <c r="E1194" s="22"/>
      <c r="F1194" s="27" t="str">
        <f aca="false">IF(B1194="","",IFERROR(INDEX(Roster!$B$5:$B$154,MATCH(B1194,Roster!$A$5:$A$154,0)),"Not on roster"))</f>
        <v/>
      </c>
      <c r="G1194" s="28" t="str">
        <f aca="false">IF(OR(B1194="",C1194=""),"",F1194&amp;" | "&amp;C1194)</f>
        <v/>
      </c>
      <c r="H1194" s="27" t="str">
        <f aca="false">IF(G1194="","",IFERROR(INDEX(Levels!$C$5:$C$94,MATCH(G1194,Levels!$G$5:$G$94,0)),"Not this class's skill"))</f>
        <v/>
      </c>
    </row>
    <row r="1195" customFormat="false" ht="15" hidden="false" customHeight="false" outlineLevel="0" collapsed="false">
      <c r="A1195" s="23"/>
      <c r="B1195" s="22"/>
      <c r="C1195" s="22"/>
      <c r="D1195" s="22"/>
      <c r="E1195" s="22"/>
      <c r="F1195" s="27" t="str">
        <f aca="false">IF(B1195="","",IFERROR(INDEX(Roster!$B$5:$B$154,MATCH(B1195,Roster!$A$5:$A$154,0)),"Not on roster"))</f>
        <v/>
      </c>
      <c r="G1195" s="28" t="str">
        <f aca="false">IF(OR(B1195="",C1195=""),"",F1195&amp;" | "&amp;C1195)</f>
        <v/>
      </c>
      <c r="H1195" s="27" t="str">
        <f aca="false">IF(G1195="","",IFERROR(INDEX(Levels!$C$5:$C$94,MATCH(G1195,Levels!$G$5:$G$94,0)),"Not this class's skill"))</f>
        <v/>
      </c>
    </row>
    <row r="1196" customFormat="false" ht="15" hidden="false" customHeight="false" outlineLevel="0" collapsed="false">
      <c r="A1196" s="23"/>
      <c r="B1196" s="22"/>
      <c r="C1196" s="22"/>
      <c r="D1196" s="22"/>
      <c r="E1196" s="22"/>
      <c r="F1196" s="27" t="str">
        <f aca="false">IF(B1196="","",IFERROR(INDEX(Roster!$B$5:$B$154,MATCH(B1196,Roster!$A$5:$A$154,0)),"Not on roster"))</f>
        <v/>
      </c>
      <c r="G1196" s="28" t="str">
        <f aca="false">IF(OR(B1196="",C1196=""),"",F1196&amp;" | "&amp;C1196)</f>
        <v/>
      </c>
      <c r="H1196" s="27" t="str">
        <f aca="false">IF(G1196="","",IFERROR(INDEX(Levels!$C$5:$C$94,MATCH(G1196,Levels!$G$5:$G$94,0)),"Not this class's skill"))</f>
        <v/>
      </c>
    </row>
    <row r="1197" customFormat="false" ht="15" hidden="false" customHeight="false" outlineLevel="0" collapsed="false">
      <c r="A1197" s="23"/>
      <c r="B1197" s="22"/>
      <c r="C1197" s="22"/>
      <c r="D1197" s="22"/>
      <c r="E1197" s="22"/>
      <c r="F1197" s="27" t="str">
        <f aca="false">IF(B1197="","",IFERROR(INDEX(Roster!$B$5:$B$154,MATCH(B1197,Roster!$A$5:$A$154,0)),"Not on roster"))</f>
        <v/>
      </c>
      <c r="G1197" s="28" t="str">
        <f aca="false">IF(OR(B1197="",C1197=""),"",F1197&amp;" | "&amp;C1197)</f>
        <v/>
      </c>
      <c r="H1197" s="27" t="str">
        <f aca="false">IF(G1197="","",IFERROR(INDEX(Levels!$C$5:$C$94,MATCH(G1197,Levels!$G$5:$G$94,0)),"Not this class's skill"))</f>
        <v/>
      </c>
    </row>
    <row r="1198" customFormat="false" ht="15" hidden="false" customHeight="false" outlineLevel="0" collapsed="false">
      <c r="A1198" s="23"/>
      <c r="B1198" s="22"/>
      <c r="C1198" s="22"/>
      <c r="D1198" s="22"/>
      <c r="E1198" s="22"/>
      <c r="F1198" s="27" t="str">
        <f aca="false">IF(B1198="","",IFERROR(INDEX(Roster!$B$5:$B$154,MATCH(B1198,Roster!$A$5:$A$154,0)),"Not on roster"))</f>
        <v/>
      </c>
      <c r="G1198" s="28" t="str">
        <f aca="false">IF(OR(B1198="",C1198=""),"",F1198&amp;" | "&amp;C1198)</f>
        <v/>
      </c>
      <c r="H1198" s="27" t="str">
        <f aca="false">IF(G1198="","",IFERROR(INDEX(Levels!$C$5:$C$94,MATCH(G1198,Levels!$G$5:$G$94,0)),"Not this class's skill"))</f>
        <v/>
      </c>
    </row>
    <row r="1199" customFormat="false" ht="15" hidden="false" customHeight="false" outlineLevel="0" collapsed="false">
      <c r="A1199" s="23"/>
      <c r="B1199" s="22"/>
      <c r="C1199" s="22"/>
      <c r="D1199" s="22"/>
      <c r="E1199" s="22"/>
      <c r="F1199" s="27" t="str">
        <f aca="false">IF(B1199="","",IFERROR(INDEX(Roster!$B$5:$B$154,MATCH(B1199,Roster!$A$5:$A$154,0)),"Not on roster"))</f>
        <v/>
      </c>
      <c r="G1199" s="28" t="str">
        <f aca="false">IF(OR(B1199="",C1199=""),"",F1199&amp;" | "&amp;C1199)</f>
        <v/>
      </c>
      <c r="H1199" s="27" t="str">
        <f aca="false">IF(G1199="","",IFERROR(INDEX(Levels!$C$5:$C$94,MATCH(G1199,Levels!$G$5:$G$94,0)),"Not this class's skill"))</f>
        <v/>
      </c>
    </row>
    <row r="1200" customFormat="false" ht="15" hidden="false" customHeight="false" outlineLevel="0" collapsed="false">
      <c r="A1200" s="23"/>
      <c r="B1200" s="22"/>
      <c r="C1200" s="22"/>
      <c r="D1200" s="22"/>
      <c r="E1200" s="22"/>
      <c r="F1200" s="27" t="str">
        <f aca="false">IF(B1200="","",IFERROR(INDEX(Roster!$B$5:$B$154,MATCH(B1200,Roster!$A$5:$A$154,0)),"Not on roster"))</f>
        <v/>
      </c>
      <c r="G1200" s="28" t="str">
        <f aca="false">IF(OR(B1200="",C1200=""),"",F1200&amp;" | "&amp;C1200)</f>
        <v/>
      </c>
      <c r="H1200" s="27" t="str">
        <f aca="false">IF(G1200="","",IFERROR(INDEX(Levels!$C$5:$C$94,MATCH(G1200,Levels!$G$5:$G$94,0)),"Not this class's skill"))</f>
        <v/>
      </c>
    </row>
    <row r="1201" customFormat="false" ht="15" hidden="false" customHeight="false" outlineLevel="0" collapsed="false">
      <c r="A1201" s="23"/>
      <c r="B1201" s="22"/>
      <c r="C1201" s="22"/>
      <c r="D1201" s="22"/>
      <c r="E1201" s="22"/>
      <c r="F1201" s="27" t="str">
        <f aca="false">IF(B1201="","",IFERROR(INDEX(Roster!$B$5:$B$154,MATCH(B1201,Roster!$A$5:$A$154,0)),"Not on roster"))</f>
        <v/>
      </c>
      <c r="G1201" s="28" t="str">
        <f aca="false">IF(OR(B1201="",C1201=""),"",F1201&amp;" | "&amp;C1201)</f>
        <v/>
      </c>
      <c r="H1201" s="27" t="str">
        <f aca="false">IF(G1201="","",IFERROR(INDEX(Levels!$C$5:$C$94,MATCH(G1201,Levels!$G$5:$G$94,0)),"Not this class's skill"))</f>
        <v/>
      </c>
    </row>
    <row r="1202" customFormat="false" ht="15" hidden="false" customHeight="false" outlineLevel="0" collapsed="false">
      <c r="A1202" s="23"/>
      <c r="B1202" s="22"/>
      <c r="C1202" s="22"/>
      <c r="D1202" s="22"/>
      <c r="E1202" s="22"/>
      <c r="F1202" s="27" t="str">
        <f aca="false">IF(B1202="","",IFERROR(INDEX(Roster!$B$5:$B$154,MATCH(B1202,Roster!$A$5:$A$154,0)),"Not on roster"))</f>
        <v/>
      </c>
      <c r="G1202" s="28" t="str">
        <f aca="false">IF(OR(B1202="",C1202=""),"",F1202&amp;" | "&amp;C1202)</f>
        <v/>
      </c>
      <c r="H1202" s="27" t="str">
        <f aca="false">IF(G1202="","",IFERROR(INDEX(Levels!$C$5:$C$94,MATCH(G1202,Levels!$G$5:$G$94,0)),"Not this class's skill"))</f>
        <v/>
      </c>
    </row>
    <row r="1203" customFormat="false" ht="15" hidden="false" customHeight="false" outlineLevel="0" collapsed="false">
      <c r="A1203" s="23"/>
      <c r="B1203" s="22"/>
      <c r="C1203" s="22"/>
      <c r="D1203" s="22"/>
      <c r="E1203" s="22"/>
      <c r="F1203" s="27" t="str">
        <f aca="false">IF(B1203="","",IFERROR(INDEX(Roster!$B$5:$B$154,MATCH(B1203,Roster!$A$5:$A$154,0)),"Not on roster"))</f>
        <v/>
      </c>
      <c r="G1203" s="28" t="str">
        <f aca="false">IF(OR(B1203="",C1203=""),"",F1203&amp;" | "&amp;C1203)</f>
        <v/>
      </c>
      <c r="H1203" s="27" t="str">
        <f aca="false">IF(G1203="","",IFERROR(INDEX(Levels!$C$5:$C$94,MATCH(G1203,Levels!$G$5:$G$94,0)),"Not this class's skill"))</f>
        <v/>
      </c>
    </row>
    <row r="1204" customFormat="false" ht="15" hidden="false" customHeight="false" outlineLevel="0" collapsed="false">
      <c r="A1204" s="23"/>
      <c r="B1204" s="22"/>
      <c r="C1204" s="22"/>
      <c r="D1204" s="22"/>
      <c r="E1204" s="22"/>
      <c r="F1204" s="27" t="str">
        <f aca="false">IF(B1204="","",IFERROR(INDEX(Roster!$B$5:$B$154,MATCH(B1204,Roster!$A$5:$A$154,0)),"Not on roster"))</f>
        <v/>
      </c>
      <c r="G1204" s="28" t="str">
        <f aca="false">IF(OR(B1204="",C1204=""),"",F1204&amp;" | "&amp;C1204)</f>
        <v/>
      </c>
      <c r="H1204" s="27" t="str">
        <f aca="false">IF(G1204="","",IFERROR(INDEX(Levels!$C$5:$C$94,MATCH(G1204,Levels!$G$5:$G$94,0)),"Not this class's skill"))</f>
        <v/>
      </c>
    </row>
    <row r="1205" customFormat="false" ht="15" hidden="false" customHeight="false" outlineLevel="0" collapsed="false">
      <c r="A1205" s="23"/>
      <c r="B1205" s="22"/>
      <c r="C1205" s="22"/>
      <c r="D1205" s="22"/>
      <c r="E1205" s="22"/>
      <c r="F1205" s="27" t="str">
        <f aca="false">IF(B1205="","",IFERROR(INDEX(Roster!$B$5:$B$154,MATCH(B1205,Roster!$A$5:$A$154,0)),"Not on roster"))</f>
        <v/>
      </c>
      <c r="G1205" s="28" t="str">
        <f aca="false">IF(OR(B1205="",C1205=""),"",F1205&amp;" | "&amp;C1205)</f>
        <v/>
      </c>
      <c r="H1205" s="27" t="str">
        <f aca="false">IF(G1205="","",IFERROR(INDEX(Levels!$C$5:$C$94,MATCH(G1205,Levels!$G$5:$G$94,0)),"Not this class's skill"))</f>
        <v/>
      </c>
    </row>
    <row r="1206" customFormat="false" ht="15" hidden="false" customHeight="false" outlineLevel="0" collapsed="false">
      <c r="A1206" s="23"/>
      <c r="B1206" s="22"/>
      <c r="C1206" s="22"/>
      <c r="D1206" s="22"/>
      <c r="E1206" s="22"/>
      <c r="F1206" s="27" t="str">
        <f aca="false">IF(B1206="","",IFERROR(INDEX(Roster!$B$5:$B$154,MATCH(B1206,Roster!$A$5:$A$154,0)),"Not on roster"))</f>
        <v/>
      </c>
      <c r="G1206" s="28" t="str">
        <f aca="false">IF(OR(B1206="",C1206=""),"",F1206&amp;" | "&amp;C1206)</f>
        <v/>
      </c>
      <c r="H1206" s="27" t="str">
        <f aca="false">IF(G1206="","",IFERROR(INDEX(Levels!$C$5:$C$94,MATCH(G1206,Levels!$G$5:$G$94,0)),"Not this class's skill"))</f>
        <v/>
      </c>
    </row>
    <row r="1207" customFormat="false" ht="15" hidden="false" customHeight="false" outlineLevel="0" collapsed="false">
      <c r="A1207" s="23"/>
      <c r="B1207" s="22"/>
      <c r="C1207" s="22"/>
      <c r="D1207" s="22"/>
      <c r="E1207" s="22"/>
      <c r="F1207" s="27" t="str">
        <f aca="false">IF(B1207="","",IFERROR(INDEX(Roster!$B$5:$B$154,MATCH(B1207,Roster!$A$5:$A$154,0)),"Not on roster"))</f>
        <v/>
      </c>
      <c r="G1207" s="28" t="str">
        <f aca="false">IF(OR(B1207="",C1207=""),"",F1207&amp;" | "&amp;C1207)</f>
        <v/>
      </c>
      <c r="H1207" s="27" t="str">
        <f aca="false">IF(G1207="","",IFERROR(INDEX(Levels!$C$5:$C$94,MATCH(G1207,Levels!$G$5:$G$94,0)),"Not this class's skill"))</f>
        <v/>
      </c>
    </row>
    <row r="1208" customFormat="false" ht="15" hidden="false" customHeight="false" outlineLevel="0" collapsed="false">
      <c r="A1208" s="23"/>
      <c r="B1208" s="22"/>
      <c r="C1208" s="22"/>
      <c r="D1208" s="22"/>
      <c r="E1208" s="22"/>
      <c r="F1208" s="27" t="str">
        <f aca="false">IF(B1208="","",IFERROR(INDEX(Roster!$B$5:$B$154,MATCH(B1208,Roster!$A$5:$A$154,0)),"Not on roster"))</f>
        <v/>
      </c>
      <c r="G1208" s="28" t="str">
        <f aca="false">IF(OR(B1208="",C1208=""),"",F1208&amp;" | "&amp;C1208)</f>
        <v/>
      </c>
      <c r="H1208" s="27" t="str">
        <f aca="false">IF(G1208="","",IFERROR(INDEX(Levels!$C$5:$C$94,MATCH(G1208,Levels!$G$5:$G$94,0)),"Not this class's skill"))</f>
        <v/>
      </c>
    </row>
    <row r="1209" customFormat="false" ht="15" hidden="false" customHeight="false" outlineLevel="0" collapsed="false">
      <c r="A1209" s="23"/>
      <c r="B1209" s="22"/>
      <c r="C1209" s="22"/>
      <c r="D1209" s="22"/>
      <c r="E1209" s="22"/>
      <c r="F1209" s="27" t="str">
        <f aca="false">IF(B1209="","",IFERROR(INDEX(Roster!$B$5:$B$154,MATCH(B1209,Roster!$A$5:$A$154,0)),"Not on roster"))</f>
        <v/>
      </c>
      <c r="G1209" s="28" t="str">
        <f aca="false">IF(OR(B1209="",C1209=""),"",F1209&amp;" | "&amp;C1209)</f>
        <v/>
      </c>
      <c r="H1209" s="27" t="str">
        <f aca="false">IF(G1209="","",IFERROR(INDEX(Levels!$C$5:$C$94,MATCH(G1209,Levels!$G$5:$G$94,0)),"Not this class's skill"))</f>
        <v/>
      </c>
    </row>
    <row r="1210" customFormat="false" ht="15" hidden="false" customHeight="false" outlineLevel="0" collapsed="false">
      <c r="A1210" s="23"/>
      <c r="B1210" s="22"/>
      <c r="C1210" s="22"/>
      <c r="D1210" s="22"/>
      <c r="E1210" s="22"/>
      <c r="F1210" s="27" t="str">
        <f aca="false">IF(B1210="","",IFERROR(INDEX(Roster!$B$5:$B$154,MATCH(B1210,Roster!$A$5:$A$154,0)),"Not on roster"))</f>
        <v/>
      </c>
      <c r="G1210" s="28" t="str">
        <f aca="false">IF(OR(B1210="",C1210=""),"",F1210&amp;" | "&amp;C1210)</f>
        <v/>
      </c>
      <c r="H1210" s="27" t="str">
        <f aca="false">IF(G1210="","",IFERROR(INDEX(Levels!$C$5:$C$94,MATCH(G1210,Levels!$G$5:$G$94,0)),"Not this class's skill"))</f>
        <v/>
      </c>
    </row>
    <row r="1211" customFormat="false" ht="15" hidden="false" customHeight="false" outlineLevel="0" collapsed="false">
      <c r="A1211" s="23"/>
      <c r="B1211" s="22"/>
      <c r="C1211" s="22"/>
      <c r="D1211" s="22"/>
      <c r="E1211" s="22"/>
      <c r="F1211" s="27" t="str">
        <f aca="false">IF(B1211="","",IFERROR(INDEX(Roster!$B$5:$B$154,MATCH(B1211,Roster!$A$5:$A$154,0)),"Not on roster"))</f>
        <v/>
      </c>
      <c r="G1211" s="28" t="str">
        <f aca="false">IF(OR(B1211="",C1211=""),"",F1211&amp;" | "&amp;C1211)</f>
        <v/>
      </c>
      <c r="H1211" s="27" t="str">
        <f aca="false">IF(G1211="","",IFERROR(INDEX(Levels!$C$5:$C$94,MATCH(G1211,Levels!$G$5:$G$94,0)),"Not this class's skill"))</f>
        <v/>
      </c>
    </row>
    <row r="1212" customFormat="false" ht="15" hidden="false" customHeight="false" outlineLevel="0" collapsed="false">
      <c r="A1212" s="23"/>
      <c r="B1212" s="22"/>
      <c r="C1212" s="22"/>
      <c r="D1212" s="22"/>
      <c r="E1212" s="22"/>
      <c r="F1212" s="27" t="str">
        <f aca="false">IF(B1212="","",IFERROR(INDEX(Roster!$B$5:$B$154,MATCH(B1212,Roster!$A$5:$A$154,0)),"Not on roster"))</f>
        <v/>
      </c>
      <c r="G1212" s="28" t="str">
        <f aca="false">IF(OR(B1212="",C1212=""),"",F1212&amp;" | "&amp;C1212)</f>
        <v/>
      </c>
      <c r="H1212" s="27" t="str">
        <f aca="false">IF(G1212="","",IFERROR(INDEX(Levels!$C$5:$C$94,MATCH(G1212,Levels!$G$5:$G$94,0)),"Not this class's skill"))</f>
        <v/>
      </c>
    </row>
    <row r="1213" customFormat="false" ht="15" hidden="false" customHeight="false" outlineLevel="0" collapsed="false">
      <c r="A1213" s="23"/>
      <c r="B1213" s="22"/>
      <c r="C1213" s="22"/>
      <c r="D1213" s="22"/>
      <c r="E1213" s="22"/>
      <c r="F1213" s="27" t="str">
        <f aca="false">IF(B1213="","",IFERROR(INDEX(Roster!$B$5:$B$154,MATCH(B1213,Roster!$A$5:$A$154,0)),"Not on roster"))</f>
        <v/>
      </c>
      <c r="G1213" s="28" t="str">
        <f aca="false">IF(OR(B1213="",C1213=""),"",F1213&amp;" | "&amp;C1213)</f>
        <v/>
      </c>
      <c r="H1213" s="27" t="str">
        <f aca="false">IF(G1213="","",IFERROR(INDEX(Levels!$C$5:$C$94,MATCH(G1213,Levels!$G$5:$G$94,0)),"Not this class's skill"))</f>
        <v/>
      </c>
    </row>
    <row r="1214" customFormat="false" ht="15" hidden="false" customHeight="false" outlineLevel="0" collapsed="false">
      <c r="A1214" s="23"/>
      <c r="B1214" s="22"/>
      <c r="C1214" s="22"/>
      <c r="D1214" s="22"/>
      <c r="E1214" s="22"/>
      <c r="F1214" s="27" t="str">
        <f aca="false">IF(B1214="","",IFERROR(INDEX(Roster!$B$5:$B$154,MATCH(B1214,Roster!$A$5:$A$154,0)),"Not on roster"))</f>
        <v/>
      </c>
      <c r="G1214" s="28" t="str">
        <f aca="false">IF(OR(B1214="",C1214=""),"",F1214&amp;" | "&amp;C1214)</f>
        <v/>
      </c>
      <c r="H1214" s="27" t="str">
        <f aca="false">IF(G1214="","",IFERROR(INDEX(Levels!$C$5:$C$94,MATCH(G1214,Levels!$G$5:$G$94,0)),"Not this class's skill"))</f>
        <v/>
      </c>
    </row>
    <row r="1215" customFormat="false" ht="15" hidden="false" customHeight="false" outlineLevel="0" collapsed="false">
      <c r="A1215" s="23"/>
      <c r="B1215" s="22"/>
      <c r="C1215" s="22"/>
      <c r="D1215" s="22"/>
      <c r="E1215" s="22"/>
      <c r="F1215" s="27" t="str">
        <f aca="false">IF(B1215="","",IFERROR(INDEX(Roster!$B$5:$B$154,MATCH(B1215,Roster!$A$5:$A$154,0)),"Not on roster"))</f>
        <v/>
      </c>
      <c r="G1215" s="28" t="str">
        <f aca="false">IF(OR(B1215="",C1215=""),"",F1215&amp;" | "&amp;C1215)</f>
        <v/>
      </c>
      <c r="H1215" s="27" t="str">
        <f aca="false">IF(G1215="","",IFERROR(INDEX(Levels!$C$5:$C$94,MATCH(G1215,Levels!$G$5:$G$94,0)),"Not this class's skill"))</f>
        <v/>
      </c>
    </row>
    <row r="1216" customFormat="false" ht="15" hidden="false" customHeight="false" outlineLevel="0" collapsed="false">
      <c r="A1216" s="23"/>
      <c r="B1216" s="22"/>
      <c r="C1216" s="22"/>
      <c r="D1216" s="22"/>
      <c r="E1216" s="22"/>
      <c r="F1216" s="27" t="str">
        <f aca="false">IF(B1216="","",IFERROR(INDEX(Roster!$B$5:$B$154,MATCH(B1216,Roster!$A$5:$A$154,0)),"Not on roster"))</f>
        <v/>
      </c>
      <c r="G1216" s="28" t="str">
        <f aca="false">IF(OR(B1216="",C1216=""),"",F1216&amp;" | "&amp;C1216)</f>
        <v/>
      </c>
      <c r="H1216" s="27" t="str">
        <f aca="false">IF(G1216="","",IFERROR(INDEX(Levels!$C$5:$C$94,MATCH(G1216,Levels!$G$5:$G$94,0)),"Not this class's skill"))</f>
        <v/>
      </c>
    </row>
    <row r="1217" customFormat="false" ht="15" hidden="false" customHeight="false" outlineLevel="0" collapsed="false">
      <c r="A1217" s="23"/>
      <c r="B1217" s="22"/>
      <c r="C1217" s="22"/>
      <c r="D1217" s="22"/>
      <c r="E1217" s="22"/>
      <c r="F1217" s="27" t="str">
        <f aca="false">IF(B1217="","",IFERROR(INDEX(Roster!$B$5:$B$154,MATCH(B1217,Roster!$A$5:$A$154,0)),"Not on roster"))</f>
        <v/>
      </c>
      <c r="G1217" s="28" t="str">
        <f aca="false">IF(OR(B1217="",C1217=""),"",F1217&amp;" | "&amp;C1217)</f>
        <v/>
      </c>
      <c r="H1217" s="27" t="str">
        <f aca="false">IF(G1217="","",IFERROR(INDEX(Levels!$C$5:$C$94,MATCH(G1217,Levels!$G$5:$G$94,0)),"Not this class's skill"))</f>
        <v/>
      </c>
    </row>
    <row r="1218" customFormat="false" ht="15" hidden="false" customHeight="false" outlineLevel="0" collapsed="false">
      <c r="A1218" s="23"/>
      <c r="B1218" s="22"/>
      <c r="C1218" s="22"/>
      <c r="D1218" s="22"/>
      <c r="E1218" s="22"/>
      <c r="F1218" s="27" t="str">
        <f aca="false">IF(B1218="","",IFERROR(INDEX(Roster!$B$5:$B$154,MATCH(B1218,Roster!$A$5:$A$154,0)),"Not on roster"))</f>
        <v/>
      </c>
      <c r="G1218" s="28" t="str">
        <f aca="false">IF(OR(B1218="",C1218=""),"",F1218&amp;" | "&amp;C1218)</f>
        <v/>
      </c>
      <c r="H1218" s="27" t="str">
        <f aca="false">IF(G1218="","",IFERROR(INDEX(Levels!$C$5:$C$94,MATCH(G1218,Levels!$G$5:$G$94,0)),"Not this class's skill"))</f>
        <v/>
      </c>
    </row>
    <row r="1219" customFormat="false" ht="15" hidden="false" customHeight="false" outlineLevel="0" collapsed="false">
      <c r="A1219" s="23"/>
      <c r="B1219" s="22"/>
      <c r="C1219" s="22"/>
      <c r="D1219" s="22"/>
      <c r="E1219" s="22"/>
      <c r="F1219" s="27" t="str">
        <f aca="false">IF(B1219="","",IFERROR(INDEX(Roster!$B$5:$B$154,MATCH(B1219,Roster!$A$5:$A$154,0)),"Not on roster"))</f>
        <v/>
      </c>
      <c r="G1219" s="28" t="str">
        <f aca="false">IF(OR(B1219="",C1219=""),"",F1219&amp;" | "&amp;C1219)</f>
        <v/>
      </c>
      <c r="H1219" s="27" t="str">
        <f aca="false">IF(G1219="","",IFERROR(INDEX(Levels!$C$5:$C$94,MATCH(G1219,Levels!$G$5:$G$94,0)),"Not this class's skill"))</f>
        <v/>
      </c>
    </row>
    <row r="1220" customFormat="false" ht="15" hidden="false" customHeight="false" outlineLevel="0" collapsed="false">
      <c r="A1220" s="23"/>
      <c r="B1220" s="22"/>
      <c r="C1220" s="22"/>
      <c r="D1220" s="22"/>
      <c r="E1220" s="22"/>
      <c r="F1220" s="27" t="str">
        <f aca="false">IF(B1220="","",IFERROR(INDEX(Roster!$B$5:$B$154,MATCH(B1220,Roster!$A$5:$A$154,0)),"Not on roster"))</f>
        <v/>
      </c>
      <c r="G1220" s="28" t="str">
        <f aca="false">IF(OR(B1220="",C1220=""),"",F1220&amp;" | "&amp;C1220)</f>
        <v/>
      </c>
      <c r="H1220" s="27" t="str">
        <f aca="false">IF(G1220="","",IFERROR(INDEX(Levels!$C$5:$C$94,MATCH(G1220,Levels!$G$5:$G$94,0)),"Not this class's skill"))</f>
        <v/>
      </c>
    </row>
    <row r="1221" customFormat="false" ht="15" hidden="false" customHeight="false" outlineLevel="0" collapsed="false">
      <c r="A1221" s="23"/>
      <c r="B1221" s="22"/>
      <c r="C1221" s="22"/>
      <c r="D1221" s="22"/>
      <c r="E1221" s="22"/>
      <c r="F1221" s="27" t="str">
        <f aca="false">IF(B1221="","",IFERROR(INDEX(Roster!$B$5:$B$154,MATCH(B1221,Roster!$A$5:$A$154,0)),"Not on roster"))</f>
        <v/>
      </c>
      <c r="G1221" s="28" t="str">
        <f aca="false">IF(OR(B1221="",C1221=""),"",F1221&amp;" | "&amp;C1221)</f>
        <v/>
      </c>
      <c r="H1221" s="27" t="str">
        <f aca="false">IF(G1221="","",IFERROR(INDEX(Levels!$C$5:$C$94,MATCH(G1221,Levels!$G$5:$G$94,0)),"Not this class's skill"))</f>
        <v/>
      </c>
    </row>
    <row r="1222" customFormat="false" ht="15" hidden="false" customHeight="false" outlineLevel="0" collapsed="false">
      <c r="A1222" s="23"/>
      <c r="B1222" s="22"/>
      <c r="C1222" s="22"/>
      <c r="D1222" s="22"/>
      <c r="E1222" s="22"/>
      <c r="F1222" s="27" t="str">
        <f aca="false">IF(B1222="","",IFERROR(INDEX(Roster!$B$5:$B$154,MATCH(B1222,Roster!$A$5:$A$154,0)),"Not on roster"))</f>
        <v/>
      </c>
      <c r="G1222" s="28" t="str">
        <f aca="false">IF(OR(B1222="",C1222=""),"",F1222&amp;" | "&amp;C1222)</f>
        <v/>
      </c>
      <c r="H1222" s="27" t="str">
        <f aca="false">IF(G1222="","",IFERROR(INDEX(Levels!$C$5:$C$94,MATCH(G1222,Levels!$G$5:$G$94,0)),"Not this class's skill"))</f>
        <v/>
      </c>
    </row>
    <row r="1223" customFormat="false" ht="15" hidden="false" customHeight="false" outlineLevel="0" collapsed="false">
      <c r="A1223" s="23"/>
      <c r="B1223" s="22"/>
      <c r="C1223" s="22"/>
      <c r="D1223" s="22"/>
      <c r="E1223" s="22"/>
      <c r="F1223" s="27" t="str">
        <f aca="false">IF(B1223="","",IFERROR(INDEX(Roster!$B$5:$B$154,MATCH(B1223,Roster!$A$5:$A$154,0)),"Not on roster"))</f>
        <v/>
      </c>
      <c r="G1223" s="28" t="str">
        <f aca="false">IF(OR(B1223="",C1223=""),"",F1223&amp;" | "&amp;C1223)</f>
        <v/>
      </c>
      <c r="H1223" s="27" t="str">
        <f aca="false">IF(G1223="","",IFERROR(INDEX(Levels!$C$5:$C$94,MATCH(G1223,Levels!$G$5:$G$94,0)),"Not this class's skill"))</f>
        <v/>
      </c>
    </row>
    <row r="1224" customFormat="false" ht="15" hidden="false" customHeight="false" outlineLevel="0" collapsed="false">
      <c r="A1224" s="23"/>
      <c r="B1224" s="22"/>
      <c r="C1224" s="22"/>
      <c r="D1224" s="22"/>
      <c r="E1224" s="22"/>
      <c r="F1224" s="27" t="str">
        <f aca="false">IF(B1224="","",IFERROR(INDEX(Roster!$B$5:$B$154,MATCH(B1224,Roster!$A$5:$A$154,0)),"Not on roster"))</f>
        <v/>
      </c>
      <c r="G1224" s="28" t="str">
        <f aca="false">IF(OR(B1224="",C1224=""),"",F1224&amp;" | "&amp;C1224)</f>
        <v/>
      </c>
      <c r="H1224" s="27" t="str">
        <f aca="false">IF(G1224="","",IFERROR(INDEX(Levels!$C$5:$C$94,MATCH(G1224,Levels!$G$5:$G$94,0)),"Not this class's skill"))</f>
        <v/>
      </c>
    </row>
    <row r="1225" customFormat="false" ht="15" hidden="false" customHeight="false" outlineLevel="0" collapsed="false">
      <c r="A1225" s="23"/>
      <c r="B1225" s="22"/>
      <c r="C1225" s="22"/>
      <c r="D1225" s="22"/>
      <c r="E1225" s="22"/>
      <c r="F1225" s="27" t="str">
        <f aca="false">IF(B1225="","",IFERROR(INDEX(Roster!$B$5:$B$154,MATCH(B1225,Roster!$A$5:$A$154,0)),"Not on roster"))</f>
        <v/>
      </c>
      <c r="G1225" s="28" t="str">
        <f aca="false">IF(OR(B1225="",C1225=""),"",F1225&amp;" | "&amp;C1225)</f>
        <v/>
      </c>
      <c r="H1225" s="27" t="str">
        <f aca="false">IF(G1225="","",IFERROR(INDEX(Levels!$C$5:$C$94,MATCH(G1225,Levels!$G$5:$G$94,0)),"Not this class's skill"))</f>
        <v/>
      </c>
    </row>
    <row r="1226" customFormat="false" ht="15" hidden="false" customHeight="false" outlineLevel="0" collapsed="false">
      <c r="A1226" s="23"/>
      <c r="B1226" s="22"/>
      <c r="C1226" s="22"/>
      <c r="D1226" s="22"/>
      <c r="E1226" s="22"/>
      <c r="F1226" s="27" t="str">
        <f aca="false">IF(B1226="","",IFERROR(INDEX(Roster!$B$5:$B$154,MATCH(B1226,Roster!$A$5:$A$154,0)),"Not on roster"))</f>
        <v/>
      </c>
      <c r="G1226" s="28" t="str">
        <f aca="false">IF(OR(B1226="",C1226=""),"",F1226&amp;" | "&amp;C1226)</f>
        <v/>
      </c>
      <c r="H1226" s="27" t="str">
        <f aca="false">IF(G1226="","",IFERROR(INDEX(Levels!$C$5:$C$94,MATCH(G1226,Levels!$G$5:$G$94,0)),"Not this class's skill"))</f>
        <v/>
      </c>
    </row>
    <row r="1227" customFormat="false" ht="15" hidden="false" customHeight="false" outlineLevel="0" collapsed="false">
      <c r="A1227" s="23"/>
      <c r="B1227" s="22"/>
      <c r="C1227" s="22"/>
      <c r="D1227" s="22"/>
      <c r="E1227" s="22"/>
      <c r="F1227" s="27" t="str">
        <f aca="false">IF(B1227="","",IFERROR(INDEX(Roster!$B$5:$B$154,MATCH(B1227,Roster!$A$5:$A$154,0)),"Not on roster"))</f>
        <v/>
      </c>
      <c r="G1227" s="28" t="str">
        <f aca="false">IF(OR(B1227="",C1227=""),"",F1227&amp;" | "&amp;C1227)</f>
        <v/>
      </c>
      <c r="H1227" s="27" t="str">
        <f aca="false">IF(G1227="","",IFERROR(INDEX(Levels!$C$5:$C$94,MATCH(G1227,Levels!$G$5:$G$94,0)),"Not this class's skill"))</f>
        <v/>
      </c>
    </row>
    <row r="1228" customFormat="false" ht="15" hidden="false" customHeight="false" outlineLevel="0" collapsed="false">
      <c r="A1228" s="23"/>
      <c r="B1228" s="22"/>
      <c r="C1228" s="22"/>
      <c r="D1228" s="22"/>
      <c r="E1228" s="22"/>
      <c r="F1228" s="27" t="str">
        <f aca="false">IF(B1228="","",IFERROR(INDEX(Roster!$B$5:$B$154,MATCH(B1228,Roster!$A$5:$A$154,0)),"Not on roster"))</f>
        <v/>
      </c>
      <c r="G1228" s="28" t="str">
        <f aca="false">IF(OR(B1228="",C1228=""),"",F1228&amp;" | "&amp;C1228)</f>
        <v/>
      </c>
      <c r="H1228" s="27" t="str">
        <f aca="false">IF(G1228="","",IFERROR(INDEX(Levels!$C$5:$C$94,MATCH(G1228,Levels!$G$5:$G$94,0)),"Not this class's skill"))</f>
        <v/>
      </c>
    </row>
    <row r="1229" customFormat="false" ht="15" hidden="false" customHeight="false" outlineLevel="0" collapsed="false">
      <c r="A1229" s="23"/>
      <c r="B1229" s="22"/>
      <c r="C1229" s="22"/>
      <c r="D1229" s="22"/>
      <c r="E1229" s="22"/>
      <c r="F1229" s="27" t="str">
        <f aca="false">IF(B1229="","",IFERROR(INDEX(Roster!$B$5:$B$154,MATCH(B1229,Roster!$A$5:$A$154,0)),"Not on roster"))</f>
        <v/>
      </c>
      <c r="G1229" s="28" t="str">
        <f aca="false">IF(OR(B1229="",C1229=""),"",F1229&amp;" | "&amp;C1229)</f>
        <v/>
      </c>
      <c r="H1229" s="27" t="str">
        <f aca="false">IF(G1229="","",IFERROR(INDEX(Levels!$C$5:$C$94,MATCH(G1229,Levels!$G$5:$G$94,0)),"Not this class's skill"))</f>
        <v/>
      </c>
    </row>
    <row r="1230" customFormat="false" ht="15" hidden="false" customHeight="false" outlineLevel="0" collapsed="false">
      <c r="A1230" s="23"/>
      <c r="B1230" s="22"/>
      <c r="C1230" s="22"/>
      <c r="D1230" s="22"/>
      <c r="E1230" s="22"/>
      <c r="F1230" s="27" t="str">
        <f aca="false">IF(B1230="","",IFERROR(INDEX(Roster!$B$5:$B$154,MATCH(B1230,Roster!$A$5:$A$154,0)),"Not on roster"))</f>
        <v/>
      </c>
      <c r="G1230" s="28" t="str">
        <f aca="false">IF(OR(B1230="",C1230=""),"",F1230&amp;" | "&amp;C1230)</f>
        <v/>
      </c>
      <c r="H1230" s="27" t="str">
        <f aca="false">IF(G1230="","",IFERROR(INDEX(Levels!$C$5:$C$94,MATCH(G1230,Levels!$G$5:$G$94,0)),"Not this class's skill"))</f>
        <v/>
      </c>
    </row>
    <row r="1231" customFormat="false" ht="15" hidden="false" customHeight="false" outlineLevel="0" collapsed="false">
      <c r="A1231" s="23"/>
      <c r="B1231" s="22"/>
      <c r="C1231" s="22"/>
      <c r="D1231" s="22"/>
      <c r="E1231" s="22"/>
      <c r="F1231" s="27" t="str">
        <f aca="false">IF(B1231="","",IFERROR(INDEX(Roster!$B$5:$B$154,MATCH(B1231,Roster!$A$5:$A$154,0)),"Not on roster"))</f>
        <v/>
      </c>
      <c r="G1231" s="28" t="str">
        <f aca="false">IF(OR(B1231="",C1231=""),"",F1231&amp;" | "&amp;C1231)</f>
        <v/>
      </c>
      <c r="H1231" s="27" t="str">
        <f aca="false">IF(G1231="","",IFERROR(INDEX(Levels!$C$5:$C$94,MATCH(G1231,Levels!$G$5:$G$94,0)),"Not this class's skill"))</f>
        <v/>
      </c>
    </row>
    <row r="1232" customFormat="false" ht="15" hidden="false" customHeight="false" outlineLevel="0" collapsed="false">
      <c r="A1232" s="23"/>
      <c r="B1232" s="22"/>
      <c r="C1232" s="22"/>
      <c r="D1232" s="22"/>
      <c r="E1232" s="22"/>
      <c r="F1232" s="27" t="str">
        <f aca="false">IF(B1232="","",IFERROR(INDEX(Roster!$B$5:$B$154,MATCH(B1232,Roster!$A$5:$A$154,0)),"Not on roster"))</f>
        <v/>
      </c>
      <c r="G1232" s="28" t="str">
        <f aca="false">IF(OR(B1232="",C1232=""),"",F1232&amp;" | "&amp;C1232)</f>
        <v/>
      </c>
      <c r="H1232" s="27" t="str">
        <f aca="false">IF(G1232="","",IFERROR(INDEX(Levels!$C$5:$C$94,MATCH(G1232,Levels!$G$5:$G$94,0)),"Not this class's skill"))</f>
        <v/>
      </c>
    </row>
    <row r="1233" customFormat="false" ht="15" hidden="false" customHeight="false" outlineLevel="0" collapsed="false">
      <c r="A1233" s="23"/>
      <c r="B1233" s="22"/>
      <c r="C1233" s="22"/>
      <c r="D1233" s="22"/>
      <c r="E1233" s="22"/>
      <c r="F1233" s="27" t="str">
        <f aca="false">IF(B1233="","",IFERROR(INDEX(Roster!$B$5:$B$154,MATCH(B1233,Roster!$A$5:$A$154,0)),"Not on roster"))</f>
        <v/>
      </c>
      <c r="G1233" s="28" t="str">
        <f aca="false">IF(OR(B1233="",C1233=""),"",F1233&amp;" | "&amp;C1233)</f>
        <v/>
      </c>
      <c r="H1233" s="27" t="str">
        <f aca="false">IF(G1233="","",IFERROR(INDEX(Levels!$C$5:$C$94,MATCH(G1233,Levels!$G$5:$G$94,0)),"Not this class's skill"))</f>
        <v/>
      </c>
    </row>
    <row r="1234" customFormat="false" ht="15" hidden="false" customHeight="false" outlineLevel="0" collapsed="false">
      <c r="A1234" s="23"/>
      <c r="B1234" s="22"/>
      <c r="C1234" s="22"/>
      <c r="D1234" s="22"/>
      <c r="E1234" s="22"/>
      <c r="F1234" s="27" t="str">
        <f aca="false">IF(B1234="","",IFERROR(INDEX(Roster!$B$5:$B$154,MATCH(B1234,Roster!$A$5:$A$154,0)),"Not on roster"))</f>
        <v/>
      </c>
      <c r="G1234" s="28" t="str">
        <f aca="false">IF(OR(B1234="",C1234=""),"",F1234&amp;" | "&amp;C1234)</f>
        <v/>
      </c>
      <c r="H1234" s="27" t="str">
        <f aca="false">IF(G1234="","",IFERROR(INDEX(Levels!$C$5:$C$94,MATCH(G1234,Levels!$G$5:$G$94,0)),"Not this class's skill"))</f>
        <v/>
      </c>
    </row>
    <row r="1235" customFormat="false" ht="15" hidden="false" customHeight="false" outlineLevel="0" collapsed="false">
      <c r="A1235" s="23"/>
      <c r="B1235" s="22"/>
      <c r="C1235" s="22"/>
      <c r="D1235" s="22"/>
      <c r="E1235" s="22"/>
      <c r="F1235" s="27" t="str">
        <f aca="false">IF(B1235="","",IFERROR(INDEX(Roster!$B$5:$B$154,MATCH(B1235,Roster!$A$5:$A$154,0)),"Not on roster"))</f>
        <v/>
      </c>
      <c r="G1235" s="28" t="str">
        <f aca="false">IF(OR(B1235="",C1235=""),"",F1235&amp;" | "&amp;C1235)</f>
        <v/>
      </c>
      <c r="H1235" s="27" t="str">
        <f aca="false">IF(G1235="","",IFERROR(INDEX(Levels!$C$5:$C$94,MATCH(G1235,Levels!$G$5:$G$94,0)),"Not this class's skill"))</f>
        <v/>
      </c>
    </row>
    <row r="1236" customFormat="false" ht="15" hidden="false" customHeight="false" outlineLevel="0" collapsed="false">
      <c r="A1236" s="23"/>
      <c r="B1236" s="22"/>
      <c r="C1236" s="22"/>
      <c r="D1236" s="22"/>
      <c r="E1236" s="22"/>
      <c r="F1236" s="27" t="str">
        <f aca="false">IF(B1236="","",IFERROR(INDEX(Roster!$B$5:$B$154,MATCH(B1236,Roster!$A$5:$A$154,0)),"Not on roster"))</f>
        <v/>
      </c>
      <c r="G1236" s="28" t="str">
        <f aca="false">IF(OR(B1236="",C1236=""),"",F1236&amp;" | "&amp;C1236)</f>
        <v/>
      </c>
      <c r="H1236" s="27" t="str">
        <f aca="false">IF(G1236="","",IFERROR(INDEX(Levels!$C$5:$C$94,MATCH(G1236,Levels!$G$5:$G$94,0)),"Not this class's skill"))</f>
        <v/>
      </c>
    </row>
    <row r="1237" customFormat="false" ht="15" hidden="false" customHeight="false" outlineLevel="0" collapsed="false">
      <c r="A1237" s="23"/>
      <c r="B1237" s="22"/>
      <c r="C1237" s="22"/>
      <c r="D1237" s="22"/>
      <c r="E1237" s="22"/>
      <c r="F1237" s="27" t="str">
        <f aca="false">IF(B1237="","",IFERROR(INDEX(Roster!$B$5:$B$154,MATCH(B1237,Roster!$A$5:$A$154,0)),"Not on roster"))</f>
        <v/>
      </c>
      <c r="G1237" s="28" t="str">
        <f aca="false">IF(OR(B1237="",C1237=""),"",F1237&amp;" | "&amp;C1237)</f>
        <v/>
      </c>
      <c r="H1237" s="27" t="str">
        <f aca="false">IF(G1237="","",IFERROR(INDEX(Levels!$C$5:$C$94,MATCH(G1237,Levels!$G$5:$G$94,0)),"Not this class's skill"))</f>
        <v/>
      </c>
    </row>
    <row r="1238" customFormat="false" ht="15" hidden="false" customHeight="false" outlineLevel="0" collapsed="false">
      <c r="A1238" s="23"/>
      <c r="B1238" s="22"/>
      <c r="C1238" s="22"/>
      <c r="D1238" s="22"/>
      <c r="E1238" s="22"/>
      <c r="F1238" s="27" t="str">
        <f aca="false">IF(B1238="","",IFERROR(INDEX(Roster!$B$5:$B$154,MATCH(B1238,Roster!$A$5:$A$154,0)),"Not on roster"))</f>
        <v/>
      </c>
      <c r="G1238" s="28" t="str">
        <f aca="false">IF(OR(B1238="",C1238=""),"",F1238&amp;" | "&amp;C1238)</f>
        <v/>
      </c>
      <c r="H1238" s="27" t="str">
        <f aca="false">IF(G1238="","",IFERROR(INDEX(Levels!$C$5:$C$94,MATCH(G1238,Levels!$G$5:$G$94,0)),"Not this class's skill"))</f>
        <v/>
      </c>
    </row>
    <row r="1239" customFormat="false" ht="15" hidden="false" customHeight="false" outlineLevel="0" collapsed="false">
      <c r="A1239" s="23"/>
      <c r="B1239" s="22"/>
      <c r="C1239" s="22"/>
      <c r="D1239" s="22"/>
      <c r="E1239" s="22"/>
      <c r="F1239" s="27" t="str">
        <f aca="false">IF(B1239="","",IFERROR(INDEX(Roster!$B$5:$B$154,MATCH(B1239,Roster!$A$5:$A$154,0)),"Not on roster"))</f>
        <v/>
      </c>
      <c r="G1239" s="28" t="str">
        <f aca="false">IF(OR(B1239="",C1239=""),"",F1239&amp;" | "&amp;C1239)</f>
        <v/>
      </c>
      <c r="H1239" s="27" t="str">
        <f aca="false">IF(G1239="","",IFERROR(INDEX(Levels!$C$5:$C$94,MATCH(G1239,Levels!$G$5:$G$94,0)),"Not this class's skill"))</f>
        <v/>
      </c>
    </row>
    <row r="1240" customFormat="false" ht="15" hidden="false" customHeight="false" outlineLevel="0" collapsed="false">
      <c r="A1240" s="23"/>
      <c r="B1240" s="22"/>
      <c r="C1240" s="22"/>
      <c r="D1240" s="22"/>
      <c r="E1240" s="22"/>
      <c r="F1240" s="27" t="str">
        <f aca="false">IF(B1240="","",IFERROR(INDEX(Roster!$B$5:$B$154,MATCH(B1240,Roster!$A$5:$A$154,0)),"Not on roster"))</f>
        <v/>
      </c>
      <c r="G1240" s="28" t="str">
        <f aca="false">IF(OR(B1240="",C1240=""),"",F1240&amp;" | "&amp;C1240)</f>
        <v/>
      </c>
      <c r="H1240" s="27" t="str">
        <f aca="false">IF(G1240="","",IFERROR(INDEX(Levels!$C$5:$C$94,MATCH(G1240,Levels!$G$5:$G$94,0)),"Not this class's skill"))</f>
        <v/>
      </c>
    </row>
    <row r="1241" customFormat="false" ht="15" hidden="false" customHeight="false" outlineLevel="0" collapsed="false">
      <c r="A1241" s="23"/>
      <c r="B1241" s="22"/>
      <c r="C1241" s="22"/>
      <c r="D1241" s="22"/>
      <c r="E1241" s="22"/>
      <c r="F1241" s="27" t="str">
        <f aca="false">IF(B1241="","",IFERROR(INDEX(Roster!$B$5:$B$154,MATCH(B1241,Roster!$A$5:$A$154,0)),"Not on roster"))</f>
        <v/>
      </c>
      <c r="G1241" s="28" t="str">
        <f aca="false">IF(OR(B1241="",C1241=""),"",F1241&amp;" | "&amp;C1241)</f>
        <v/>
      </c>
      <c r="H1241" s="27" t="str">
        <f aca="false">IF(G1241="","",IFERROR(INDEX(Levels!$C$5:$C$94,MATCH(G1241,Levels!$G$5:$G$94,0)),"Not this class's skill"))</f>
        <v/>
      </c>
    </row>
    <row r="1242" customFormat="false" ht="15" hidden="false" customHeight="false" outlineLevel="0" collapsed="false">
      <c r="A1242" s="23"/>
      <c r="B1242" s="22"/>
      <c r="C1242" s="22"/>
      <c r="D1242" s="22"/>
      <c r="E1242" s="22"/>
      <c r="F1242" s="27" t="str">
        <f aca="false">IF(B1242="","",IFERROR(INDEX(Roster!$B$5:$B$154,MATCH(B1242,Roster!$A$5:$A$154,0)),"Not on roster"))</f>
        <v/>
      </c>
      <c r="G1242" s="28" t="str">
        <f aca="false">IF(OR(B1242="",C1242=""),"",F1242&amp;" | "&amp;C1242)</f>
        <v/>
      </c>
      <c r="H1242" s="27" t="str">
        <f aca="false">IF(G1242="","",IFERROR(INDEX(Levels!$C$5:$C$94,MATCH(G1242,Levels!$G$5:$G$94,0)),"Not this class's skill"))</f>
        <v/>
      </c>
    </row>
    <row r="1243" customFormat="false" ht="15" hidden="false" customHeight="false" outlineLevel="0" collapsed="false">
      <c r="A1243" s="23"/>
      <c r="B1243" s="22"/>
      <c r="C1243" s="22"/>
      <c r="D1243" s="22"/>
      <c r="E1243" s="22"/>
      <c r="F1243" s="27" t="str">
        <f aca="false">IF(B1243="","",IFERROR(INDEX(Roster!$B$5:$B$154,MATCH(B1243,Roster!$A$5:$A$154,0)),"Not on roster"))</f>
        <v/>
      </c>
      <c r="G1243" s="28" t="str">
        <f aca="false">IF(OR(B1243="",C1243=""),"",F1243&amp;" | "&amp;C1243)</f>
        <v/>
      </c>
      <c r="H1243" s="27" t="str">
        <f aca="false">IF(G1243="","",IFERROR(INDEX(Levels!$C$5:$C$94,MATCH(G1243,Levels!$G$5:$G$94,0)),"Not this class's skill"))</f>
        <v/>
      </c>
    </row>
    <row r="1244" customFormat="false" ht="15" hidden="false" customHeight="false" outlineLevel="0" collapsed="false">
      <c r="A1244" s="23"/>
      <c r="B1244" s="22"/>
      <c r="C1244" s="22"/>
      <c r="D1244" s="22"/>
      <c r="E1244" s="22"/>
      <c r="F1244" s="27" t="str">
        <f aca="false">IF(B1244="","",IFERROR(INDEX(Roster!$B$5:$B$154,MATCH(B1244,Roster!$A$5:$A$154,0)),"Not on roster"))</f>
        <v/>
      </c>
      <c r="G1244" s="28" t="str">
        <f aca="false">IF(OR(B1244="",C1244=""),"",F1244&amp;" | "&amp;C1244)</f>
        <v/>
      </c>
      <c r="H1244" s="27" t="str">
        <f aca="false">IF(G1244="","",IFERROR(INDEX(Levels!$C$5:$C$94,MATCH(G1244,Levels!$G$5:$G$94,0)),"Not this class's skill"))</f>
        <v/>
      </c>
    </row>
    <row r="1245" customFormat="false" ht="15" hidden="false" customHeight="false" outlineLevel="0" collapsed="false">
      <c r="A1245" s="23"/>
      <c r="B1245" s="22"/>
      <c r="C1245" s="22"/>
      <c r="D1245" s="22"/>
      <c r="E1245" s="22"/>
      <c r="F1245" s="27" t="str">
        <f aca="false">IF(B1245="","",IFERROR(INDEX(Roster!$B$5:$B$154,MATCH(B1245,Roster!$A$5:$A$154,0)),"Not on roster"))</f>
        <v/>
      </c>
      <c r="G1245" s="28" t="str">
        <f aca="false">IF(OR(B1245="",C1245=""),"",F1245&amp;" | "&amp;C1245)</f>
        <v/>
      </c>
      <c r="H1245" s="27" t="str">
        <f aca="false">IF(G1245="","",IFERROR(INDEX(Levels!$C$5:$C$94,MATCH(G1245,Levels!$G$5:$G$94,0)),"Not this class's skill"))</f>
        <v/>
      </c>
    </row>
    <row r="1246" customFormat="false" ht="15" hidden="false" customHeight="false" outlineLevel="0" collapsed="false">
      <c r="A1246" s="23"/>
      <c r="B1246" s="22"/>
      <c r="C1246" s="22"/>
      <c r="D1246" s="22"/>
      <c r="E1246" s="22"/>
      <c r="F1246" s="27" t="str">
        <f aca="false">IF(B1246="","",IFERROR(INDEX(Roster!$B$5:$B$154,MATCH(B1246,Roster!$A$5:$A$154,0)),"Not on roster"))</f>
        <v/>
      </c>
      <c r="G1246" s="28" t="str">
        <f aca="false">IF(OR(B1246="",C1246=""),"",F1246&amp;" | "&amp;C1246)</f>
        <v/>
      </c>
      <c r="H1246" s="27" t="str">
        <f aca="false">IF(G1246="","",IFERROR(INDEX(Levels!$C$5:$C$94,MATCH(G1246,Levels!$G$5:$G$94,0)),"Not this class's skill"))</f>
        <v/>
      </c>
    </row>
    <row r="1247" customFormat="false" ht="15" hidden="false" customHeight="false" outlineLevel="0" collapsed="false">
      <c r="A1247" s="23"/>
      <c r="B1247" s="22"/>
      <c r="C1247" s="22"/>
      <c r="D1247" s="22"/>
      <c r="E1247" s="22"/>
      <c r="F1247" s="27" t="str">
        <f aca="false">IF(B1247="","",IFERROR(INDEX(Roster!$B$5:$B$154,MATCH(B1247,Roster!$A$5:$A$154,0)),"Not on roster"))</f>
        <v/>
      </c>
      <c r="G1247" s="28" t="str">
        <f aca="false">IF(OR(B1247="",C1247=""),"",F1247&amp;" | "&amp;C1247)</f>
        <v/>
      </c>
      <c r="H1247" s="27" t="str">
        <f aca="false">IF(G1247="","",IFERROR(INDEX(Levels!$C$5:$C$94,MATCH(G1247,Levels!$G$5:$G$94,0)),"Not this class's skill"))</f>
        <v/>
      </c>
    </row>
    <row r="1248" customFormat="false" ht="15" hidden="false" customHeight="false" outlineLevel="0" collapsed="false">
      <c r="A1248" s="23"/>
      <c r="B1248" s="22"/>
      <c r="C1248" s="22"/>
      <c r="D1248" s="22"/>
      <c r="E1248" s="22"/>
      <c r="F1248" s="27" t="str">
        <f aca="false">IF(B1248="","",IFERROR(INDEX(Roster!$B$5:$B$154,MATCH(B1248,Roster!$A$5:$A$154,0)),"Not on roster"))</f>
        <v/>
      </c>
      <c r="G1248" s="28" t="str">
        <f aca="false">IF(OR(B1248="",C1248=""),"",F1248&amp;" | "&amp;C1248)</f>
        <v/>
      </c>
      <c r="H1248" s="27" t="str">
        <f aca="false">IF(G1248="","",IFERROR(INDEX(Levels!$C$5:$C$94,MATCH(G1248,Levels!$G$5:$G$94,0)),"Not this class's skill"))</f>
        <v/>
      </c>
    </row>
    <row r="1249" customFormat="false" ht="15" hidden="false" customHeight="false" outlineLevel="0" collapsed="false">
      <c r="A1249" s="23"/>
      <c r="B1249" s="22"/>
      <c r="C1249" s="22"/>
      <c r="D1249" s="22"/>
      <c r="E1249" s="22"/>
      <c r="F1249" s="27" t="str">
        <f aca="false">IF(B1249="","",IFERROR(INDEX(Roster!$B$5:$B$154,MATCH(B1249,Roster!$A$5:$A$154,0)),"Not on roster"))</f>
        <v/>
      </c>
      <c r="G1249" s="28" t="str">
        <f aca="false">IF(OR(B1249="",C1249=""),"",F1249&amp;" | "&amp;C1249)</f>
        <v/>
      </c>
      <c r="H1249" s="27" t="str">
        <f aca="false">IF(G1249="","",IFERROR(INDEX(Levels!$C$5:$C$94,MATCH(G1249,Levels!$G$5:$G$94,0)),"Not this class's skill"))</f>
        <v/>
      </c>
    </row>
    <row r="1250" customFormat="false" ht="15" hidden="false" customHeight="false" outlineLevel="0" collapsed="false">
      <c r="A1250" s="23"/>
      <c r="B1250" s="22"/>
      <c r="C1250" s="22"/>
      <c r="D1250" s="22"/>
      <c r="E1250" s="22"/>
      <c r="F1250" s="27" t="str">
        <f aca="false">IF(B1250="","",IFERROR(INDEX(Roster!$B$5:$B$154,MATCH(B1250,Roster!$A$5:$A$154,0)),"Not on roster"))</f>
        <v/>
      </c>
      <c r="G1250" s="28" t="str">
        <f aca="false">IF(OR(B1250="",C1250=""),"",F1250&amp;" | "&amp;C1250)</f>
        <v/>
      </c>
      <c r="H1250" s="27" t="str">
        <f aca="false">IF(G1250="","",IFERROR(INDEX(Levels!$C$5:$C$94,MATCH(G1250,Levels!$G$5:$G$94,0)),"Not this class's skill"))</f>
        <v/>
      </c>
    </row>
    <row r="1251" customFormat="false" ht="15" hidden="false" customHeight="false" outlineLevel="0" collapsed="false">
      <c r="A1251" s="23"/>
      <c r="B1251" s="22"/>
      <c r="C1251" s="22"/>
      <c r="D1251" s="22"/>
      <c r="E1251" s="22"/>
      <c r="F1251" s="27" t="str">
        <f aca="false">IF(B1251="","",IFERROR(INDEX(Roster!$B$5:$B$154,MATCH(B1251,Roster!$A$5:$A$154,0)),"Not on roster"))</f>
        <v/>
      </c>
      <c r="G1251" s="28" t="str">
        <f aca="false">IF(OR(B1251="",C1251=""),"",F1251&amp;" | "&amp;C1251)</f>
        <v/>
      </c>
      <c r="H1251" s="27" t="str">
        <f aca="false">IF(G1251="","",IFERROR(INDEX(Levels!$C$5:$C$94,MATCH(G1251,Levels!$G$5:$G$94,0)),"Not this class's skill"))</f>
        <v/>
      </c>
    </row>
    <row r="1252" customFormat="false" ht="15" hidden="false" customHeight="false" outlineLevel="0" collapsed="false">
      <c r="A1252" s="23"/>
      <c r="B1252" s="22"/>
      <c r="C1252" s="22"/>
      <c r="D1252" s="22"/>
      <c r="E1252" s="22"/>
      <c r="F1252" s="27" t="str">
        <f aca="false">IF(B1252="","",IFERROR(INDEX(Roster!$B$5:$B$154,MATCH(B1252,Roster!$A$5:$A$154,0)),"Not on roster"))</f>
        <v/>
      </c>
      <c r="G1252" s="28" t="str">
        <f aca="false">IF(OR(B1252="",C1252=""),"",F1252&amp;" | "&amp;C1252)</f>
        <v/>
      </c>
      <c r="H1252" s="27" t="str">
        <f aca="false">IF(G1252="","",IFERROR(INDEX(Levels!$C$5:$C$94,MATCH(G1252,Levels!$G$5:$G$94,0)),"Not this class's skill"))</f>
        <v/>
      </c>
    </row>
    <row r="1253" customFormat="false" ht="15" hidden="false" customHeight="false" outlineLevel="0" collapsed="false">
      <c r="A1253" s="23"/>
      <c r="B1253" s="22"/>
      <c r="C1253" s="22"/>
      <c r="D1253" s="22"/>
      <c r="E1253" s="22"/>
      <c r="F1253" s="27" t="str">
        <f aca="false">IF(B1253="","",IFERROR(INDEX(Roster!$B$5:$B$154,MATCH(B1253,Roster!$A$5:$A$154,0)),"Not on roster"))</f>
        <v/>
      </c>
      <c r="G1253" s="28" t="str">
        <f aca="false">IF(OR(B1253="",C1253=""),"",F1253&amp;" | "&amp;C1253)</f>
        <v/>
      </c>
      <c r="H1253" s="27" t="str">
        <f aca="false">IF(G1253="","",IFERROR(INDEX(Levels!$C$5:$C$94,MATCH(G1253,Levels!$G$5:$G$94,0)),"Not this class's skill"))</f>
        <v/>
      </c>
    </row>
    <row r="1254" customFormat="false" ht="15" hidden="false" customHeight="false" outlineLevel="0" collapsed="false">
      <c r="A1254" s="23"/>
      <c r="B1254" s="22"/>
      <c r="C1254" s="22"/>
      <c r="D1254" s="22"/>
      <c r="E1254" s="22"/>
      <c r="F1254" s="27" t="str">
        <f aca="false">IF(B1254="","",IFERROR(INDEX(Roster!$B$5:$B$154,MATCH(B1254,Roster!$A$5:$A$154,0)),"Not on roster"))</f>
        <v/>
      </c>
      <c r="G1254" s="28" t="str">
        <f aca="false">IF(OR(B1254="",C1254=""),"",F1254&amp;" | "&amp;C1254)</f>
        <v/>
      </c>
      <c r="H1254" s="27" t="str">
        <f aca="false">IF(G1254="","",IFERROR(INDEX(Levels!$C$5:$C$94,MATCH(G1254,Levels!$G$5:$G$94,0)),"Not this class's skill"))</f>
        <v/>
      </c>
    </row>
    <row r="1255" customFormat="false" ht="15" hidden="false" customHeight="false" outlineLevel="0" collapsed="false">
      <c r="A1255" s="23"/>
      <c r="B1255" s="22"/>
      <c r="C1255" s="22"/>
      <c r="D1255" s="22"/>
      <c r="E1255" s="22"/>
      <c r="F1255" s="27" t="str">
        <f aca="false">IF(B1255="","",IFERROR(INDEX(Roster!$B$5:$B$154,MATCH(B1255,Roster!$A$5:$A$154,0)),"Not on roster"))</f>
        <v/>
      </c>
      <c r="G1255" s="28" t="str">
        <f aca="false">IF(OR(B1255="",C1255=""),"",F1255&amp;" | "&amp;C1255)</f>
        <v/>
      </c>
      <c r="H1255" s="27" t="str">
        <f aca="false">IF(G1255="","",IFERROR(INDEX(Levels!$C$5:$C$94,MATCH(G1255,Levels!$G$5:$G$94,0)),"Not this class's skill"))</f>
        <v/>
      </c>
    </row>
    <row r="1256" customFormat="false" ht="15" hidden="false" customHeight="false" outlineLevel="0" collapsed="false">
      <c r="A1256" s="23"/>
      <c r="B1256" s="22"/>
      <c r="C1256" s="22"/>
      <c r="D1256" s="22"/>
      <c r="E1256" s="22"/>
      <c r="F1256" s="27" t="str">
        <f aca="false">IF(B1256="","",IFERROR(INDEX(Roster!$B$5:$B$154,MATCH(B1256,Roster!$A$5:$A$154,0)),"Not on roster"))</f>
        <v/>
      </c>
      <c r="G1256" s="28" t="str">
        <f aca="false">IF(OR(B1256="",C1256=""),"",F1256&amp;" | "&amp;C1256)</f>
        <v/>
      </c>
      <c r="H1256" s="27" t="str">
        <f aca="false">IF(G1256="","",IFERROR(INDEX(Levels!$C$5:$C$94,MATCH(G1256,Levels!$G$5:$G$94,0)),"Not this class's skill"))</f>
        <v/>
      </c>
    </row>
    <row r="1257" customFormat="false" ht="15" hidden="false" customHeight="false" outlineLevel="0" collapsed="false">
      <c r="A1257" s="23"/>
      <c r="B1257" s="22"/>
      <c r="C1257" s="22"/>
      <c r="D1257" s="22"/>
      <c r="E1257" s="22"/>
      <c r="F1257" s="27" t="str">
        <f aca="false">IF(B1257="","",IFERROR(INDEX(Roster!$B$5:$B$154,MATCH(B1257,Roster!$A$5:$A$154,0)),"Not on roster"))</f>
        <v/>
      </c>
      <c r="G1257" s="28" t="str">
        <f aca="false">IF(OR(B1257="",C1257=""),"",F1257&amp;" | "&amp;C1257)</f>
        <v/>
      </c>
      <c r="H1257" s="27" t="str">
        <f aca="false">IF(G1257="","",IFERROR(INDEX(Levels!$C$5:$C$94,MATCH(G1257,Levels!$G$5:$G$94,0)),"Not this class's skill"))</f>
        <v/>
      </c>
    </row>
    <row r="1258" customFormat="false" ht="15" hidden="false" customHeight="false" outlineLevel="0" collapsed="false">
      <c r="A1258" s="23"/>
      <c r="B1258" s="22"/>
      <c r="C1258" s="22"/>
      <c r="D1258" s="22"/>
      <c r="E1258" s="22"/>
      <c r="F1258" s="27" t="str">
        <f aca="false">IF(B1258="","",IFERROR(INDEX(Roster!$B$5:$B$154,MATCH(B1258,Roster!$A$5:$A$154,0)),"Not on roster"))</f>
        <v/>
      </c>
      <c r="G1258" s="28" t="str">
        <f aca="false">IF(OR(B1258="",C1258=""),"",F1258&amp;" | "&amp;C1258)</f>
        <v/>
      </c>
      <c r="H1258" s="27" t="str">
        <f aca="false">IF(G1258="","",IFERROR(INDEX(Levels!$C$5:$C$94,MATCH(G1258,Levels!$G$5:$G$94,0)),"Not this class's skill"))</f>
        <v/>
      </c>
    </row>
    <row r="1259" customFormat="false" ht="15" hidden="false" customHeight="false" outlineLevel="0" collapsed="false">
      <c r="A1259" s="23"/>
      <c r="B1259" s="22"/>
      <c r="C1259" s="22"/>
      <c r="D1259" s="22"/>
      <c r="E1259" s="22"/>
      <c r="F1259" s="27" t="str">
        <f aca="false">IF(B1259="","",IFERROR(INDEX(Roster!$B$5:$B$154,MATCH(B1259,Roster!$A$5:$A$154,0)),"Not on roster"))</f>
        <v/>
      </c>
      <c r="G1259" s="28" t="str">
        <f aca="false">IF(OR(B1259="",C1259=""),"",F1259&amp;" | "&amp;C1259)</f>
        <v/>
      </c>
      <c r="H1259" s="27" t="str">
        <f aca="false">IF(G1259="","",IFERROR(INDEX(Levels!$C$5:$C$94,MATCH(G1259,Levels!$G$5:$G$94,0)),"Not this class's skill"))</f>
        <v/>
      </c>
    </row>
    <row r="1260" customFormat="false" ht="15" hidden="false" customHeight="false" outlineLevel="0" collapsed="false">
      <c r="A1260" s="23"/>
      <c r="B1260" s="22"/>
      <c r="C1260" s="22"/>
      <c r="D1260" s="22"/>
      <c r="E1260" s="22"/>
      <c r="F1260" s="27" t="str">
        <f aca="false">IF(B1260="","",IFERROR(INDEX(Roster!$B$5:$B$154,MATCH(B1260,Roster!$A$5:$A$154,0)),"Not on roster"))</f>
        <v/>
      </c>
      <c r="G1260" s="28" t="str">
        <f aca="false">IF(OR(B1260="",C1260=""),"",F1260&amp;" | "&amp;C1260)</f>
        <v/>
      </c>
      <c r="H1260" s="27" t="str">
        <f aca="false">IF(G1260="","",IFERROR(INDEX(Levels!$C$5:$C$94,MATCH(G1260,Levels!$G$5:$G$94,0)),"Not this class's skill"))</f>
        <v/>
      </c>
    </row>
    <row r="1261" customFormat="false" ht="15" hidden="false" customHeight="false" outlineLevel="0" collapsed="false">
      <c r="A1261" s="23"/>
      <c r="B1261" s="22"/>
      <c r="C1261" s="22"/>
      <c r="D1261" s="22"/>
      <c r="E1261" s="22"/>
      <c r="F1261" s="27" t="str">
        <f aca="false">IF(B1261="","",IFERROR(INDEX(Roster!$B$5:$B$154,MATCH(B1261,Roster!$A$5:$A$154,0)),"Not on roster"))</f>
        <v/>
      </c>
      <c r="G1261" s="28" t="str">
        <f aca="false">IF(OR(B1261="",C1261=""),"",F1261&amp;" | "&amp;C1261)</f>
        <v/>
      </c>
      <c r="H1261" s="27" t="str">
        <f aca="false">IF(G1261="","",IFERROR(INDEX(Levels!$C$5:$C$94,MATCH(G1261,Levels!$G$5:$G$94,0)),"Not this class's skill"))</f>
        <v/>
      </c>
    </row>
    <row r="1262" customFormat="false" ht="15" hidden="false" customHeight="false" outlineLevel="0" collapsed="false">
      <c r="A1262" s="23"/>
      <c r="B1262" s="22"/>
      <c r="C1262" s="22"/>
      <c r="D1262" s="22"/>
      <c r="E1262" s="22"/>
      <c r="F1262" s="27" t="str">
        <f aca="false">IF(B1262="","",IFERROR(INDEX(Roster!$B$5:$B$154,MATCH(B1262,Roster!$A$5:$A$154,0)),"Not on roster"))</f>
        <v/>
      </c>
      <c r="G1262" s="28" t="str">
        <f aca="false">IF(OR(B1262="",C1262=""),"",F1262&amp;" | "&amp;C1262)</f>
        <v/>
      </c>
      <c r="H1262" s="27" t="str">
        <f aca="false">IF(G1262="","",IFERROR(INDEX(Levels!$C$5:$C$94,MATCH(G1262,Levels!$G$5:$G$94,0)),"Not this class's skill"))</f>
        <v/>
      </c>
    </row>
    <row r="1263" customFormat="false" ht="15" hidden="false" customHeight="false" outlineLevel="0" collapsed="false">
      <c r="A1263" s="23"/>
      <c r="B1263" s="22"/>
      <c r="C1263" s="22"/>
      <c r="D1263" s="22"/>
      <c r="E1263" s="22"/>
      <c r="F1263" s="27" t="str">
        <f aca="false">IF(B1263="","",IFERROR(INDEX(Roster!$B$5:$B$154,MATCH(B1263,Roster!$A$5:$A$154,0)),"Not on roster"))</f>
        <v/>
      </c>
      <c r="G1263" s="28" t="str">
        <f aca="false">IF(OR(B1263="",C1263=""),"",F1263&amp;" | "&amp;C1263)</f>
        <v/>
      </c>
      <c r="H1263" s="27" t="str">
        <f aca="false">IF(G1263="","",IFERROR(INDEX(Levels!$C$5:$C$94,MATCH(G1263,Levels!$G$5:$G$94,0)),"Not this class's skill"))</f>
        <v/>
      </c>
    </row>
    <row r="1264" customFormat="false" ht="15" hidden="false" customHeight="false" outlineLevel="0" collapsed="false">
      <c r="A1264" s="23"/>
      <c r="B1264" s="22"/>
      <c r="C1264" s="22"/>
      <c r="D1264" s="22"/>
      <c r="E1264" s="22"/>
      <c r="F1264" s="27" t="str">
        <f aca="false">IF(B1264="","",IFERROR(INDEX(Roster!$B$5:$B$154,MATCH(B1264,Roster!$A$5:$A$154,0)),"Not on roster"))</f>
        <v/>
      </c>
      <c r="G1264" s="28" t="str">
        <f aca="false">IF(OR(B1264="",C1264=""),"",F1264&amp;" | "&amp;C1264)</f>
        <v/>
      </c>
      <c r="H1264" s="27" t="str">
        <f aca="false">IF(G1264="","",IFERROR(INDEX(Levels!$C$5:$C$94,MATCH(G1264,Levels!$G$5:$G$94,0)),"Not this class's skill"))</f>
        <v/>
      </c>
    </row>
    <row r="1265" customFormat="false" ht="15" hidden="false" customHeight="false" outlineLevel="0" collapsed="false">
      <c r="A1265" s="23"/>
      <c r="B1265" s="22"/>
      <c r="C1265" s="22"/>
      <c r="D1265" s="22"/>
      <c r="E1265" s="22"/>
      <c r="F1265" s="27" t="str">
        <f aca="false">IF(B1265="","",IFERROR(INDEX(Roster!$B$5:$B$154,MATCH(B1265,Roster!$A$5:$A$154,0)),"Not on roster"))</f>
        <v/>
      </c>
      <c r="G1265" s="28" t="str">
        <f aca="false">IF(OR(B1265="",C1265=""),"",F1265&amp;" | "&amp;C1265)</f>
        <v/>
      </c>
      <c r="H1265" s="27" t="str">
        <f aca="false">IF(G1265="","",IFERROR(INDEX(Levels!$C$5:$C$94,MATCH(G1265,Levels!$G$5:$G$94,0)),"Not this class's skill"))</f>
        <v/>
      </c>
    </row>
    <row r="1266" customFormat="false" ht="15" hidden="false" customHeight="false" outlineLevel="0" collapsed="false">
      <c r="A1266" s="23"/>
      <c r="B1266" s="22"/>
      <c r="C1266" s="22"/>
      <c r="D1266" s="22"/>
      <c r="E1266" s="22"/>
      <c r="F1266" s="27" t="str">
        <f aca="false">IF(B1266="","",IFERROR(INDEX(Roster!$B$5:$B$154,MATCH(B1266,Roster!$A$5:$A$154,0)),"Not on roster"))</f>
        <v/>
      </c>
      <c r="G1266" s="28" t="str">
        <f aca="false">IF(OR(B1266="",C1266=""),"",F1266&amp;" | "&amp;C1266)</f>
        <v/>
      </c>
      <c r="H1266" s="27" t="str">
        <f aca="false">IF(G1266="","",IFERROR(INDEX(Levels!$C$5:$C$94,MATCH(G1266,Levels!$G$5:$G$94,0)),"Not this class's skill"))</f>
        <v/>
      </c>
    </row>
    <row r="1267" customFormat="false" ht="15" hidden="false" customHeight="false" outlineLevel="0" collapsed="false">
      <c r="A1267" s="23"/>
      <c r="B1267" s="22"/>
      <c r="C1267" s="22"/>
      <c r="D1267" s="22"/>
      <c r="E1267" s="22"/>
      <c r="F1267" s="27" t="str">
        <f aca="false">IF(B1267="","",IFERROR(INDEX(Roster!$B$5:$B$154,MATCH(B1267,Roster!$A$5:$A$154,0)),"Not on roster"))</f>
        <v/>
      </c>
      <c r="G1267" s="28" t="str">
        <f aca="false">IF(OR(B1267="",C1267=""),"",F1267&amp;" | "&amp;C1267)</f>
        <v/>
      </c>
      <c r="H1267" s="27" t="str">
        <f aca="false">IF(G1267="","",IFERROR(INDEX(Levels!$C$5:$C$94,MATCH(G1267,Levels!$G$5:$G$94,0)),"Not this class's skill"))</f>
        <v/>
      </c>
    </row>
    <row r="1268" customFormat="false" ht="15" hidden="false" customHeight="false" outlineLevel="0" collapsed="false">
      <c r="A1268" s="23"/>
      <c r="B1268" s="22"/>
      <c r="C1268" s="22"/>
      <c r="D1268" s="22"/>
      <c r="E1268" s="22"/>
      <c r="F1268" s="27" t="str">
        <f aca="false">IF(B1268="","",IFERROR(INDEX(Roster!$B$5:$B$154,MATCH(B1268,Roster!$A$5:$A$154,0)),"Not on roster"))</f>
        <v/>
      </c>
      <c r="G1268" s="28" t="str">
        <f aca="false">IF(OR(B1268="",C1268=""),"",F1268&amp;" | "&amp;C1268)</f>
        <v/>
      </c>
      <c r="H1268" s="27" t="str">
        <f aca="false">IF(G1268="","",IFERROR(INDEX(Levels!$C$5:$C$94,MATCH(G1268,Levels!$G$5:$G$94,0)),"Not this class's skill"))</f>
        <v/>
      </c>
    </row>
    <row r="1269" customFormat="false" ht="15" hidden="false" customHeight="false" outlineLevel="0" collapsed="false">
      <c r="A1269" s="23"/>
      <c r="B1269" s="22"/>
      <c r="C1269" s="22"/>
      <c r="D1269" s="22"/>
      <c r="E1269" s="22"/>
      <c r="F1269" s="27" t="str">
        <f aca="false">IF(B1269="","",IFERROR(INDEX(Roster!$B$5:$B$154,MATCH(B1269,Roster!$A$5:$A$154,0)),"Not on roster"))</f>
        <v/>
      </c>
      <c r="G1269" s="28" t="str">
        <f aca="false">IF(OR(B1269="",C1269=""),"",F1269&amp;" | "&amp;C1269)</f>
        <v/>
      </c>
      <c r="H1269" s="27" t="str">
        <f aca="false">IF(G1269="","",IFERROR(INDEX(Levels!$C$5:$C$94,MATCH(G1269,Levels!$G$5:$G$94,0)),"Not this class's skill"))</f>
        <v/>
      </c>
    </row>
    <row r="1270" customFormat="false" ht="15" hidden="false" customHeight="false" outlineLevel="0" collapsed="false">
      <c r="A1270" s="23"/>
      <c r="B1270" s="22"/>
      <c r="C1270" s="22"/>
      <c r="D1270" s="22"/>
      <c r="E1270" s="22"/>
      <c r="F1270" s="27" t="str">
        <f aca="false">IF(B1270="","",IFERROR(INDEX(Roster!$B$5:$B$154,MATCH(B1270,Roster!$A$5:$A$154,0)),"Not on roster"))</f>
        <v/>
      </c>
      <c r="G1270" s="28" t="str">
        <f aca="false">IF(OR(B1270="",C1270=""),"",F1270&amp;" | "&amp;C1270)</f>
        <v/>
      </c>
      <c r="H1270" s="27" t="str">
        <f aca="false">IF(G1270="","",IFERROR(INDEX(Levels!$C$5:$C$94,MATCH(G1270,Levels!$G$5:$G$94,0)),"Not this class's skill"))</f>
        <v/>
      </c>
    </row>
    <row r="1271" customFormat="false" ht="15" hidden="false" customHeight="false" outlineLevel="0" collapsed="false">
      <c r="A1271" s="23"/>
      <c r="B1271" s="22"/>
      <c r="C1271" s="22"/>
      <c r="D1271" s="22"/>
      <c r="E1271" s="22"/>
      <c r="F1271" s="27" t="str">
        <f aca="false">IF(B1271="","",IFERROR(INDEX(Roster!$B$5:$B$154,MATCH(B1271,Roster!$A$5:$A$154,0)),"Not on roster"))</f>
        <v/>
      </c>
      <c r="G1271" s="28" t="str">
        <f aca="false">IF(OR(B1271="",C1271=""),"",F1271&amp;" | "&amp;C1271)</f>
        <v/>
      </c>
      <c r="H1271" s="27" t="str">
        <f aca="false">IF(G1271="","",IFERROR(INDEX(Levels!$C$5:$C$94,MATCH(G1271,Levels!$G$5:$G$94,0)),"Not this class's skill"))</f>
        <v/>
      </c>
    </row>
    <row r="1272" customFormat="false" ht="15" hidden="false" customHeight="false" outlineLevel="0" collapsed="false">
      <c r="A1272" s="23"/>
      <c r="B1272" s="22"/>
      <c r="C1272" s="22"/>
      <c r="D1272" s="22"/>
      <c r="E1272" s="22"/>
      <c r="F1272" s="27" t="str">
        <f aca="false">IF(B1272="","",IFERROR(INDEX(Roster!$B$5:$B$154,MATCH(B1272,Roster!$A$5:$A$154,0)),"Not on roster"))</f>
        <v/>
      </c>
      <c r="G1272" s="28" t="str">
        <f aca="false">IF(OR(B1272="",C1272=""),"",F1272&amp;" | "&amp;C1272)</f>
        <v/>
      </c>
      <c r="H1272" s="27" t="str">
        <f aca="false">IF(G1272="","",IFERROR(INDEX(Levels!$C$5:$C$94,MATCH(G1272,Levels!$G$5:$G$94,0)),"Not this class's skill"))</f>
        <v/>
      </c>
    </row>
    <row r="1273" customFormat="false" ht="15" hidden="false" customHeight="false" outlineLevel="0" collapsed="false">
      <c r="A1273" s="23"/>
      <c r="B1273" s="22"/>
      <c r="C1273" s="22"/>
      <c r="D1273" s="22"/>
      <c r="E1273" s="22"/>
      <c r="F1273" s="27" t="str">
        <f aca="false">IF(B1273="","",IFERROR(INDEX(Roster!$B$5:$B$154,MATCH(B1273,Roster!$A$5:$A$154,0)),"Not on roster"))</f>
        <v/>
      </c>
      <c r="G1273" s="28" t="str">
        <f aca="false">IF(OR(B1273="",C1273=""),"",F1273&amp;" | "&amp;C1273)</f>
        <v/>
      </c>
      <c r="H1273" s="27" t="str">
        <f aca="false">IF(G1273="","",IFERROR(INDEX(Levels!$C$5:$C$94,MATCH(G1273,Levels!$G$5:$G$94,0)),"Not this class's skill"))</f>
        <v/>
      </c>
    </row>
    <row r="1274" customFormat="false" ht="15" hidden="false" customHeight="false" outlineLevel="0" collapsed="false">
      <c r="A1274" s="23"/>
      <c r="B1274" s="22"/>
      <c r="C1274" s="22"/>
      <c r="D1274" s="22"/>
      <c r="E1274" s="22"/>
      <c r="F1274" s="27" t="str">
        <f aca="false">IF(B1274="","",IFERROR(INDEX(Roster!$B$5:$B$154,MATCH(B1274,Roster!$A$5:$A$154,0)),"Not on roster"))</f>
        <v/>
      </c>
      <c r="G1274" s="28" t="str">
        <f aca="false">IF(OR(B1274="",C1274=""),"",F1274&amp;" | "&amp;C1274)</f>
        <v/>
      </c>
      <c r="H1274" s="27" t="str">
        <f aca="false">IF(G1274="","",IFERROR(INDEX(Levels!$C$5:$C$94,MATCH(G1274,Levels!$G$5:$G$94,0)),"Not this class's skill"))</f>
        <v/>
      </c>
    </row>
    <row r="1275" customFormat="false" ht="15" hidden="false" customHeight="false" outlineLevel="0" collapsed="false">
      <c r="A1275" s="23"/>
      <c r="B1275" s="22"/>
      <c r="C1275" s="22"/>
      <c r="D1275" s="22"/>
      <c r="E1275" s="22"/>
      <c r="F1275" s="27" t="str">
        <f aca="false">IF(B1275="","",IFERROR(INDEX(Roster!$B$5:$B$154,MATCH(B1275,Roster!$A$5:$A$154,0)),"Not on roster"))</f>
        <v/>
      </c>
      <c r="G1275" s="28" t="str">
        <f aca="false">IF(OR(B1275="",C1275=""),"",F1275&amp;" | "&amp;C1275)</f>
        <v/>
      </c>
      <c r="H1275" s="27" t="str">
        <f aca="false">IF(G1275="","",IFERROR(INDEX(Levels!$C$5:$C$94,MATCH(G1275,Levels!$G$5:$G$94,0)),"Not this class's skill"))</f>
        <v/>
      </c>
    </row>
    <row r="1276" customFormat="false" ht="15" hidden="false" customHeight="false" outlineLevel="0" collapsed="false">
      <c r="A1276" s="23"/>
      <c r="B1276" s="22"/>
      <c r="C1276" s="22"/>
      <c r="D1276" s="22"/>
      <c r="E1276" s="22"/>
      <c r="F1276" s="27" t="str">
        <f aca="false">IF(B1276="","",IFERROR(INDEX(Roster!$B$5:$B$154,MATCH(B1276,Roster!$A$5:$A$154,0)),"Not on roster"))</f>
        <v/>
      </c>
      <c r="G1276" s="28" t="str">
        <f aca="false">IF(OR(B1276="",C1276=""),"",F1276&amp;" | "&amp;C1276)</f>
        <v/>
      </c>
      <c r="H1276" s="27" t="str">
        <f aca="false">IF(G1276="","",IFERROR(INDEX(Levels!$C$5:$C$94,MATCH(G1276,Levels!$G$5:$G$94,0)),"Not this class's skill"))</f>
        <v/>
      </c>
    </row>
    <row r="1277" customFormat="false" ht="15" hidden="false" customHeight="false" outlineLevel="0" collapsed="false">
      <c r="A1277" s="23"/>
      <c r="B1277" s="22"/>
      <c r="C1277" s="22"/>
      <c r="D1277" s="22"/>
      <c r="E1277" s="22"/>
      <c r="F1277" s="27" t="str">
        <f aca="false">IF(B1277="","",IFERROR(INDEX(Roster!$B$5:$B$154,MATCH(B1277,Roster!$A$5:$A$154,0)),"Not on roster"))</f>
        <v/>
      </c>
      <c r="G1277" s="28" t="str">
        <f aca="false">IF(OR(B1277="",C1277=""),"",F1277&amp;" | "&amp;C1277)</f>
        <v/>
      </c>
      <c r="H1277" s="27" t="str">
        <f aca="false">IF(G1277="","",IFERROR(INDEX(Levels!$C$5:$C$94,MATCH(G1277,Levels!$G$5:$G$94,0)),"Not this class's skill"))</f>
        <v/>
      </c>
    </row>
    <row r="1278" customFormat="false" ht="15" hidden="false" customHeight="false" outlineLevel="0" collapsed="false">
      <c r="A1278" s="23"/>
      <c r="B1278" s="22"/>
      <c r="C1278" s="22"/>
      <c r="D1278" s="22"/>
      <c r="E1278" s="22"/>
      <c r="F1278" s="27" t="str">
        <f aca="false">IF(B1278="","",IFERROR(INDEX(Roster!$B$5:$B$154,MATCH(B1278,Roster!$A$5:$A$154,0)),"Not on roster"))</f>
        <v/>
      </c>
      <c r="G1278" s="28" t="str">
        <f aca="false">IF(OR(B1278="",C1278=""),"",F1278&amp;" | "&amp;C1278)</f>
        <v/>
      </c>
      <c r="H1278" s="27" t="str">
        <f aca="false">IF(G1278="","",IFERROR(INDEX(Levels!$C$5:$C$94,MATCH(G1278,Levels!$G$5:$G$94,0)),"Not this class's skill"))</f>
        <v/>
      </c>
    </row>
    <row r="1279" customFormat="false" ht="15" hidden="false" customHeight="false" outlineLevel="0" collapsed="false">
      <c r="A1279" s="23"/>
      <c r="B1279" s="22"/>
      <c r="C1279" s="22"/>
      <c r="D1279" s="22"/>
      <c r="E1279" s="22"/>
      <c r="F1279" s="27" t="str">
        <f aca="false">IF(B1279="","",IFERROR(INDEX(Roster!$B$5:$B$154,MATCH(B1279,Roster!$A$5:$A$154,0)),"Not on roster"))</f>
        <v/>
      </c>
      <c r="G1279" s="28" t="str">
        <f aca="false">IF(OR(B1279="",C1279=""),"",F1279&amp;" | "&amp;C1279)</f>
        <v/>
      </c>
      <c r="H1279" s="27" t="str">
        <f aca="false">IF(G1279="","",IFERROR(INDEX(Levels!$C$5:$C$94,MATCH(G1279,Levels!$G$5:$G$94,0)),"Not this class's skill"))</f>
        <v/>
      </c>
    </row>
    <row r="1280" customFormat="false" ht="15" hidden="false" customHeight="false" outlineLevel="0" collapsed="false">
      <c r="A1280" s="23"/>
      <c r="B1280" s="22"/>
      <c r="C1280" s="22"/>
      <c r="D1280" s="22"/>
      <c r="E1280" s="22"/>
      <c r="F1280" s="27" t="str">
        <f aca="false">IF(B1280="","",IFERROR(INDEX(Roster!$B$5:$B$154,MATCH(B1280,Roster!$A$5:$A$154,0)),"Not on roster"))</f>
        <v/>
      </c>
      <c r="G1280" s="28" t="str">
        <f aca="false">IF(OR(B1280="",C1280=""),"",F1280&amp;" | "&amp;C1280)</f>
        <v/>
      </c>
      <c r="H1280" s="27" t="str">
        <f aca="false">IF(G1280="","",IFERROR(INDEX(Levels!$C$5:$C$94,MATCH(G1280,Levels!$G$5:$G$94,0)),"Not this class's skill"))</f>
        <v/>
      </c>
    </row>
    <row r="1281" customFormat="false" ht="15" hidden="false" customHeight="false" outlineLevel="0" collapsed="false">
      <c r="A1281" s="23"/>
      <c r="B1281" s="22"/>
      <c r="C1281" s="22"/>
      <c r="D1281" s="22"/>
      <c r="E1281" s="22"/>
      <c r="F1281" s="27" t="str">
        <f aca="false">IF(B1281="","",IFERROR(INDEX(Roster!$B$5:$B$154,MATCH(B1281,Roster!$A$5:$A$154,0)),"Not on roster"))</f>
        <v/>
      </c>
      <c r="G1281" s="28" t="str">
        <f aca="false">IF(OR(B1281="",C1281=""),"",F1281&amp;" | "&amp;C1281)</f>
        <v/>
      </c>
      <c r="H1281" s="27" t="str">
        <f aca="false">IF(G1281="","",IFERROR(INDEX(Levels!$C$5:$C$94,MATCH(G1281,Levels!$G$5:$G$94,0)),"Not this class's skill"))</f>
        <v/>
      </c>
    </row>
    <row r="1282" customFormat="false" ht="15" hidden="false" customHeight="false" outlineLevel="0" collapsed="false">
      <c r="A1282" s="23"/>
      <c r="B1282" s="22"/>
      <c r="C1282" s="22"/>
      <c r="D1282" s="22"/>
      <c r="E1282" s="22"/>
      <c r="F1282" s="27" t="str">
        <f aca="false">IF(B1282="","",IFERROR(INDEX(Roster!$B$5:$B$154,MATCH(B1282,Roster!$A$5:$A$154,0)),"Not on roster"))</f>
        <v/>
      </c>
      <c r="G1282" s="28" t="str">
        <f aca="false">IF(OR(B1282="",C1282=""),"",F1282&amp;" | "&amp;C1282)</f>
        <v/>
      </c>
      <c r="H1282" s="27" t="str">
        <f aca="false">IF(G1282="","",IFERROR(INDEX(Levels!$C$5:$C$94,MATCH(G1282,Levels!$G$5:$G$94,0)),"Not this class's skill"))</f>
        <v/>
      </c>
    </row>
    <row r="1283" customFormat="false" ht="15" hidden="false" customHeight="false" outlineLevel="0" collapsed="false">
      <c r="A1283" s="23"/>
      <c r="B1283" s="22"/>
      <c r="C1283" s="22"/>
      <c r="D1283" s="22"/>
      <c r="E1283" s="22"/>
      <c r="F1283" s="27" t="str">
        <f aca="false">IF(B1283="","",IFERROR(INDEX(Roster!$B$5:$B$154,MATCH(B1283,Roster!$A$5:$A$154,0)),"Not on roster"))</f>
        <v/>
      </c>
      <c r="G1283" s="28" t="str">
        <f aca="false">IF(OR(B1283="",C1283=""),"",F1283&amp;" | "&amp;C1283)</f>
        <v/>
      </c>
      <c r="H1283" s="27" t="str">
        <f aca="false">IF(G1283="","",IFERROR(INDEX(Levels!$C$5:$C$94,MATCH(G1283,Levels!$G$5:$G$94,0)),"Not this class's skill"))</f>
        <v/>
      </c>
    </row>
    <row r="1284" customFormat="false" ht="15" hidden="false" customHeight="false" outlineLevel="0" collapsed="false">
      <c r="A1284" s="23"/>
      <c r="B1284" s="22"/>
      <c r="C1284" s="22"/>
      <c r="D1284" s="22"/>
      <c r="E1284" s="22"/>
      <c r="F1284" s="27" t="str">
        <f aca="false">IF(B1284="","",IFERROR(INDEX(Roster!$B$5:$B$154,MATCH(B1284,Roster!$A$5:$A$154,0)),"Not on roster"))</f>
        <v/>
      </c>
      <c r="G1284" s="28" t="str">
        <f aca="false">IF(OR(B1284="",C1284=""),"",F1284&amp;" | "&amp;C1284)</f>
        <v/>
      </c>
      <c r="H1284" s="27" t="str">
        <f aca="false">IF(G1284="","",IFERROR(INDEX(Levels!$C$5:$C$94,MATCH(G1284,Levels!$G$5:$G$94,0)),"Not this class's skill"))</f>
        <v/>
      </c>
    </row>
    <row r="1285" customFormat="false" ht="15" hidden="false" customHeight="false" outlineLevel="0" collapsed="false">
      <c r="A1285" s="23"/>
      <c r="B1285" s="22"/>
      <c r="C1285" s="22"/>
      <c r="D1285" s="22"/>
      <c r="E1285" s="22"/>
      <c r="F1285" s="27" t="str">
        <f aca="false">IF(B1285="","",IFERROR(INDEX(Roster!$B$5:$B$154,MATCH(B1285,Roster!$A$5:$A$154,0)),"Not on roster"))</f>
        <v/>
      </c>
      <c r="G1285" s="28" t="str">
        <f aca="false">IF(OR(B1285="",C1285=""),"",F1285&amp;" | "&amp;C1285)</f>
        <v/>
      </c>
      <c r="H1285" s="27" t="str">
        <f aca="false">IF(G1285="","",IFERROR(INDEX(Levels!$C$5:$C$94,MATCH(G1285,Levels!$G$5:$G$94,0)),"Not this class's skill"))</f>
        <v/>
      </c>
    </row>
    <row r="1286" customFormat="false" ht="15" hidden="false" customHeight="false" outlineLevel="0" collapsed="false">
      <c r="A1286" s="23"/>
      <c r="B1286" s="22"/>
      <c r="C1286" s="22"/>
      <c r="D1286" s="22"/>
      <c r="E1286" s="22"/>
      <c r="F1286" s="27" t="str">
        <f aca="false">IF(B1286="","",IFERROR(INDEX(Roster!$B$5:$B$154,MATCH(B1286,Roster!$A$5:$A$154,0)),"Not on roster"))</f>
        <v/>
      </c>
      <c r="G1286" s="28" t="str">
        <f aca="false">IF(OR(B1286="",C1286=""),"",F1286&amp;" | "&amp;C1286)</f>
        <v/>
      </c>
      <c r="H1286" s="27" t="str">
        <f aca="false">IF(G1286="","",IFERROR(INDEX(Levels!$C$5:$C$94,MATCH(G1286,Levels!$G$5:$G$94,0)),"Not this class's skill"))</f>
        <v/>
      </c>
    </row>
    <row r="1287" customFormat="false" ht="15" hidden="false" customHeight="false" outlineLevel="0" collapsed="false">
      <c r="A1287" s="23"/>
      <c r="B1287" s="22"/>
      <c r="C1287" s="22"/>
      <c r="D1287" s="22"/>
      <c r="E1287" s="22"/>
      <c r="F1287" s="27" t="str">
        <f aca="false">IF(B1287="","",IFERROR(INDEX(Roster!$B$5:$B$154,MATCH(B1287,Roster!$A$5:$A$154,0)),"Not on roster"))</f>
        <v/>
      </c>
      <c r="G1287" s="28" t="str">
        <f aca="false">IF(OR(B1287="",C1287=""),"",F1287&amp;" | "&amp;C1287)</f>
        <v/>
      </c>
      <c r="H1287" s="27" t="str">
        <f aca="false">IF(G1287="","",IFERROR(INDEX(Levels!$C$5:$C$94,MATCH(G1287,Levels!$G$5:$G$94,0)),"Not this class's skill"))</f>
        <v/>
      </c>
    </row>
    <row r="1288" customFormat="false" ht="15" hidden="false" customHeight="false" outlineLevel="0" collapsed="false">
      <c r="A1288" s="23"/>
      <c r="B1288" s="22"/>
      <c r="C1288" s="22"/>
      <c r="D1288" s="22"/>
      <c r="E1288" s="22"/>
      <c r="F1288" s="27" t="str">
        <f aca="false">IF(B1288="","",IFERROR(INDEX(Roster!$B$5:$B$154,MATCH(B1288,Roster!$A$5:$A$154,0)),"Not on roster"))</f>
        <v/>
      </c>
      <c r="G1288" s="28" t="str">
        <f aca="false">IF(OR(B1288="",C1288=""),"",F1288&amp;" | "&amp;C1288)</f>
        <v/>
      </c>
      <c r="H1288" s="27" t="str">
        <f aca="false">IF(G1288="","",IFERROR(INDEX(Levels!$C$5:$C$94,MATCH(G1288,Levels!$G$5:$G$94,0)),"Not this class's skill"))</f>
        <v/>
      </c>
    </row>
    <row r="1289" customFormat="false" ht="15" hidden="false" customHeight="false" outlineLevel="0" collapsed="false">
      <c r="A1289" s="23"/>
      <c r="B1289" s="22"/>
      <c r="C1289" s="22"/>
      <c r="D1289" s="22"/>
      <c r="E1289" s="22"/>
      <c r="F1289" s="27" t="str">
        <f aca="false">IF(B1289="","",IFERROR(INDEX(Roster!$B$5:$B$154,MATCH(B1289,Roster!$A$5:$A$154,0)),"Not on roster"))</f>
        <v/>
      </c>
      <c r="G1289" s="28" t="str">
        <f aca="false">IF(OR(B1289="",C1289=""),"",F1289&amp;" | "&amp;C1289)</f>
        <v/>
      </c>
      <c r="H1289" s="27" t="str">
        <f aca="false">IF(G1289="","",IFERROR(INDEX(Levels!$C$5:$C$94,MATCH(G1289,Levels!$G$5:$G$94,0)),"Not this class's skill"))</f>
        <v/>
      </c>
    </row>
    <row r="1290" customFormat="false" ht="15" hidden="false" customHeight="false" outlineLevel="0" collapsed="false">
      <c r="A1290" s="23"/>
      <c r="B1290" s="22"/>
      <c r="C1290" s="22"/>
      <c r="D1290" s="22"/>
      <c r="E1290" s="22"/>
      <c r="F1290" s="27" t="str">
        <f aca="false">IF(B1290="","",IFERROR(INDEX(Roster!$B$5:$B$154,MATCH(B1290,Roster!$A$5:$A$154,0)),"Not on roster"))</f>
        <v/>
      </c>
      <c r="G1290" s="28" t="str">
        <f aca="false">IF(OR(B1290="",C1290=""),"",F1290&amp;" | "&amp;C1290)</f>
        <v/>
      </c>
      <c r="H1290" s="27" t="str">
        <f aca="false">IF(G1290="","",IFERROR(INDEX(Levels!$C$5:$C$94,MATCH(G1290,Levels!$G$5:$G$94,0)),"Not this class's skill"))</f>
        <v/>
      </c>
    </row>
    <row r="1291" customFormat="false" ht="15" hidden="false" customHeight="false" outlineLevel="0" collapsed="false">
      <c r="A1291" s="23"/>
      <c r="B1291" s="22"/>
      <c r="C1291" s="22"/>
      <c r="D1291" s="22"/>
      <c r="E1291" s="22"/>
      <c r="F1291" s="27" t="str">
        <f aca="false">IF(B1291="","",IFERROR(INDEX(Roster!$B$5:$B$154,MATCH(B1291,Roster!$A$5:$A$154,0)),"Not on roster"))</f>
        <v/>
      </c>
      <c r="G1291" s="28" t="str">
        <f aca="false">IF(OR(B1291="",C1291=""),"",F1291&amp;" | "&amp;C1291)</f>
        <v/>
      </c>
      <c r="H1291" s="27" t="str">
        <f aca="false">IF(G1291="","",IFERROR(INDEX(Levels!$C$5:$C$94,MATCH(G1291,Levels!$G$5:$G$94,0)),"Not this class's skill"))</f>
        <v/>
      </c>
    </row>
    <row r="1292" customFormat="false" ht="15" hidden="false" customHeight="false" outlineLevel="0" collapsed="false">
      <c r="A1292" s="23"/>
      <c r="B1292" s="22"/>
      <c r="C1292" s="22"/>
      <c r="D1292" s="22"/>
      <c r="E1292" s="22"/>
      <c r="F1292" s="27" t="str">
        <f aca="false">IF(B1292="","",IFERROR(INDEX(Roster!$B$5:$B$154,MATCH(B1292,Roster!$A$5:$A$154,0)),"Not on roster"))</f>
        <v/>
      </c>
      <c r="G1292" s="28" t="str">
        <f aca="false">IF(OR(B1292="",C1292=""),"",F1292&amp;" | "&amp;C1292)</f>
        <v/>
      </c>
      <c r="H1292" s="27" t="str">
        <f aca="false">IF(G1292="","",IFERROR(INDEX(Levels!$C$5:$C$94,MATCH(G1292,Levels!$G$5:$G$94,0)),"Not this class's skill"))</f>
        <v/>
      </c>
    </row>
    <row r="1293" customFormat="false" ht="15" hidden="false" customHeight="false" outlineLevel="0" collapsed="false">
      <c r="A1293" s="23"/>
      <c r="B1293" s="22"/>
      <c r="C1293" s="22"/>
      <c r="D1293" s="22"/>
      <c r="E1293" s="22"/>
      <c r="F1293" s="27" t="str">
        <f aca="false">IF(B1293="","",IFERROR(INDEX(Roster!$B$5:$B$154,MATCH(B1293,Roster!$A$5:$A$154,0)),"Not on roster"))</f>
        <v/>
      </c>
      <c r="G1293" s="28" t="str">
        <f aca="false">IF(OR(B1293="",C1293=""),"",F1293&amp;" | "&amp;C1293)</f>
        <v/>
      </c>
      <c r="H1293" s="27" t="str">
        <f aca="false">IF(G1293="","",IFERROR(INDEX(Levels!$C$5:$C$94,MATCH(G1293,Levels!$G$5:$G$94,0)),"Not this class's skill"))</f>
        <v/>
      </c>
    </row>
    <row r="1294" customFormat="false" ht="15" hidden="false" customHeight="false" outlineLevel="0" collapsed="false">
      <c r="A1294" s="23"/>
      <c r="B1294" s="22"/>
      <c r="C1294" s="22"/>
      <c r="D1294" s="22"/>
      <c r="E1294" s="22"/>
      <c r="F1294" s="27" t="str">
        <f aca="false">IF(B1294="","",IFERROR(INDEX(Roster!$B$5:$B$154,MATCH(B1294,Roster!$A$5:$A$154,0)),"Not on roster"))</f>
        <v/>
      </c>
      <c r="G1294" s="28" t="str">
        <f aca="false">IF(OR(B1294="",C1294=""),"",F1294&amp;" | "&amp;C1294)</f>
        <v/>
      </c>
      <c r="H1294" s="27" t="str">
        <f aca="false">IF(G1294="","",IFERROR(INDEX(Levels!$C$5:$C$94,MATCH(G1294,Levels!$G$5:$G$94,0)),"Not this class's skill"))</f>
        <v/>
      </c>
    </row>
    <row r="1295" customFormat="false" ht="15" hidden="false" customHeight="false" outlineLevel="0" collapsed="false">
      <c r="A1295" s="23"/>
      <c r="B1295" s="22"/>
      <c r="C1295" s="22"/>
      <c r="D1295" s="22"/>
      <c r="E1295" s="22"/>
      <c r="F1295" s="27" t="str">
        <f aca="false">IF(B1295="","",IFERROR(INDEX(Roster!$B$5:$B$154,MATCH(B1295,Roster!$A$5:$A$154,0)),"Not on roster"))</f>
        <v/>
      </c>
      <c r="G1295" s="28" t="str">
        <f aca="false">IF(OR(B1295="",C1295=""),"",F1295&amp;" | "&amp;C1295)</f>
        <v/>
      </c>
      <c r="H1295" s="27" t="str">
        <f aca="false">IF(G1295="","",IFERROR(INDEX(Levels!$C$5:$C$94,MATCH(G1295,Levels!$G$5:$G$94,0)),"Not this class's skill"))</f>
        <v/>
      </c>
    </row>
    <row r="1296" customFormat="false" ht="15" hidden="false" customHeight="false" outlineLevel="0" collapsed="false">
      <c r="A1296" s="23"/>
      <c r="B1296" s="22"/>
      <c r="C1296" s="22"/>
      <c r="D1296" s="22"/>
      <c r="E1296" s="22"/>
      <c r="F1296" s="27" t="str">
        <f aca="false">IF(B1296="","",IFERROR(INDEX(Roster!$B$5:$B$154,MATCH(B1296,Roster!$A$5:$A$154,0)),"Not on roster"))</f>
        <v/>
      </c>
      <c r="G1296" s="28" t="str">
        <f aca="false">IF(OR(B1296="",C1296=""),"",F1296&amp;" | "&amp;C1296)</f>
        <v/>
      </c>
      <c r="H1296" s="27" t="str">
        <f aca="false">IF(G1296="","",IFERROR(INDEX(Levels!$C$5:$C$94,MATCH(G1296,Levels!$G$5:$G$94,0)),"Not this class's skill"))</f>
        <v/>
      </c>
    </row>
    <row r="1297" customFormat="false" ht="15" hidden="false" customHeight="false" outlineLevel="0" collapsed="false">
      <c r="A1297" s="23"/>
      <c r="B1297" s="22"/>
      <c r="C1297" s="22"/>
      <c r="D1297" s="22"/>
      <c r="E1297" s="22"/>
      <c r="F1297" s="27" t="str">
        <f aca="false">IF(B1297="","",IFERROR(INDEX(Roster!$B$5:$B$154,MATCH(B1297,Roster!$A$5:$A$154,0)),"Not on roster"))</f>
        <v/>
      </c>
      <c r="G1297" s="28" t="str">
        <f aca="false">IF(OR(B1297="",C1297=""),"",F1297&amp;" | "&amp;C1297)</f>
        <v/>
      </c>
      <c r="H1297" s="27" t="str">
        <f aca="false">IF(G1297="","",IFERROR(INDEX(Levels!$C$5:$C$94,MATCH(G1297,Levels!$G$5:$G$94,0)),"Not this class's skill"))</f>
        <v/>
      </c>
    </row>
    <row r="1298" customFormat="false" ht="15" hidden="false" customHeight="false" outlineLevel="0" collapsed="false">
      <c r="A1298" s="23"/>
      <c r="B1298" s="22"/>
      <c r="C1298" s="22"/>
      <c r="D1298" s="22"/>
      <c r="E1298" s="22"/>
      <c r="F1298" s="27" t="str">
        <f aca="false">IF(B1298="","",IFERROR(INDEX(Roster!$B$5:$B$154,MATCH(B1298,Roster!$A$5:$A$154,0)),"Not on roster"))</f>
        <v/>
      </c>
      <c r="G1298" s="28" t="str">
        <f aca="false">IF(OR(B1298="",C1298=""),"",F1298&amp;" | "&amp;C1298)</f>
        <v/>
      </c>
      <c r="H1298" s="27" t="str">
        <f aca="false">IF(G1298="","",IFERROR(INDEX(Levels!$C$5:$C$94,MATCH(G1298,Levels!$G$5:$G$94,0)),"Not this class's skill"))</f>
        <v/>
      </c>
    </row>
    <row r="1299" customFormat="false" ht="15" hidden="false" customHeight="false" outlineLevel="0" collapsed="false">
      <c r="A1299" s="23"/>
      <c r="B1299" s="22"/>
      <c r="C1299" s="22"/>
      <c r="D1299" s="22"/>
      <c r="E1299" s="22"/>
      <c r="F1299" s="27" t="str">
        <f aca="false">IF(B1299="","",IFERROR(INDEX(Roster!$B$5:$B$154,MATCH(B1299,Roster!$A$5:$A$154,0)),"Not on roster"))</f>
        <v/>
      </c>
      <c r="G1299" s="28" t="str">
        <f aca="false">IF(OR(B1299="",C1299=""),"",F1299&amp;" | "&amp;C1299)</f>
        <v/>
      </c>
      <c r="H1299" s="27" t="str">
        <f aca="false">IF(G1299="","",IFERROR(INDEX(Levels!$C$5:$C$94,MATCH(G1299,Levels!$G$5:$G$94,0)),"Not this class's skill"))</f>
        <v/>
      </c>
    </row>
    <row r="1300" customFormat="false" ht="15" hidden="false" customHeight="false" outlineLevel="0" collapsed="false">
      <c r="A1300" s="23"/>
      <c r="B1300" s="22"/>
      <c r="C1300" s="22"/>
      <c r="D1300" s="22"/>
      <c r="E1300" s="22"/>
      <c r="F1300" s="27" t="str">
        <f aca="false">IF(B1300="","",IFERROR(INDEX(Roster!$B$5:$B$154,MATCH(B1300,Roster!$A$5:$A$154,0)),"Not on roster"))</f>
        <v/>
      </c>
      <c r="G1300" s="28" t="str">
        <f aca="false">IF(OR(B1300="",C1300=""),"",F1300&amp;" | "&amp;C1300)</f>
        <v/>
      </c>
      <c r="H1300" s="27" t="str">
        <f aca="false">IF(G1300="","",IFERROR(INDEX(Levels!$C$5:$C$94,MATCH(G1300,Levels!$G$5:$G$94,0)),"Not this class's skill"))</f>
        <v/>
      </c>
    </row>
    <row r="1301" customFormat="false" ht="15" hidden="false" customHeight="false" outlineLevel="0" collapsed="false">
      <c r="A1301" s="23"/>
      <c r="B1301" s="22"/>
      <c r="C1301" s="22"/>
      <c r="D1301" s="22"/>
      <c r="E1301" s="22"/>
      <c r="F1301" s="27" t="str">
        <f aca="false">IF(B1301="","",IFERROR(INDEX(Roster!$B$5:$B$154,MATCH(B1301,Roster!$A$5:$A$154,0)),"Not on roster"))</f>
        <v/>
      </c>
      <c r="G1301" s="28" t="str">
        <f aca="false">IF(OR(B1301="",C1301=""),"",F1301&amp;" | "&amp;C1301)</f>
        <v/>
      </c>
      <c r="H1301" s="27" t="str">
        <f aca="false">IF(G1301="","",IFERROR(INDEX(Levels!$C$5:$C$94,MATCH(G1301,Levels!$G$5:$G$94,0)),"Not this class's skill"))</f>
        <v/>
      </c>
    </row>
    <row r="1302" customFormat="false" ht="15" hidden="false" customHeight="false" outlineLevel="0" collapsed="false">
      <c r="A1302" s="23"/>
      <c r="B1302" s="22"/>
      <c r="C1302" s="22"/>
      <c r="D1302" s="22"/>
      <c r="E1302" s="22"/>
      <c r="F1302" s="27" t="str">
        <f aca="false">IF(B1302="","",IFERROR(INDEX(Roster!$B$5:$B$154,MATCH(B1302,Roster!$A$5:$A$154,0)),"Not on roster"))</f>
        <v/>
      </c>
      <c r="G1302" s="28" t="str">
        <f aca="false">IF(OR(B1302="",C1302=""),"",F1302&amp;" | "&amp;C1302)</f>
        <v/>
      </c>
      <c r="H1302" s="27" t="str">
        <f aca="false">IF(G1302="","",IFERROR(INDEX(Levels!$C$5:$C$94,MATCH(G1302,Levels!$G$5:$G$94,0)),"Not this class's skill"))</f>
        <v/>
      </c>
    </row>
    <row r="1303" customFormat="false" ht="15" hidden="false" customHeight="false" outlineLevel="0" collapsed="false">
      <c r="A1303" s="23"/>
      <c r="B1303" s="22"/>
      <c r="C1303" s="22"/>
      <c r="D1303" s="22"/>
      <c r="E1303" s="22"/>
      <c r="F1303" s="27" t="str">
        <f aca="false">IF(B1303="","",IFERROR(INDEX(Roster!$B$5:$B$154,MATCH(B1303,Roster!$A$5:$A$154,0)),"Not on roster"))</f>
        <v/>
      </c>
      <c r="G1303" s="28" t="str">
        <f aca="false">IF(OR(B1303="",C1303=""),"",F1303&amp;" | "&amp;C1303)</f>
        <v/>
      </c>
      <c r="H1303" s="27" t="str">
        <f aca="false">IF(G1303="","",IFERROR(INDEX(Levels!$C$5:$C$94,MATCH(G1303,Levels!$G$5:$G$94,0)),"Not this class's skill"))</f>
        <v/>
      </c>
    </row>
    <row r="1304" customFormat="false" ht="15" hidden="false" customHeight="false" outlineLevel="0" collapsed="false">
      <c r="A1304" s="23"/>
      <c r="B1304" s="22"/>
      <c r="C1304" s="22"/>
      <c r="D1304" s="22"/>
      <c r="E1304" s="22"/>
      <c r="F1304" s="27" t="str">
        <f aca="false">IF(B1304="","",IFERROR(INDEX(Roster!$B$5:$B$154,MATCH(B1304,Roster!$A$5:$A$154,0)),"Not on roster"))</f>
        <v/>
      </c>
      <c r="G1304" s="28" t="str">
        <f aca="false">IF(OR(B1304="",C1304=""),"",F1304&amp;" | "&amp;C1304)</f>
        <v/>
      </c>
      <c r="H1304" s="27" t="str">
        <f aca="false">IF(G1304="","",IFERROR(INDEX(Levels!$C$5:$C$94,MATCH(G1304,Levels!$G$5:$G$94,0)),"Not this class's skill"))</f>
        <v/>
      </c>
    </row>
    <row r="1305" customFormat="false" ht="15" hidden="false" customHeight="false" outlineLevel="0" collapsed="false">
      <c r="A1305" s="23"/>
      <c r="B1305" s="22"/>
      <c r="C1305" s="22"/>
      <c r="D1305" s="22"/>
      <c r="E1305" s="22"/>
      <c r="F1305" s="27" t="str">
        <f aca="false">IF(B1305="","",IFERROR(INDEX(Roster!$B$5:$B$154,MATCH(B1305,Roster!$A$5:$A$154,0)),"Not on roster"))</f>
        <v/>
      </c>
      <c r="G1305" s="28" t="str">
        <f aca="false">IF(OR(B1305="",C1305=""),"",F1305&amp;" | "&amp;C1305)</f>
        <v/>
      </c>
      <c r="H1305" s="27" t="str">
        <f aca="false">IF(G1305="","",IFERROR(INDEX(Levels!$C$5:$C$94,MATCH(G1305,Levels!$G$5:$G$94,0)),"Not this class's skill"))</f>
        <v/>
      </c>
    </row>
    <row r="1306" customFormat="false" ht="15" hidden="false" customHeight="false" outlineLevel="0" collapsed="false">
      <c r="A1306" s="23"/>
      <c r="B1306" s="22"/>
      <c r="C1306" s="22"/>
      <c r="D1306" s="22"/>
      <c r="E1306" s="22"/>
      <c r="F1306" s="27" t="str">
        <f aca="false">IF(B1306="","",IFERROR(INDEX(Roster!$B$5:$B$154,MATCH(B1306,Roster!$A$5:$A$154,0)),"Not on roster"))</f>
        <v/>
      </c>
      <c r="G1306" s="28" t="str">
        <f aca="false">IF(OR(B1306="",C1306=""),"",F1306&amp;" | "&amp;C1306)</f>
        <v/>
      </c>
      <c r="H1306" s="27" t="str">
        <f aca="false">IF(G1306="","",IFERROR(INDEX(Levels!$C$5:$C$94,MATCH(G1306,Levels!$G$5:$G$94,0)),"Not this class's skill"))</f>
        <v/>
      </c>
    </row>
    <row r="1307" customFormat="false" ht="15" hidden="false" customHeight="false" outlineLevel="0" collapsed="false">
      <c r="A1307" s="23"/>
      <c r="B1307" s="22"/>
      <c r="C1307" s="22"/>
      <c r="D1307" s="22"/>
      <c r="E1307" s="22"/>
      <c r="F1307" s="27" t="str">
        <f aca="false">IF(B1307="","",IFERROR(INDEX(Roster!$B$5:$B$154,MATCH(B1307,Roster!$A$5:$A$154,0)),"Not on roster"))</f>
        <v/>
      </c>
      <c r="G1307" s="28" t="str">
        <f aca="false">IF(OR(B1307="",C1307=""),"",F1307&amp;" | "&amp;C1307)</f>
        <v/>
      </c>
      <c r="H1307" s="27" t="str">
        <f aca="false">IF(G1307="","",IFERROR(INDEX(Levels!$C$5:$C$94,MATCH(G1307,Levels!$G$5:$G$94,0)),"Not this class's skill"))</f>
        <v/>
      </c>
    </row>
    <row r="1308" customFormat="false" ht="15" hidden="false" customHeight="false" outlineLevel="0" collapsed="false">
      <c r="A1308" s="23"/>
      <c r="B1308" s="22"/>
      <c r="C1308" s="22"/>
      <c r="D1308" s="22"/>
      <c r="E1308" s="22"/>
      <c r="F1308" s="27" t="str">
        <f aca="false">IF(B1308="","",IFERROR(INDEX(Roster!$B$5:$B$154,MATCH(B1308,Roster!$A$5:$A$154,0)),"Not on roster"))</f>
        <v/>
      </c>
      <c r="G1308" s="28" t="str">
        <f aca="false">IF(OR(B1308="",C1308=""),"",F1308&amp;" | "&amp;C1308)</f>
        <v/>
      </c>
      <c r="H1308" s="27" t="str">
        <f aca="false">IF(G1308="","",IFERROR(INDEX(Levels!$C$5:$C$94,MATCH(G1308,Levels!$G$5:$G$94,0)),"Not this class's skill"))</f>
        <v/>
      </c>
    </row>
    <row r="1309" customFormat="false" ht="15" hidden="false" customHeight="false" outlineLevel="0" collapsed="false">
      <c r="A1309" s="23"/>
      <c r="B1309" s="22"/>
      <c r="C1309" s="22"/>
      <c r="D1309" s="22"/>
      <c r="E1309" s="22"/>
      <c r="F1309" s="27" t="str">
        <f aca="false">IF(B1309="","",IFERROR(INDEX(Roster!$B$5:$B$154,MATCH(B1309,Roster!$A$5:$A$154,0)),"Not on roster"))</f>
        <v/>
      </c>
      <c r="G1309" s="28" t="str">
        <f aca="false">IF(OR(B1309="",C1309=""),"",F1309&amp;" | "&amp;C1309)</f>
        <v/>
      </c>
      <c r="H1309" s="27" t="str">
        <f aca="false">IF(G1309="","",IFERROR(INDEX(Levels!$C$5:$C$94,MATCH(G1309,Levels!$G$5:$G$94,0)),"Not this class's skill"))</f>
        <v/>
      </c>
    </row>
    <row r="1310" customFormat="false" ht="15" hidden="false" customHeight="false" outlineLevel="0" collapsed="false">
      <c r="A1310" s="23"/>
      <c r="B1310" s="22"/>
      <c r="C1310" s="22"/>
      <c r="D1310" s="22"/>
      <c r="E1310" s="22"/>
      <c r="F1310" s="27" t="str">
        <f aca="false">IF(B1310="","",IFERROR(INDEX(Roster!$B$5:$B$154,MATCH(B1310,Roster!$A$5:$A$154,0)),"Not on roster"))</f>
        <v/>
      </c>
      <c r="G1310" s="28" t="str">
        <f aca="false">IF(OR(B1310="",C1310=""),"",F1310&amp;" | "&amp;C1310)</f>
        <v/>
      </c>
      <c r="H1310" s="27" t="str">
        <f aca="false">IF(G1310="","",IFERROR(INDEX(Levels!$C$5:$C$94,MATCH(G1310,Levels!$G$5:$G$94,0)),"Not this class's skill"))</f>
        <v/>
      </c>
    </row>
    <row r="1311" customFormat="false" ht="15" hidden="false" customHeight="false" outlineLevel="0" collapsed="false">
      <c r="A1311" s="23"/>
      <c r="B1311" s="22"/>
      <c r="C1311" s="22"/>
      <c r="D1311" s="22"/>
      <c r="E1311" s="22"/>
      <c r="F1311" s="27" t="str">
        <f aca="false">IF(B1311="","",IFERROR(INDEX(Roster!$B$5:$B$154,MATCH(B1311,Roster!$A$5:$A$154,0)),"Not on roster"))</f>
        <v/>
      </c>
      <c r="G1311" s="28" t="str">
        <f aca="false">IF(OR(B1311="",C1311=""),"",F1311&amp;" | "&amp;C1311)</f>
        <v/>
      </c>
      <c r="H1311" s="27" t="str">
        <f aca="false">IF(G1311="","",IFERROR(INDEX(Levels!$C$5:$C$94,MATCH(G1311,Levels!$G$5:$G$94,0)),"Not this class's skill"))</f>
        <v/>
      </c>
    </row>
    <row r="1312" customFormat="false" ht="15" hidden="false" customHeight="false" outlineLevel="0" collapsed="false">
      <c r="A1312" s="23"/>
      <c r="B1312" s="22"/>
      <c r="C1312" s="22"/>
      <c r="D1312" s="22"/>
      <c r="E1312" s="22"/>
      <c r="F1312" s="27" t="str">
        <f aca="false">IF(B1312="","",IFERROR(INDEX(Roster!$B$5:$B$154,MATCH(B1312,Roster!$A$5:$A$154,0)),"Not on roster"))</f>
        <v/>
      </c>
      <c r="G1312" s="28" t="str">
        <f aca="false">IF(OR(B1312="",C1312=""),"",F1312&amp;" | "&amp;C1312)</f>
        <v/>
      </c>
      <c r="H1312" s="27" t="str">
        <f aca="false">IF(G1312="","",IFERROR(INDEX(Levels!$C$5:$C$94,MATCH(G1312,Levels!$G$5:$G$94,0)),"Not this class's skill"))</f>
        <v/>
      </c>
    </row>
    <row r="1313" customFormat="false" ht="15" hidden="false" customHeight="false" outlineLevel="0" collapsed="false">
      <c r="A1313" s="23"/>
      <c r="B1313" s="22"/>
      <c r="C1313" s="22"/>
      <c r="D1313" s="22"/>
      <c r="E1313" s="22"/>
      <c r="F1313" s="27" t="str">
        <f aca="false">IF(B1313="","",IFERROR(INDEX(Roster!$B$5:$B$154,MATCH(B1313,Roster!$A$5:$A$154,0)),"Not on roster"))</f>
        <v/>
      </c>
      <c r="G1313" s="28" t="str">
        <f aca="false">IF(OR(B1313="",C1313=""),"",F1313&amp;" | "&amp;C1313)</f>
        <v/>
      </c>
      <c r="H1313" s="27" t="str">
        <f aca="false">IF(G1313="","",IFERROR(INDEX(Levels!$C$5:$C$94,MATCH(G1313,Levels!$G$5:$G$94,0)),"Not this class's skill"))</f>
        <v/>
      </c>
    </row>
    <row r="1314" customFormat="false" ht="15" hidden="false" customHeight="false" outlineLevel="0" collapsed="false">
      <c r="A1314" s="23"/>
      <c r="B1314" s="22"/>
      <c r="C1314" s="22"/>
      <c r="D1314" s="22"/>
      <c r="E1314" s="22"/>
      <c r="F1314" s="27" t="str">
        <f aca="false">IF(B1314="","",IFERROR(INDEX(Roster!$B$5:$B$154,MATCH(B1314,Roster!$A$5:$A$154,0)),"Not on roster"))</f>
        <v/>
      </c>
      <c r="G1314" s="28" t="str">
        <f aca="false">IF(OR(B1314="",C1314=""),"",F1314&amp;" | "&amp;C1314)</f>
        <v/>
      </c>
      <c r="H1314" s="27" t="str">
        <f aca="false">IF(G1314="","",IFERROR(INDEX(Levels!$C$5:$C$94,MATCH(G1314,Levels!$G$5:$G$94,0)),"Not this class's skill"))</f>
        <v/>
      </c>
    </row>
    <row r="1315" customFormat="false" ht="15" hidden="false" customHeight="false" outlineLevel="0" collapsed="false">
      <c r="A1315" s="23"/>
      <c r="B1315" s="22"/>
      <c r="C1315" s="22"/>
      <c r="D1315" s="22"/>
      <c r="E1315" s="22"/>
      <c r="F1315" s="27" t="str">
        <f aca="false">IF(B1315="","",IFERROR(INDEX(Roster!$B$5:$B$154,MATCH(B1315,Roster!$A$5:$A$154,0)),"Not on roster"))</f>
        <v/>
      </c>
      <c r="G1315" s="28" t="str">
        <f aca="false">IF(OR(B1315="",C1315=""),"",F1315&amp;" | "&amp;C1315)</f>
        <v/>
      </c>
      <c r="H1315" s="27" t="str">
        <f aca="false">IF(G1315="","",IFERROR(INDEX(Levels!$C$5:$C$94,MATCH(G1315,Levels!$G$5:$G$94,0)),"Not this class's skill"))</f>
        <v/>
      </c>
    </row>
    <row r="1316" customFormat="false" ht="15" hidden="false" customHeight="false" outlineLevel="0" collapsed="false">
      <c r="A1316" s="23"/>
      <c r="B1316" s="22"/>
      <c r="C1316" s="22"/>
      <c r="D1316" s="22"/>
      <c r="E1316" s="22"/>
      <c r="F1316" s="27" t="str">
        <f aca="false">IF(B1316="","",IFERROR(INDEX(Roster!$B$5:$B$154,MATCH(B1316,Roster!$A$5:$A$154,0)),"Not on roster"))</f>
        <v/>
      </c>
      <c r="G1316" s="28" t="str">
        <f aca="false">IF(OR(B1316="",C1316=""),"",F1316&amp;" | "&amp;C1316)</f>
        <v/>
      </c>
      <c r="H1316" s="27" t="str">
        <f aca="false">IF(G1316="","",IFERROR(INDEX(Levels!$C$5:$C$94,MATCH(G1316,Levels!$G$5:$G$94,0)),"Not this class's skill"))</f>
        <v/>
      </c>
    </row>
    <row r="1317" customFormat="false" ht="15" hidden="false" customHeight="false" outlineLevel="0" collapsed="false">
      <c r="A1317" s="23"/>
      <c r="B1317" s="22"/>
      <c r="C1317" s="22"/>
      <c r="D1317" s="22"/>
      <c r="E1317" s="22"/>
      <c r="F1317" s="27" t="str">
        <f aca="false">IF(B1317="","",IFERROR(INDEX(Roster!$B$5:$B$154,MATCH(B1317,Roster!$A$5:$A$154,0)),"Not on roster"))</f>
        <v/>
      </c>
      <c r="G1317" s="28" t="str">
        <f aca="false">IF(OR(B1317="",C1317=""),"",F1317&amp;" | "&amp;C1317)</f>
        <v/>
      </c>
      <c r="H1317" s="27" t="str">
        <f aca="false">IF(G1317="","",IFERROR(INDEX(Levels!$C$5:$C$94,MATCH(G1317,Levels!$G$5:$G$94,0)),"Not this class's skill"))</f>
        <v/>
      </c>
    </row>
    <row r="1318" customFormat="false" ht="15" hidden="false" customHeight="false" outlineLevel="0" collapsed="false">
      <c r="A1318" s="23"/>
      <c r="B1318" s="22"/>
      <c r="C1318" s="22"/>
      <c r="D1318" s="22"/>
      <c r="E1318" s="22"/>
      <c r="F1318" s="27" t="str">
        <f aca="false">IF(B1318="","",IFERROR(INDEX(Roster!$B$5:$B$154,MATCH(B1318,Roster!$A$5:$A$154,0)),"Not on roster"))</f>
        <v/>
      </c>
      <c r="G1318" s="28" t="str">
        <f aca="false">IF(OR(B1318="",C1318=""),"",F1318&amp;" | "&amp;C1318)</f>
        <v/>
      </c>
      <c r="H1318" s="27" t="str">
        <f aca="false">IF(G1318="","",IFERROR(INDEX(Levels!$C$5:$C$94,MATCH(G1318,Levels!$G$5:$G$94,0)),"Not this class's skill"))</f>
        <v/>
      </c>
    </row>
    <row r="1319" customFormat="false" ht="15" hidden="false" customHeight="false" outlineLevel="0" collapsed="false">
      <c r="A1319" s="23"/>
      <c r="B1319" s="22"/>
      <c r="C1319" s="22"/>
      <c r="D1319" s="22"/>
      <c r="E1319" s="22"/>
      <c r="F1319" s="27" t="str">
        <f aca="false">IF(B1319="","",IFERROR(INDEX(Roster!$B$5:$B$154,MATCH(B1319,Roster!$A$5:$A$154,0)),"Not on roster"))</f>
        <v/>
      </c>
      <c r="G1319" s="28" t="str">
        <f aca="false">IF(OR(B1319="",C1319=""),"",F1319&amp;" | "&amp;C1319)</f>
        <v/>
      </c>
      <c r="H1319" s="27" t="str">
        <f aca="false">IF(G1319="","",IFERROR(INDEX(Levels!$C$5:$C$94,MATCH(G1319,Levels!$G$5:$G$94,0)),"Not this class's skill"))</f>
        <v/>
      </c>
    </row>
    <row r="1320" customFormat="false" ht="15" hidden="false" customHeight="false" outlineLevel="0" collapsed="false">
      <c r="A1320" s="23"/>
      <c r="B1320" s="22"/>
      <c r="C1320" s="22"/>
      <c r="D1320" s="22"/>
      <c r="E1320" s="22"/>
      <c r="F1320" s="27" t="str">
        <f aca="false">IF(B1320="","",IFERROR(INDEX(Roster!$B$5:$B$154,MATCH(B1320,Roster!$A$5:$A$154,0)),"Not on roster"))</f>
        <v/>
      </c>
      <c r="G1320" s="28" t="str">
        <f aca="false">IF(OR(B1320="",C1320=""),"",F1320&amp;" | "&amp;C1320)</f>
        <v/>
      </c>
      <c r="H1320" s="27" t="str">
        <f aca="false">IF(G1320="","",IFERROR(INDEX(Levels!$C$5:$C$94,MATCH(G1320,Levels!$G$5:$G$94,0)),"Not this class's skill"))</f>
        <v/>
      </c>
    </row>
    <row r="1321" customFormat="false" ht="15" hidden="false" customHeight="false" outlineLevel="0" collapsed="false">
      <c r="A1321" s="23"/>
      <c r="B1321" s="22"/>
      <c r="C1321" s="22"/>
      <c r="D1321" s="22"/>
      <c r="E1321" s="22"/>
      <c r="F1321" s="27" t="str">
        <f aca="false">IF(B1321="","",IFERROR(INDEX(Roster!$B$5:$B$154,MATCH(B1321,Roster!$A$5:$A$154,0)),"Not on roster"))</f>
        <v/>
      </c>
      <c r="G1321" s="28" t="str">
        <f aca="false">IF(OR(B1321="",C1321=""),"",F1321&amp;" | "&amp;C1321)</f>
        <v/>
      </c>
      <c r="H1321" s="27" t="str">
        <f aca="false">IF(G1321="","",IFERROR(INDEX(Levels!$C$5:$C$94,MATCH(G1321,Levels!$G$5:$G$94,0)),"Not this class's skill"))</f>
        <v/>
      </c>
    </row>
    <row r="1322" customFormat="false" ht="15" hidden="false" customHeight="false" outlineLevel="0" collapsed="false">
      <c r="A1322" s="23"/>
      <c r="B1322" s="22"/>
      <c r="C1322" s="22"/>
      <c r="D1322" s="22"/>
      <c r="E1322" s="22"/>
      <c r="F1322" s="27" t="str">
        <f aca="false">IF(B1322="","",IFERROR(INDEX(Roster!$B$5:$B$154,MATCH(B1322,Roster!$A$5:$A$154,0)),"Not on roster"))</f>
        <v/>
      </c>
      <c r="G1322" s="28" t="str">
        <f aca="false">IF(OR(B1322="",C1322=""),"",F1322&amp;" | "&amp;C1322)</f>
        <v/>
      </c>
      <c r="H1322" s="27" t="str">
        <f aca="false">IF(G1322="","",IFERROR(INDEX(Levels!$C$5:$C$94,MATCH(G1322,Levels!$G$5:$G$94,0)),"Not this class's skill"))</f>
        <v/>
      </c>
    </row>
    <row r="1323" customFormat="false" ht="15" hidden="false" customHeight="false" outlineLevel="0" collapsed="false">
      <c r="A1323" s="23"/>
      <c r="B1323" s="22"/>
      <c r="C1323" s="22"/>
      <c r="D1323" s="22"/>
      <c r="E1323" s="22"/>
      <c r="F1323" s="27" t="str">
        <f aca="false">IF(B1323="","",IFERROR(INDEX(Roster!$B$5:$B$154,MATCH(B1323,Roster!$A$5:$A$154,0)),"Not on roster"))</f>
        <v/>
      </c>
      <c r="G1323" s="28" t="str">
        <f aca="false">IF(OR(B1323="",C1323=""),"",F1323&amp;" | "&amp;C1323)</f>
        <v/>
      </c>
      <c r="H1323" s="27" t="str">
        <f aca="false">IF(G1323="","",IFERROR(INDEX(Levels!$C$5:$C$94,MATCH(G1323,Levels!$G$5:$G$94,0)),"Not this class's skill"))</f>
        <v/>
      </c>
    </row>
    <row r="1324" customFormat="false" ht="15" hidden="false" customHeight="false" outlineLevel="0" collapsed="false">
      <c r="A1324" s="23"/>
      <c r="B1324" s="22"/>
      <c r="C1324" s="22"/>
      <c r="D1324" s="22"/>
      <c r="E1324" s="22"/>
      <c r="F1324" s="27" t="str">
        <f aca="false">IF(B1324="","",IFERROR(INDEX(Roster!$B$5:$B$154,MATCH(B1324,Roster!$A$5:$A$154,0)),"Not on roster"))</f>
        <v/>
      </c>
      <c r="G1324" s="28" t="str">
        <f aca="false">IF(OR(B1324="",C1324=""),"",F1324&amp;" | "&amp;C1324)</f>
        <v/>
      </c>
      <c r="H1324" s="27" t="str">
        <f aca="false">IF(G1324="","",IFERROR(INDEX(Levels!$C$5:$C$94,MATCH(G1324,Levels!$G$5:$G$94,0)),"Not this class's skill"))</f>
        <v/>
      </c>
    </row>
    <row r="1325" customFormat="false" ht="15" hidden="false" customHeight="false" outlineLevel="0" collapsed="false">
      <c r="A1325" s="23"/>
      <c r="B1325" s="22"/>
      <c r="C1325" s="22"/>
      <c r="D1325" s="22"/>
      <c r="E1325" s="22"/>
      <c r="F1325" s="27" t="str">
        <f aca="false">IF(B1325="","",IFERROR(INDEX(Roster!$B$5:$B$154,MATCH(B1325,Roster!$A$5:$A$154,0)),"Not on roster"))</f>
        <v/>
      </c>
      <c r="G1325" s="28" t="str">
        <f aca="false">IF(OR(B1325="",C1325=""),"",F1325&amp;" | "&amp;C1325)</f>
        <v/>
      </c>
      <c r="H1325" s="27" t="str">
        <f aca="false">IF(G1325="","",IFERROR(INDEX(Levels!$C$5:$C$94,MATCH(G1325,Levels!$G$5:$G$94,0)),"Not this class's skill"))</f>
        <v/>
      </c>
    </row>
    <row r="1326" customFormat="false" ht="15" hidden="false" customHeight="false" outlineLevel="0" collapsed="false">
      <c r="A1326" s="23"/>
      <c r="B1326" s="22"/>
      <c r="C1326" s="22"/>
      <c r="D1326" s="22"/>
      <c r="E1326" s="22"/>
      <c r="F1326" s="27" t="str">
        <f aca="false">IF(B1326="","",IFERROR(INDEX(Roster!$B$5:$B$154,MATCH(B1326,Roster!$A$5:$A$154,0)),"Not on roster"))</f>
        <v/>
      </c>
      <c r="G1326" s="28" t="str">
        <f aca="false">IF(OR(B1326="",C1326=""),"",F1326&amp;" | "&amp;C1326)</f>
        <v/>
      </c>
      <c r="H1326" s="27" t="str">
        <f aca="false">IF(G1326="","",IFERROR(INDEX(Levels!$C$5:$C$94,MATCH(G1326,Levels!$G$5:$G$94,0)),"Not this class's skill"))</f>
        <v/>
      </c>
    </row>
    <row r="1327" customFormat="false" ht="15" hidden="false" customHeight="false" outlineLevel="0" collapsed="false">
      <c r="A1327" s="23"/>
      <c r="B1327" s="22"/>
      <c r="C1327" s="22"/>
      <c r="D1327" s="22"/>
      <c r="E1327" s="22"/>
      <c r="F1327" s="27" t="str">
        <f aca="false">IF(B1327="","",IFERROR(INDEX(Roster!$B$5:$B$154,MATCH(B1327,Roster!$A$5:$A$154,0)),"Not on roster"))</f>
        <v/>
      </c>
      <c r="G1327" s="28" t="str">
        <f aca="false">IF(OR(B1327="",C1327=""),"",F1327&amp;" | "&amp;C1327)</f>
        <v/>
      </c>
      <c r="H1327" s="27" t="str">
        <f aca="false">IF(G1327="","",IFERROR(INDEX(Levels!$C$5:$C$94,MATCH(G1327,Levels!$G$5:$G$94,0)),"Not this class's skill"))</f>
        <v/>
      </c>
    </row>
    <row r="1328" customFormat="false" ht="15" hidden="false" customHeight="false" outlineLevel="0" collapsed="false">
      <c r="A1328" s="23"/>
      <c r="B1328" s="22"/>
      <c r="C1328" s="22"/>
      <c r="D1328" s="22"/>
      <c r="E1328" s="22"/>
      <c r="F1328" s="27" t="str">
        <f aca="false">IF(B1328="","",IFERROR(INDEX(Roster!$B$5:$B$154,MATCH(B1328,Roster!$A$5:$A$154,0)),"Not on roster"))</f>
        <v/>
      </c>
      <c r="G1328" s="28" t="str">
        <f aca="false">IF(OR(B1328="",C1328=""),"",F1328&amp;" | "&amp;C1328)</f>
        <v/>
      </c>
      <c r="H1328" s="27" t="str">
        <f aca="false">IF(G1328="","",IFERROR(INDEX(Levels!$C$5:$C$94,MATCH(G1328,Levels!$G$5:$G$94,0)),"Not this class's skill"))</f>
        <v/>
      </c>
    </row>
    <row r="1329" customFormat="false" ht="15" hidden="false" customHeight="false" outlineLevel="0" collapsed="false">
      <c r="A1329" s="23"/>
      <c r="B1329" s="22"/>
      <c r="C1329" s="22"/>
      <c r="D1329" s="22"/>
      <c r="E1329" s="22"/>
      <c r="F1329" s="27" t="str">
        <f aca="false">IF(B1329="","",IFERROR(INDEX(Roster!$B$5:$B$154,MATCH(B1329,Roster!$A$5:$A$154,0)),"Not on roster"))</f>
        <v/>
      </c>
      <c r="G1329" s="28" t="str">
        <f aca="false">IF(OR(B1329="",C1329=""),"",F1329&amp;" | "&amp;C1329)</f>
        <v/>
      </c>
      <c r="H1329" s="27" t="str">
        <f aca="false">IF(G1329="","",IFERROR(INDEX(Levels!$C$5:$C$94,MATCH(G1329,Levels!$G$5:$G$94,0)),"Not this class's skill"))</f>
        <v/>
      </c>
    </row>
    <row r="1330" customFormat="false" ht="15" hidden="false" customHeight="false" outlineLevel="0" collapsed="false">
      <c r="A1330" s="23"/>
      <c r="B1330" s="22"/>
      <c r="C1330" s="22"/>
      <c r="D1330" s="22"/>
      <c r="E1330" s="22"/>
      <c r="F1330" s="27" t="str">
        <f aca="false">IF(B1330="","",IFERROR(INDEX(Roster!$B$5:$B$154,MATCH(B1330,Roster!$A$5:$A$154,0)),"Not on roster"))</f>
        <v/>
      </c>
      <c r="G1330" s="28" t="str">
        <f aca="false">IF(OR(B1330="",C1330=""),"",F1330&amp;" | "&amp;C1330)</f>
        <v/>
      </c>
      <c r="H1330" s="27" t="str">
        <f aca="false">IF(G1330="","",IFERROR(INDEX(Levels!$C$5:$C$94,MATCH(G1330,Levels!$G$5:$G$94,0)),"Not this class's skill"))</f>
        <v/>
      </c>
    </row>
    <row r="1331" customFormat="false" ht="15" hidden="false" customHeight="false" outlineLevel="0" collapsed="false">
      <c r="A1331" s="23"/>
      <c r="B1331" s="22"/>
      <c r="C1331" s="22"/>
      <c r="D1331" s="22"/>
      <c r="E1331" s="22"/>
      <c r="F1331" s="27" t="str">
        <f aca="false">IF(B1331="","",IFERROR(INDEX(Roster!$B$5:$B$154,MATCH(B1331,Roster!$A$5:$A$154,0)),"Not on roster"))</f>
        <v/>
      </c>
      <c r="G1331" s="28" t="str">
        <f aca="false">IF(OR(B1331="",C1331=""),"",F1331&amp;" | "&amp;C1331)</f>
        <v/>
      </c>
      <c r="H1331" s="27" t="str">
        <f aca="false">IF(G1331="","",IFERROR(INDEX(Levels!$C$5:$C$94,MATCH(G1331,Levels!$G$5:$G$94,0)),"Not this class's skill"))</f>
        <v/>
      </c>
    </row>
    <row r="1332" customFormat="false" ht="15" hidden="false" customHeight="false" outlineLevel="0" collapsed="false">
      <c r="A1332" s="23"/>
      <c r="B1332" s="22"/>
      <c r="C1332" s="22"/>
      <c r="D1332" s="22"/>
      <c r="E1332" s="22"/>
      <c r="F1332" s="27" t="str">
        <f aca="false">IF(B1332="","",IFERROR(INDEX(Roster!$B$5:$B$154,MATCH(B1332,Roster!$A$5:$A$154,0)),"Not on roster"))</f>
        <v/>
      </c>
      <c r="G1332" s="28" t="str">
        <f aca="false">IF(OR(B1332="",C1332=""),"",F1332&amp;" | "&amp;C1332)</f>
        <v/>
      </c>
      <c r="H1332" s="27" t="str">
        <f aca="false">IF(G1332="","",IFERROR(INDEX(Levels!$C$5:$C$94,MATCH(G1332,Levels!$G$5:$G$94,0)),"Not this class's skill"))</f>
        <v/>
      </c>
    </row>
    <row r="1333" customFormat="false" ht="15" hidden="false" customHeight="false" outlineLevel="0" collapsed="false">
      <c r="A1333" s="23"/>
      <c r="B1333" s="22"/>
      <c r="C1333" s="22"/>
      <c r="D1333" s="22"/>
      <c r="E1333" s="22"/>
      <c r="F1333" s="27" t="str">
        <f aca="false">IF(B1333="","",IFERROR(INDEX(Roster!$B$5:$B$154,MATCH(B1333,Roster!$A$5:$A$154,0)),"Not on roster"))</f>
        <v/>
      </c>
      <c r="G1333" s="28" t="str">
        <f aca="false">IF(OR(B1333="",C1333=""),"",F1333&amp;" | "&amp;C1333)</f>
        <v/>
      </c>
      <c r="H1333" s="27" t="str">
        <f aca="false">IF(G1333="","",IFERROR(INDEX(Levels!$C$5:$C$94,MATCH(G1333,Levels!$G$5:$G$94,0)),"Not this class's skill"))</f>
        <v/>
      </c>
    </row>
    <row r="1334" customFormat="false" ht="15" hidden="false" customHeight="false" outlineLevel="0" collapsed="false">
      <c r="A1334" s="23"/>
      <c r="B1334" s="22"/>
      <c r="C1334" s="22"/>
      <c r="D1334" s="22"/>
      <c r="E1334" s="22"/>
      <c r="F1334" s="27" t="str">
        <f aca="false">IF(B1334="","",IFERROR(INDEX(Roster!$B$5:$B$154,MATCH(B1334,Roster!$A$5:$A$154,0)),"Not on roster"))</f>
        <v/>
      </c>
      <c r="G1334" s="28" t="str">
        <f aca="false">IF(OR(B1334="",C1334=""),"",F1334&amp;" | "&amp;C1334)</f>
        <v/>
      </c>
      <c r="H1334" s="27" t="str">
        <f aca="false">IF(G1334="","",IFERROR(INDEX(Levels!$C$5:$C$94,MATCH(G1334,Levels!$G$5:$G$94,0)),"Not this class's skill"))</f>
        <v/>
      </c>
    </row>
    <row r="1335" customFormat="false" ht="15" hidden="false" customHeight="false" outlineLevel="0" collapsed="false">
      <c r="A1335" s="23"/>
      <c r="B1335" s="22"/>
      <c r="C1335" s="22"/>
      <c r="D1335" s="22"/>
      <c r="E1335" s="22"/>
      <c r="F1335" s="27" t="str">
        <f aca="false">IF(B1335="","",IFERROR(INDEX(Roster!$B$5:$B$154,MATCH(B1335,Roster!$A$5:$A$154,0)),"Not on roster"))</f>
        <v/>
      </c>
      <c r="G1335" s="28" t="str">
        <f aca="false">IF(OR(B1335="",C1335=""),"",F1335&amp;" | "&amp;C1335)</f>
        <v/>
      </c>
      <c r="H1335" s="27" t="str">
        <f aca="false">IF(G1335="","",IFERROR(INDEX(Levels!$C$5:$C$94,MATCH(G1335,Levels!$G$5:$G$94,0)),"Not this class's skill"))</f>
        <v/>
      </c>
    </row>
    <row r="1336" customFormat="false" ht="15" hidden="false" customHeight="false" outlineLevel="0" collapsed="false">
      <c r="A1336" s="23"/>
      <c r="B1336" s="22"/>
      <c r="C1336" s="22"/>
      <c r="D1336" s="22"/>
      <c r="E1336" s="22"/>
      <c r="F1336" s="27" t="str">
        <f aca="false">IF(B1336="","",IFERROR(INDEX(Roster!$B$5:$B$154,MATCH(B1336,Roster!$A$5:$A$154,0)),"Not on roster"))</f>
        <v/>
      </c>
      <c r="G1336" s="28" t="str">
        <f aca="false">IF(OR(B1336="",C1336=""),"",F1336&amp;" | "&amp;C1336)</f>
        <v/>
      </c>
      <c r="H1336" s="27" t="str">
        <f aca="false">IF(G1336="","",IFERROR(INDEX(Levels!$C$5:$C$94,MATCH(G1336,Levels!$G$5:$G$94,0)),"Not this class's skill"))</f>
        <v/>
      </c>
    </row>
    <row r="1337" customFormat="false" ht="15" hidden="false" customHeight="false" outlineLevel="0" collapsed="false">
      <c r="A1337" s="23"/>
      <c r="B1337" s="22"/>
      <c r="C1337" s="22"/>
      <c r="D1337" s="22"/>
      <c r="E1337" s="22"/>
      <c r="F1337" s="27" t="str">
        <f aca="false">IF(B1337="","",IFERROR(INDEX(Roster!$B$5:$B$154,MATCH(B1337,Roster!$A$5:$A$154,0)),"Not on roster"))</f>
        <v/>
      </c>
      <c r="G1337" s="28" t="str">
        <f aca="false">IF(OR(B1337="",C1337=""),"",F1337&amp;" | "&amp;C1337)</f>
        <v/>
      </c>
      <c r="H1337" s="27" t="str">
        <f aca="false">IF(G1337="","",IFERROR(INDEX(Levels!$C$5:$C$94,MATCH(G1337,Levels!$G$5:$G$94,0)),"Not this class's skill"))</f>
        <v/>
      </c>
    </row>
    <row r="1338" customFormat="false" ht="15" hidden="false" customHeight="false" outlineLevel="0" collapsed="false">
      <c r="A1338" s="23"/>
      <c r="B1338" s="22"/>
      <c r="C1338" s="22"/>
      <c r="D1338" s="22"/>
      <c r="E1338" s="22"/>
      <c r="F1338" s="27" t="str">
        <f aca="false">IF(B1338="","",IFERROR(INDEX(Roster!$B$5:$B$154,MATCH(B1338,Roster!$A$5:$A$154,0)),"Not on roster"))</f>
        <v/>
      </c>
      <c r="G1338" s="28" t="str">
        <f aca="false">IF(OR(B1338="",C1338=""),"",F1338&amp;" | "&amp;C1338)</f>
        <v/>
      </c>
      <c r="H1338" s="27" t="str">
        <f aca="false">IF(G1338="","",IFERROR(INDEX(Levels!$C$5:$C$94,MATCH(G1338,Levels!$G$5:$G$94,0)),"Not this class's skill"))</f>
        <v/>
      </c>
    </row>
    <row r="1339" customFormat="false" ht="15" hidden="false" customHeight="false" outlineLevel="0" collapsed="false">
      <c r="A1339" s="23"/>
      <c r="B1339" s="22"/>
      <c r="C1339" s="22"/>
      <c r="D1339" s="22"/>
      <c r="E1339" s="22"/>
      <c r="F1339" s="27" t="str">
        <f aca="false">IF(B1339="","",IFERROR(INDEX(Roster!$B$5:$B$154,MATCH(B1339,Roster!$A$5:$A$154,0)),"Not on roster"))</f>
        <v/>
      </c>
      <c r="G1339" s="28" t="str">
        <f aca="false">IF(OR(B1339="",C1339=""),"",F1339&amp;" | "&amp;C1339)</f>
        <v/>
      </c>
      <c r="H1339" s="27" t="str">
        <f aca="false">IF(G1339="","",IFERROR(INDEX(Levels!$C$5:$C$94,MATCH(G1339,Levels!$G$5:$G$94,0)),"Not this class's skill"))</f>
        <v/>
      </c>
    </row>
    <row r="1340" customFormat="false" ht="15" hidden="false" customHeight="false" outlineLevel="0" collapsed="false">
      <c r="A1340" s="23"/>
      <c r="B1340" s="22"/>
      <c r="C1340" s="22"/>
      <c r="D1340" s="22"/>
      <c r="E1340" s="22"/>
      <c r="F1340" s="27" t="str">
        <f aca="false">IF(B1340="","",IFERROR(INDEX(Roster!$B$5:$B$154,MATCH(B1340,Roster!$A$5:$A$154,0)),"Not on roster"))</f>
        <v/>
      </c>
      <c r="G1340" s="28" t="str">
        <f aca="false">IF(OR(B1340="",C1340=""),"",F1340&amp;" | "&amp;C1340)</f>
        <v/>
      </c>
      <c r="H1340" s="27" t="str">
        <f aca="false">IF(G1340="","",IFERROR(INDEX(Levels!$C$5:$C$94,MATCH(G1340,Levels!$G$5:$G$94,0)),"Not this class's skill"))</f>
        <v/>
      </c>
    </row>
    <row r="1341" customFormat="false" ht="15" hidden="false" customHeight="false" outlineLevel="0" collapsed="false">
      <c r="A1341" s="23"/>
      <c r="B1341" s="22"/>
      <c r="C1341" s="22"/>
      <c r="D1341" s="22"/>
      <c r="E1341" s="22"/>
      <c r="F1341" s="27" t="str">
        <f aca="false">IF(B1341="","",IFERROR(INDEX(Roster!$B$5:$B$154,MATCH(B1341,Roster!$A$5:$A$154,0)),"Not on roster"))</f>
        <v/>
      </c>
      <c r="G1341" s="28" t="str">
        <f aca="false">IF(OR(B1341="",C1341=""),"",F1341&amp;" | "&amp;C1341)</f>
        <v/>
      </c>
      <c r="H1341" s="27" t="str">
        <f aca="false">IF(G1341="","",IFERROR(INDEX(Levels!$C$5:$C$94,MATCH(G1341,Levels!$G$5:$G$94,0)),"Not this class's skill"))</f>
        <v/>
      </c>
    </row>
    <row r="1342" customFormat="false" ht="15" hidden="false" customHeight="false" outlineLevel="0" collapsed="false">
      <c r="A1342" s="23"/>
      <c r="B1342" s="22"/>
      <c r="C1342" s="22"/>
      <c r="D1342" s="22"/>
      <c r="E1342" s="22"/>
      <c r="F1342" s="27" t="str">
        <f aca="false">IF(B1342="","",IFERROR(INDEX(Roster!$B$5:$B$154,MATCH(B1342,Roster!$A$5:$A$154,0)),"Not on roster"))</f>
        <v/>
      </c>
      <c r="G1342" s="28" t="str">
        <f aca="false">IF(OR(B1342="",C1342=""),"",F1342&amp;" | "&amp;C1342)</f>
        <v/>
      </c>
      <c r="H1342" s="27" t="str">
        <f aca="false">IF(G1342="","",IFERROR(INDEX(Levels!$C$5:$C$94,MATCH(G1342,Levels!$G$5:$G$94,0)),"Not this class's skill"))</f>
        <v/>
      </c>
    </row>
    <row r="1343" customFormat="false" ht="15" hidden="false" customHeight="false" outlineLevel="0" collapsed="false">
      <c r="A1343" s="23"/>
      <c r="B1343" s="22"/>
      <c r="C1343" s="22"/>
      <c r="D1343" s="22"/>
      <c r="E1343" s="22"/>
      <c r="F1343" s="27" t="str">
        <f aca="false">IF(B1343="","",IFERROR(INDEX(Roster!$B$5:$B$154,MATCH(B1343,Roster!$A$5:$A$154,0)),"Not on roster"))</f>
        <v/>
      </c>
      <c r="G1343" s="28" t="str">
        <f aca="false">IF(OR(B1343="",C1343=""),"",F1343&amp;" | "&amp;C1343)</f>
        <v/>
      </c>
      <c r="H1343" s="27" t="str">
        <f aca="false">IF(G1343="","",IFERROR(INDEX(Levels!$C$5:$C$94,MATCH(G1343,Levels!$G$5:$G$94,0)),"Not this class's skill"))</f>
        <v/>
      </c>
    </row>
    <row r="1344" customFormat="false" ht="15" hidden="false" customHeight="false" outlineLevel="0" collapsed="false">
      <c r="A1344" s="23"/>
      <c r="B1344" s="22"/>
      <c r="C1344" s="22"/>
      <c r="D1344" s="22"/>
      <c r="E1344" s="22"/>
      <c r="F1344" s="27" t="str">
        <f aca="false">IF(B1344="","",IFERROR(INDEX(Roster!$B$5:$B$154,MATCH(B1344,Roster!$A$5:$A$154,0)),"Not on roster"))</f>
        <v/>
      </c>
      <c r="G1344" s="28" t="str">
        <f aca="false">IF(OR(B1344="",C1344=""),"",F1344&amp;" | "&amp;C1344)</f>
        <v/>
      </c>
      <c r="H1344" s="27" t="str">
        <f aca="false">IF(G1344="","",IFERROR(INDEX(Levels!$C$5:$C$94,MATCH(G1344,Levels!$G$5:$G$94,0)),"Not this class's skill"))</f>
        <v/>
      </c>
    </row>
    <row r="1345" customFormat="false" ht="15" hidden="false" customHeight="false" outlineLevel="0" collapsed="false">
      <c r="A1345" s="23"/>
      <c r="B1345" s="22"/>
      <c r="C1345" s="22"/>
      <c r="D1345" s="22"/>
      <c r="E1345" s="22"/>
      <c r="F1345" s="27" t="str">
        <f aca="false">IF(B1345="","",IFERROR(INDEX(Roster!$B$5:$B$154,MATCH(B1345,Roster!$A$5:$A$154,0)),"Not on roster"))</f>
        <v/>
      </c>
      <c r="G1345" s="28" t="str">
        <f aca="false">IF(OR(B1345="",C1345=""),"",F1345&amp;" | "&amp;C1345)</f>
        <v/>
      </c>
      <c r="H1345" s="27" t="str">
        <f aca="false">IF(G1345="","",IFERROR(INDEX(Levels!$C$5:$C$94,MATCH(G1345,Levels!$G$5:$G$94,0)),"Not this class's skill"))</f>
        <v/>
      </c>
    </row>
    <row r="1346" customFormat="false" ht="15" hidden="false" customHeight="false" outlineLevel="0" collapsed="false">
      <c r="A1346" s="23"/>
      <c r="B1346" s="22"/>
      <c r="C1346" s="22"/>
      <c r="D1346" s="22"/>
      <c r="E1346" s="22"/>
      <c r="F1346" s="27" t="str">
        <f aca="false">IF(B1346="","",IFERROR(INDEX(Roster!$B$5:$B$154,MATCH(B1346,Roster!$A$5:$A$154,0)),"Not on roster"))</f>
        <v/>
      </c>
      <c r="G1346" s="28" t="str">
        <f aca="false">IF(OR(B1346="",C1346=""),"",F1346&amp;" | "&amp;C1346)</f>
        <v/>
      </c>
      <c r="H1346" s="27" t="str">
        <f aca="false">IF(G1346="","",IFERROR(INDEX(Levels!$C$5:$C$94,MATCH(G1346,Levels!$G$5:$G$94,0)),"Not this class's skill"))</f>
        <v/>
      </c>
    </row>
    <row r="1347" customFormat="false" ht="15" hidden="false" customHeight="false" outlineLevel="0" collapsed="false">
      <c r="A1347" s="23"/>
      <c r="B1347" s="22"/>
      <c r="C1347" s="22"/>
      <c r="D1347" s="22"/>
      <c r="E1347" s="22"/>
      <c r="F1347" s="27" t="str">
        <f aca="false">IF(B1347="","",IFERROR(INDEX(Roster!$B$5:$B$154,MATCH(B1347,Roster!$A$5:$A$154,0)),"Not on roster"))</f>
        <v/>
      </c>
      <c r="G1347" s="28" t="str">
        <f aca="false">IF(OR(B1347="",C1347=""),"",F1347&amp;" | "&amp;C1347)</f>
        <v/>
      </c>
      <c r="H1347" s="27" t="str">
        <f aca="false">IF(G1347="","",IFERROR(INDEX(Levels!$C$5:$C$94,MATCH(G1347,Levels!$G$5:$G$94,0)),"Not this class's skill"))</f>
        <v/>
      </c>
    </row>
    <row r="1348" customFormat="false" ht="15" hidden="false" customHeight="false" outlineLevel="0" collapsed="false">
      <c r="A1348" s="23"/>
      <c r="B1348" s="22"/>
      <c r="C1348" s="22"/>
      <c r="D1348" s="22"/>
      <c r="E1348" s="22"/>
      <c r="F1348" s="27" t="str">
        <f aca="false">IF(B1348="","",IFERROR(INDEX(Roster!$B$5:$B$154,MATCH(B1348,Roster!$A$5:$A$154,0)),"Not on roster"))</f>
        <v/>
      </c>
      <c r="G1348" s="28" t="str">
        <f aca="false">IF(OR(B1348="",C1348=""),"",F1348&amp;" | "&amp;C1348)</f>
        <v/>
      </c>
      <c r="H1348" s="27" t="str">
        <f aca="false">IF(G1348="","",IFERROR(INDEX(Levels!$C$5:$C$94,MATCH(G1348,Levels!$G$5:$G$94,0)),"Not this class's skill"))</f>
        <v/>
      </c>
    </row>
    <row r="1349" customFormat="false" ht="15" hidden="false" customHeight="false" outlineLevel="0" collapsed="false">
      <c r="A1349" s="23"/>
      <c r="B1349" s="22"/>
      <c r="C1349" s="22"/>
      <c r="D1349" s="22"/>
      <c r="E1349" s="22"/>
      <c r="F1349" s="27" t="str">
        <f aca="false">IF(B1349="","",IFERROR(INDEX(Roster!$B$5:$B$154,MATCH(B1349,Roster!$A$5:$A$154,0)),"Not on roster"))</f>
        <v/>
      </c>
      <c r="G1349" s="28" t="str">
        <f aca="false">IF(OR(B1349="",C1349=""),"",F1349&amp;" | "&amp;C1349)</f>
        <v/>
      </c>
      <c r="H1349" s="27" t="str">
        <f aca="false">IF(G1349="","",IFERROR(INDEX(Levels!$C$5:$C$94,MATCH(G1349,Levels!$G$5:$G$94,0)),"Not this class's skill"))</f>
        <v/>
      </c>
    </row>
    <row r="1350" customFormat="false" ht="15" hidden="false" customHeight="false" outlineLevel="0" collapsed="false">
      <c r="A1350" s="23"/>
      <c r="B1350" s="22"/>
      <c r="C1350" s="22"/>
      <c r="D1350" s="22"/>
      <c r="E1350" s="22"/>
      <c r="F1350" s="27" t="str">
        <f aca="false">IF(B1350="","",IFERROR(INDEX(Roster!$B$5:$B$154,MATCH(B1350,Roster!$A$5:$A$154,0)),"Not on roster"))</f>
        <v/>
      </c>
      <c r="G1350" s="28" t="str">
        <f aca="false">IF(OR(B1350="",C1350=""),"",F1350&amp;" | "&amp;C1350)</f>
        <v/>
      </c>
      <c r="H1350" s="27" t="str">
        <f aca="false">IF(G1350="","",IFERROR(INDEX(Levels!$C$5:$C$94,MATCH(G1350,Levels!$G$5:$G$94,0)),"Not this class's skill"))</f>
        <v/>
      </c>
    </row>
    <row r="1351" customFormat="false" ht="15" hidden="false" customHeight="false" outlineLevel="0" collapsed="false">
      <c r="A1351" s="23"/>
      <c r="B1351" s="22"/>
      <c r="C1351" s="22"/>
      <c r="D1351" s="22"/>
      <c r="E1351" s="22"/>
      <c r="F1351" s="27" t="str">
        <f aca="false">IF(B1351="","",IFERROR(INDEX(Roster!$B$5:$B$154,MATCH(B1351,Roster!$A$5:$A$154,0)),"Not on roster"))</f>
        <v/>
      </c>
      <c r="G1351" s="28" t="str">
        <f aca="false">IF(OR(B1351="",C1351=""),"",F1351&amp;" | "&amp;C1351)</f>
        <v/>
      </c>
      <c r="H1351" s="27" t="str">
        <f aca="false">IF(G1351="","",IFERROR(INDEX(Levels!$C$5:$C$94,MATCH(G1351,Levels!$G$5:$G$94,0)),"Not this class's skill"))</f>
        <v/>
      </c>
    </row>
    <row r="1352" customFormat="false" ht="15" hidden="false" customHeight="false" outlineLevel="0" collapsed="false">
      <c r="A1352" s="23"/>
      <c r="B1352" s="22"/>
      <c r="C1352" s="22"/>
      <c r="D1352" s="22"/>
      <c r="E1352" s="22"/>
      <c r="F1352" s="27" t="str">
        <f aca="false">IF(B1352="","",IFERROR(INDEX(Roster!$B$5:$B$154,MATCH(B1352,Roster!$A$5:$A$154,0)),"Not on roster"))</f>
        <v/>
      </c>
      <c r="G1352" s="28" t="str">
        <f aca="false">IF(OR(B1352="",C1352=""),"",F1352&amp;" | "&amp;C1352)</f>
        <v/>
      </c>
      <c r="H1352" s="27" t="str">
        <f aca="false">IF(G1352="","",IFERROR(INDEX(Levels!$C$5:$C$94,MATCH(G1352,Levels!$G$5:$G$94,0)),"Not this class's skill"))</f>
        <v/>
      </c>
    </row>
    <row r="1353" customFormat="false" ht="15" hidden="false" customHeight="false" outlineLevel="0" collapsed="false">
      <c r="A1353" s="23"/>
      <c r="B1353" s="22"/>
      <c r="C1353" s="22"/>
      <c r="D1353" s="22"/>
      <c r="E1353" s="22"/>
      <c r="F1353" s="27" t="str">
        <f aca="false">IF(B1353="","",IFERROR(INDEX(Roster!$B$5:$B$154,MATCH(B1353,Roster!$A$5:$A$154,0)),"Not on roster"))</f>
        <v/>
      </c>
      <c r="G1353" s="28" t="str">
        <f aca="false">IF(OR(B1353="",C1353=""),"",F1353&amp;" | "&amp;C1353)</f>
        <v/>
      </c>
      <c r="H1353" s="27" t="str">
        <f aca="false">IF(G1353="","",IFERROR(INDEX(Levels!$C$5:$C$94,MATCH(G1353,Levels!$G$5:$G$94,0)),"Not this class's skill"))</f>
        <v/>
      </c>
    </row>
    <row r="1354" customFormat="false" ht="15" hidden="false" customHeight="false" outlineLevel="0" collapsed="false">
      <c r="A1354" s="23"/>
      <c r="B1354" s="22"/>
      <c r="C1354" s="22"/>
      <c r="D1354" s="22"/>
      <c r="E1354" s="22"/>
      <c r="F1354" s="27" t="str">
        <f aca="false">IF(B1354="","",IFERROR(INDEX(Roster!$B$5:$B$154,MATCH(B1354,Roster!$A$5:$A$154,0)),"Not on roster"))</f>
        <v/>
      </c>
      <c r="G1354" s="28" t="str">
        <f aca="false">IF(OR(B1354="",C1354=""),"",F1354&amp;" | "&amp;C1354)</f>
        <v/>
      </c>
      <c r="H1354" s="27" t="str">
        <f aca="false">IF(G1354="","",IFERROR(INDEX(Levels!$C$5:$C$94,MATCH(G1354,Levels!$G$5:$G$94,0)),"Not this class's skill"))</f>
        <v/>
      </c>
    </row>
    <row r="1355" customFormat="false" ht="15" hidden="false" customHeight="false" outlineLevel="0" collapsed="false">
      <c r="A1355" s="23"/>
      <c r="B1355" s="22"/>
      <c r="C1355" s="22"/>
      <c r="D1355" s="22"/>
      <c r="E1355" s="22"/>
      <c r="F1355" s="27" t="str">
        <f aca="false">IF(B1355="","",IFERROR(INDEX(Roster!$B$5:$B$154,MATCH(B1355,Roster!$A$5:$A$154,0)),"Not on roster"))</f>
        <v/>
      </c>
      <c r="G1355" s="28" t="str">
        <f aca="false">IF(OR(B1355="",C1355=""),"",F1355&amp;" | "&amp;C1355)</f>
        <v/>
      </c>
      <c r="H1355" s="27" t="str">
        <f aca="false">IF(G1355="","",IFERROR(INDEX(Levels!$C$5:$C$94,MATCH(G1355,Levels!$G$5:$G$94,0)),"Not this class's skill"))</f>
        <v/>
      </c>
    </row>
    <row r="1356" customFormat="false" ht="15" hidden="false" customHeight="false" outlineLevel="0" collapsed="false">
      <c r="A1356" s="23"/>
      <c r="B1356" s="22"/>
      <c r="C1356" s="22"/>
      <c r="D1356" s="22"/>
      <c r="E1356" s="22"/>
      <c r="F1356" s="27" t="str">
        <f aca="false">IF(B1356="","",IFERROR(INDEX(Roster!$B$5:$B$154,MATCH(B1356,Roster!$A$5:$A$154,0)),"Not on roster"))</f>
        <v/>
      </c>
      <c r="G1356" s="28" t="str">
        <f aca="false">IF(OR(B1356="",C1356=""),"",F1356&amp;" | "&amp;C1356)</f>
        <v/>
      </c>
      <c r="H1356" s="27" t="str">
        <f aca="false">IF(G1356="","",IFERROR(INDEX(Levels!$C$5:$C$94,MATCH(G1356,Levels!$G$5:$G$94,0)),"Not this class's skill"))</f>
        <v/>
      </c>
    </row>
    <row r="1357" customFormat="false" ht="15" hidden="false" customHeight="false" outlineLevel="0" collapsed="false">
      <c r="A1357" s="23"/>
      <c r="B1357" s="22"/>
      <c r="C1357" s="22"/>
      <c r="D1357" s="22"/>
      <c r="E1357" s="22"/>
      <c r="F1357" s="27" t="str">
        <f aca="false">IF(B1357="","",IFERROR(INDEX(Roster!$B$5:$B$154,MATCH(B1357,Roster!$A$5:$A$154,0)),"Not on roster"))</f>
        <v/>
      </c>
      <c r="G1357" s="28" t="str">
        <f aca="false">IF(OR(B1357="",C1357=""),"",F1357&amp;" | "&amp;C1357)</f>
        <v/>
      </c>
      <c r="H1357" s="27" t="str">
        <f aca="false">IF(G1357="","",IFERROR(INDEX(Levels!$C$5:$C$94,MATCH(G1357,Levels!$G$5:$G$94,0)),"Not this class's skill"))</f>
        <v/>
      </c>
    </row>
    <row r="1358" customFormat="false" ht="15" hidden="false" customHeight="false" outlineLevel="0" collapsed="false">
      <c r="A1358" s="23"/>
      <c r="B1358" s="22"/>
      <c r="C1358" s="22"/>
      <c r="D1358" s="22"/>
      <c r="E1358" s="22"/>
      <c r="F1358" s="27" t="str">
        <f aca="false">IF(B1358="","",IFERROR(INDEX(Roster!$B$5:$B$154,MATCH(B1358,Roster!$A$5:$A$154,0)),"Not on roster"))</f>
        <v/>
      </c>
      <c r="G1358" s="28" t="str">
        <f aca="false">IF(OR(B1358="",C1358=""),"",F1358&amp;" | "&amp;C1358)</f>
        <v/>
      </c>
      <c r="H1358" s="27" t="str">
        <f aca="false">IF(G1358="","",IFERROR(INDEX(Levels!$C$5:$C$94,MATCH(G1358,Levels!$G$5:$G$94,0)),"Not this class's skill"))</f>
        <v/>
      </c>
    </row>
    <row r="1359" customFormat="false" ht="15" hidden="false" customHeight="false" outlineLevel="0" collapsed="false">
      <c r="A1359" s="23"/>
      <c r="B1359" s="22"/>
      <c r="C1359" s="22"/>
      <c r="D1359" s="22"/>
      <c r="E1359" s="22"/>
      <c r="F1359" s="27" t="str">
        <f aca="false">IF(B1359="","",IFERROR(INDEX(Roster!$B$5:$B$154,MATCH(B1359,Roster!$A$5:$A$154,0)),"Not on roster"))</f>
        <v/>
      </c>
      <c r="G1359" s="28" t="str">
        <f aca="false">IF(OR(B1359="",C1359=""),"",F1359&amp;" | "&amp;C1359)</f>
        <v/>
      </c>
      <c r="H1359" s="27" t="str">
        <f aca="false">IF(G1359="","",IFERROR(INDEX(Levels!$C$5:$C$94,MATCH(G1359,Levels!$G$5:$G$94,0)),"Not this class's skill"))</f>
        <v/>
      </c>
    </row>
    <row r="1360" customFormat="false" ht="15" hidden="false" customHeight="false" outlineLevel="0" collapsed="false">
      <c r="A1360" s="23"/>
      <c r="B1360" s="22"/>
      <c r="C1360" s="22"/>
      <c r="D1360" s="22"/>
      <c r="E1360" s="22"/>
      <c r="F1360" s="27" t="str">
        <f aca="false">IF(B1360="","",IFERROR(INDEX(Roster!$B$5:$B$154,MATCH(B1360,Roster!$A$5:$A$154,0)),"Not on roster"))</f>
        <v/>
      </c>
      <c r="G1360" s="28" t="str">
        <f aca="false">IF(OR(B1360="",C1360=""),"",F1360&amp;" | "&amp;C1360)</f>
        <v/>
      </c>
      <c r="H1360" s="27" t="str">
        <f aca="false">IF(G1360="","",IFERROR(INDEX(Levels!$C$5:$C$94,MATCH(G1360,Levels!$G$5:$G$94,0)),"Not this class's skill"))</f>
        <v/>
      </c>
    </row>
    <row r="1361" customFormat="false" ht="15" hidden="false" customHeight="false" outlineLevel="0" collapsed="false">
      <c r="A1361" s="23"/>
      <c r="B1361" s="22"/>
      <c r="C1361" s="22"/>
      <c r="D1361" s="22"/>
      <c r="E1361" s="22"/>
      <c r="F1361" s="27" t="str">
        <f aca="false">IF(B1361="","",IFERROR(INDEX(Roster!$B$5:$B$154,MATCH(B1361,Roster!$A$5:$A$154,0)),"Not on roster"))</f>
        <v/>
      </c>
      <c r="G1361" s="28" t="str">
        <f aca="false">IF(OR(B1361="",C1361=""),"",F1361&amp;" | "&amp;C1361)</f>
        <v/>
      </c>
      <c r="H1361" s="27" t="str">
        <f aca="false">IF(G1361="","",IFERROR(INDEX(Levels!$C$5:$C$94,MATCH(G1361,Levels!$G$5:$G$94,0)),"Not this class's skill"))</f>
        <v/>
      </c>
    </row>
    <row r="1362" customFormat="false" ht="15" hidden="false" customHeight="false" outlineLevel="0" collapsed="false">
      <c r="A1362" s="23"/>
      <c r="B1362" s="22"/>
      <c r="C1362" s="22"/>
      <c r="D1362" s="22"/>
      <c r="E1362" s="22"/>
      <c r="F1362" s="27" t="str">
        <f aca="false">IF(B1362="","",IFERROR(INDEX(Roster!$B$5:$B$154,MATCH(B1362,Roster!$A$5:$A$154,0)),"Not on roster"))</f>
        <v/>
      </c>
      <c r="G1362" s="28" t="str">
        <f aca="false">IF(OR(B1362="",C1362=""),"",F1362&amp;" | "&amp;C1362)</f>
        <v/>
      </c>
      <c r="H1362" s="27" t="str">
        <f aca="false">IF(G1362="","",IFERROR(INDEX(Levels!$C$5:$C$94,MATCH(G1362,Levels!$G$5:$G$94,0)),"Not this class's skill"))</f>
        <v/>
      </c>
    </row>
    <row r="1363" customFormat="false" ht="15" hidden="false" customHeight="false" outlineLevel="0" collapsed="false">
      <c r="A1363" s="23"/>
      <c r="B1363" s="22"/>
      <c r="C1363" s="22"/>
      <c r="D1363" s="22"/>
      <c r="E1363" s="22"/>
      <c r="F1363" s="27" t="str">
        <f aca="false">IF(B1363="","",IFERROR(INDEX(Roster!$B$5:$B$154,MATCH(B1363,Roster!$A$5:$A$154,0)),"Not on roster"))</f>
        <v/>
      </c>
      <c r="G1363" s="28" t="str">
        <f aca="false">IF(OR(B1363="",C1363=""),"",F1363&amp;" | "&amp;C1363)</f>
        <v/>
      </c>
      <c r="H1363" s="27" t="str">
        <f aca="false">IF(G1363="","",IFERROR(INDEX(Levels!$C$5:$C$94,MATCH(G1363,Levels!$G$5:$G$94,0)),"Not this class's skill"))</f>
        <v/>
      </c>
    </row>
    <row r="1364" customFormat="false" ht="15" hidden="false" customHeight="false" outlineLevel="0" collapsed="false">
      <c r="A1364" s="23"/>
      <c r="B1364" s="22"/>
      <c r="C1364" s="22"/>
      <c r="D1364" s="22"/>
      <c r="E1364" s="22"/>
      <c r="F1364" s="27" t="str">
        <f aca="false">IF(B1364="","",IFERROR(INDEX(Roster!$B$5:$B$154,MATCH(B1364,Roster!$A$5:$A$154,0)),"Not on roster"))</f>
        <v/>
      </c>
      <c r="G1364" s="28" t="str">
        <f aca="false">IF(OR(B1364="",C1364=""),"",F1364&amp;" | "&amp;C1364)</f>
        <v/>
      </c>
      <c r="H1364" s="27" t="str">
        <f aca="false">IF(G1364="","",IFERROR(INDEX(Levels!$C$5:$C$94,MATCH(G1364,Levels!$G$5:$G$94,0)),"Not this class's skill"))</f>
        <v/>
      </c>
    </row>
    <row r="1365" customFormat="false" ht="15" hidden="false" customHeight="false" outlineLevel="0" collapsed="false">
      <c r="A1365" s="23"/>
      <c r="B1365" s="22"/>
      <c r="C1365" s="22"/>
      <c r="D1365" s="22"/>
      <c r="E1365" s="22"/>
      <c r="F1365" s="27" t="str">
        <f aca="false">IF(B1365="","",IFERROR(INDEX(Roster!$B$5:$B$154,MATCH(B1365,Roster!$A$5:$A$154,0)),"Not on roster"))</f>
        <v/>
      </c>
      <c r="G1365" s="28" t="str">
        <f aca="false">IF(OR(B1365="",C1365=""),"",F1365&amp;" | "&amp;C1365)</f>
        <v/>
      </c>
      <c r="H1365" s="27" t="str">
        <f aca="false">IF(G1365="","",IFERROR(INDEX(Levels!$C$5:$C$94,MATCH(G1365,Levels!$G$5:$G$94,0)),"Not this class's skill"))</f>
        <v/>
      </c>
    </row>
    <row r="1366" customFormat="false" ht="15" hidden="false" customHeight="false" outlineLevel="0" collapsed="false">
      <c r="A1366" s="23"/>
      <c r="B1366" s="22"/>
      <c r="C1366" s="22"/>
      <c r="D1366" s="22"/>
      <c r="E1366" s="22"/>
      <c r="F1366" s="27" t="str">
        <f aca="false">IF(B1366="","",IFERROR(INDEX(Roster!$B$5:$B$154,MATCH(B1366,Roster!$A$5:$A$154,0)),"Not on roster"))</f>
        <v/>
      </c>
      <c r="G1366" s="28" t="str">
        <f aca="false">IF(OR(B1366="",C1366=""),"",F1366&amp;" | "&amp;C1366)</f>
        <v/>
      </c>
      <c r="H1366" s="27" t="str">
        <f aca="false">IF(G1366="","",IFERROR(INDEX(Levels!$C$5:$C$94,MATCH(G1366,Levels!$G$5:$G$94,0)),"Not this class's skill"))</f>
        <v/>
      </c>
    </row>
    <row r="1367" customFormat="false" ht="15" hidden="false" customHeight="false" outlineLevel="0" collapsed="false">
      <c r="A1367" s="23"/>
      <c r="B1367" s="22"/>
      <c r="C1367" s="22"/>
      <c r="D1367" s="22"/>
      <c r="E1367" s="22"/>
      <c r="F1367" s="27" t="str">
        <f aca="false">IF(B1367="","",IFERROR(INDEX(Roster!$B$5:$B$154,MATCH(B1367,Roster!$A$5:$A$154,0)),"Not on roster"))</f>
        <v/>
      </c>
      <c r="G1367" s="28" t="str">
        <f aca="false">IF(OR(B1367="",C1367=""),"",F1367&amp;" | "&amp;C1367)</f>
        <v/>
      </c>
      <c r="H1367" s="27" t="str">
        <f aca="false">IF(G1367="","",IFERROR(INDEX(Levels!$C$5:$C$94,MATCH(G1367,Levels!$G$5:$G$94,0)),"Not this class's skill"))</f>
        <v/>
      </c>
    </row>
    <row r="1368" customFormat="false" ht="15" hidden="false" customHeight="false" outlineLevel="0" collapsed="false">
      <c r="A1368" s="23"/>
      <c r="B1368" s="22"/>
      <c r="C1368" s="22"/>
      <c r="D1368" s="22"/>
      <c r="E1368" s="22"/>
      <c r="F1368" s="27" t="str">
        <f aca="false">IF(B1368="","",IFERROR(INDEX(Roster!$B$5:$B$154,MATCH(B1368,Roster!$A$5:$A$154,0)),"Not on roster"))</f>
        <v/>
      </c>
      <c r="G1368" s="28" t="str">
        <f aca="false">IF(OR(B1368="",C1368=""),"",F1368&amp;" | "&amp;C1368)</f>
        <v/>
      </c>
      <c r="H1368" s="27" t="str">
        <f aca="false">IF(G1368="","",IFERROR(INDEX(Levels!$C$5:$C$94,MATCH(G1368,Levels!$G$5:$G$94,0)),"Not this class's skill"))</f>
        <v/>
      </c>
    </row>
    <row r="1369" customFormat="false" ht="15" hidden="false" customHeight="false" outlineLevel="0" collapsed="false">
      <c r="A1369" s="23"/>
      <c r="B1369" s="22"/>
      <c r="C1369" s="22"/>
      <c r="D1369" s="22"/>
      <c r="E1369" s="22"/>
      <c r="F1369" s="27" t="str">
        <f aca="false">IF(B1369="","",IFERROR(INDEX(Roster!$B$5:$B$154,MATCH(B1369,Roster!$A$5:$A$154,0)),"Not on roster"))</f>
        <v/>
      </c>
      <c r="G1369" s="28" t="str">
        <f aca="false">IF(OR(B1369="",C1369=""),"",F1369&amp;" | "&amp;C1369)</f>
        <v/>
      </c>
      <c r="H1369" s="27" t="str">
        <f aca="false">IF(G1369="","",IFERROR(INDEX(Levels!$C$5:$C$94,MATCH(G1369,Levels!$G$5:$G$94,0)),"Not this class's skill"))</f>
        <v/>
      </c>
    </row>
    <row r="1370" customFormat="false" ht="15" hidden="false" customHeight="false" outlineLevel="0" collapsed="false">
      <c r="A1370" s="23"/>
      <c r="B1370" s="22"/>
      <c r="C1370" s="22"/>
      <c r="D1370" s="22"/>
      <c r="E1370" s="22"/>
      <c r="F1370" s="27" t="str">
        <f aca="false">IF(B1370="","",IFERROR(INDEX(Roster!$B$5:$B$154,MATCH(B1370,Roster!$A$5:$A$154,0)),"Not on roster"))</f>
        <v/>
      </c>
      <c r="G1370" s="28" t="str">
        <f aca="false">IF(OR(B1370="",C1370=""),"",F1370&amp;" | "&amp;C1370)</f>
        <v/>
      </c>
      <c r="H1370" s="27" t="str">
        <f aca="false">IF(G1370="","",IFERROR(INDEX(Levels!$C$5:$C$94,MATCH(G1370,Levels!$G$5:$G$94,0)),"Not this class's skill"))</f>
        <v/>
      </c>
    </row>
    <row r="1371" customFormat="false" ht="15" hidden="false" customHeight="false" outlineLevel="0" collapsed="false">
      <c r="A1371" s="23"/>
      <c r="B1371" s="22"/>
      <c r="C1371" s="22"/>
      <c r="D1371" s="22"/>
      <c r="E1371" s="22"/>
      <c r="F1371" s="27" t="str">
        <f aca="false">IF(B1371="","",IFERROR(INDEX(Roster!$B$5:$B$154,MATCH(B1371,Roster!$A$5:$A$154,0)),"Not on roster"))</f>
        <v/>
      </c>
      <c r="G1371" s="28" t="str">
        <f aca="false">IF(OR(B1371="",C1371=""),"",F1371&amp;" | "&amp;C1371)</f>
        <v/>
      </c>
      <c r="H1371" s="27" t="str">
        <f aca="false">IF(G1371="","",IFERROR(INDEX(Levels!$C$5:$C$94,MATCH(G1371,Levels!$G$5:$G$94,0)),"Not this class's skill"))</f>
        <v/>
      </c>
    </row>
    <row r="1372" customFormat="false" ht="15" hidden="false" customHeight="false" outlineLevel="0" collapsed="false">
      <c r="A1372" s="23"/>
      <c r="B1372" s="22"/>
      <c r="C1372" s="22"/>
      <c r="D1372" s="22"/>
      <c r="E1372" s="22"/>
      <c r="F1372" s="27" t="str">
        <f aca="false">IF(B1372="","",IFERROR(INDEX(Roster!$B$5:$B$154,MATCH(B1372,Roster!$A$5:$A$154,0)),"Not on roster"))</f>
        <v/>
      </c>
      <c r="G1372" s="28" t="str">
        <f aca="false">IF(OR(B1372="",C1372=""),"",F1372&amp;" | "&amp;C1372)</f>
        <v/>
      </c>
      <c r="H1372" s="27" t="str">
        <f aca="false">IF(G1372="","",IFERROR(INDEX(Levels!$C$5:$C$94,MATCH(G1372,Levels!$G$5:$G$94,0)),"Not this class's skill"))</f>
        <v/>
      </c>
    </row>
    <row r="1373" customFormat="false" ht="15" hidden="false" customHeight="false" outlineLevel="0" collapsed="false">
      <c r="A1373" s="23"/>
      <c r="B1373" s="22"/>
      <c r="C1373" s="22"/>
      <c r="D1373" s="22"/>
      <c r="E1373" s="22"/>
      <c r="F1373" s="27" t="str">
        <f aca="false">IF(B1373="","",IFERROR(INDEX(Roster!$B$5:$B$154,MATCH(B1373,Roster!$A$5:$A$154,0)),"Not on roster"))</f>
        <v/>
      </c>
      <c r="G1373" s="28" t="str">
        <f aca="false">IF(OR(B1373="",C1373=""),"",F1373&amp;" | "&amp;C1373)</f>
        <v/>
      </c>
      <c r="H1373" s="27" t="str">
        <f aca="false">IF(G1373="","",IFERROR(INDEX(Levels!$C$5:$C$94,MATCH(G1373,Levels!$G$5:$G$94,0)),"Not this class's skill"))</f>
        <v/>
      </c>
    </row>
    <row r="1374" customFormat="false" ht="15" hidden="false" customHeight="false" outlineLevel="0" collapsed="false">
      <c r="A1374" s="23"/>
      <c r="B1374" s="22"/>
      <c r="C1374" s="22"/>
      <c r="D1374" s="22"/>
      <c r="E1374" s="22"/>
      <c r="F1374" s="27" t="str">
        <f aca="false">IF(B1374="","",IFERROR(INDEX(Roster!$B$5:$B$154,MATCH(B1374,Roster!$A$5:$A$154,0)),"Not on roster"))</f>
        <v/>
      </c>
      <c r="G1374" s="28" t="str">
        <f aca="false">IF(OR(B1374="",C1374=""),"",F1374&amp;" | "&amp;C1374)</f>
        <v/>
      </c>
      <c r="H1374" s="27" t="str">
        <f aca="false">IF(G1374="","",IFERROR(INDEX(Levels!$C$5:$C$94,MATCH(G1374,Levels!$G$5:$G$94,0)),"Not this class's skill"))</f>
        <v/>
      </c>
    </row>
    <row r="1375" customFormat="false" ht="15" hidden="false" customHeight="false" outlineLevel="0" collapsed="false">
      <c r="A1375" s="23"/>
      <c r="B1375" s="22"/>
      <c r="C1375" s="22"/>
      <c r="D1375" s="22"/>
      <c r="E1375" s="22"/>
      <c r="F1375" s="27" t="str">
        <f aca="false">IF(B1375="","",IFERROR(INDEX(Roster!$B$5:$B$154,MATCH(B1375,Roster!$A$5:$A$154,0)),"Not on roster"))</f>
        <v/>
      </c>
      <c r="G1375" s="28" t="str">
        <f aca="false">IF(OR(B1375="",C1375=""),"",F1375&amp;" | "&amp;C1375)</f>
        <v/>
      </c>
      <c r="H1375" s="27" t="str">
        <f aca="false">IF(G1375="","",IFERROR(INDEX(Levels!$C$5:$C$94,MATCH(G1375,Levels!$G$5:$G$94,0)),"Not this class's skill"))</f>
        <v/>
      </c>
    </row>
    <row r="1376" customFormat="false" ht="15" hidden="false" customHeight="false" outlineLevel="0" collapsed="false">
      <c r="A1376" s="23"/>
      <c r="B1376" s="22"/>
      <c r="C1376" s="22"/>
      <c r="D1376" s="22"/>
      <c r="E1376" s="22"/>
      <c r="F1376" s="27" t="str">
        <f aca="false">IF(B1376="","",IFERROR(INDEX(Roster!$B$5:$B$154,MATCH(B1376,Roster!$A$5:$A$154,0)),"Not on roster"))</f>
        <v/>
      </c>
      <c r="G1376" s="28" t="str">
        <f aca="false">IF(OR(B1376="",C1376=""),"",F1376&amp;" | "&amp;C1376)</f>
        <v/>
      </c>
      <c r="H1376" s="27" t="str">
        <f aca="false">IF(G1376="","",IFERROR(INDEX(Levels!$C$5:$C$94,MATCH(G1376,Levels!$G$5:$G$94,0)),"Not this class's skill"))</f>
        <v/>
      </c>
    </row>
    <row r="1377" customFormat="false" ht="15" hidden="false" customHeight="false" outlineLevel="0" collapsed="false">
      <c r="A1377" s="23"/>
      <c r="B1377" s="22"/>
      <c r="C1377" s="22"/>
      <c r="D1377" s="22"/>
      <c r="E1377" s="22"/>
      <c r="F1377" s="27" t="str">
        <f aca="false">IF(B1377="","",IFERROR(INDEX(Roster!$B$5:$B$154,MATCH(B1377,Roster!$A$5:$A$154,0)),"Not on roster"))</f>
        <v/>
      </c>
      <c r="G1377" s="28" t="str">
        <f aca="false">IF(OR(B1377="",C1377=""),"",F1377&amp;" | "&amp;C1377)</f>
        <v/>
      </c>
      <c r="H1377" s="27" t="str">
        <f aca="false">IF(G1377="","",IFERROR(INDEX(Levels!$C$5:$C$94,MATCH(G1377,Levels!$G$5:$G$94,0)),"Not this class's skill"))</f>
        <v/>
      </c>
    </row>
    <row r="1378" customFormat="false" ht="15" hidden="false" customHeight="false" outlineLevel="0" collapsed="false">
      <c r="A1378" s="23"/>
      <c r="B1378" s="22"/>
      <c r="C1378" s="22"/>
      <c r="D1378" s="22"/>
      <c r="E1378" s="22"/>
      <c r="F1378" s="27" t="str">
        <f aca="false">IF(B1378="","",IFERROR(INDEX(Roster!$B$5:$B$154,MATCH(B1378,Roster!$A$5:$A$154,0)),"Not on roster"))</f>
        <v/>
      </c>
      <c r="G1378" s="28" t="str">
        <f aca="false">IF(OR(B1378="",C1378=""),"",F1378&amp;" | "&amp;C1378)</f>
        <v/>
      </c>
      <c r="H1378" s="27" t="str">
        <f aca="false">IF(G1378="","",IFERROR(INDEX(Levels!$C$5:$C$94,MATCH(G1378,Levels!$G$5:$G$94,0)),"Not this class's skill"))</f>
        <v/>
      </c>
    </row>
    <row r="1379" customFormat="false" ht="15" hidden="false" customHeight="false" outlineLevel="0" collapsed="false">
      <c r="A1379" s="23"/>
      <c r="B1379" s="22"/>
      <c r="C1379" s="22"/>
      <c r="D1379" s="22"/>
      <c r="E1379" s="22"/>
      <c r="F1379" s="27" t="str">
        <f aca="false">IF(B1379="","",IFERROR(INDEX(Roster!$B$5:$B$154,MATCH(B1379,Roster!$A$5:$A$154,0)),"Not on roster"))</f>
        <v/>
      </c>
      <c r="G1379" s="28" t="str">
        <f aca="false">IF(OR(B1379="",C1379=""),"",F1379&amp;" | "&amp;C1379)</f>
        <v/>
      </c>
      <c r="H1379" s="27" t="str">
        <f aca="false">IF(G1379="","",IFERROR(INDEX(Levels!$C$5:$C$94,MATCH(G1379,Levels!$G$5:$G$94,0)),"Not this class's skill"))</f>
        <v/>
      </c>
    </row>
    <row r="1380" customFormat="false" ht="15" hidden="false" customHeight="false" outlineLevel="0" collapsed="false">
      <c r="A1380" s="23"/>
      <c r="B1380" s="22"/>
      <c r="C1380" s="22"/>
      <c r="D1380" s="22"/>
      <c r="E1380" s="22"/>
      <c r="F1380" s="27" t="str">
        <f aca="false">IF(B1380="","",IFERROR(INDEX(Roster!$B$5:$B$154,MATCH(B1380,Roster!$A$5:$A$154,0)),"Not on roster"))</f>
        <v/>
      </c>
      <c r="G1380" s="28" t="str">
        <f aca="false">IF(OR(B1380="",C1380=""),"",F1380&amp;" | "&amp;C1380)</f>
        <v/>
      </c>
      <c r="H1380" s="27" t="str">
        <f aca="false">IF(G1380="","",IFERROR(INDEX(Levels!$C$5:$C$94,MATCH(G1380,Levels!$G$5:$G$94,0)),"Not this class's skill"))</f>
        <v/>
      </c>
    </row>
    <row r="1381" customFormat="false" ht="15" hidden="false" customHeight="false" outlineLevel="0" collapsed="false">
      <c r="A1381" s="23"/>
      <c r="B1381" s="22"/>
      <c r="C1381" s="22"/>
      <c r="D1381" s="22"/>
      <c r="E1381" s="22"/>
      <c r="F1381" s="27" t="str">
        <f aca="false">IF(B1381="","",IFERROR(INDEX(Roster!$B$5:$B$154,MATCH(B1381,Roster!$A$5:$A$154,0)),"Not on roster"))</f>
        <v/>
      </c>
      <c r="G1381" s="28" t="str">
        <f aca="false">IF(OR(B1381="",C1381=""),"",F1381&amp;" | "&amp;C1381)</f>
        <v/>
      </c>
      <c r="H1381" s="27" t="str">
        <f aca="false">IF(G1381="","",IFERROR(INDEX(Levels!$C$5:$C$94,MATCH(G1381,Levels!$G$5:$G$94,0)),"Not this class's skill"))</f>
        <v/>
      </c>
    </row>
    <row r="1382" customFormat="false" ht="15" hidden="false" customHeight="false" outlineLevel="0" collapsed="false">
      <c r="A1382" s="23"/>
      <c r="B1382" s="22"/>
      <c r="C1382" s="22"/>
      <c r="D1382" s="22"/>
      <c r="E1382" s="22"/>
      <c r="F1382" s="27" t="str">
        <f aca="false">IF(B1382="","",IFERROR(INDEX(Roster!$B$5:$B$154,MATCH(B1382,Roster!$A$5:$A$154,0)),"Not on roster"))</f>
        <v/>
      </c>
      <c r="G1382" s="28" t="str">
        <f aca="false">IF(OR(B1382="",C1382=""),"",F1382&amp;" | "&amp;C1382)</f>
        <v/>
      </c>
      <c r="H1382" s="27" t="str">
        <f aca="false">IF(G1382="","",IFERROR(INDEX(Levels!$C$5:$C$94,MATCH(G1382,Levels!$G$5:$G$94,0)),"Not this class's skill"))</f>
        <v/>
      </c>
    </row>
    <row r="1383" customFormat="false" ht="15" hidden="false" customHeight="false" outlineLevel="0" collapsed="false">
      <c r="A1383" s="23"/>
      <c r="B1383" s="22"/>
      <c r="C1383" s="22"/>
      <c r="D1383" s="22"/>
      <c r="E1383" s="22"/>
      <c r="F1383" s="27" t="str">
        <f aca="false">IF(B1383="","",IFERROR(INDEX(Roster!$B$5:$B$154,MATCH(B1383,Roster!$A$5:$A$154,0)),"Not on roster"))</f>
        <v/>
      </c>
      <c r="G1383" s="28" t="str">
        <f aca="false">IF(OR(B1383="",C1383=""),"",F1383&amp;" | "&amp;C1383)</f>
        <v/>
      </c>
      <c r="H1383" s="27" t="str">
        <f aca="false">IF(G1383="","",IFERROR(INDEX(Levels!$C$5:$C$94,MATCH(G1383,Levels!$G$5:$G$94,0)),"Not this class's skill"))</f>
        <v/>
      </c>
    </row>
    <row r="1384" customFormat="false" ht="15" hidden="false" customHeight="false" outlineLevel="0" collapsed="false">
      <c r="A1384" s="23"/>
      <c r="B1384" s="22"/>
      <c r="C1384" s="22"/>
      <c r="D1384" s="22"/>
      <c r="E1384" s="22"/>
      <c r="F1384" s="27" t="str">
        <f aca="false">IF(B1384="","",IFERROR(INDEX(Roster!$B$5:$B$154,MATCH(B1384,Roster!$A$5:$A$154,0)),"Not on roster"))</f>
        <v/>
      </c>
      <c r="G1384" s="28" t="str">
        <f aca="false">IF(OR(B1384="",C1384=""),"",F1384&amp;" | "&amp;C1384)</f>
        <v/>
      </c>
      <c r="H1384" s="27" t="str">
        <f aca="false">IF(G1384="","",IFERROR(INDEX(Levels!$C$5:$C$94,MATCH(G1384,Levels!$G$5:$G$94,0)),"Not this class's skill"))</f>
        <v/>
      </c>
    </row>
    <row r="1385" customFormat="false" ht="15" hidden="false" customHeight="false" outlineLevel="0" collapsed="false">
      <c r="A1385" s="23"/>
      <c r="B1385" s="22"/>
      <c r="C1385" s="22"/>
      <c r="D1385" s="22"/>
      <c r="E1385" s="22"/>
      <c r="F1385" s="27" t="str">
        <f aca="false">IF(B1385="","",IFERROR(INDEX(Roster!$B$5:$B$154,MATCH(B1385,Roster!$A$5:$A$154,0)),"Not on roster"))</f>
        <v/>
      </c>
      <c r="G1385" s="28" t="str">
        <f aca="false">IF(OR(B1385="",C1385=""),"",F1385&amp;" | "&amp;C1385)</f>
        <v/>
      </c>
      <c r="H1385" s="27" t="str">
        <f aca="false">IF(G1385="","",IFERROR(INDEX(Levels!$C$5:$C$94,MATCH(G1385,Levels!$G$5:$G$94,0)),"Not this class's skill"))</f>
        <v/>
      </c>
    </row>
    <row r="1386" customFormat="false" ht="15" hidden="false" customHeight="false" outlineLevel="0" collapsed="false">
      <c r="A1386" s="23"/>
      <c r="B1386" s="22"/>
      <c r="C1386" s="22"/>
      <c r="D1386" s="22"/>
      <c r="E1386" s="22"/>
      <c r="F1386" s="27" t="str">
        <f aca="false">IF(B1386="","",IFERROR(INDEX(Roster!$B$5:$B$154,MATCH(B1386,Roster!$A$5:$A$154,0)),"Not on roster"))</f>
        <v/>
      </c>
      <c r="G1386" s="28" t="str">
        <f aca="false">IF(OR(B1386="",C1386=""),"",F1386&amp;" | "&amp;C1386)</f>
        <v/>
      </c>
      <c r="H1386" s="27" t="str">
        <f aca="false">IF(G1386="","",IFERROR(INDEX(Levels!$C$5:$C$94,MATCH(G1386,Levels!$G$5:$G$94,0)),"Not this class's skill"))</f>
        <v/>
      </c>
    </row>
    <row r="1387" customFormat="false" ht="15" hidden="false" customHeight="false" outlineLevel="0" collapsed="false">
      <c r="A1387" s="23"/>
      <c r="B1387" s="22"/>
      <c r="C1387" s="22"/>
      <c r="D1387" s="22"/>
      <c r="E1387" s="22"/>
      <c r="F1387" s="27" t="str">
        <f aca="false">IF(B1387="","",IFERROR(INDEX(Roster!$B$5:$B$154,MATCH(B1387,Roster!$A$5:$A$154,0)),"Not on roster"))</f>
        <v/>
      </c>
      <c r="G1387" s="28" t="str">
        <f aca="false">IF(OR(B1387="",C1387=""),"",F1387&amp;" | "&amp;C1387)</f>
        <v/>
      </c>
      <c r="H1387" s="27" t="str">
        <f aca="false">IF(G1387="","",IFERROR(INDEX(Levels!$C$5:$C$94,MATCH(G1387,Levels!$G$5:$G$94,0)),"Not this class's skill"))</f>
        <v/>
      </c>
    </row>
    <row r="1388" customFormat="false" ht="15" hidden="false" customHeight="false" outlineLevel="0" collapsed="false">
      <c r="A1388" s="23"/>
      <c r="B1388" s="22"/>
      <c r="C1388" s="22"/>
      <c r="D1388" s="22"/>
      <c r="E1388" s="22"/>
      <c r="F1388" s="27" t="str">
        <f aca="false">IF(B1388="","",IFERROR(INDEX(Roster!$B$5:$B$154,MATCH(B1388,Roster!$A$5:$A$154,0)),"Not on roster"))</f>
        <v/>
      </c>
      <c r="G1388" s="28" t="str">
        <f aca="false">IF(OR(B1388="",C1388=""),"",F1388&amp;" | "&amp;C1388)</f>
        <v/>
      </c>
      <c r="H1388" s="27" t="str">
        <f aca="false">IF(G1388="","",IFERROR(INDEX(Levels!$C$5:$C$94,MATCH(G1388,Levels!$G$5:$G$94,0)),"Not this class's skill"))</f>
        <v/>
      </c>
    </row>
    <row r="1389" customFormat="false" ht="15" hidden="false" customHeight="false" outlineLevel="0" collapsed="false">
      <c r="A1389" s="23"/>
      <c r="B1389" s="22"/>
      <c r="C1389" s="22"/>
      <c r="D1389" s="22"/>
      <c r="E1389" s="22"/>
      <c r="F1389" s="27" t="str">
        <f aca="false">IF(B1389="","",IFERROR(INDEX(Roster!$B$5:$B$154,MATCH(B1389,Roster!$A$5:$A$154,0)),"Not on roster"))</f>
        <v/>
      </c>
      <c r="G1389" s="28" t="str">
        <f aca="false">IF(OR(B1389="",C1389=""),"",F1389&amp;" | "&amp;C1389)</f>
        <v/>
      </c>
      <c r="H1389" s="27" t="str">
        <f aca="false">IF(G1389="","",IFERROR(INDEX(Levels!$C$5:$C$94,MATCH(G1389,Levels!$G$5:$G$94,0)),"Not this class's skill"))</f>
        <v/>
      </c>
    </row>
    <row r="1390" customFormat="false" ht="15" hidden="false" customHeight="false" outlineLevel="0" collapsed="false">
      <c r="A1390" s="23"/>
      <c r="B1390" s="22"/>
      <c r="C1390" s="22"/>
      <c r="D1390" s="22"/>
      <c r="E1390" s="22"/>
      <c r="F1390" s="27" t="str">
        <f aca="false">IF(B1390="","",IFERROR(INDEX(Roster!$B$5:$B$154,MATCH(B1390,Roster!$A$5:$A$154,0)),"Not on roster"))</f>
        <v/>
      </c>
      <c r="G1390" s="28" t="str">
        <f aca="false">IF(OR(B1390="",C1390=""),"",F1390&amp;" | "&amp;C1390)</f>
        <v/>
      </c>
      <c r="H1390" s="27" t="str">
        <f aca="false">IF(G1390="","",IFERROR(INDEX(Levels!$C$5:$C$94,MATCH(G1390,Levels!$G$5:$G$94,0)),"Not this class's skill"))</f>
        <v/>
      </c>
    </row>
    <row r="1391" customFormat="false" ht="15" hidden="false" customHeight="false" outlineLevel="0" collapsed="false">
      <c r="A1391" s="23"/>
      <c r="B1391" s="22"/>
      <c r="C1391" s="22"/>
      <c r="D1391" s="22"/>
      <c r="E1391" s="22"/>
      <c r="F1391" s="27" t="str">
        <f aca="false">IF(B1391="","",IFERROR(INDEX(Roster!$B$5:$B$154,MATCH(B1391,Roster!$A$5:$A$154,0)),"Not on roster"))</f>
        <v/>
      </c>
      <c r="G1391" s="28" t="str">
        <f aca="false">IF(OR(B1391="",C1391=""),"",F1391&amp;" | "&amp;C1391)</f>
        <v/>
      </c>
      <c r="H1391" s="27" t="str">
        <f aca="false">IF(G1391="","",IFERROR(INDEX(Levels!$C$5:$C$94,MATCH(G1391,Levels!$G$5:$G$94,0)),"Not this class's skill"))</f>
        <v/>
      </c>
    </row>
    <row r="1392" customFormat="false" ht="15" hidden="false" customHeight="false" outlineLevel="0" collapsed="false">
      <c r="A1392" s="23"/>
      <c r="B1392" s="22"/>
      <c r="C1392" s="22"/>
      <c r="D1392" s="22"/>
      <c r="E1392" s="22"/>
      <c r="F1392" s="27" t="str">
        <f aca="false">IF(B1392="","",IFERROR(INDEX(Roster!$B$5:$B$154,MATCH(B1392,Roster!$A$5:$A$154,0)),"Not on roster"))</f>
        <v/>
      </c>
      <c r="G1392" s="28" t="str">
        <f aca="false">IF(OR(B1392="",C1392=""),"",F1392&amp;" | "&amp;C1392)</f>
        <v/>
      </c>
      <c r="H1392" s="27" t="str">
        <f aca="false">IF(G1392="","",IFERROR(INDEX(Levels!$C$5:$C$94,MATCH(G1392,Levels!$G$5:$G$94,0)),"Not this class's skill"))</f>
        <v/>
      </c>
    </row>
    <row r="1393" customFormat="false" ht="15" hidden="false" customHeight="false" outlineLevel="0" collapsed="false">
      <c r="A1393" s="23"/>
      <c r="B1393" s="22"/>
      <c r="C1393" s="22"/>
      <c r="D1393" s="22"/>
      <c r="E1393" s="22"/>
      <c r="F1393" s="27" t="str">
        <f aca="false">IF(B1393="","",IFERROR(INDEX(Roster!$B$5:$B$154,MATCH(B1393,Roster!$A$5:$A$154,0)),"Not on roster"))</f>
        <v/>
      </c>
      <c r="G1393" s="28" t="str">
        <f aca="false">IF(OR(B1393="",C1393=""),"",F1393&amp;" | "&amp;C1393)</f>
        <v/>
      </c>
      <c r="H1393" s="27" t="str">
        <f aca="false">IF(G1393="","",IFERROR(INDEX(Levels!$C$5:$C$94,MATCH(G1393,Levels!$G$5:$G$94,0)),"Not this class's skill"))</f>
        <v/>
      </c>
    </row>
    <row r="1394" customFormat="false" ht="15" hidden="false" customHeight="false" outlineLevel="0" collapsed="false">
      <c r="A1394" s="23"/>
      <c r="B1394" s="22"/>
      <c r="C1394" s="22"/>
      <c r="D1394" s="22"/>
      <c r="E1394" s="22"/>
      <c r="F1394" s="27" t="str">
        <f aca="false">IF(B1394="","",IFERROR(INDEX(Roster!$B$5:$B$154,MATCH(B1394,Roster!$A$5:$A$154,0)),"Not on roster"))</f>
        <v/>
      </c>
      <c r="G1394" s="28" t="str">
        <f aca="false">IF(OR(B1394="",C1394=""),"",F1394&amp;" | "&amp;C1394)</f>
        <v/>
      </c>
      <c r="H1394" s="27" t="str">
        <f aca="false">IF(G1394="","",IFERROR(INDEX(Levels!$C$5:$C$94,MATCH(G1394,Levels!$G$5:$G$94,0)),"Not this class's skill"))</f>
        <v/>
      </c>
    </row>
    <row r="1395" customFormat="false" ht="15" hidden="false" customHeight="false" outlineLevel="0" collapsed="false">
      <c r="A1395" s="23"/>
      <c r="B1395" s="22"/>
      <c r="C1395" s="22"/>
      <c r="D1395" s="22"/>
      <c r="E1395" s="22"/>
      <c r="F1395" s="27" t="str">
        <f aca="false">IF(B1395="","",IFERROR(INDEX(Roster!$B$5:$B$154,MATCH(B1395,Roster!$A$5:$A$154,0)),"Not on roster"))</f>
        <v/>
      </c>
      <c r="G1395" s="28" t="str">
        <f aca="false">IF(OR(B1395="",C1395=""),"",F1395&amp;" | "&amp;C1395)</f>
        <v/>
      </c>
      <c r="H1395" s="27" t="str">
        <f aca="false">IF(G1395="","",IFERROR(INDEX(Levels!$C$5:$C$94,MATCH(G1395,Levels!$G$5:$G$94,0)),"Not this class's skill"))</f>
        <v/>
      </c>
    </row>
    <row r="1396" customFormat="false" ht="15" hidden="false" customHeight="false" outlineLevel="0" collapsed="false">
      <c r="A1396" s="23"/>
      <c r="B1396" s="22"/>
      <c r="C1396" s="22"/>
      <c r="D1396" s="22"/>
      <c r="E1396" s="22"/>
      <c r="F1396" s="27" t="str">
        <f aca="false">IF(B1396="","",IFERROR(INDEX(Roster!$B$5:$B$154,MATCH(B1396,Roster!$A$5:$A$154,0)),"Not on roster"))</f>
        <v/>
      </c>
      <c r="G1396" s="28" t="str">
        <f aca="false">IF(OR(B1396="",C1396=""),"",F1396&amp;" | "&amp;C1396)</f>
        <v/>
      </c>
      <c r="H1396" s="27" t="str">
        <f aca="false">IF(G1396="","",IFERROR(INDEX(Levels!$C$5:$C$94,MATCH(G1396,Levels!$G$5:$G$94,0)),"Not this class's skill"))</f>
        <v/>
      </c>
    </row>
    <row r="1397" customFormat="false" ht="15" hidden="false" customHeight="false" outlineLevel="0" collapsed="false">
      <c r="A1397" s="23"/>
      <c r="B1397" s="22"/>
      <c r="C1397" s="22"/>
      <c r="D1397" s="22"/>
      <c r="E1397" s="22"/>
      <c r="F1397" s="27" t="str">
        <f aca="false">IF(B1397="","",IFERROR(INDEX(Roster!$B$5:$B$154,MATCH(B1397,Roster!$A$5:$A$154,0)),"Not on roster"))</f>
        <v/>
      </c>
      <c r="G1397" s="28" t="str">
        <f aca="false">IF(OR(B1397="",C1397=""),"",F1397&amp;" | "&amp;C1397)</f>
        <v/>
      </c>
      <c r="H1397" s="27" t="str">
        <f aca="false">IF(G1397="","",IFERROR(INDEX(Levels!$C$5:$C$94,MATCH(G1397,Levels!$G$5:$G$94,0)),"Not this class's skill"))</f>
        <v/>
      </c>
    </row>
    <row r="1398" customFormat="false" ht="15" hidden="false" customHeight="false" outlineLevel="0" collapsed="false">
      <c r="A1398" s="23"/>
      <c r="B1398" s="22"/>
      <c r="C1398" s="22"/>
      <c r="D1398" s="22"/>
      <c r="E1398" s="22"/>
      <c r="F1398" s="27" t="str">
        <f aca="false">IF(B1398="","",IFERROR(INDEX(Roster!$B$5:$B$154,MATCH(B1398,Roster!$A$5:$A$154,0)),"Not on roster"))</f>
        <v/>
      </c>
      <c r="G1398" s="28" t="str">
        <f aca="false">IF(OR(B1398="",C1398=""),"",F1398&amp;" | "&amp;C1398)</f>
        <v/>
      </c>
      <c r="H1398" s="27" t="str">
        <f aca="false">IF(G1398="","",IFERROR(INDEX(Levels!$C$5:$C$94,MATCH(G1398,Levels!$G$5:$G$94,0)),"Not this class's skill"))</f>
        <v/>
      </c>
    </row>
    <row r="1399" customFormat="false" ht="15" hidden="false" customHeight="false" outlineLevel="0" collapsed="false">
      <c r="A1399" s="23"/>
      <c r="B1399" s="22"/>
      <c r="C1399" s="22"/>
      <c r="D1399" s="22"/>
      <c r="E1399" s="22"/>
      <c r="F1399" s="27" t="str">
        <f aca="false">IF(B1399="","",IFERROR(INDEX(Roster!$B$5:$B$154,MATCH(B1399,Roster!$A$5:$A$154,0)),"Not on roster"))</f>
        <v/>
      </c>
      <c r="G1399" s="28" t="str">
        <f aca="false">IF(OR(B1399="",C1399=""),"",F1399&amp;" | "&amp;C1399)</f>
        <v/>
      </c>
      <c r="H1399" s="27" t="str">
        <f aca="false">IF(G1399="","",IFERROR(INDEX(Levels!$C$5:$C$94,MATCH(G1399,Levels!$G$5:$G$94,0)),"Not this class's skill"))</f>
        <v/>
      </c>
    </row>
    <row r="1400" customFormat="false" ht="15" hidden="false" customHeight="false" outlineLevel="0" collapsed="false">
      <c r="A1400" s="23"/>
      <c r="B1400" s="22"/>
      <c r="C1400" s="22"/>
      <c r="D1400" s="22"/>
      <c r="E1400" s="22"/>
      <c r="F1400" s="27" t="str">
        <f aca="false">IF(B1400="","",IFERROR(INDEX(Roster!$B$5:$B$154,MATCH(B1400,Roster!$A$5:$A$154,0)),"Not on roster"))</f>
        <v/>
      </c>
      <c r="G1400" s="28" t="str">
        <f aca="false">IF(OR(B1400="",C1400=""),"",F1400&amp;" | "&amp;C1400)</f>
        <v/>
      </c>
      <c r="H1400" s="27" t="str">
        <f aca="false">IF(G1400="","",IFERROR(INDEX(Levels!$C$5:$C$94,MATCH(G1400,Levels!$G$5:$G$94,0)),"Not this class's skill"))</f>
        <v/>
      </c>
    </row>
    <row r="1401" customFormat="false" ht="15" hidden="false" customHeight="false" outlineLevel="0" collapsed="false">
      <c r="A1401" s="23"/>
      <c r="B1401" s="22"/>
      <c r="C1401" s="22"/>
      <c r="D1401" s="22"/>
      <c r="E1401" s="22"/>
      <c r="F1401" s="27" t="str">
        <f aca="false">IF(B1401="","",IFERROR(INDEX(Roster!$B$5:$B$154,MATCH(B1401,Roster!$A$5:$A$154,0)),"Not on roster"))</f>
        <v/>
      </c>
      <c r="G1401" s="28" t="str">
        <f aca="false">IF(OR(B1401="",C1401=""),"",F1401&amp;" | "&amp;C1401)</f>
        <v/>
      </c>
      <c r="H1401" s="27" t="str">
        <f aca="false">IF(G1401="","",IFERROR(INDEX(Levels!$C$5:$C$94,MATCH(G1401,Levels!$G$5:$G$94,0)),"Not this class's skill"))</f>
        <v/>
      </c>
    </row>
    <row r="1402" customFormat="false" ht="15" hidden="false" customHeight="false" outlineLevel="0" collapsed="false">
      <c r="A1402" s="23"/>
      <c r="B1402" s="22"/>
      <c r="C1402" s="22"/>
      <c r="D1402" s="22"/>
      <c r="E1402" s="22"/>
      <c r="F1402" s="27" t="str">
        <f aca="false">IF(B1402="","",IFERROR(INDEX(Roster!$B$5:$B$154,MATCH(B1402,Roster!$A$5:$A$154,0)),"Not on roster"))</f>
        <v/>
      </c>
      <c r="G1402" s="28" t="str">
        <f aca="false">IF(OR(B1402="",C1402=""),"",F1402&amp;" | "&amp;C1402)</f>
        <v/>
      </c>
      <c r="H1402" s="27" t="str">
        <f aca="false">IF(G1402="","",IFERROR(INDEX(Levels!$C$5:$C$94,MATCH(G1402,Levels!$G$5:$G$94,0)),"Not this class's skill"))</f>
        <v/>
      </c>
    </row>
    <row r="1403" customFormat="false" ht="15" hidden="false" customHeight="false" outlineLevel="0" collapsed="false">
      <c r="A1403" s="23"/>
      <c r="B1403" s="22"/>
      <c r="C1403" s="22"/>
      <c r="D1403" s="22"/>
      <c r="E1403" s="22"/>
      <c r="F1403" s="27" t="str">
        <f aca="false">IF(B1403="","",IFERROR(INDEX(Roster!$B$5:$B$154,MATCH(B1403,Roster!$A$5:$A$154,0)),"Not on roster"))</f>
        <v/>
      </c>
      <c r="G1403" s="28" t="str">
        <f aca="false">IF(OR(B1403="",C1403=""),"",F1403&amp;" | "&amp;C1403)</f>
        <v/>
      </c>
      <c r="H1403" s="27" t="str">
        <f aca="false">IF(G1403="","",IFERROR(INDEX(Levels!$C$5:$C$94,MATCH(G1403,Levels!$G$5:$G$94,0)),"Not this class's skill"))</f>
        <v/>
      </c>
    </row>
    <row r="1404" customFormat="false" ht="15" hidden="false" customHeight="false" outlineLevel="0" collapsed="false">
      <c r="A1404" s="23"/>
      <c r="B1404" s="22"/>
      <c r="C1404" s="22"/>
      <c r="D1404" s="22"/>
      <c r="E1404" s="22"/>
      <c r="F1404" s="27" t="str">
        <f aca="false">IF(B1404="","",IFERROR(INDEX(Roster!$B$5:$B$154,MATCH(B1404,Roster!$A$5:$A$154,0)),"Not on roster"))</f>
        <v/>
      </c>
      <c r="G1404" s="28" t="str">
        <f aca="false">IF(OR(B1404="",C1404=""),"",F1404&amp;" | "&amp;C1404)</f>
        <v/>
      </c>
      <c r="H1404" s="27" t="str">
        <f aca="false">IF(G1404="","",IFERROR(INDEX(Levels!$C$5:$C$94,MATCH(G1404,Levels!$G$5:$G$94,0)),"Not this class's skill"))</f>
        <v/>
      </c>
    </row>
    <row r="1405" customFormat="false" ht="15" hidden="false" customHeight="false" outlineLevel="0" collapsed="false">
      <c r="A1405" s="23"/>
      <c r="B1405" s="22"/>
      <c r="C1405" s="22"/>
      <c r="D1405" s="22"/>
      <c r="E1405" s="22"/>
      <c r="F1405" s="27" t="str">
        <f aca="false">IF(B1405="","",IFERROR(INDEX(Roster!$B$5:$B$154,MATCH(B1405,Roster!$A$5:$A$154,0)),"Not on roster"))</f>
        <v/>
      </c>
      <c r="G1405" s="28" t="str">
        <f aca="false">IF(OR(B1405="",C1405=""),"",F1405&amp;" | "&amp;C1405)</f>
        <v/>
      </c>
      <c r="H1405" s="27" t="str">
        <f aca="false">IF(G1405="","",IFERROR(INDEX(Levels!$C$5:$C$94,MATCH(G1405,Levels!$G$5:$G$94,0)),"Not this class's skill"))</f>
        <v/>
      </c>
    </row>
    <row r="1406" customFormat="false" ht="15" hidden="false" customHeight="false" outlineLevel="0" collapsed="false">
      <c r="A1406" s="23"/>
      <c r="B1406" s="22"/>
      <c r="C1406" s="22"/>
      <c r="D1406" s="22"/>
      <c r="E1406" s="22"/>
      <c r="F1406" s="27" t="str">
        <f aca="false">IF(B1406="","",IFERROR(INDEX(Roster!$B$5:$B$154,MATCH(B1406,Roster!$A$5:$A$154,0)),"Not on roster"))</f>
        <v/>
      </c>
      <c r="G1406" s="28" t="str">
        <f aca="false">IF(OR(B1406="",C1406=""),"",F1406&amp;" | "&amp;C1406)</f>
        <v/>
      </c>
      <c r="H1406" s="27" t="str">
        <f aca="false">IF(G1406="","",IFERROR(INDEX(Levels!$C$5:$C$94,MATCH(G1406,Levels!$G$5:$G$94,0)),"Not this class's skill"))</f>
        <v/>
      </c>
    </row>
    <row r="1407" customFormat="false" ht="15" hidden="false" customHeight="false" outlineLevel="0" collapsed="false">
      <c r="A1407" s="23"/>
      <c r="B1407" s="22"/>
      <c r="C1407" s="22"/>
      <c r="D1407" s="22"/>
      <c r="E1407" s="22"/>
      <c r="F1407" s="27" t="str">
        <f aca="false">IF(B1407="","",IFERROR(INDEX(Roster!$B$5:$B$154,MATCH(B1407,Roster!$A$5:$A$154,0)),"Not on roster"))</f>
        <v/>
      </c>
      <c r="G1407" s="28" t="str">
        <f aca="false">IF(OR(B1407="",C1407=""),"",F1407&amp;" | "&amp;C1407)</f>
        <v/>
      </c>
      <c r="H1407" s="27" t="str">
        <f aca="false">IF(G1407="","",IFERROR(INDEX(Levels!$C$5:$C$94,MATCH(G1407,Levels!$G$5:$G$94,0)),"Not this class's skill"))</f>
        <v/>
      </c>
    </row>
    <row r="1408" customFormat="false" ht="15" hidden="false" customHeight="false" outlineLevel="0" collapsed="false">
      <c r="A1408" s="23"/>
      <c r="B1408" s="22"/>
      <c r="C1408" s="22"/>
      <c r="D1408" s="22"/>
      <c r="E1408" s="22"/>
      <c r="F1408" s="27" t="str">
        <f aca="false">IF(B1408="","",IFERROR(INDEX(Roster!$B$5:$B$154,MATCH(B1408,Roster!$A$5:$A$154,0)),"Not on roster"))</f>
        <v/>
      </c>
      <c r="G1408" s="28" t="str">
        <f aca="false">IF(OR(B1408="",C1408=""),"",F1408&amp;" | "&amp;C1408)</f>
        <v/>
      </c>
      <c r="H1408" s="27" t="str">
        <f aca="false">IF(G1408="","",IFERROR(INDEX(Levels!$C$5:$C$94,MATCH(G1408,Levels!$G$5:$G$94,0)),"Not this class's skill"))</f>
        <v/>
      </c>
    </row>
    <row r="1409" customFormat="false" ht="15" hidden="false" customHeight="false" outlineLevel="0" collapsed="false">
      <c r="A1409" s="23"/>
      <c r="B1409" s="22"/>
      <c r="C1409" s="22"/>
      <c r="D1409" s="22"/>
      <c r="E1409" s="22"/>
      <c r="F1409" s="27" t="str">
        <f aca="false">IF(B1409="","",IFERROR(INDEX(Roster!$B$5:$B$154,MATCH(B1409,Roster!$A$5:$A$154,0)),"Not on roster"))</f>
        <v/>
      </c>
      <c r="G1409" s="28" t="str">
        <f aca="false">IF(OR(B1409="",C1409=""),"",F1409&amp;" | "&amp;C1409)</f>
        <v/>
      </c>
      <c r="H1409" s="27" t="str">
        <f aca="false">IF(G1409="","",IFERROR(INDEX(Levels!$C$5:$C$94,MATCH(G1409,Levels!$G$5:$G$94,0)),"Not this class's skill"))</f>
        <v/>
      </c>
    </row>
    <row r="1410" customFormat="false" ht="15" hidden="false" customHeight="false" outlineLevel="0" collapsed="false">
      <c r="A1410" s="23"/>
      <c r="B1410" s="22"/>
      <c r="C1410" s="22"/>
      <c r="D1410" s="22"/>
      <c r="E1410" s="22"/>
      <c r="F1410" s="27" t="str">
        <f aca="false">IF(B1410="","",IFERROR(INDEX(Roster!$B$5:$B$154,MATCH(B1410,Roster!$A$5:$A$154,0)),"Not on roster"))</f>
        <v/>
      </c>
      <c r="G1410" s="28" t="str">
        <f aca="false">IF(OR(B1410="",C1410=""),"",F1410&amp;" | "&amp;C1410)</f>
        <v/>
      </c>
      <c r="H1410" s="27" t="str">
        <f aca="false">IF(G1410="","",IFERROR(INDEX(Levels!$C$5:$C$94,MATCH(G1410,Levels!$G$5:$G$94,0)),"Not this class's skill"))</f>
        <v/>
      </c>
    </row>
    <row r="1411" customFormat="false" ht="15" hidden="false" customHeight="false" outlineLevel="0" collapsed="false">
      <c r="A1411" s="23"/>
      <c r="B1411" s="22"/>
      <c r="C1411" s="22"/>
      <c r="D1411" s="22"/>
      <c r="E1411" s="22"/>
      <c r="F1411" s="27" t="str">
        <f aca="false">IF(B1411="","",IFERROR(INDEX(Roster!$B$5:$B$154,MATCH(B1411,Roster!$A$5:$A$154,0)),"Not on roster"))</f>
        <v/>
      </c>
      <c r="G1411" s="28" t="str">
        <f aca="false">IF(OR(B1411="",C1411=""),"",F1411&amp;" | "&amp;C1411)</f>
        <v/>
      </c>
      <c r="H1411" s="27" t="str">
        <f aca="false">IF(G1411="","",IFERROR(INDEX(Levels!$C$5:$C$94,MATCH(G1411,Levels!$G$5:$G$94,0)),"Not this class's skill"))</f>
        <v/>
      </c>
    </row>
    <row r="1412" customFormat="false" ht="15" hidden="false" customHeight="false" outlineLevel="0" collapsed="false">
      <c r="A1412" s="23"/>
      <c r="B1412" s="22"/>
      <c r="C1412" s="22"/>
      <c r="D1412" s="22"/>
      <c r="E1412" s="22"/>
      <c r="F1412" s="27" t="str">
        <f aca="false">IF(B1412="","",IFERROR(INDEX(Roster!$B$5:$B$154,MATCH(B1412,Roster!$A$5:$A$154,0)),"Not on roster"))</f>
        <v/>
      </c>
      <c r="G1412" s="28" t="str">
        <f aca="false">IF(OR(B1412="",C1412=""),"",F1412&amp;" | "&amp;C1412)</f>
        <v/>
      </c>
      <c r="H1412" s="27" t="str">
        <f aca="false">IF(G1412="","",IFERROR(INDEX(Levels!$C$5:$C$94,MATCH(G1412,Levels!$G$5:$G$94,0)),"Not this class's skill"))</f>
        <v/>
      </c>
    </row>
    <row r="1413" customFormat="false" ht="15" hidden="false" customHeight="false" outlineLevel="0" collapsed="false">
      <c r="A1413" s="23"/>
      <c r="B1413" s="22"/>
      <c r="C1413" s="22"/>
      <c r="D1413" s="22"/>
      <c r="E1413" s="22"/>
      <c r="F1413" s="27" t="str">
        <f aca="false">IF(B1413="","",IFERROR(INDEX(Roster!$B$5:$B$154,MATCH(B1413,Roster!$A$5:$A$154,0)),"Not on roster"))</f>
        <v/>
      </c>
      <c r="G1413" s="28" t="str">
        <f aca="false">IF(OR(B1413="",C1413=""),"",F1413&amp;" | "&amp;C1413)</f>
        <v/>
      </c>
      <c r="H1413" s="27" t="str">
        <f aca="false">IF(G1413="","",IFERROR(INDEX(Levels!$C$5:$C$94,MATCH(G1413,Levels!$G$5:$G$94,0)),"Not this class's skill"))</f>
        <v/>
      </c>
    </row>
    <row r="1414" customFormat="false" ht="15" hidden="false" customHeight="false" outlineLevel="0" collapsed="false">
      <c r="A1414" s="23"/>
      <c r="B1414" s="22"/>
      <c r="C1414" s="22"/>
      <c r="D1414" s="22"/>
      <c r="E1414" s="22"/>
      <c r="F1414" s="27" t="str">
        <f aca="false">IF(B1414="","",IFERROR(INDEX(Roster!$B$5:$B$154,MATCH(B1414,Roster!$A$5:$A$154,0)),"Not on roster"))</f>
        <v/>
      </c>
      <c r="G1414" s="28" t="str">
        <f aca="false">IF(OR(B1414="",C1414=""),"",F1414&amp;" | "&amp;C1414)</f>
        <v/>
      </c>
      <c r="H1414" s="27" t="str">
        <f aca="false">IF(G1414="","",IFERROR(INDEX(Levels!$C$5:$C$94,MATCH(G1414,Levels!$G$5:$G$94,0)),"Not this class's skill"))</f>
        <v/>
      </c>
    </row>
    <row r="1415" customFormat="false" ht="15" hidden="false" customHeight="false" outlineLevel="0" collapsed="false">
      <c r="A1415" s="23"/>
      <c r="B1415" s="22"/>
      <c r="C1415" s="22"/>
      <c r="D1415" s="22"/>
      <c r="E1415" s="22"/>
      <c r="F1415" s="27" t="str">
        <f aca="false">IF(B1415="","",IFERROR(INDEX(Roster!$B$5:$B$154,MATCH(B1415,Roster!$A$5:$A$154,0)),"Not on roster"))</f>
        <v/>
      </c>
      <c r="G1415" s="28" t="str">
        <f aca="false">IF(OR(B1415="",C1415=""),"",F1415&amp;" | "&amp;C1415)</f>
        <v/>
      </c>
      <c r="H1415" s="27" t="str">
        <f aca="false">IF(G1415="","",IFERROR(INDEX(Levels!$C$5:$C$94,MATCH(G1415,Levels!$G$5:$G$94,0)),"Not this class's skill"))</f>
        <v/>
      </c>
    </row>
    <row r="1416" customFormat="false" ht="15" hidden="false" customHeight="false" outlineLevel="0" collapsed="false">
      <c r="A1416" s="23"/>
      <c r="B1416" s="22"/>
      <c r="C1416" s="22"/>
      <c r="D1416" s="22"/>
      <c r="E1416" s="22"/>
      <c r="F1416" s="27" t="str">
        <f aca="false">IF(B1416="","",IFERROR(INDEX(Roster!$B$5:$B$154,MATCH(B1416,Roster!$A$5:$A$154,0)),"Not on roster"))</f>
        <v/>
      </c>
      <c r="G1416" s="28" t="str">
        <f aca="false">IF(OR(B1416="",C1416=""),"",F1416&amp;" | "&amp;C1416)</f>
        <v/>
      </c>
      <c r="H1416" s="27" t="str">
        <f aca="false">IF(G1416="","",IFERROR(INDEX(Levels!$C$5:$C$94,MATCH(G1416,Levels!$G$5:$G$94,0)),"Not this class's skill"))</f>
        <v/>
      </c>
    </row>
    <row r="1417" customFormat="false" ht="15" hidden="false" customHeight="false" outlineLevel="0" collapsed="false">
      <c r="A1417" s="23"/>
      <c r="B1417" s="22"/>
      <c r="C1417" s="22"/>
      <c r="D1417" s="22"/>
      <c r="E1417" s="22"/>
      <c r="F1417" s="27" t="str">
        <f aca="false">IF(B1417="","",IFERROR(INDEX(Roster!$B$5:$B$154,MATCH(B1417,Roster!$A$5:$A$154,0)),"Not on roster"))</f>
        <v/>
      </c>
      <c r="G1417" s="28" t="str">
        <f aca="false">IF(OR(B1417="",C1417=""),"",F1417&amp;" | "&amp;C1417)</f>
        <v/>
      </c>
      <c r="H1417" s="27" t="str">
        <f aca="false">IF(G1417="","",IFERROR(INDEX(Levels!$C$5:$C$94,MATCH(G1417,Levels!$G$5:$G$94,0)),"Not this class's skill"))</f>
        <v/>
      </c>
    </row>
    <row r="1418" customFormat="false" ht="15" hidden="false" customHeight="false" outlineLevel="0" collapsed="false">
      <c r="A1418" s="23"/>
      <c r="B1418" s="22"/>
      <c r="C1418" s="22"/>
      <c r="D1418" s="22"/>
      <c r="E1418" s="22"/>
      <c r="F1418" s="27" t="str">
        <f aca="false">IF(B1418="","",IFERROR(INDEX(Roster!$B$5:$B$154,MATCH(B1418,Roster!$A$5:$A$154,0)),"Not on roster"))</f>
        <v/>
      </c>
      <c r="G1418" s="28" t="str">
        <f aca="false">IF(OR(B1418="",C1418=""),"",F1418&amp;" | "&amp;C1418)</f>
        <v/>
      </c>
      <c r="H1418" s="27" t="str">
        <f aca="false">IF(G1418="","",IFERROR(INDEX(Levels!$C$5:$C$94,MATCH(G1418,Levels!$G$5:$G$94,0)),"Not this class's skill"))</f>
        <v/>
      </c>
    </row>
    <row r="1419" customFormat="false" ht="15" hidden="false" customHeight="false" outlineLevel="0" collapsed="false">
      <c r="A1419" s="23"/>
      <c r="B1419" s="22"/>
      <c r="C1419" s="22"/>
      <c r="D1419" s="22"/>
      <c r="E1419" s="22"/>
      <c r="F1419" s="27" t="str">
        <f aca="false">IF(B1419="","",IFERROR(INDEX(Roster!$B$5:$B$154,MATCH(B1419,Roster!$A$5:$A$154,0)),"Not on roster"))</f>
        <v/>
      </c>
      <c r="G1419" s="28" t="str">
        <f aca="false">IF(OR(B1419="",C1419=""),"",F1419&amp;" | "&amp;C1419)</f>
        <v/>
      </c>
      <c r="H1419" s="27" t="str">
        <f aca="false">IF(G1419="","",IFERROR(INDEX(Levels!$C$5:$C$94,MATCH(G1419,Levels!$G$5:$G$94,0)),"Not this class's skill"))</f>
        <v/>
      </c>
    </row>
    <row r="1420" customFormat="false" ht="15" hidden="false" customHeight="false" outlineLevel="0" collapsed="false">
      <c r="A1420" s="23"/>
      <c r="B1420" s="22"/>
      <c r="C1420" s="22"/>
      <c r="D1420" s="22"/>
      <c r="E1420" s="22"/>
      <c r="F1420" s="27" t="str">
        <f aca="false">IF(B1420="","",IFERROR(INDEX(Roster!$B$5:$B$154,MATCH(B1420,Roster!$A$5:$A$154,0)),"Not on roster"))</f>
        <v/>
      </c>
      <c r="G1420" s="28" t="str">
        <f aca="false">IF(OR(B1420="",C1420=""),"",F1420&amp;" | "&amp;C1420)</f>
        <v/>
      </c>
      <c r="H1420" s="27" t="str">
        <f aca="false">IF(G1420="","",IFERROR(INDEX(Levels!$C$5:$C$94,MATCH(G1420,Levels!$G$5:$G$94,0)),"Not this class's skill"))</f>
        <v/>
      </c>
    </row>
    <row r="1421" customFormat="false" ht="15" hidden="false" customHeight="false" outlineLevel="0" collapsed="false">
      <c r="A1421" s="23"/>
      <c r="B1421" s="22"/>
      <c r="C1421" s="22"/>
      <c r="D1421" s="22"/>
      <c r="E1421" s="22"/>
      <c r="F1421" s="27" t="str">
        <f aca="false">IF(B1421="","",IFERROR(INDEX(Roster!$B$5:$B$154,MATCH(B1421,Roster!$A$5:$A$154,0)),"Not on roster"))</f>
        <v/>
      </c>
      <c r="G1421" s="28" t="str">
        <f aca="false">IF(OR(B1421="",C1421=""),"",F1421&amp;" | "&amp;C1421)</f>
        <v/>
      </c>
      <c r="H1421" s="27" t="str">
        <f aca="false">IF(G1421="","",IFERROR(INDEX(Levels!$C$5:$C$94,MATCH(G1421,Levels!$G$5:$G$94,0)),"Not this class's skill"))</f>
        <v/>
      </c>
    </row>
    <row r="1422" customFormat="false" ht="15" hidden="false" customHeight="false" outlineLevel="0" collapsed="false">
      <c r="A1422" s="23"/>
      <c r="B1422" s="22"/>
      <c r="C1422" s="22"/>
      <c r="D1422" s="22"/>
      <c r="E1422" s="22"/>
      <c r="F1422" s="27" t="str">
        <f aca="false">IF(B1422="","",IFERROR(INDEX(Roster!$B$5:$B$154,MATCH(B1422,Roster!$A$5:$A$154,0)),"Not on roster"))</f>
        <v/>
      </c>
      <c r="G1422" s="28" t="str">
        <f aca="false">IF(OR(B1422="",C1422=""),"",F1422&amp;" | "&amp;C1422)</f>
        <v/>
      </c>
      <c r="H1422" s="27" t="str">
        <f aca="false">IF(G1422="","",IFERROR(INDEX(Levels!$C$5:$C$94,MATCH(G1422,Levels!$G$5:$G$94,0)),"Not this class's skill"))</f>
        <v/>
      </c>
    </row>
    <row r="1423" customFormat="false" ht="15" hidden="false" customHeight="false" outlineLevel="0" collapsed="false">
      <c r="A1423" s="23"/>
      <c r="B1423" s="22"/>
      <c r="C1423" s="22"/>
      <c r="D1423" s="22"/>
      <c r="E1423" s="22"/>
      <c r="F1423" s="27" t="str">
        <f aca="false">IF(B1423="","",IFERROR(INDEX(Roster!$B$5:$B$154,MATCH(B1423,Roster!$A$5:$A$154,0)),"Not on roster"))</f>
        <v/>
      </c>
      <c r="G1423" s="28" t="str">
        <f aca="false">IF(OR(B1423="",C1423=""),"",F1423&amp;" | "&amp;C1423)</f>
        <v/>
      </c>
      <c r="H1423" s="27" t="str">
        <f aca="false">IF(G1423="","",IFERROR(INDEX(Levels!$C$5:$C$94,MATCH(G1423,Levels!$G$5:$G$94,0)),"Not this class's skill"))</f>
        <v/>
      </c>
    </row>
    <row r="1424" customFormat="false" ht="15" hidden="false" customHeight="false" outlineLevel="0" collapsed="false">
      <c r="A1424" s="23"/>
      <c r="B1424" s="22"/>
      <c r="C1424" s="22"/>
      <c r="D1424" s="22"/>
      <c r="E1424" s="22"/>
      <c r="F1424" s="27" t="str">
        <f aca="false">IF(B1424="","",IFERROR(INDEX(Roster!$B$5:$B$154,MATCH(B1424,Roster!$A$5:$A$154,0)),"Not on roster"))</f>
        <v/>
      </c>
      <c r="G1424" s="28" t="str">
        <f aca="false">IF(OR(B1424="",C1424=""),"",F1424&amp;" | "&amp;C1424)</f>
        <v/>
      </c>
      <c r="H1424" s="27" t="str">
        <f aca="false">IF(G1424="","",IFERROR(INDEX(Levels!$C$5:$C$94,MATCH(G1424,Levels!$G$5:$G$94,0)),"Not this class's skill"))</f>
        <v/>
      </c>
    </row>
    <row r="1425" customFormat="false" ht="15" hidden="false" customHeight="false" outlineLevel="0" collapsed="false">
      <c r="A1425" s="23"/>
      <c r="B1425" s="22"/>
      <c r="C1425" s="22"/>
      <c r="D1425" s="22"/>
      <c r="E1425" s="22"/>
      <c r="F1425" s="27" t="str">
        <f aca="false">IF(B1425="","",IFERROR(INDEX(Roster!$B$5:$B$154,MATCH(B1425,Roster!$A$5:$A$154,0)),"Not on roster"))</f>
        <v/>
      </c>
      <c r="G1425" s="28" t="str">
        <f aca="false">IF(OR(B1425="",C1425=""),"",F1425&amp;" | "&amp;C1425)</f>
        <v/>
      </c>
      <c r="H1425" s="27" t="str">
        <f aca="false">IF(G1425="","",IFERROR(INDEX(Levels!$C$5:$C$94,MATCH(G1425,Levels!$G$5:$G$94,0)),"Not this class's skill"))</f>
        <v/>
      </c>
    </row>
    <row r="1426" customFormat="false" ht="15" hidden="false" customHeight="false" outlineLevel="0" collapsed="false">
      <c r="A1426" s="23"/>
      <c r="B1426" s="22"/>
      <c r="C1426" s="22"/>
      <c r="D1426" s="22"/>
      <c r="E1426" s="22"/>
      <c r="F1426" s="27" t="str">
        <f aca="false">IF(B1426="","",IFERROR(INDEX(Roster!$B$5:$B$154,MATCH(B1426,Roster!$A$5:$A$154,0)),"Not on roster"))</f>
        <v/>
      </c>
      <c r="G1426" s="28" t="str">
        <f aca="false">IF(OR(B1426="",C1426=""),"",F1426&amp;" | "&amp;C1426)</f>
        <v/>
      </c>
      <c r="H1426" s="27" t="str">
        <f aca="false">IF(G1426="","",IFERROR(INDEX(Levels!$C$5:$C$94,MATCH(G1426,Levels!$G$5:$G$94,0)),"Not this class's skill"))</f>
        <v/>
      </c>
    </row>
    <row r="1427" customFormat="false" ht="15" hidden="false" customHeight="false" outlineLevel="0" collapsed="false">
      <c r="A1427" s="23"/>
      <c r="B1427" s="22"/>
      <c r="C1427" s="22"/>
      <c r="D1427" s="22"/>
      <c r="E1427" s="22"/>
      <c r="F1427" s="27" t="str">
        <f aca="false">IF(B1427="","",IFERROR(INDEX(Roster!$B$5:$B$154,MATCH(B1427,Roster!$A$5:$A$154,0)),"Not on roster"))</f>
        <v/>
      </c>
      <c r="G1427" s="28" t="str">
        <f aca="false">IF(OR(B1427="",C1427=""),"",F1427&amp;" | "&amp;C1427)</f>
        <v/>
      </c>
      <c r="H1427" s="27" t="str">
        <f aca="false">IF(G1427="","",IFERROR(INDEX(Levels!$C$5:$C$94,MATCH(G1427,Levels!$G$5:$G$94,0)),"Not this class's skill"))</f>
        <v/>
      </c>
    </row>
    <row r="1428" customFormat="false" ht="15" hidden="false" customHeight="false" outlineLevel="0" collapsed="false">
      <c r="A1428" s="23"/>
      <c r="B1428" s="22"/>
      <c r="C1428" s="22"/>
      <c r="D1428" s="22"/>
      <c r="E1428" s="22"/>
      <c r="F1428" s="27" t="str">
        <f aca="false">IF(B1428="","",IFERROR(INDEX(Roster!$B$5:$B$154,MATCH(B1428,Roster!$A$5:$A$154,0)),"Not on roster"))</f>
        <v/>
      </c>
      <c r="G1428" s="28" t="str">
        <f aca="false">IF(OR(B1428="",C1428=""),"",F1428&amp;" | "&amp;C1428)</f>
        <v/>
      </c>
      <c r="H1428" s="27" t="str">
        <f aca="false">IF(G1428="","",IFERROR(INDEX(Levels!$C$5:$C$94,MATCH(G1428,Levels!$G$5:$G$94,0)),"Not this class's skill"))</f>
        <v/>
      </c>
    </row>
    <row r="1429" customFormat="false" ht="15" hidden="false" customHeight="false" outlineLevel="0" collapsed="false">
      <c r="A1429" s="23"/>
      <c r="B1429" s="22"/>
      <c r="C1429" s="22"/>
      <c r="D1429" s="22"/>
      <c r="E1429" s="22"/>
      <c r="F1429" s="27" t="str">
        <f aca="false">IF(B1429="","",IFERROR(INDEX(Roster!$B$5:$B$154,MATCH(B1429,Roster!$A$5:$A$154,0)),"Not on roster"))</f>
        <v/>
      </c>
      <c r="G1429" s="28" t="str">
        <f aca="false">IF(OR(B1429="",C1429=""),"",F1429&amp;" | "&amp;C1429)</f>
        <v/>
      </c>
      <c r="H1429" s="27" t="str">
        <f aca="false">IF(G1429="","",IFERROR(INDEX(Levels!$C$5:$C$94,MATCH(G1429,Levels!$G$5:$G$94,0)),"Not this class's skill"))</f>
        <v/>
      </c>
    </row>
    <row r="1430" customFormat="false" ht="15" hidden="false" customHeight="false" outlineLevel="0" collapsed="false">
      <c r="A1430" s="23"/>
      <c r="B1430" s="22"/>
      <c r="C1430" s="22"/>
      <c r="D1430" s="22"/>
      <c r="E1430" s="22"/>
      <c r="F1430" s="27" t="str">
        <f aca="false">IF(B1430="","",IFERROR(INDEX(Roster!$B$5:$B$154,MATCH(B1430,Roster!$A$5:$A$154,0)),"Not on roster"))</f>
        <v/>
      </c>
      <c r="G1430" s="28" t="str">
        <f aca="false">IF(OR(B1430="",C1430=""),"",F1430&amp;" | "&amp;C1430)</f>
        <v/>
      </c>
      <c r="H1430" s="27" t="str">
        <f aca="false">IF(G1430="","",IFERROR(INDEX(Levels!$C$5:$C$94,MATCH(G1430,Levels!$G$5:$G$94,0)),"Not this class's skill"))</f>
        <v/>
      </c>
    </row>
    <row r="1431" customFormat="false" ht="15" hidden="false" customHeight="false" outlineLevel="0" collapsed="false">
      <c r="A1431" s="23"/>
      <c r="B1431" s="22"/>
      <c r="C1431" s="22"/>
      <c r="D1431" s="22"/>
      <c r="E1431" s="22"/>
      <c r="F1431" s="27" t="str">
        <f aca="false">IF(B1431="","",IFERROR(INDEX(Roster!$B$5:$B$154,MATCH(B1431,Roster!$A$5:$A$154,0)),"Not on roster"))</f>
        <v/>
      </c>
      <c r="G1431" s="28" t="str">
        <f aca="false">IF(OR(B1431="",C1431=""),"",F1431&amp;" | "&amp;C1431)</f>
        <v/>
      </c>
      <c r="H1431" s="27" t="str">
        <f aca="false">IF(G1431="","",IFERROR(INDEX(Levels!$C$5:$C$94,MATCH(G1431,Levels!$G$5:$G$94,0)),"Not this class's skill"))</f>
        <v/>
      </c>
    </row>
    <row r="1432" customFormat="false" ht="15" hidden="false" customHeight="false" outlineLevel="0" collapsed="false">
      <c r="A1432" s="23"/>
      <c r="B1432" s="22"/>
      <c r="C1432" s="22"/>
      <c r="D1432" s="22"/>
      <c r="E1432" s="22"/>
      <c r="F1432" s="27" t="str">
        <f aca="false">IF(B1432="","",IFERROR(INDEX(Roster!$B$5:$B$154,MATCH(B1432,Roster!$A$5:$A$154,0)),"Not on roster"))</f>
        <v/>
      </c>
      <c r="G1432" s="28" t="str">
        <f aca="false">IF(OR(B1432="",C1432=""),"",F1432&amp;" | "&amp;C1432)</f>
        <v/>
      </c>
      <c r="H1432" s="27" t="str">
        <f aca="false">IF(G1432="","",IFERROR(INDEX(Levels!$C$5:$C$94,MATCH(G1432,Levels!$G$5:$G$94,0)),"Not this class's skill"))</f>
        <v/>
      </c>
    </row>
    <row r="1433" customFormat="false" ht="15" hidden="false" customHeight="false" outlineLevel="0" collapsed="false">
      <c r="A1433" s="23"/>
      <c r="B1433" s="22"/>
      <c r="C1433" s="22"/>
      <c r="D1433" s="22"/>
      <c r="E1433" s="22"/>
      <c r="F1433" s="27" t="str">
        <f aca="false">IF(B1433="","",IFERROR(INDEX(Roster!$B$5:$B$154,MATCH(B1433,Roster!$A$5:$A$154,0)),"Not on roster"))</f>
        <v/>
      </c>
      <c r="G1433" s="28" t="str">
        <f aca="false">IF(OR(B1433="",C1433=""),"",F1433&amp;" | "&amp;C1433)</f>
        <v/>
      </c>
      <c r="H1433" s="27" t="str">
        <f aca="false">IF(G1433="","",IFERROR(INDEX(Levels!$C$5:$C$94,MATCH(G1433,Levels!$G$5:$G$94,0)),"Not this class's skill"))</f>
        <v/>
      </c>
    </row>
    <row r="1434" customFormat="false" ht="15" hidden="false" customHeight="false" outlineLevel="0" collapsed="false">
      <c r="A1434" s="23"/>
      <c r="B1434" s="22"/>
      <c r="C1434" s="22"/>
      <c r="D1434" s="22"/>
      <c r="E1434" s="22"/>
      <c r="F1434" s="27" t="str">
        <f aca="false">IF(B1434="","",IFERROR(INDEX(Roster!$B$5:$B$154,MATCH(B1434,Roster!$A$5:$A$154,0)),"Not on roster"))</f>
        <v/>
      </c>
      <c r="G1434" s="28" t="str">
        <f aca="false">IF(OR(B1434="",C1434=""),"",F1434&amp;" | "&amp;C1434)</f>
        <v/>
      </c>
      <c r="H1434" s="27" t="str">
        <f aca="false">IF(G1434="","",IFERROR(INDEX(Levels!$C$5:$C$94,MATCH(G1434,Levels!$G$5:$G$94,0)),"Not this class's skill"))</f>
        <v/>
      </c>
    </row>
    <row r="1435" customFormat="false" ht="15" hidden="false" customHeight="false" outlineLevel="0" collapsed="false">
      <c r="A1435" s="23"/>
      <c r="B1435" s="22"/>
      <c r="C1435" s="22"/>
      <c r="D1435" s="22"/>
      <c r="E1435" s="22"/>
      <c r="F1435" s="27" t="str">
        <f aca="false">IF(B1435="","",IFERROR(INDEX(Roster!$B$5:$B$154,MATCH(B1435,Roster!$A$5:$A$154,0)),"Not on roster"))</f>
        <v/>
      </c>
      <c r="G1435" s="28" t="str">
        <f aca="false">IF(OR(B1435="",C1435=""),"",F1435&amp;" | "&amp;C1435)</f>
        <v/>
      </c>
      <c r="H1435" s="27" t="str">
        <f aca="false">IF(G1435="","",IFERROR(INDEX(Levels!$C$5:$C$94,MATCH(G1435,Levels!$G$5:$G$94,0)),"Not this class's skill"))</f>
        <v/>
      </c>
    </row>
    <row r="1436" customFormat="false" ht="15" hidden="false" customHeight="false" outlineLevel="0" collapsed="false">
      <c r="A1436" s="23"/>
      <c r="B1436" s="22"/>
      <c r="C1436" s="22"/>
      <c r="D1436" s="22"/>
      <c r="E1436" s="22"/>
      <c r="F1436" s="27" t="str">
        <f aca="false">IF(B1436="","",IFERROR(INDEX(Roster!$B$5:$B$154,MATCH(B1436,Roster!$A$5:$A$154,0)),"Not on roster"))</f>
        <v/>
      </c>
      <c r="G1436" s="28" t="str">
        <f aca="false">IF(OR(B1436="",C1436=""),"",F1436&amp;" | "&amp;C1436)</f>
        <v/>
      </c>
      <c r="H1436" s="27" t="str">
        <f aca="false">IF(G1436="","",IFERROR(INDEX(Levels!$C$5:$C$94,MATCH(G1436,Levels!$G$5:$G$94,0)),"Not this class's skill"))</f>
        <v/>
      </c>
    </row>
    <row r="1437" customFormat="false" ht="15" hidden="false" customHeight="false" outlineLevel="0" collapsed="false">
      <c r="A1437" s="23"/>
      <c r="B1437" s="22"/>
      <c r="C1437" s="22"/>
      <c r="D1437" s="22"/>
      <c r="E1437" s="22"/>
      <c r="F1437" s="27" t="str">
        <f aca="false">IF(B1437="","",IFERROR(INDEX(Roster!$B$5:$B$154,MATCH(B1437,Roster!$A$5:$A$154,0)),"Not on roster"))</f>
        <v/>
      </c>
      <c r="G1437" s="28" t="str">
        <f aca="false">IF(OR(B1437="",C1437=""),"",F1437&amp;" | "&amp;C1437)</f>
        <v/>
      </c>
      <c r="H1437" s="27" t="str">
        <f aca="false">IF(G1437="","",IFERROR(INDEX(Levels!$C$5:$C$94,MATCH(G1437,Levels!$G$5:$G$94,0)),"Not this class's skill"))</f>
        <v/>
      </c>
    </row>
    <row r="1438" customFormat="false" ht="15" hidden="false" customHeight="false" outlineLevel="0" collapsed="false">
      <c r="A1438" s="23"/>
      <c r="B1438" s="22"/>
      <c r="C1438" s="22"/>
      <c r="D1438" s="22"/>
      <c r="E1438" s="22"/>
      <c r="F1438" s="27" t="str">
        <f aca="false">IF(B1438="","",IFERROR(INDEX(Roster!$B$5:$B$154,MATCH(B1438,Roster!$A$5:$A$154,0)),"Not on roster"))</f>
        <v/>
      </c>
      <c r="G1438" s="28" t="str">
        <f aca="false">IF(OR(B1438="",C1438=""),"",F1438&amp;" | "&amp;C1438)</f>
        <v/>
      </c>
      <c r="H1438" s="27" t="str">
        <f aca="false">IF(G1438="","",IFERROR(INDEX(Levels!$C$5:$C$94,MATCH(G1438,Levels!$G$5:$G$94,0)),"Not this class's skill"))</f>
        <v/>
      </c>
    </row>
    <row r="1439" customFormat="false" ht="15" hidden="false" customHeight="false" outlineLevel="0" collapsed="false">
      <c r="A1439" s="23"/>
      <c r="B1439" s="22"/>
      <c r="C1439" s="22"/>
      <c r="D1439" s="22"/>
      <c r="E1439" s="22"/>
      <c r="F1439" s="27" t="str">
        <f aca="false">IF(B1439="","",IFERROR(INDEX(Roster!$B$5:$B$154,MATCH(B1439,Roster!$A$5:$A$154,0)),"Not on roster"))</f>
        <v/>
      </c>
      <c r="G1439" s="28" t="str">
        <f aca="false">IF(OR(B1439="",C1439=""),"",F1439&amp;" | "&amp;C1439)</f>
        <v/>
      </c>
      <c r="H1439" s="27" t="str">
        <f aca="false">IF(G1439="","",IFERROR(INDEX(Levels!$C$5:$C$94,MATCH(G1439,Levels!$G$5:$G$94,0)),"Not this class's skill"))</f>
        <v/>
      </c>
    </row>
    <row r="1440" customFormat="false" ht="15" hidden="false" customHeight="false" outlineLevel="0" collapsed="false">
      <c r="A1440" s="23"/>
      <c r="B1440" s="22"/>
      <c r="C1440" s="22"/>
      <c r="D1440" s="22"/>
      <c r="E1440" s="22"/>
      <c r="F1440" s="27" t="str">
        <f aca="false">IF(B1440="","",IFERROR(INDEX(Roster!$B$5:$B$154,MATCH(B1440,Roster!$A$5:$A$154,0)),"Not on roster"))</f>
        <v/>
      </c>
      <c r="G1440" s="28" t="str">
        <f aca="false">IF(OR(B1440="",C1440=""),"",F1440&amp;" | "&amp;C1440)</f>
        <v/>
      </c>
      <c r="H1440" s="27" t="str">
        <f aca="false">IF(G1440="","",IFERROR(INDEX(Levels!$C$5:$C$94,MATCH(G1440,Levels!$G$5:$G$94,0)),"Not this class's skill"))</f>
        <v/>
      </c>
    </row>
    <row r="1441" customFormat="false" ht="15" hidden="false" customHeight="false" outlineLevel="0" collapsed="false">
      <c r="A1441" s="23"/>
      <c r="B1441" s="22"/>
      <c r="C1441" s="22"/>
      <c r="D1441" s="22"/>
      <c r="E1441" s="22"/>
      <c r="F1441" s="27" t="str">
        <f aca="false">IF(B1441="","",IFERROR(INDEX(Roster!$B$5:$B$154,MATCH(B1441,Roster!$A$5:$A$154,0)),"Not on roster"))</f>
        <v/>
      </c>
      <c r="G1441" s="28" t="str">
        <f aca="false">IF(OR(B1441="",C1441=""),"",F1441&amp;" | "&amp;C1441)</f>
        <v/>
      </c>
      <c r="H1441" s="27" t="str">
        <f aca="false">IF(G1441="","",IFERROR(INDEX(Levels!$C$5:$C$94,MATCH(G1441,Levels!$G$5:$G$94,0)),"Not this class's skill"))</f>
        <v/>
      </c>
    </row>
    <row r="1442" customFormat="false" ht="15" hidden="false" customHeight="false" outlineLevel="0" collapsed="false">
      <c r="A1442" s="23"/>
      <c r="B1442" s="22"/>
      <c r="C1442" s="22"/>
      <c r="D1442" s="22"/>
      <c r="E1442" s="22"/>
      <c r="F1442" s="27" t="str">
        <f aca="false">IF(B1442="","",IFERROR(INDEX(Roster!$B$5:$B$154,MATCH(B1442,Roster!$A$5:$A$154,0)),"Not on roster"))</f>
        <v/>
      </c>
      <c r="G1442" s="28" t="str">
        <f aca="false">IF(OR(B1442="",C1442=""),"",F1442&amp;" | "&amp;C1442)</f>
        <v/>
      </c>
      <c r="H1442" s="27" t="str">
        <f aca="false">IF(G1442="","",IFERROR(INDEX(Levels!$C$5:$C$94,MATCH(G1442,Levels!$G$5:$G$94,0)),"Not this class's skill"))</f>
        <v/>
      </c>
    </row>
    <row r="1443" customFormat="false" ht="15" hidden="false" customHeight="false" outlineLevel="0" collapsed="false">
      <c r="A1443" s="23"/>
      <c r="B1443" s="22"/>
      <c r="C1443" s="22"/>
      <c r="D1443" s="22"/>
      <c r="E1443" s="22"/>
      <c r="F1443" s="27" t="str">
        <f aca="false">IF(B1443="","",IFERROR(INDEX(Roster!$B$5:$B$154,MATCH(B1443,Roster!$A$5:$A$154,0)),"Not on roster"))</f>
        <v/>
      </c>
      <c r="G1443" s="28" t="str">
        <f aca="false">IF(OR(B1443="",C1443=""),"",F1443&amp;" | "&amp;C1443)</f>
        <v/>
      </c>
      <c r="H1443" s="27" t="str">
        <f aca="false">IF(G1443="","",IFERROR(INDEX(Levels!$C$5:$C$94,MATCH(G1443,Levels!$G$5:$G$94,0)),"Not this class's skill"))</f>
        <v/>
      </c>
    </row>
    <row r="1444" customFormat="false" ht="15" hidden="false" customHeight="false" outlineLevel="0" collapsed="false">
      <c r="A1444" s="23"/>
      <c r="B1444" s="22"/>
      <c r="C1444" s="22"/>
      <c r="D1444" s="22"/>
      <c r="E1444" s="22"/>
      <c r="F1444" s="27" t="str">
        <f aca="false">IF(B1444="","",IFERROR(INDEX(Roster!$B$5:$B$154,MATCH(B1444,Roster!$A$5:$A$154,0)),"Not on roster"))</f>
        <v/>
      </c>
      <c r="G1444" s="28" t="str">
        <f aca="false">IF(OR(B1444="",C1444=""),"",F1444&amp;" | "&amp;C1444)</f>
        <v/>
      </c>
      <c r="H1444" s="27" t="str">
        <f aca="false">IF(G1444="","",IFERROR(INDEX(Levels!$C$5:$C$94,MATCH(G1444,Levels!$G$5:$G$94,0)),"Not this class's skill"))</f>
        <v/>
      </c>
    </row>
    <row r="1445" customFormat="false" ht="15" hidden="false" customHeight="false" outlineLevel="0" collapsed="false">
      <c r="A1445" s="23"/>
      <c r="B1445" s="22"/>
      <c r="C1445" s="22"/>
      <c r="D1445" s="22"/>
      <c r="E1445" s="22"/>
      <c r="F1445" s="27" t="str">
        <f aca="false">IF(B1445="","",IFERROR(INDEX(Roster!$B$5:$B$154,MATCH(B1445,Roster!$A$5:$A$154,0)),"Not on roster"))</f>
        <v/>
      </c>
      <c r="G1445" s="28" t="str">
        <f aca="false">IF(OR(B1445="",C1445=""),"",F1445&amp;" | "&amp;C1445)</f>
        <v/>
      </c>
      <c r="H1445" s="27" t="str">
        <f aca="false">IF(G1445="","",IFERROR(INDEX(Levels!$C$5:$C$94,MATCH(G1445,Levels!$G$5:$G$94,0)),"Not this class's skill"))</f>
        <v/>
      </c>
    </row>
    <row r="1446" customFormat="false" ht="15" hidden="false" customHeight="false" outlineLevel="0" collapsed="false">
      <c r="A1446" s="23"/>
      <c r="B1446" s="22"/>
      <c r="C1446" s="22"/>
      <c r="D1446" s="22"/>
      <c r="E1446" s="22"/>
      <c r="F1446" s="27" t="str">
        <f aca="false">IF(B1446="","",IFERROR(INDEX(Roster!$B$5:$B$154,MATCH(B1446,Roster!$A$5:$A$154,0)),"Not on roster"))</f>
        <v/>
      </c>
      <c r="G1446" s="28" t="str">
        <f aca="false">IF(OR(B1446="",C1446=""),"",F1446&amp;" | "&amp;C1446)</f>
        <v/>
      </c>
      <c r="H1446" s="27" t="str">
        <f aca="false">IF(G1446="","",IFERROR(INDEX(Levels!$C$5:$C$94,MATCH(G1446,Levels!$G$5:$G$94,0)),"Not this class's skill"))</f>
        <v/>
      </c>
    </row>
    <row r="1447" customFormat="false" ht="15" hidden="false" customHeight="false" outlineLevel="0" collapsed="false">
      <c r="A1447" s="23"/>
      <c r="B1447" s="22"/>
      <c r="C1447" s="22"/>
      <c r="D1447" s="22"/>
      <c r="E1447" s="22"/>
      <c r="F1447" s="27" t="str">
        <f aca="false">IF(B1447="","",IFERROR(INDEX(Roster!$B$5:$B$154,MATCH(B1447,Roster!$A$5:$A$154,0)),"Not on roster"))</f>
        <v/>
      </c>
      <c r="G1447" s="28" t="str">
        <f aca="false">IF(OR(B1447="",C1447=""),"",F1447&amp;" | "&amp;C1447)</f>
        <v/>
      </c>
      <c r="H1447" s="27" t="str">
        <f aca="false">IF(G1447="","",IFERROR(INDEX(Levels!$C$5:$C$94,MATCH(G1447,Levels!$G$5:$G$94,0)),"Not this class's skill"))</f>
        <v/>
      </c>
    </row>
    <row r="1448" customFormat="false" ht="15" hidden="false" customHeight="false" outlineLevel="0" collapsed="false">
      <c r="A1448" s="23"/>
      <c r="B1448" s="22"/>
      <c r="C1448" s="22"/>
      <c r="D1448" s="22"/>
      <c r="E1448" s="22"/>
      <c r="F1448" s="27" t="str">
        <f aca="false">IF(B1448="","",IFERROR(INDEX(Roster!$B$5:$B$154,MATCH(B1448,Roster!$A$5:$A$154,0)),"Not on roster"))</f>
        <v/>
      </c>
      <c r="G1448" s="28" t="str">
        <f aca="false">IF(OR(B1448="",C1448=""),"",F1448&amp;" | "&amp;C1448)</f>
        <v/>
      </c>
      <c r="H1448" s="27" t="str">
        <f aca="false">IF(G1448="","",IFERROR(INDEX(Levels!$C$5:$C$94,MATCH(G1448,Levels!$G$5:$G$94,0)),"Not this class's skill"))</f>
        <v/>
      </c>
    </row>
    <row r="1449" customFormat="false" ht="15" hidden="false" customHeight="false" outlineLevel="0" collapsed="false">
      <c r="A1449" s="23"/>
      <c r="B1449" s="22"/>
      <c r="C1449" s="22"/>
      <c r="D1449" s="22"/>
      <c r="E1449" s="22"/>
      <c r="F1449" s="27" t="str">
        <f aca="false">IF(B1449="","",IFERROR(INDEX(Roster!$B$5:$B$154,MATCH(B1449,Roster!$A$5:$A$154,0)),"Not on roster"))</f>
        <v/>
      </c>
      <c r="G1449" s="28" t="str">
        <f aca="false">IF(OR(B1449="",C1449=""),"",F1449&amp;" | "&amp;C1449)</f>
        <v/>
      </c>
      <c r="H1449" s="27" t="str">
        <f aca="false">IF(G1449="","",IFERROR(INDEX(Levels!$C$5:$C$94,MATCH(G1449,Levels!$G$5:$G$94,0)),"Not this class's skill"))</f>
        <v/>
      </c>
    </row>
    <row r="1450" customFormat="false" ht="15" hidden="false" customHeight="false" outlineLevel="0" collapsed="false">
      <c r="A1450" s="23"/>
      <c r="B1450" s="22"/>
      <c r="C1450" s="22"/>
      <c r="D1450" s="22"/>
      <c r="E1450" s="22"/>
      <c r="F1450" s="27" t="str">
        <f aca="false">IF(B1450="","",IFERROR(INDEX(Roster!$B$5:$B$154,MATCH(B1450,Roster!$A$5:$A$154,0)),"Not on roster"))</f>
        <v/>
      </c>
      <c r="G1450" s="28" t="str">
        <f aca="false">IF(OR(B1450="",C1450=""),"",F1450&amp;" | "&amp;C1450)</f>
        <v/>
      </c>
      <c r="H1450" s="27" t="str">
        <f aca="false">IF(G1450="","",IFERROR(INDEX(Levels!$C$5:$C$94,MATCH(G1450,Levels!$G$5:$G$94,0)),"Not this class's skill"))</f>
        <v/>
      </c>
    </row>
    <row r="1451" customFormat="false" ht="15" hidden="false" customHeight="false" outlineLevel="0" collapsed="false">
      <c r="A1451" s="23"/>
      <c r="B1451" s="22"/>
      <c r="C1451" s="22"/>
      <c r="D1451" s="22"/>
      <c r="E1451" s="22"/>
      <c r="F1451" s="27" t="str">
        <f aca="false">IF(B1451="","",IFERROR(INDEX(Roster!$B$5:$B$154,MATCH(B1451,Roster!$A$5:$A$154,0)),"Not on roster"))</f>
        <v/>
      </c>
      <c r="G1451" s="28" t="str">
        <f aca="false">IF(OR(B1451="",C1451=""),"",F1451&amp;" | "&amp;C1451)</f>
        <v/>
      </c>
      <c r="H1451" s="27" t="str">
        <f aca="false">IF(G1451="","",IFERROR(INDEX(Levels!$C$5:$C$94,MATCH(G1451,Levels!$G$5:$G$94,0)),"Not this class's skill"))</f>
        <v/>
      </c>
    </row>
    <row r="1452" customFormat="false" ht="15" hidden="false" customHeight="false" outlineLevel="0" collapsed="false">
      <c r="A1452" s="23"/>
      <c r="B1452" s="22"/>
      <c r="C1452" s="22"/>
      <c r="D1452" s="22"/>
      <c r="E1452" s="22"/>
      <c r="F1452" s="27" t="str">
        <f aca="false">IF(B1452="","",IFERROR(INDEX(Roster!$B$5:$B$154,MATCH(B1452,Roster!$A$5:$A$154,0)),"Not on roster"))</f>
        <v/>
      </c>
      <c r="G1452" s="28" t="str">
        <f aca="false">IF(OR(B1452="",C1452=""),"",F1452&amp;" | "&amp;C1452)</f>
        <v/>
      </c>
      <c r="H1452" s="27" t="str">
        <f aca="false">IF(G1452="","",IFERROR(INDEX(Levels!$C$5:$C$94,MATCH(G1452,Levels!$G$5:$G$94,0)),"Not this class's skill"))</f>
        <v/>
      </c>
    </row>
    <row r="1453" customFormat="false" ht="15" hidden="false" customHeight="false" outlineLevel="0" collapsed="false">
      <c r="A1453" s="23"/>
      <c r="B1453" s="22"/>
      <c r="C1453" s="22"/>
      <c r="D1453" s="22"/>
      <c r="E1453" s="22"/>
      <c r="F1453" s="27" t="str">
        <f aca="false">IF(B1453="","",IFERROR(INDEX(Roster!$B$5:$B$154,MATCH(B1453,Roster!$A$5:$A$154,0)),"Not on roster"))</f>
        <v/>
      </c>
      <c r="G1453" s="28" t="str">
        <f aca="false">IF(OR(B1453="",C1453=""),"",F1453&amp;" | "&amp;C1453)</f>
        <v/>
      </c>
      <c r="H1453" s="27" t="str">
        <f aca="false">IF(G1453="","",IFERROR(INDEX(Levels!$C$5:$C$94,MATCH(G1453,Levels!$G$5:$G$94,0)),"Not this class's skill"))</f>
        <v/>
      </c>
    </row>
    <row r="1454" customFormat="false" ht="15" hidden="false" customHeight="false" outlineLevel="0" collapsed="false">
      <c r="A1454" s="23"/>
      <c r="B1454" s="22"/>
      <c r="C1454" s="22"/>
      <c r="D1454" s="22"/>
      <c r="E1454" s="22"/>
      <c r="F1454" s="27" t="str">
        <f aca="false">IF(B1454="","",IFERROR(INDEX(Roster!$B$5:$B$154,MATCH(B1454,Roster!$A$5:$A$154,0)),"Not on roster"))</f>
        <v/>
      </c>
      <c r="G1454" s="28" t="str">
        <f aca="false">IF(OR(B1454="",C1454=""),"",F1454&amp;" | "&amp;C1454)</f>
        <v/>
      </c>
      <c r="H1454" s="27" t="str">
        <f aca="false">IF(G1454="","",IFERROR(INDEX(Levels!$C$5:$C$94,MATCH(G1454,Levels!$G$5:$G$94,0)),"Not this class's skill"))</f>
        <v/>
      </c>
    </row>
    <row r="1455" customFormat="false" ht="15" hidden="false" customHeight="false" outlineLevel="0" collapsed="false">
      <c r="A1455" s="23"/>
      <c r="B1455" s="22"/>
      <c r="C1455" s="22"/>
      <c r="D1455" s="22"/>
      <c r="E1455" s="22"/>
      <c r="F1455" s="27" t="str">
        <f aca="false">IF(B1455="","",IFERROR(INDEX(Roster!$B$5:$B$154,MATCH(B1455,Roster!$A$5:$A$154,0)),"Not on roster"))</f>
        <v/>
      </c>
      <c r="G1455" s="28" t="str">
        <f aca="false">IF(OR(B1455="",C1455=""),"",F1455&amp;" | "&amp;C1455)</f>
        <v/>
      </c>
      <c r="H1455" s="27" t="str">
        <f aca="false">IF(G1455="","",IFERROR(INDEX(Levels!$C$5:$C$94,MATCH(G1455,Levels!$G$5:$G$94,0)),"Not this class's skill"))</f>
        <v/>
      </c>
    </row>
    <row r="1456" customFormat="false" ht="15" hidden="false" customHeight="false" outlineLevel="0" collapsed="false">
      <c r="A1456" s="23"/>
      <c r="B1456" s="22"/>
      <c r="C1456" s="22"/>
      <c r="D1456" s="22"/>
      <c r="E1456" s="22"/>
      <c r="F1456" s="27" t="str">
        <f aca="false">IF(B1456="","",IFERROR(INDEX(Roster!$B$5:$B$154,MATCH(B1456,Roster!$A$5:$A$154,0)),"Not on roster"))</f>
        <v/>
      </c>
      <c r="G1456" s="28" t="str">
        <f aca="false">IF(OR(B1456="",C1456=""),"",F1456&amp;" | "&amp;C1456)</f>
        <v/>
      </c>
      <c r="H1456" s="27" t="str">
        <f aca="false">IF(G1456="","",IFERROR(INDEX(Levels!$C$5:$C$94,MATCH(G1456,Levels!$G$5:$G$94,0)),"Not this class's skill"))</f>
        <v/>
      </c>
    </row>
    <row r="1457" customFormat="false" ht="15" hidden="false" customHeight="false" outlineLevel="0" collapsed="false">
      <c r="A1457" s="23"/>
      <c r="B1457" s="22"/>
      <c r="C1457" s="22"/>
      <c r="D1457" s="22"/>
      <c r="E1457" s="22"/>
      <c r="F1457" s="27" t="str">
        <f aca="false">IF(B1457="","",IFERROR(INDEX(Roster!$B$5:$B$154,MATCH(B1457,Roster!$A$5:$A$154,0)),"Not on roster"))</f>
        <v/>
      </c>
      <c r="G1457" s="28" t="str">
        <f aca="false">IF(OR(B1457="",C1457=""),"",F1457&amp;" | "&amp;C1457)</f>
        <v/>
      </c>
      <c r="H1457" s="27" t="str">
        <f aca="false">IF(G1457="","",IFERROR(INDEX(Levels!$C$5:$C$94,MATCH(G1457,Levels!$G$5:$G$94,0)),"Not this class's skill"))</f>
        <v/>
      </c>
    </row>
    <row r="1458" customFormat="false" ht="15" hidden="false" customHeight="false" outlineLevel="0" collapsed="false">
      <c r="A1458" s="23"/>
      <c r="B1458" s="22"/>
      <c r="C1458" s="22"/>
      <c r="D1458" s="22"/>
      <c r="E1458" s="22"/>
      <c r="F1458" s="27" t="str">
        <f aca="false">IF(B1458="","",IFERROR(INDEX(Roster!$B$5:$B$154,MATCH(B1458,Roster!$A$5:$A$154,0)),"Not on roster"))</f>
        <v/>
      </c>
      <c r="G1458" s="28" t="str">
        <f aca="false">IF(OR(B1458="",C1458=""),"",F1458&amp;" | "&amp;C1458)</f>
        <v/>
      </c>
      <c r="H1458" s="27" t="str">
        <f aca="false">IF(G1458="","",IFERROR(INDEX(Levels!$C$5:$C$94,MATCH(G1458,Levels!$G$5:$G$94,0)),"Not this class's skill"))</f>
        <v/>
      </c>
    </row>
    <row r="1459" customFormat="false" ht="15" hidden="false" customHeight="false" outlineLevel="0" collapsed="false">
      <c r="A1459" s="23"/>
      <c r="B1459" s="22"/>
      <c r="C1459" s="22"/>
      <c r="D1459" s="22"/>
      <c r="E1459" s="22"/>
      <c r="F1459" s="27" t="str">
        <f aca="false">IF(B1459="","",IFERROR(INDEX(Roster!$B$5:$B$154,MATCH(B1459,Roster!$A$5:$A$154,0)),"Not on roster"))</f>
        <v/>
      </c>
      <c r="G1459" s="28" t="str">
        <f aca="false">IF(OR(B1459="",C1459=""),"",F1459&amp;" | "&amp;C1459)</f>
        <v/>
      </c>
      <c r="H1459" s="27" t="str">
        <f aca="false">IF(G1459="","",IFERROR(INDEX(Levels!$C$5:$C$94,MATCH(G1459,Levels!$G$5:$G$94,0)),"Not this class's skill"))</f>
        <v/>
      </c>
    </row>
    <row r="1460" customFormat="false" ht="15" hidden="false" customHeight="false" outlineLevel="0" collapsed="false">
      <c r="A1460" s="23"/>
      <c r="B1460" s="22"/>
      <c r="C1460" s="22"/>
      <c r="D1460" s="22"/>
      <c r="E1460" s="22"/>
      <c r="F1460" s="27" t="str">
        <f aca="false">IF(B1460="","",IFERROR(INDEX(Roster!$B$5:$B$154,MATCH(B1460,Roster!$A$5:$A$154,0)),"Not on roster"))</f>
        <v/>
      </c>
      <c r="G1460" s="28" t="str">
        <f aca="false">IF(OR(B1460="",C1460=""),"",F1460&amp;" | "&amp;C1460)</f>
        <v/>
      </c>
      <c r="H1460" s="27" t="str">
        <f aca="false">IF(G1460="","",IFERROR(INDEX(Levels!$C$5:$C$94,MATCH(G1460,Levels!$G$5:$G$94,0)),"Not this class's skill"))</f>
        <v/>
      </c>
    </row>
    <row r="1461" customFormat="false" ht="15" hidden="false" customHeight="false" outlineLevel="0" collapsed="false">
      <c r="A1461" s="23"/>
      <c r="B1461" s="22"/>
      <c r="C1461" s="22"/>
      <c r="D1461" s="22"/>
      <c r="E1461" s="22"/>
      <c r="F1461" s="27" t="str">
        <f aca="false">IF(B1461="","",IFERROR(INDEX(Roster!$B$5:$B$154,MATCH(B1461,Roster!$A$5:$A$154,0)),"Not on roster"))</f>
        <v/>
      </c>
      <c r="G1461" s="28" t="str">
        <f aca="false">IF(OR(B1461="",C1461=""),"",F1461&amp;" | "&amp;C1461)</f>
        <v/>
      </c>
      <c r="H1461" s="27" t="str">
        <f aca="false">IF(G1461="","",IFERROR(INDEX(Levels!$C$5:$C$94,MATCH(G1461,Levels!$G$5:$G$94,0)),"Not this class's skill"))</f>
        <v/>
      </c>
    </row>
    <row r="1462" customFormat="false" ht="15" hidden="false" customHeight="false" outlineLevel="0" collapsed="false">
      <c r="A1462" s="23"/>
      <c r="B1462" s="22"/>
      <c r="C1462" s="22"/>
      <c r="D1462" s="22"/>
      <c r="E1462" s="22"/>
      <c r="F1462" s="27" t="str">
        <f aca="false">IF(B1462="","",IFERROR(INDEX(Roster!$B$5:$B$154,MATCH(B1462,Roster!$A$5:$A$154,0)),"Not on roster"))</f>
        <v/>
      </c>
      <c r="G1462" s="28" t="str">
        <f aca="false">IF(OR(B1462="",C1462=""),"",F1462&amp;" | "&amp;C1462)</f>
        <v/>
      </c>
      <c r="H1462" s="27" t="str">
        <f aca="false">IF(G1462="","",IFERROR(INDEX(Levels!$C$5:$C$94,MATCH(G1462,Levels!$G$5:$G$94,0)),"Not this class's skill"))</f>
        <v/>
      </c>
    </row>
    <row r="1463" customFormat="false" ht="15" hidden="false" customHeight="false" outlineLevel="0" collapsed="false">
      <c r="A1463" s="23"/>
      <c r="B1463" s="22"/>
      <c r="C1463" s="22"/>
      <c r="D1463" s="22"/>
      <c r="E1463" s="22"/>
      <c r="F1463" s="27" t="str">
        <f aca="false">IF(B1463="","",IFERROR(INDEX(Roster!$B$5:$B$154,MATCH(B1463,Roster!$A$5:$A$154,0)),"Not on roster"))</f>
        <v/>
      </c>
      <c r="G1463" s="28" t="str">
        <f aca="false">IF(OR(B1463="",C1463=""),"",F1463&amp;" | "&amp;C1463)</f>
        <v/>
      </c>
      <c r="H1463" s="27" t="str">
        <f aca="false">IF(G1463="","",IFERROR(INDEX(Levels!$C$5:$C$94,MATCH(G1463,Levels!$G$5:$G$94,0)),"Not this class's skill"))</f>
        <v/>
      </c>
    </row>
    <row r="1464" customFormat="false" ht="15" hidden="false" customHeight="false" outlineLevel="0" collapsed="false">
      <c r="A1464" s="23"/>
      <c r="B1464" s="22"/>
      <c r="C1464" s="22"/>
      <c r="D1464" s="22"/>
      <c r="E1464" s="22"/>
      <c r="F1464" s="27" t="str">
        <f aca="false">IF(B1464="","",IFERROR(INDEX(Roster!$B$5:$B$154,MATCH(B1464,Roster!$A$5:$A$154,0)),"Not on roster"))</f>
        <v/>
      </c>
      <c r="G1464" s="28" t="str">
        <f aca="false">IF(OR(B1464="",C1464=""),"",F1464&amp;" | "&amp;C1464)</f>
        <v/>
      </c>
      <c r="H1464" s="27" t="str">
        <f aca="false">IF(G1464="","",IFERROR(INDEX(Levels!$C$5:$C$94,MATCH(G1464,Levels!$G$5:$G$94,0)),"Not this class's skill"))</f>
        <v/>
      </c>
    </row>
    <row r="1465" customFormat="false" ht="15" hidden="false" customHeight="false" outlineLevel="0" collapsed="false">
      <c r="A1465" s="23"/>
      <c r="B1465" s="22"/>
      <c r="C1465" s="22"/>
      <c r="D1465" s="22"/>
      <c r="E1465" s="22"/>
      <c r="F1465" s="27" t="str">
        <f aca="false">IF(B1465="","",IFERROR(INDEX(Roster!$B$5:$B$154,MATCH(B1465,Roster!$A$5:$A$154,0)),"Not on roster"))</f>
        <v/>
      </c>
      <c r="G1465" s="28" t="str">
        <f aca="false">IF(OR(B1465="",C1465=""),"",F1465&amp;" | "&amp;C1465)</f>
        <v/>
      </c>
      <c r="H1465" s="27" t="str">
        <f aca="false">IF(G1465="","",IFERROR(INDEX(Levels!$C$5:$C$94,MATCH(G1465,Levels!$G$5:$G$94,0)),"Not this class's skill"))</f>
        <v/>
      </c>
    </row>
    <row r="1466" customFormat="false" ht="15" hidden="false" customHeight="false" outlineLevel="0" collapsed="false">
      <c r="A1466" s="23"/>
      <c r="B1466" s="22"/>
      <c r="C1466" s="22"/>
      <c r="D1466" s="22"/>
      <c r="E1466" s="22"/>
      <c r="F1466" s="27" t="str">
        <f aca="false">IF(B1466="","",IFERROR(INDEX(Roster!$B$5:$B$154,MATCH(B1466,Roster!$A$5:$A$154,0)),"Not on roster"))</f>
        <v/>
      </c>
      <c r="G1466" s="28" t="str">
        <f aca="false">IF(OR(B1466="",C1466=""),"",F1466&amp;" | "&amp;C1466)</f>
        <v/>
      </c>
      <c r="H1466" s="27" t="str">
        <f aca="false">IF(G1466="","",IFERROR(INDEX(Levels!$C$5:$C$94,MATCH(G1466,Levels!$G$5:$G$94,0)),"Not this class's skill"))</f>
        <v/>
      </c>
    </row>
    <row r="1467" customFormat="false" ht="15" hidden="false" customHeight="false" outlineLevel="0" collapsed="false">
      <c r="A1467" s="23"/>
      <c r="B1467" s="22"/>
      <c r="C1467" s="22"/>
      <c r="D1467" s="22"/>
      <c r="E1467" s="22"/>
      <c r="F1467" s="27" t="str">
        <f aca="false">IF(B1467="","",IFERROR(INDEX(Roster!$B$5:$B$154,MATCH(B1467,Roster!$A$5:$A$154,0)),"Not on roster"))</f>
        <v/>
      </c>
      <c r="G1467" s="28" t="str">
        <f aca="false">IF(OR(B1467="",C1467=""),"",F1467&amp;" | "&amp;C1467)</f>
        <v/>
      </c>
      <c r="H1467" s="27" t="str">
        <f aca="false">IF(G1467="","",IFERROR(INDEX(Levels!$C$5:$C$94,MATCH(G1467,Levels!$G$5:$G$94,0)),"Not this class's skill"))</f>
        <v/>
      </c>
    </row>
    <row r="1468" customFormat="false" ht="15" hidden="false" customHeight="false" outlineLevel="0" collapsed="false">
      <c r="A1468" s="23"/>
      <c r="B1468" s="22"/>
      <c r="C1468" s="22"/>
      <c r="D1468" s="22"/>
      <c r="E1468" s="22"/>
      <c r="F1468" s="27" t="str">
        <f aca="false">IF(B1468="","",IFERROR(INDEX(Roster!$B$5:$B$154,MATCH(B1468,Roster!$A$5:$A$154,0)),"Not on roster"))</f>
        <v/>
      </c>
      <c r="G1468" s="28" t="str">
        <f aca="false">IF(OR(B1468="",C1468=""),"",F1468&amp;" | "&amp;C1468)</f>
        <v/>
      </c>
      <c r="H1468" s="27" t="str">
        <f aca="false">IF(G1468="","",IFERROR(INDEX(Levels!$C$5:$C$94,MATCH(G1468,Levels!$G$5:$G$94,0)),"Not this class's skill"))</f>
        <v/>
      </c>
    </row>
    <row r="1469" customFormat="false" ht="15" hidden="false" customHeight="false" outlineLevel="0" collapsed="false">
      <c r="A1469" s="23"/>
      <c r="B1469" s="22"/>
      <c r="C1469" s="22"/>
      <c r="D1469" s="22"/>
      <c r="E1469" s="22"/>
      <c r="F1469" s="27" t="str">
        <f aca="false">IF(B1469="","",IFERROR(INDEX(Roster!$B$5:$B$154,MATCH(B1469,Roster!$A$5:$A$154,0)),"Not on roster"))</f>
        <v/>
      </c>
      <c r="G1469" s="28" t="str">
        <f aca="false">IF(OR(B1469="",C1469=""),"",F1469&amp;" | "&amp;C1469)</f>
        <v/>
      </c>
      <c r="H1469" s="27" t="str">
        <f aca="false">IF(G1469="","",IFERROR(INDEX(Levels!$C$5:$C$94,MATCH(G1469,Levels!$G$5:$G$94,0)),"Not this class's skill"))</f>
        <v/>
      </c>
    </row>
    <row r="1470" customFormat="false" ht="15" hidden="false" customHeight="false" outlineLevel="0" collapsed="false">
      <c r="A1470" s="23"/>
      <c r="B1470" s="22"/>
      <c r="C1470" s="22"/>
      <c r="D1470" s="22"/>
      <c r="E1470" s="22"/>
      <c r="F1470" s="27" t="str">
        <f aca="false">IF(B1470="","",IFERROR(INDEX(Roster!$B$5:$B$154,MATCH(B1470,Roster!$A$5:$A$154,0)),"Not on roster"))</f>
        <v/>
      </c>
      <c r="G1470" s="28" t="str">
        <f aca="false">IF(OR(B1470="",C1470=""),"",F1470&amp;" | "&amp;C1470)</f>
        <v/>
      </c>
      <c r="H1470" s="27" t="str">
        <f aca="false">IF(G1470="","",IFERROR(INDEX(Levels!$C$5:$C$94,MATCH(G1470,Levels!$G$5:$G$94,0)),"Not this class's skill"))</f>
        <v/>
      </c>
    </row>
    <row r="1471" customFormat="false" ht="15" hidden="false" customHeight="false" outlineLevel="0" collapsed="false">
      <c r="A1471" s="23"/>
      <c r="B1471" s="22"/>
      <c r="C1471" s="22"/>
      <c r="D1471" s="22"/>
      <c r="E1471" s="22"/>
      <c r="F1471" s="27" t="str">
        <f aca="false">IF(B1471="","",IFERROR(INDEX(Roster!$B$5:$B$154,MATCH(B1471,Roster!$A$5:$A$154,0)),"Not on roster"))</f>
        <v/>
      </c>
      <c r="G1471" s="28" t="str">
        <f aca="false">IF(OR(B1471="",C1471=""),"",F1471&amp;" | "&amp;C1471)</f>
        <v/>
      </c>
      <c r="H1471" s="27" t="str">
        <f aca="false">IF(G1471="","",IFERROR(INDEX(Levels!$C$5:$C$94,MATCH(G1471,Levels!$G$5:$G$94,0)),"Not this class's skill"))</f>
        <v/>
      </c>
    </row>
    <row r="1472" customFormat="false" ht="15" hidden="false" customHeight="false" outlineLevel="0" collapsed="false">
      <c r="A1472" s="23"/>
      <c r="B1472" s="22"/>
      <c r="C1472" s="22"/>
      <c r="D1472" s="22"/>
      <c r="E1472" s="22"/>
      <c r="F1472" s="27" t="str">
        <f aca="false">IF(B1472="","",IFERROR(INDEX(Roster!$B$5:$B$154,MATCH(B1472,Roster!$A$5:$A$154,0)),"Not on roster"))</f>
        <v/>
      </c>
      <c r="G1472" s="28" t="str">
        <f aca="false">IF(OR(B1472="",C1472=""),"",F1472&amp;" | "&amp;C1472)</f>
        <v/>
      </c>
      <c r="H1472" s="27" t="str">
        <f aca="false">IF(G1472="","",IFERROR(INDEX(Levels!$C$5:$C$94,MATCH(G1472,Levels!$G$5:$G$94,0)),"Not this class's skill"))</f>
        <v/>
      </c>
    </row>
    <row r="1473" customFormat="false" ht="15" hidden="false" customHeight="false" outlineLevel="0" collapsed="false">
      <c r="A1473" s="23"/>
      <c r="B1473" s="22"/>
      <c r="C1473" s="22"/>
      <c r="D1473" s="22"/>
      <c r="E1473" s="22"/>
      <c r="F1473" s="27" t="str">
        <f aca="false">IF(B1473="","",IFERROR(INDEX(Roster!$B$5:$B$154,MATCH(B1473,Roster!$A$5:$A$154,0)),"Not on roster"))</f>
        <v/>
      </c>
      <c r="G1473" s="28" t="str">
        <f aca="false">IF(OR(B1473="",C1473=""),"",F1473&amp;" | "&amp;C1473)</f>
        <v/>
      </c>
      <c r="H1473" s="27" t="str">
        <f aca="false">IF(G1473="","",IFERROR(INDEX(Levels!$C$5:$C$94,MATCH(G1473,Levels!$G$5:$G$94,0)),"Not this class's skill"))</f>
        <v/>
      </c>
    </row>
    <row r="1474" customFormat="false" ht="15" hidden="false" customHeight="false" outlineLevel="0" collapsed="false">
      <c r="A1474" s="23"/>
      <c r="B1474" s="22"/>
      <c r="C1474" s="22"/>
      <c r="D1474" s="22"/>
      <c r="E1474" s="22"/>
      <c r="F1474" s="27" t="str">
        <f aca="false">IF(B1474="","",IFERROR(INDEX(Roster!$B$5:$B$154,MATCH(B1474,Roster!$A$5:$A$154,0)),"Not on roster"))</f>
        <v/>
      </c>
      <c r="G1474" s="28" t="str">
        <f aca="false">IF(OR(B1474="",C1474=""),"",F1474&amp;" | "&amp;C1474)</f>
        <v/>
      </c>
      <c r="H1474" s="27" t="str">
        <f aca="false">IF(G1474="","",IFERROR(INDEX(Levels!$C$5:$C$94,MATCH(G1474,Levels!$G$5:$G$94,0)),"Not this class's skill"))</f>
        <v/>
      </c>
    </row>
    <row r="1475" customFormat="false" ht="15" hidden="false" customHeight="false" outlineLevel="0" collapsed="false">
      <c r="A1475" s="23"/>
      <c r="B1475" s="22"/>
      <c r="C1475" s="22"/>
      <c r="D1475" s="22"/>
      <c r="E1475" s="22"/>
      <c r="F1475" s="27" t="str">
        <f aca="false">IF(B1475="","",IFERROR(INDEX(Roster!$B$5:$B$154,MATCH(B1475,Roster!$A$5:$A$154,0)),"Not on roster"))</f>
        <v/>
      </c>
      <c r="G1475" s="28" t="str">
        <f aca="false">IF(OR(B1475="",C1475=""),"",F1475&amp;" | "&amp;C1475)</f>
        <v/>
      </c>
      <c r="H1475" s="27" t="str">
        <f aca="false">IF(G1475="","",IFERROR(INDEX(Levels!$C$5:$C$94,MATCH(G1475,Levels!$G$5:$G$94,0)),"Not this class's skill"))</f>
        <v/>
      </c>
    </row>
    <row r="1476" customFormat="false" ht="15" hidden="false" customHeight="false" outlineLevel="0" collapsed="false">
      <c r="A1476" s="23"/>
      <c r="B1476" s="22"/>
      <c r="C1476" s="22"/>
      <c r="D1476" s="22"/>
      <c r="E1476" s="22"/>
      <c r="F1476" s="27" t="str">
        <f aca="false">IF(B1476="","",IFERROR(INDEX(Roster!$B$5:$B$154,MATCH(B1476,Roster!$A$5:$A$154,0)),"Not on roster"))</f>
        <v/>
      </c>
      <c r="G1476" s="28" t="str">
        <f aca="false">IF(OR(B1476="",C1476=""),"",F1476&amp;" | "&amp;C1476)</f>
        <v/>
      </c>
      <c r="H1476" s="27" t="str">
        <f aca="false">IF(G1476="","",IFERROR(INDEX(Levels!$C$5:$C$94,MATCH(G1476,Levels!$G$5:$G$94,0)),"Not this class's skill"))</f>
        <v/>
      </c>
    </row>
    <row r="1477" customFormat="false" ht="15" hidden="false" customHeight="false" outlineLevel="0" collapsed="false">
      <c r="A1477" s="23"/>
      <c r="B1477" s="22"/>
      <c r="C1477" s="22"/>
      <c r="D1477" s="22"/>
      <c r="E1477" s="22"/>
      <c r="F1477" s="27" t="str">
        <f aca="false">IF(B1477="","",IFERROR(INDEX(Roster!$B$5:$B$154,MATCH(B1477,Roster!$A$5:$A$154,0)),"Not on roster"))</f>
        <v/>
      </c>
      <c r="G1477" s="28" t="str">
        <f aca="false">IF(OR(B1477="",C1477=""),"",F1477&amp;" | "&amp;C1477)</f>
        <v/>
      </c>
      <c r="H1477" s="27" t="str">
        <f aca="false">IF(G1477="","",IFERROR(INDEX(Levels!$C$5:$C$94,MATCH(G1477,Levels!$G$5:$G$94,0)),"Not this class's skill"))</f>
        <v/>
      </c>
    </row>
    <row r="1478" customFormat="false" ht="15" hidden="false" customHeight="false" outlineLevel="0" collapsed="false">
      <c r="A1478" s="23"/>
      <c r="B1478" s="22"/>
      <c r="C1478" s="22"/>
      <c r="D1478" s="22"/>
      <c r="E1478" s="22"/>
      <c r="F1478" s="27" t="str">
        <f aca="false">IF(B1478="","",IFERROR(INDEX(Roster!$B$5:$B$154,MATCH(B1478,Roster!$A$5:$A$154,0)),"Not on roster"))</f>
        <v/>
      </c>
      <c r="G1478" s="28" t="str">
        <f aca="false">IF(OR(B1478="",C1478=""),"",F1478&amp;" | "&amp;C1478)</f>
        <v/>
      </c>
      <c r="H1478" s="27" t="str">
        <f aca="false">IF(G1478="","",IFERROR(INDEX(Levels!$C$5:$C$94,MATCH(G1478,Levels!$G$5:$G$94,0)),"Not this class's skill"))</f>
        <v/>
      </c>
    </row>
    <row r="1479" customFormat="false" ht="15" hidden="false" customHeight="false" outlineLevel="0" collapsed="false">
      <c r="A1479" s="23"/>
      <c r="B1479" s="22"/>
      <c r="C1479" s="22"/>
      <c r="D1479" s="22"/>
      <c r="E1479" s="22"/>
      <c r="F1479" s="27" t="str">
        <f aca="false">IF(B1479="","",IFERROR(INDEX(Roster!$B$5:$B$154,MATCH(B1479,Roster!$A$5:$A$154,0)),"Not on roster"))</f>
        <v/>
      </c>
      <c r="G1479" s="28" t="str">
        <f aca="false">IF(OR(B1479="",C1479=""),"",F1479&amp;" | "&amp;C1479)</f>
        <v/>
      </c>
      <c r="H1479" s="27" t="str">
        <f aca="false">IF(G1479="","",IFERROR(INDEX(Levels!$C$5:$C$94,MATCH(G1479,Levels!$G$5:$G$94,0)),"Not this class's skill"))</f>
        <v/>
      </c>
    </row>
    <row r="1480" customFormat="false" ht="15" hidden="false" customHeight="false" outlineLevel="0" collapsed="false">
      <c r="A1480" s="23"/>
      <c r="B1480" s="22"/>
      <c r="C1480" s="22"/>
      <c r="D1480" s="22"/>
      <c r="E1480" s="22"/>
      <c r="F1480" s="27" t="str">
        <f aca="false">IF(B1480="","",IFERROR(INDEX(Roster!$B$5:$B$154,MATCH(B1480,Roster!$A$5:$A$154,0)),"Not on roster"))</f>
        <v/>
      </c>
      <c r="G1480" s="28" t="str">
        <f aca="false">IF(OR(B1480="",C1480=""),"",F1480&amp;" | "&amp;C1480)</f>
        <v/>
      </c>
      <c r="H1480" s="27" t="str">
        <f aca="false">IF(G1480="","",IFERROR(INDEX(Levels!$C$5:$C$94,MATCH(G1480,Levels!$G$5:$G$94,0)),"Not this class's skill"))</f>
        <v/>
      </c>
    </row>
    <row r="1481" customFormat="false" ht="15" hidden="false" customHeight="false" outlineLevel="0" collapsed="false">
      <c r="A1481" s="23"/>
      <c r="B1481" s="22"/>
      <c r="C1481" s="22"/>
      <c r="D1481" s="22"/>
      <c r="E1481" s="22"/>
      <c r="F1481" s="27" t="str">
        <f aca="false">IF(B1481="","",IFERROR(INDEX(Roster!$B$5:$B$154,MATCH(B1481,Roster!$A$5:$A$154,0)),"Not on roster"))</f>
        <v/>
      </c>
      <c r="G1481" s="28" t="str">
        <f aca="false">IF(OR(B1481="",C1481=""),"",F1481&amp;" | "&amp;C1481)</f>
        <v/>
      </c>
      <c r="H1481" s="27" t="str">
        <f aca="false">IF(G1481="","",IFERROR(INDEX(Levels!$C$5:$C$94,MATCH(G1481,Levels!$G$5:$G$94,0)),"Not this class's skill"))</f>
        <v/>
      </c>
    </row>
    <row r="1482" customFormat="false" ht="15" hidden="false" customHeight="false" outlineLevel="0" collapsed="false">
      <c r="A1482" s="23"/>
      <c r="B1482" s="22"/>
      <c r="C1482" s="22"/>
      <c r="D1482" s="22"/>
      <c r="E1482" s="22"/>
      <c r="F1482" s="27" t="str">
        <f aca="false">IF(B1482="","",IFERROR(INDEX(Roster!$B$5:$B$154,MATCH(B1482,Roster!$A$5:$A$154,0)),"Not on roster"))</f>
        <v/>
      </c>
      <c r="G1482" s="28" t="str">
        <f aca="false">IF(OR(B1482="",C1482=""),"",F1482&amp;" | "&amp;C1482)</f>
        <v/>
      </c>
      <c r="H1482" s="27" t="str">
        <f aca="false">IF(G1482="","",IFERROR(INDEX(Levels!$C$5:$C$94,MATCH(G1482,Levels!$G$5:$G$94,0)),"Not this class's skill"))</f>
        <v/>
      </c>
    </row>
    <row r="1483" customFormat="false" ht="15" hidden="false" customHeight="false" outlineLevel="0" collapsed="false">
      <c r="A1483" s="23"/>
      <c r="B1483" s="22"/>
      <c r="C1483" s="22"/>
      <c r="D1483" s="22"/>
      <c r="E1483" s="22"/>
      <c r="F1483" s="27" t="str">
        <f aca="false">IF(B1483="","",IFERROR(INDEX(Roster!$B$5:$B$154,MATCH(B1483,Roster!$A$5:$A$154,0)),"Not on roster"))</f>
        <v/>
      </c>
      <c r="G1483" s="28" t="str">
        <f aca="false">IF(OR(B1483="",C1483=""),"",F1483&amp;" | "&amp;C1483)</f>
        <v/>
      </c>
      <c r="H1483" s="27" t="str">
        <f aca="false">IF(G1483="","",IFERROR(INDEX(Levels!$C$5:$C$94,MATCH(G1483,Levels!$G$5:$G$94,0)),"Not this class's skill"))</f>
        <v/>
      </c>
    </row>
    <row r="1484" customFormat="false" ht="15" hidden="false" customHeight="false" outlineLevel="0" collapsed="false">
      <c r="A1484" s="23"/>
      <c r="B1484" s="22"/>
      <c r="C1484" s="22"/>
      <c r="D1484" s="22"/>
      <c r="E1484" s="22"/>
      <c r="F1484" s="27" t="str">
        <f aca="false">IF(B1484="","",IFERROR(INDEX(Roster!$B$5:$B$154,MATCH(B1484,Roster!$A$5:$A$154,0)),"Not on roster"))</f>
        <v/>
      </c>
      <c r="G1484" s="28" t="str">
        <f aca="false">IF(OR(B1484="",C1484=""),"",F1484&amp;" | "&amp;C1484)</f>
        <v/>
      </c>
      <c r="H1484" s="27" t="str">
        <f aca="false">IF(G1484="","",IFERROR(INDEX(Levels!$C$5:$C$94,MATCH(G1484,Levels!$G$5:$G$94,0)),"Not this class's skill"))</f>
        <v/>
      </c>
    </row>
    <row r="1485" customFormat="false" ht="15" hidden="false" customHeight="false" outlineLevel="0" collapsed="false">
      <c r="A1485" s="23"/>
      <c r="B1485" s="22"/>
      <c r="C1485" s="22"/>
      <c r="D1485" s="22"/>
      <c r="E1485" s="22"/>
      <c r="F1485" s="27" t="str">
        <f aca="false">IF(B1485="","",IFERROR(INDEX(Roster!$B$5:$B$154,MATCH(B1485,Roster!$A$5:$A$154,0)),"Not on roster"))</f>
        <v/>
      </c>
      <c r="G1485" s="28" t="str">
        <f aca="false">IF(OR(B1485="",C1485=""),"",F1485&amp;" | "&amp;C1485)</f>
        <v/>
      </c>
      <c r="H1485" s="27" t="str">
        <f aca="false">IF(G1485="","",IFERROR(INDEX(Levels!$C$5:$C$94,MATCH(G1485,Levels!$G$5:$G$94,0)),"Not this class's skill"))</f>
        <v/>
      </c>
    </row>
    <row r="1486" customFormat="false" ht="15" hidden="false" customHeight="false" outlineLevel="0" collapsed="false">
      <c r="A1486" s="23"/>
      <c r="B1486" s="22"/>
      <c r="C1486" s="22"/>
      <c r="D1486" s="22"/>
      <c r="E1486" s="22"/>
      <c r="F1486" s="27" t="str">
        <f aca="false">IF(B1486="","",IFERROR(INDEX(Roster!$B$5:$B$154,MATCH(B1486,Roster!$A$5:$A$154,0)),"Not on roster"))</f>
        <v/>
      </c>
      <c r="G1486" s="28" t="str">
        <f aca="false">IF(OR(B1486="",C1486=""),"",F1486&amp;" | "&amp;C1486)</f>
        <v/>
      </c>
      <c r="H1486" s="27" t="str">
        <f aca="false">IF(G1486="","",IFERROR(INDEX(Levels!$C$5:$C$94,MATCH(G1486,Levels!$G$5:$G$94,0)),"Not this class's skill"))</f>
        <v/>
      </c>
    </row>
    <row r="1487" customFormat="false" ht="15" hidden="false" customHeight="false" outlineLevel="0" collapsed="false">
      <c r="A1487" s="23"/>
      <c r="B1487" s="22"/>
      <c r="C1487" s="22"/>
      <c r="D1487" s="22"/>
      <c r="E1487" s="22"/>
      <c r="F1487" s="27" t="str">
        <f aca="false">IF(B1487="","",IFERROR(INDEX(Roster!$B$5:$B$154,MATCH(B1487,Roster!$A$5:$A$154,0)),"Not on roster"))</f>
        <v/>
      </c>
      <c r="G1487" s="28" t="str">
        <f aca="false">IF(OR(B1487="",C1487=""),"",F1487&amp;" | "&amp;C1487)</f>
        <v/>
      </c>
      <c r="H1487" s="27" t="str">
        <f aca="false">IF(G1487="","",IFERROR(INDEX(Levels!$C$5:$C$94,MATCH(G1487,Levels!$G$5:$G$94,0)),"Not this class's skill"))</f>
        <v/>
      </c>
    </row>
    <row r="1488" customFormat="false" ht="15" hidden="false" customHeight="false" outlineLevel="0" collapsed="false">
      <c r="A1488" s="23"/>
      <c r="B1488" s="22"/>
      <c r="C1488" s="22"/>
      <c r="D1488" s="22"/>
      <c r="E1488" s="22"/>
      <c r="F1488" s="27" t="str">
        <f aca="false">IF(B1488="","",IFERROR(INDEX(Roster!$B$5:$B$154,MATCH(B1488,Roster!$A$5:$A$154,0)),"Not on roster"))</f>
        <v/>
      </c>
      <c r="G1488" s="28" t="str">
        <f aca="false">IF(OR(B1488="",C1488=""),"",F1488&amp;" | "&amp;C1488)</f>
        <v/>
      </c>
      <c r="H1488" s="27" t="str">
        <f aca="false">IF(G1488="","",IFERROR(INDEX(Levels!$C$5:$C$94,MATCH(G1488,Levels!$G$5:$G$94,0)),"Not this class's skill"))</f>
        <v/>
      </c>
    </row>
    <row r="1489" customFormat="false" ht="15" hidden="false" customHeight="false" outlineLevel="0" collapsed="false">
      <c r="A1489" s="23"/>
      <c r="B1489" s="22"/>
      <c r="C1489" s="22"/>
      <c r="D1489" s="22"/>
      <c r="E1489" s="22"/>
      <c r="F1489" s="27" t="str">
        <f aca="false">IF(B1489="","",IFERROR(INDEX(Roster!$B$5:$B$154,MATCH(B1489,Roster!$A$5:$A$154,0)),"Not on roster"))</f>
        <v/>
      </c>
      <c r="G1489" s="28" t="str">
        <f aca="false">IF(OR(B1489="",C1489=""),"",F1489&amp;" | "&amp;C1489)</f>
        <v/>
      </c>
      <c r="H1489" s="27" t="str">
        <f aca="false">IF(G1489="","",IFERROR(INDEX(Levels!$C$5:$C$94,MATCH(G1489,Levels!$G$5:$G$94,0)),"Not this class's skill"))</f>
        <v/>
      </c>
    </row>
    <row r="1490" customFormat="false" ht="15" hidden="false" customHeight="false" outlineLevel="0" collapsed="false">
      <c r="A1490" s="23"/>
      <c r="B1490" s="22"/>
      <c r="C1490" s="22"/>
      <c r="D1490" s="22"/>
      <c r="E1490" s="22"/>
      <c r="F1490" s="27" t="str">
        <f aca="false">IF(B1490="","",IFERROR(INDEX(Roster!$B$5:$B$154,MATCH(B1490,Roster!$A$5:$A$154,0)),"Not on roster"))</f>
        <v/>
      </c>
      <c r="G1490" s="28" t="str">
        <f aca="false">IF(OR(B1490="",C1490=""),"",F1490&amp;" | "&amp;C1490)</f>
        <v/>
      </c>
      <c r="H1490" s="27" t="str">
        <f aca="false">IF(G1490="","",IFERROR(INDEX(Levels!$C$5:$C$94,MATCH(G1490,Levels!$G$5:$G$94,0)),"Not this class's skill"))</f>
        <v/>
      </c>
    </row>
    <row r="1491" customFormat="false" ht="15" hidden="false" customHeight="false" outlineLevel="0" collapsed="false">
      <c r="A1491" s="23"/>
      <c r="B1491" s="22"/>
      <c r="C1491" s="22"/>
      <c r="D1491" s="22"/>
      <c r="E1491" s="22"/>
      <c r="F1491" s="27" t="str">
        <f aca="false">IF(B1491="","",IFERROR(INDEX(Roster!$B$5:$B$154,MATCH(B1491,Roster!$A$5:$A$154,0)),"Not on roster"))</f>
        <v/>
      </c>
      <c r="G1491" s="28" t="str">
        <f aca="false">IF(OR(B1491="",C1491=""),"",F1491&amp;" | "&amp;C1491)</f>
        <v/>
      </c>
      <c r="H1491" s="27" t="str">
        <f aca="false">IF(G1491="","",IFERROR(INDEX(Levels!$C$5:$C$94,MATCH(G1491,Levels!$G$5:$G$94,0)),"Not this class's skill"))</f>
        <v/>
      </c>
    </row>
    <row r="1492" customFormat="false" ht="15" hidden="false" customHeight="false" outlineLevel="0" collapsed="false">
      <c r="A1492" s="23"/>
      <c r="B1492" s="22"/>
      <c r="C1492" s="22"/>
      <c r="D1492" s="22"/>
      <c r="E1492" s="22"/>
      <c r="F1492" s="27" t="str">
        <f aca="false">IF(B1492="","",IFERROR(INDEX(Roster!$B$5:$B$154,MATCH(B1492,Roster!$A$5:$A$154,0)),"Not on roster"))</f>
        <v/>
      </c>
      <c r="G1492" s="28" t="str">
        <f aca="false">IF(OR(B1492="",C1492=""),"",F1492&amp;" | "&amp;C1492)</f>
        <v/>
      </c>
      <c r="H1492" s="27" t="str">
        <f aca="false">IF(G1492="","",IFERROR(INDEX(Levels!$C$5:$C$94,MATCH(G1492,Levels!$G$5:$G$94,0)),"Not this class's skill"))</f>
        <v/>
      </c>
    </row>
    <row r="1493" customFormat="false" ht="15" hidden="false" customHeight="false" outlineLevel="0" collapsed="false">
      <c r="A1493" s="23"/>
      <c r="B1493" s="22"/>
      <c r="C1493" s="22"/>
      <c r="D1493" s="22"/>
      <c r="E1493" s="22"/>
      <c r="F1493" s="27" t="str">
        <f aca="false">IF(B1493="","",IFERROR(INDEX(Roster!$B$5:$B$154,MATCH(B1493,Roster!$A$5:$A$154,0)),"Not on roster"))</f>
        <v/>
      </c>
      <c r="G1493" s="28" t="str">
        <f aca="false">IF(OR(B1493="",C1493=""),"",F1493&amp;" | "&amp;C1493)</f>
        <v/>
      </c>
      <c r="H1493" s="27" t="str">
        <f aca="false">IF(G1493="","",IFERROR(INDEX(Levels!$C$5:$C$94,MATCH(G1493,Levels!$G$5:$G$94,0)),"Not this class's skill"))</f>
        <v/>
      </c>
    </row>
    <row r="1494" customFormat="false" ht="15" hidden="false" customHeight="false" outlineLevel="0" collapsed="false">
      <c r="A1494" s="23"/>
      <c r="B1494" s="22"/>
      <c r="C1494" s="22"/>
      <c r="D1494" s="22"/>
      <c r="E1494" s="22"/>
      <c r="F1494" s="27" t="str">
        <f aca="false">IF(B1494="","",IFERROR(INDEX(Roster!$B$5:$B$154,MATCH(B1494,Roster!$A$5:$A$154,0)),"Not on roster"))</f>
        <v/>
      </c>
      <c r="G1494" s="28" t="str">
        <f aca="false">IF(OR(B1494="",C1494=""),"",F1494&amp;" | "&amp;C1494)</f>
        <v/>
      </c>
      <c r="H1494" s="27" t="str">
        <f aca="false">IF(G1494="","",IFERROR(INDEX(Levels!$C$5:$C$94,MATCH(G1494,Levels!$G$5:$G$94,0)),"Not this class's skill"))</f>
        <v/>
      </c>
    </row>
    <row r="1495" customFormat="false" ht="15" hidden="false" customHeight="false" outlineLevel="0" collapsed="false">
      <c r="A1495" s="23"/>
      <c r="B1495" s="22"/>
      <c r="C1495" s="22"/>
      <c r="D1495" s="22"/>
      <c r="E1495" s="22"/>
      <c r="F1495" s="27" t="str">
        <f aca="false">IF(B1495="","",IFERROR(INDEX(Roster!$B$5:$B$154,MATCH(B1495,Roster!$A$5:$A$154,0)),"Not on roster"))</f>
        <v/>
      </c>
      <c r="G1495" s="28" t="str">
        <f aca="false">IF(OR(B1495="",C1495=""),"",F1495&amp;" | "&amp;C1495)</f>
        <v/>
      </c>
      <c r="H1495" s="27" t="str">
        <f aca="false">IF(G1495="","",IFERROR(INDEX(Levels!$C$5:$C$94,MATCH(G1495,Levels!$G$5:$G$94,0)),"Not this class's skill"))</f>
        <v/>
      </c>
    </row>
    <row r="1496" customFormat="false" ht="15" hidden="false" customHeight="false" outlineLevel="0" collapsed="false">
      <c r="A1496" s="23"/>
      <c r="B1496" s="22"/>
      <c r="C1496" s="22"/>
      <c r="D1496" s="22"/>
      <c r="E1496" s="22"/>
      <c r="F1496" s="27" t="str">
        <f aca="false">IF(B1496="","",IFERROR(INDEX(Roster!$B$5:$B$154,MATCH(B1496,Roster!$A$5:$A$154,0)),"Not on roster"))</f>
        <v/>
      </c>
      <c r="G1496" s="28" t="str">
        <f aca="false">IF(OR(B1496="",C1496=""),"",F1496&amp;" | "&amp;C1496)</f>
        <v/>
      </c>
      <c r="H1496" s="27" t="str">
        <f aca="false">IF(G1496="","",IFERROR(INDEX(Levels!$C$5:$C$94,MATCH(G1496,Levels!$G$5:$G$94,0)),"Not this class's skill"))</f>
        <v/>
      </c>
    </row>
    <row r="1497" customFormat="false" ht="15" hidden="false" customHeight="false" outlineLevel="0" collapsed="false">
      <c r="A1497" s="23"/>
      <c r="B1497" s="22"/>
      <c r="C1497" s="22"/>
      <c r="D1497" s="22"/>
      <c r="E1497" s="22"/>
      <c r="F1497" s="27" t="str">
        <f aca="false">IF(B1497="","",IFERROR(INDEX(Roster!$B$5:$B$154,MATCH(B1497,Roster!$A$5:$A$154,0)),"Not on roster"))</f>
        <v/>
      </c>
      <c r="G1497" s="28" t="str">
        <f aca="false">IF(OR(B1497="",C1497=""),"",F1497&amp;" | "&amp;C1497)</f>
        <v/>
      </c>
      <c r="H1497" s="27" t="str">
        <f aca="false">IF(G1497="","",IFERROR(INDEX(Levels!$C$5:$C$94,MATCH(G1497,Levels!$G$5:$G$94,0)),"Not this class's skill"))</f>
        <v/>
      </c>
    </row>
    <row r="1498" customFormat="false" ht="15" hidden="false" customHeight="false" outlineLevel="0" collapsed="false">
      <c r="A1498" s="23"/>
      <c r="B1498" s="22"/>
      <c r="C1498" s="22"/>
      <c r="D1498" s="22"/>
      <c r="E1498" s="22"/>
      <c r="F1498" s="27" t="str">
        <f aca="false">IF(B1498="","",IFERROR(INDEX(Roster!$B$5:$B$154,MATCH(B1498,Roster!$A$5:$A$154,0)),"Not on roster"))</f>
        <v/>
      </c>
      <c r="G1498" s="28" t="str">
        <f aca="false">IF(OR(B1498="",C1498=""),"",F1498&amp;" | "&amp;C1498)</f>
        <v/>
      </c>
      <c r="H1498" s="27" t="str">
        <f aca="false">IF(G1498="","",IFERROR(INDEX(Levels!$C$5:$C$94,MATCH(G1498,Levels!$G$5:$G$94,0)),"Not this class's skill"))</f>
        <v/>
      </c>
    </row>
    <row r="1499" customFormat="false" ht="15" hidden="false" customHeight="false" outlineLevel="0" collapsed="false">
      <c r="A1499" s="23"/>
      <c r="B1499" s="22"/>
      <c r="C1499" s="22"/>
      <c r="D1499" s="22"/>
      <c r="E1499" s="22"/>
      <c r="F1499" s="27" t="str">
        <f aca="false">IF(B1499="","",IFERROR(INDEX(Roster!$B$5:$B$154,MATCH(B1499,Roster!$A$5:$A$154,0)),"Not on roster"))</f>
        <v/>
      </c>
      <c r="G1499" s="28" t="str">
        <f aca="false">IF(OR(B1499="",C1499=""),"",F1499&amp;" | "&amp;C1499)</f>
        <v/>
      </c>
      <c r="H1499" s="27" t="str">
        <f aca="false">IF(G1499="","",IFERROR(INDEX(Levels!$C$5:$C$94,MATCH(G1499,Levels!$G$5:$G$94,0)),"Not this class's skill"))</f>
        <v/>
      </c>
    </row>
    <row r="1500" customFormat="false" ht="15" hidden="false" customHeight="false" outlineLevel="0" collapsed="false">
      <c r="A1500" s="23"/>
      <c r="B1500" s="22"/>
      <c r="C1500" s="22"/>
      <c r="D1500" s="22"/>
      <c r="E1500" s="22"/>
      <c r="F1500" s="27" t="str">
        <f aca="false">IF(B1500="","",IFERROR(INDEX(Roster!$B$5:$B$154,MATCH(B1500,Roster!$A$5:$A$154,0)),"Not on roster"))</f>
        <v/>
      </c>
      <c r="G1500" s="28" t="str">
        <f aca="false">IF(OR(B1500="",C1500=""),"",F1500&amp;" | "&amp;C1500)</f>
        <v/>
      </c>
      <c r="H1500" s="27" t="str">
        <f aca="false">IF(G1500="","",IFERROR(INDEX(Levels!$C$5:$C$94,MATCH(G1500,Levels!$G$5:$G$94,0)),"Not this class's skill"))</f>
        <v/>
      </c>
    </row>
    <row r="1501" customFormat="false" ht="15" hidden="false" customHeight="false" outlineLevel="0" collapsed="false">
      <c r="A1501" s="23"/>
      <c r="B1501" s="22"/>
      <c r="C1501" s="22"/>
      <c r="D1501" s="22"/>
      <c r="E1501" s="22"/>
      <c r="F1501" s="27" t="str">
        <f aca="false">IF(B1501="","",IFERROR(INDEX(Roster!$B$5:$B$154,MATCH(B1501,Roster!$A$5:$A$154,0)),"Not on roster"))</f>
        <v/>
      </c>
      <c r="G1501" s="28" t="str">
        <f aca="false">IF(OR(B1501="",C1501=""),"",F1501&amp;" | "&amp;C1501)</f>
        <v/>
      </c>
      <c r="H1501" s="27" t="str">
        <f aca="false">IF(G1501="","",IFERROR(INDEX(Levels!$C$5:$C$94,MATCH(G1501,Levels!$G$5:$G$94,0)),"Not this class's skill"))</f>
        <v/>
      </c>
    </row>
    <row r="1502" customFormat="false" ht="15" hidden="false" customHeight="false" outlineLevel="0" collapsed="false">
      <c r="A1502" s="23"/>
      <c r="B1502" s="22"/>
      <c r="C1502" s="22"/>
      <c r="D1502" s="22"/>
      <c r="E1502" s="22"/>
      <c r="F1502" s="27" t="str">
        <f aca="false">IF(B1502="","",IFERROR(INDEX(Roster!$B$5:$B$154,MATCH(B1502,Roster!$A$5:$A$154,0)),"Not on roster"))</f>
        <v/>
      </c>
      <c r="G1502" s="28" t="str">
        <f aca="false">IF(OR(B1502="",C1502=""),"",F1502&amp;" | "&amp;C1502)</f>
        <v/>
      </c>
      <c r="H1502" s="27" t="str">
        <f aca="false">IF(G1502="","",IFERROR(INDEX(Levels!$C$5:$C$94,MATCH(G1502,Levels!$G$5:$G$94,0)),"Not this class's skill"))</f>
        <v/>
      </c>
    </row>
    <row r="1503" customFormat="false" ht="15" hidden="false" customHeight="false" outlineLevel="0" collapsed="false">
      <c r="A1503" s="23"/>
      <c r="B1503" s="22"/>
      <c r="C1503" s="22"/>
      <c r="D1503" s="22"/>
      <c r="E1503" s="22"/>
      <c r="F1503" s="27" t="str">
        <f aca="false">IF(B1503="","",IFERROR(INDEX(Roster!$B$5:$B$154,MATCH(B1503,Roster!$A$5:$A$154,0)),"Not on roster"))</f>
        <v/>
      </c>
      <c r="G1503" s="28" t="str">
        <f aca="false">IF(OR(B1503="",C1503=""),"",F1503&amp;" | "&amp;C1503)</f>
        <v/>
      </c>
      <c r="H1503" s="27" t="str">
        <f aca="false">IF(G1503="","",IFERROR(INDEX(Levels!$C$5:$C$94,MATCH(G1503,Levels!$G$5:$G$94,0)),"Not this class's skill"))</f>
        <v/>
      </c>
    </row>
    <row r="1504" customFormat="false" ht="15" hidden="false" customHeight="false" outlineLevel="0" collapsed="false">
      <c r="A1504" s="23"/>
      <c r="B1504" s="22"/>
      <c r="C1504" s="22"/>
      <c r="D1504" s="22"/>
      <c r="E1504" s="22"/>
      <c r="F1504" s="27" t="str">
        <f aca="false">IF(B1504="","",IFERROR(INDEX(Roster!$B$5:$B$154,MATCH(B1504,Roster!$A$5:$A$154,0)),"Not on roster"))</f>
        <v/>
      </c>
      <c r="G1504" s="28" t="str">
        <f aca="false">IF(OR(B1504="",C1504=""),"",F1504&amp;" | "&amp;C1504)</f>
        <v/>
      </c>
      <c r="H1504" s="27" t="str">
        <f aca="false">IF(G1504="","",IFERROR(INDEX(Levels!$C$5:$C$94,MATCH(G1504,Levels!$G$5:$G$94,0)),"Not this class's skill"))</f>
        <v/>
      </c>
    </row>
    <row r="1505" customFormat="false" ht="15" hidden="false" customHeight="false" outlineLevel="0" collapsed="false">
      <c r="A1505" s="23"/>
      <c r="B1505" s="22"/>
      <c r="C1505" s="22"/>
      <c r="D1505" s="22"/>
      <c r="E1505" s="22"/>
      <c r="F1505" s="27" t="str">
        <f aca="false">IF(B1505="","",IFERROR(INDEX(Roster!$B$5:$B$154,MATCH(B1505,Roster!$A$5:$A$154,0)),"Not on roster"))</f>
        <v/>
      </c>
      <c r="G1505" s="28" t="str">
        <f aca="false">IF(OR(B1505="",C1505=""),"",F1505&amp;" | "&amp;C1505)</f>
        <v/>
      </c>
      <c r="H1505" s="27" t="str">
        <f aca="false">IF(G1505="","",IFERROR(INDEX(Levels!$C$5:$C$94,MATCH(G1505,Levels!$G$5:$G$94,0)),"Not this class's skill"))</f>
        <v/>
      </c>
    </row>
    <row r="1506" customFormat="false" ht="15" hidden="false" customHeight="false" outlineLevel="0" collapsed="false">
      <c r="A1506" s="23"/>
      <c r="B1506" s="22"/>
      <c r="C1506" s="22"/>
      <c r="D1506" s="22"/>
      <c r="E1506" s="22"/>
      <c r="F1506" s="27" t="str">
        <f aca="false">IF(B1506="","",IFERROR(INDEX(Roster!$B$5:$B$154,MATCH(B1506,Roster!$A$5:$A$154,0)),"Not on roster"))</f>
        <v/>
      </c>
      <c r="G1506" s="28" t="str">
        <f aca="false">IF(OR(B1506="",C1506=""),"",F1506&amp;" | "&amp;C1506)</f>
        <v/>
      </c>
      <c r="H1506" s="27" t="str">
        <f aca="false">IF(G1506="","",IFERROR(INDEX(Levels!$C$5:$C$94,MATCH(G1506,Levels!$G$5:$G$94,0)),"Not this class's skill"))</f>
        <v/>
      </c>
    </row>
    <row r="1507" customFormat="false" ht="15" hidden="false" customHeight="false" outlineLevel="0" collapsed="false">
      <c r="A1507" s="23"/>
      <c r="B1507" s="22"/>
      <c r="C1507" s="22"/>
      <c r="D1507" s="22"/>
      <c r="E1507" s="22"/>
      <c r="F1507" s="27" t="str">
        <f aca="false">IF(B1507="","",IFERROR(INDEX(Roster!$B$5:$B$154,MATCH(B1507,Roster!$A$5:$A$154,0)),"Not on roster"))</f>
        <v/>
      </c>
      <c r="G1507" s="28" t="str">
        <f aca="false">IF(OR(B1507="",C1507=""),"",F1507&amp;" | "&amp;C1507)</f>
        <v/>
      </c>
      <c r="H1507" s="27" t="str">
        <f aca="false">IF(G1507="","",IFERROR(INDEX(Levels!$C$5:$C$94,MATCH(G1507,Levels!$G$5:$G$94,0)),"Not this class's skill"))</f>
        <v/>
      </c>
    </row>
    <row r="1508" customFormat="false" ht="15" hidden="false" customHeight="false" outlineLevel="0" collapsed="false">
      <c r="A1508" s="23"/>
      <c r="B1508" s="22"/>
      <c r="C1508" s="22"/>
      <c r="D1508" s="22"/>
      <c r="E1508" s="22"/>
      <c r="F1508" s="27" t="str">
        <f aca="false">IF(B1508="","",IFERROR(INDEX(Roster!$B$5:$B$154,MATCH(B1508,Roster!$A$5:$A$154,0)),"Not on roster"))</f>
        <v/>
      </c>
      <c r="G1508" s="28" t="str">
        <f aca="false">IF(OR(B1508="",C1508=""),"",F1508&amp;" | "&amp;C1508)</f>
        <v/>
      </c>
      <c r="H1508" s="27" t="str">
        <f aca="false">IF(G1508="","",IFERROR(INDEX(Levels!$C$5:$C$94,MATCH(G1508,Levels!$G$5:$G$94,0)),"Not this class's skill"))</f>
        <v/>
      </c>
    </row>
    <row r="1509" customFormat="false" ht="15" hidden="false" customHeight="false" outlineLevel="0" collapsed="false">
      <c r="A1509" s="23"/>
      <c r="B1509" s="22"/>
      <c r="C1509" s="22"/>
      <c r="D1509" s="22"/>
      <c r="E1509" s="22"/>
      <c r="F1509" s="27" t="str">
        <f aca="false">IF(B1509="","",IFERROR(INDEX(Roster!$B$5:$B$154,MATCH(B1509,Roster!$A$5:$A$154,0)),"Not on roster"))</f>
        <v/>
      </c>
      <c r="G1509" s="28" t="str">
        <f aca="false">IF(OR(B1509="",C1509=""),"",F1509&amp;" | "&amp;C1509)</f>
        <v/>
      </c>
      <c r="H1509" s="27" t="str">
        <f aca="false">IF(G1509="","",IFERROR(INDEX(Levels!$C$5:$C$94,MATCH(G1509,Levels!$G$5:$G$94,0)),"Not this class's skill"))</f>
        <v/>
      </c>
    </row>
    <row r="1510" customFormat="false" ht="15" hidden="false" customHeight="false" outlineLevel="0" collapsed="false">
      <c r="A1510" s="23"/>
      <c r="B1510" s="22"/>
      <c r="C1510" s="22"/>
      <c r="D1510" s="22"/>
      <c r="E1510" s="22"/>
      <c r="F1510" s="27" t="str">
        <f aca="false">IF(B1510="","",IFERROR(INDEX(Roster!$B$5:$B$154,MATCH(B1510,Roster!$A$5:$A$154,0)),"Not on roster"))</f>
        <v/>
      </c>
      <c r="G1510" s="28" t="str">
        <f aca="false">IF(OR(B1510="",C1510=""),"",F1510&amp;" | "&amp;C1510)</f>
        <v/>
      </c>
      <c r="H1510" s="27" t="str">
        <f aca="false">IF(G1510="","",IFERROR(INDEX(Levels!$C$5:$C$94,MATCH(G1510,Levels!$G$5:$G$94,0)),"Not this class's skill"))</f>
        <v/>
      </c>
    </row>
    <row r="1511" customFormat="false" ht="15" hidden="false" customHeight="false" outlineLevel="0" collapsed="false">
      <c r="A1511" s="23"/>
      <c r="B1511" s="22"/>
      <c r="C1511" s="22"/>
      <c r="D1511" s="22"/>
      <c r="E1511" s="22"/>
      <c r="F1511" s="27" t="str">
        <f aca="false">IF(B1511="","",IFERROR(INDEX(Roster!$B$5:$B$154,MATCH(B1511,Roster!$A$5:$A$154,0)),"Not on roster"))</f>
        <v/>
      </c>
      <c r="G1511" s="28" t="str">
        <f aca="false">IF(OR(B1511="",C1511=""),"",F1511&amp;" | "&amp;C1511)</f>
        <v/>
      </c>
      <c r="H1511" s="27" t="str">
        <f aca="false">IF(G1511="","",IFERROR(INDEX(Levels!$C$5:$C$94,MATCH(G1511,Levels!$G$5:$G$94,0)),"Not this class's skill"))</f>
        <v/>
      </c>
    </row>
    <row r="1512" customFormat="false" ht="15" hidden="false" customHeight="false" outlineLevel="0" collapsed="false">
      <c r="A1512" s="23"/>
      <c r="B1512" s="22"/>
      <c r="C1512" s="22"/>
      <c r="D1512" s="22"/>
      <c r="E1512" s="22"/>
      <c r="F1512" s="27" t="str">
        <f aca="false">IF(B1512="","",IFERROR(INDEX(Roster!$B$5:$B$154,MATCH(B1512,Roster!$A$5:$A$154,0)),"Not on roster"))</f>
        <v/>
      </c>
      <c r="G1512" s="28" t="str">
        <f aca="false">IF(OR(B1512="",C1512=""),"",F1512&amp;" | "&amp;C1512)</f>
        <v/>
      </c>
      <c r="H1512" s="27" t="str">
        <f aca="false">IF(G1512="","",IFERROR(INDEX(Levels!$C$5:$C$94,MATCH(G1512,Levels!$G$5:$G$94,0)),"Not this class's skill"))</f>
        <v/>
      </c>
    </row>
    <row r="1513" customFormat="false" ht="15" hidden="false" customHeight="false" outlineLevel="0" collapsed="false">
      <c r="A1513" s="23"/>
      <c r="B1513" s="22"/>
      <c r="C1513" s="22"/>
      <c r="D1513" s="22"/>
      <c r="E1513" s="22"/>
      <c r="F1513" s="27" t="str">
        <f aca="false">IF(B1513="","",IFERROR(INDEX(Roster!$B$5:$B$154,MATCH(B1513,Roster!$A$5:$A$154,0)),"Not on roster"))</f>
        <v/>
      </c>
      <c r="G1513" s="28" t="str">
        <f aca="false">IF(OR(B1513="",C1513=""),"",F1513&amp;" | "&amp;C1513)</f>
        <v/>
      </c>
      <c r="H1513" s="27" t="str">
        <f aca="false">IF(G1513="","",IFERROR(INDEX(Levels!$C$5:$C$94,MATCH(G1513,Levels!$G$5:$G$94,0)),"Not this class's skill"))</f>
        <v/>
      </c>
    </row>
    <row r="1514" customFormat="false" ht="15" hidden="false" customHeight="false" outlineLevel="0" collapsed="false">
      <c r="A1514" s="23"/>
      <c r="B1514" s="22"/>
      <c r="C1514" s="22"/>
      <c r="D1514" s="22"/>
      <c r="E1514" s="22"/>
      <c r="F1514" s="27" t="str">
        <f aca="false">IF(B1514="","",IFERROR(INDEX(Roster!$B$5:$B$154,MATCH(B1514,Roster!$A$5:$A$154,0)),"Not on roster"))</f>
        <v/>
      </c>
      <c r="G1514" s="28" t="str">
        <f aca="false">IF(OR(B1514="",C1514=""),"",F1514&amp;" | "&amp;C1514)</f>
        <v/>
      </c>
      <c r="H1514" s="27" t="str">
        <f aca="false">IF(G1514="","",IFERROR(INDEX(Levels!$C$5:$C$94,MATCH(G1514,Levels!$G$5:$G$94,0)),"Not this class's skill"))</f>
        <v/>
      </c>
    </row>
    <row r="1515" customFormat="false" ht="15" hidden="false" customHeight="false" outlineLevel="0" collapsed="false">
      <c r="A1515" s="23"/>
      <c r="B1515" s="22"/>
      <c r="C1515" s="22"/>
      <c r="D1515" s="22"/>
      <c r="E1515" s="22"/>
      <c r="F1515" s="27" t="str">
        <f aca="false">IF(B1515="","",IFERROR(INDEX(Roster!$B$5:$B$154,MATCH(B1515,Roster!$A$5:$A$154,0)),"Not on roster"))</f>
        <v/>
      </c>
      <c r="G1515" s="28" t="str">
        <f aca="false">IF(OR(B1515="",C1515=""),"",F1515&amp;" | "&amp;C1515)</f>
        <v/>
      </c>
      <c r="H1515" s="27" t="str">
        <f aca="false">IF(G1515="","",IFERROR(INDEX(Levels!$C$5:$C$94,MATCH(G1515,Levels!$G$5:$G$94,0)),"Not this class's skill"))</f>
        <v/>
      </c>
    </row>
    <row r="1516" customFormat="false" ht="15" hidden="false" customHeight="false" outlineLevel="0" collapsed="false">
      <c r="A1516" s="23"/>
      <c r="B1516" s="22"/>
      <c r="C1516" s="22"/>
      <c r="D1516" s="22"/>
      <c r="E1516" s="22"/>
      <c r="F1516" s="27" t="str">
        <f aca="false">IF(B1516="","",IFERROR(INDEX(Roster!$B$5:$B$154,MATCH(B1516,Roster!$A$5:$A$154,0)),"Not on roster"))</f>
        <v/>
      </c>
      <c r="G1516" s="28" t="str">
        <f aca="false">IF(OR(B1516="",C1516=""),"",F1516&amp;" | "&amp;C1516)</f>
        <v/>
      </c>
      <c r="H1516" s="27" t="str">
        <f aca="false">IF(G1516="","",IFERROR(INDEX(Levels!$C$5:$C$94,MATCH(G1516,Levels!$G$5:$G$94,0)),"Not this class's skill"))</f>
        <v/>
      </c>
    </row>
    <row r="1517" customFormat="false" ht="15" hidden="false" customHeight="false" outlineLevel="0" collapsed="false">
      <c r="A1517" s="23"/>
      <c r="B1517" s="22"/>
      <c r="C1517" s="22"/>
      <c r="D1517" s="22"/>
      <c r="E1517" s="22"/>
      <c r="F1517" s="27" t="str">
        <f aca="false">IF(B1517="","",IFERROR(INDEX(Roster!$B$5:$B$154,MATCH(B1517,Roster!$A$5:$A$154,0)),"Not on roster"))</f>
        <v/>
      </c>
      <c r="G1517" s="28" t="str">
        <f aca="false">IF(OR(B1517="",C1517=""),"",F1517&amp;" | "&amp;C1517)</f>
        <v/>
      </c>
      <c r="H1517" s="27" t="str">
        <f aca="false">IF(G1517="","",IFERROR(INDEX(Levels!$C$5:$C$94,MATCH(G1517,Levels!$G$5:$G$94,0)),"Not this class's skill"))</f>
        <v/>
      </c>
    </row>
    <row r="1518" customFormat="false" ht="15" hidden="false" customHeight="false" outlineLevel="0" collapsed="false">
      <c r="A1518" s="23"/>
      <c r="B1518" s="22"/>
      <c r="C1518" s="22"/>
      <c r="D1518" s="22"/>
      <c r="E1518" s="22"/>
      <c r="F1518" s="27" t="str">
        <f aca="false">IF(B1518="","",IFERROR(INDEX(Roster!$B$5:$B$154,MATCH(B1518,Roster!$A$5:$A$154,0)),"Not on roster"))</f>
        <v/>
      </c>
      <c r="G1518" s="28" t="str">
        <f aca="false">IF(OR(B1518="",C1518=""),"",F1518&amp;" | "&amp;C1518)</f>
        <v/>
      </c>
      <c r="H1518" s="27" t="str">
        <f aca="false">IF(G1518="","",IFERROR(INDEX(Levels!$C$5:$C$94,MATCH(G1518,Levels!$G$5:$G$94,0)),"Not this class's skill"))</f>
        <v/>
      </c>
    </row>
    <row r="1519" customFormat="false" ht="15" hidden="false" customHeight="false" outlineLevel="0" collapsed="false">
      <c r="A1519" s="23"/>
      <c r="B1519" s="22"/>
      <c r="C1519" s="22"/>
      <c r="D1519" s="22"/>
      <c r="E1519" s="22"/>
      <c r="F1519" s="27" t="str">
        <f aca="false">IF(B1519="","",IFERROR(INDEX(Roster!$B$5:$B$154,MATCH(B1519,Roster!$A$5:$A$154,0)),"Not on roster"))</f>
        <v/>
      </c>
      <c r="G1519" s="28" t="str">
        <f aca="false">IF(OR(B1519="",C1519=""),"",F1519&amp;" | "&amp;C1519)</f>
        <v/>
      </c>
      <c r="H1519" s="27" t="str">
        <f aca="false">IF(G1519="","",IFERROR(INDEX(Levels!$C$5:$C$94,MATCH(G1519,Levels!$G$5:$G$94,0)),"Not this class's skill"))</f>
        <v/>
      </c>
    </row>
    <row r="1520" customFormat="false" ht="15" hidden="false" customHeight="false" outlineLevel="0" collapsed="false">
      <c r="A1520" s="23"/>
      <c r="B1520" s="22"/>
      <c r="C1520" s="22"/>
      <c r="D1520" s="22"/>
      <c r="E1520" s="22"/>
      <c r="F1520" s="27" t="str">
        <f aca="false">IF(B1520="","",IFERROR(INDEX(Roster!$B$5:$B$154,MATCH(B1520,Roster!$A$5:$A$154,0)),"Not on roster"))</f>
        <v/>
      </c>
      <c r="G1520" s="28" t="str">
        <f aca="false">IF(OR(B1520="",C1520=""),"",F1520&amp;" | "&amp;C1520)</f>
        <v/>
      </c>
      <c r="H1520" s="27" t="str">
        <f aca="false">IF(G1520="","",IFERROR(INDEX(Levels!$C$5:$C$94,MATCH(G1520,Levels!$G$5:$G$94,0)),"Not this class's skill"))</f>
        <v/>
      </c>
    </row>
    <row r="1521" customFormat="false" ht="15" hidden="false" customHeight="false" outlineLevel="0" collapsed="false">
      <c r="A1521" s="23"/>
      <c r="B1521" s="22"/>
      <c r="C1521" s="22"/>
      <c r="D1521" s="22"/>
      <c r="E1521" s="22"/>
      <c r="F1521" s="27" t="str">
        <f aca="false">IF(B1521="","",IFERROR(INDEX(Roster!$B$5:$B$154,MATCH(B1521,Roster!$A$5:$A$154,0)),"Not on roster"))</f>
        <v/>
      </c>
      <c r="G1521" s="28" t="str">
        <f aca="false">IF(OR(B1521="",C1521=""),"",F1521&amp;" | "&amp;C1521)</f>
        <v/>
      </c>
      <c r="H1521" s="27" t="str">
        <f aca="false">IF(G1521="","",IFERROR(INDEX(Levels!$C$5:$C$94,MATCH(G1521,Levels!$G$5:$G$94,0)),"Not this class's skill"))</f>
        <v/>
      </c>
    </row>
    <row r="1522" customFormat="false" ht="15" hidden="false" customHeight="false" outlineLevel="0" collapsed="false">
      <c r="A1522" s="23"/>
      <c r="B1522" s="22"/>
      <c r="C1522" s="22"/>
      <c r="D1522" s="22"/>
      <c r="E1522" s="22"/>
      <c r="F1522" s="27" t="str">
        <f aca="false">IF(B1522="","",IFERROR(INDEX(Roster!$B$5:$B$154,MATCH(B1522,Roster!$A$5:$A$154,0)),"Not on roster"))</f>
        <v/>
      </c>
      <c r="G1522" s="28" t="str">
        <f aca="false">IF(OR(B1522="",C1522=""),"",F1522&amp;" | "&amp;C1522)</f>
        <v/>
      </c>
      <c r="H1522" s="27" t="str">
        <f aca="false">IF(G1522="","",IFERROR(INDEX(Levels!$C$5:$C$94,MATCH(G1522,Levels!$G$5:$G$94,0)),"Not this class's skill"))</f>
        <v/>
      </c>
    </row>
    <row r="1523" customFormat="false" ht="15" hidden="false" customHeight="false" outlineLevel="0" collapsed="false">
      <c r="A1523" s="23"/>
      <c r="B1523" s="22"/>
      <c r="C1523" s="22"/>
      <c r="D1523" s="22"/>
      <c r="E1523" s="22"/>
      <c r="F1523" s="27" t="str">
        <f aca="false">IF(B1523="","",IFERROR(INDEX(Roster!$B$5:$B$154,MATCH(B1523,Roster!$A$5:$A$154,0)),"Not on roster"))</f>
        <v/>
      </c>
      <c r="G1523" s="28" t="str">
        <f aca="false">IF(OR(B1523="",C1523=""),"",F1523&amp;" | "&amp;C1523)</f>
        <v/>
      </c>
      <c r="H1523" s="27" t="str">
        <f aca="false">IF(G1523="","",IFERROR(INDEX(Levels!$C$5:$C$94,MATCH(G1523,Levels!$G$5:$G$94,0)),"Not this class's skill"))</f>
        <v/>
      </c>
    </row>
    <row r="1524" customFormat="false" ht="15" hidden="false" customHeight="false" outlineLevel="0" collapsed="false">
      <c r="A1524" s="23"/>
      <c r="B1524" s="22"/>
      <c r="C1524" s="22"/>
      <c r="D1524" s="22"/>
      <c r="E1524" s="22"/>
      <c r="F1524" s="27" t="str">
        <f aca="false">IF(B1524="","",IFERROR(INDEX(Roster!$B$5:$B$154,MATCH(B1524,Roster!$A$5:$A$154,0)),"Not on roster"))</f>
        <v/>
      </c>
      <c r="G1524" s="28" t="str">
        <f aca="false">IF(OR(B1524="",C1524=""),"",F1524&amp;" | "&amp;C1524)</f>
        <v/>
      </c>
      <c r="H1524" s="27" t="str">
        <f aca="false">IF(G1524="","",IFERROR(INDEX(Levels!$C$5:$C$94,MATCH(G1524,Levels!$G$5:$G$94,0)),"Not this class's skill"))</f>
        <v/>
      </c>
    </row>
    <row r="1525" customFormat="false" ht="15" hidden="false" customHeight="false" outlineLevel="0" collapsed="false">
      <c r="A1525" s="23"/>
      <c r="B1525" s="22"/>
      <c r="C1525" s="22"/>
      <c r="D1525" s="22"/>
      <c r="E1525" s="22"/>
      <c r="F1525" s="27" t="str">
        <f aca="false">IF(B1525="","",IFERROR(INDEX(Roster!$B$5:$B$154,MATCH(B1525,Roster!$A$5:$A$154,0)),"Not on roster"))</f>
        <v/>
      </c>
      <c r="G1525" s="28" t="str">
        <f aca="false">IF(OR(B1525="",C1525=""),"",F1525&amp;" | "&amp;C1525)</f>
        <v/>
      </c>
      <c r="H1525" s="27" t="str">
        <f aca="false">IF(G1525="","",IFERROR(INDEX(Levels!$C$5:$C$94,MATCH(G1525,Levels!$G$5:$G$94,0)),"Not this class's skill"))</f>
        <v/>
      </c>
    </row>
    <row r="1526" customFormat="false" ht="15" hidden="false" customHeight="false" outlineLevel="0" collapsed="false">
      <c r="A1526" s="23"/>
      <c r="B1526" s="22"/>
      <c r="C1526" s="22"/>
      <c r="D1526" s="22"/>
      <c r="E1526" s="22"/>
      <c r="F1526" s="27" t="str">
        <f aca="false">IF(B1526="","",IFERROR(INDEX(Roster!$B$5:$B$154,MATCH(B1526,Roster!$A$5:$A$154,0)),"Not on roster"))</f>
        <v/>
      </c>
      <c r="G1526" s="28" t="str">
        <f aca="false">IF(OR(B1526="",C1526=""),"",F1526&amp;" | "&amp;C1526)</f>
        <v/>
      </c>
      <c r="H1526" s="27" t="str">
        <f aca="false">IF(G1526="","",IFERROR(INDEX(Levels!$C$5:$C$94,MATCH(G1526,Levels!$G$5:$G$94,0)),"Not this class's skill"))</f>
        <v/>
      </c>
    </row>
    <row r="1527" customFormat="false" ht="15" hidden="false" customHeight="false" outlineLevel="0" collapsed="false">
      <c r="A1527" s="23"/>
      <c r="B1527" s="22"/>
      <c r="C1527" s="22"/>
      <c r="D1527" s="22"/>
      <c r="E1527" s="22"/>
      <c r="F1527" s="27" t="str">
        <f aca="false">IF(B1527="","",IFERROR(INDEX(Roster!$B$5:$B$154,MATCH(B1527,Roster!$A$5:$A$154,0)),"Not on roster"))</f>
        <v/>
      </c>
      <c r="G1527" s="28" t="str">
        <f aca="false">IF(OR(B1527="",C1527=""),"",F1527&amp;" | "&amp;C1527)</f>
        <v/>
      </c>
      <c r="H1527" s="27" t="str">
        <f aca="false">IF(G1527="","",IFERROR(INDEX(Levels!$C$5:$C$94,MATCH(G1527,Levels!$G$5:$G$94,0)),"Not this class's skill"))</f>
        <v/>
      </c>
    </row>
    <row r="1528" customFormat="false" ht="15" hidden="false" customHeight="false" outlineLevel="0" collapsed="false">
      <c r="A1528" s="23"/>
      <c r="B1528" s="22"/>
      <c r="C1528" s="22"/>
      <c r="D1528" s="22"/>
      <c r="E1528" s="22"/>
      <c r="F1528" s="27" t="str">
        <f aca="false">IF(B1528="","",IFERROR(INDEX(Roster!$B$5:$B$154,MATCH(B1528,Roster!$A$5:$A$154,0)),"Not on roster"))</f>
        <v/>
      </c>
      <c r="G1528" s="28" t="str">
        <f aca="false">IF(OR(B1528="",C1528=""),"",F1528&amp;" | "&amp;C1528)</f>
        <v/>
      </c>
      <c r="H1528" s="27" t="str">
        <f aca="false">IF(G1528="","",IFERROR(INDEX(Levels!$C$5:$C$94,MATCH(G1528,Levels!$G$5:$G$94,0)),"Not this class's skill"))</f>
        <v/>
      </c>
    </row>
    <row r="1529" customFormat="false" ht="15" hidden="false" customHeight="false" outlineLevel="0" collapsed="false">
      <c r="A1529" s="23"/>
      <c r="B1529" s="22"/>
      <c r="C1529" s="22"/>
      <c r="D1529" s="22"/>
      <c r="E1529" s="22"/>
      <c r="F1529" s="27" t="str">
        <f aca="false">IF(B1529="","",IFERROR(INDEX(Roster!$B$5:$B$154,MATCH(B1529,Roster!$A$5:$A$154,0)),"Not on roster"))</f>
        <v/>
      </c>
      <c r="G1529" s="28" t="str">
        <f aca="false">IF(OR(B1529="",C1529=""),"",F1529&amp;" | "&amp;C1529)</f>
        <v/>
      </c>
      <c r="H1529" s="27" t="str">
        <f aca="false">IF(G1529="","",IFERROR(INDEX(Levels!$C$5:$C$94,MATCH(G1529,Levels!$G$5:$G$94,0)),"Not this class's skill"))</f>
        <v/>
      </c>
    </row>
    <row r="1530" customFormat="false" ht="15" hidden="false" customHeight="false" outlineLevel="0" collapsed="false">
      <c r="A1530" s="23"/>
      <c r="B1530" s="22"/>
      <c r="C1530" s="22"/>
      <c r="D1530" s="22"/>
      <c r="E1530" s="22"/>
      <c r="F1530" s="27" t="str">
        <f aca="false">IF(B1530="","",IFERROR(INDEX(Roster!$B$5:$B$154,MATCH(B1530,Roster!$A$5:$A$154,0)),"Not on roster"))</f>
        <v/>
      </c>
      <c r="G1530" s="28" t="str">
        <f aca="false">IF(OR(B1530="",C1530=""),"",F1530&amp;" | "&amp;C1530)</f>
        <v/>
      </c>
      <c r="H1530" s="27" t="str">
        <f aca="false">IF(G1530="","",IFERROR(INDEX(Levels!$C$5:$C$94,MATCH(G1530,Levels!$G$5:$G$94,0)),"Not this class's skill"))</f>
        <v/>
      </c>
    </row>
    <row r="1531" customFormat="false" ht="15" hidden="false" customHeight="false" outlineLevel="0" collapsed="false">
      <c r="A1531" s="23"/>
      <c r="B1531" s="22"/>
      <c r="C1531" s="22"/>
      <c r="D1531" s="22"/>
      <c r="E1531" s="22"/>
      <c r="F1531" s="27" t="str">
        <f aca="false">IF(B1531="","",IFERROR(INDEX(Roster!$B$5:$B$154,MATCH(B1531,Roster!$A$5:$A$154,0)),"Not on roster"))</f>
        <v/>
      </c>
      <c r="G1531" s="28" t="str">
        <f aca="false">IF(OR(B1531="",C1531=""),"",F1531&amp;" | "&amp;C1531)</f>
        <v/>
      </c>
      <c r="H1531" s="27" t="str">
        <f aca="false">IF(G1531="","",IFERROR(INDEX(Levels!$C$5:$C$94,MATCH(G1531,Levels!$G$5:$G$94,0)),"Not this class's skill"))</f>
        <v/>
      </c>
    </row>
    <row r="1532" customFormat="false" ht="15" hidden="false" customHeight="false" outlineLevel="0" collapsed="false">
      <c r="A1532" s="23"/>
      <c r="B1532" s="22"/>
      <c r="C1532" s="22"/>
      <c r="D1532" s="22"/>
      <c r="E1532" s="22"/>
      <c r="F1532" s="27" t="str">
        <f aca="false">IF(B1532="","",IFERROR(INDEX(Roster!$B$5:$B$154,MATCH(B1532,Roster!$A$5:$A$154,0)),"Not on roster"))</f>
        <v/>
      </c>
      <c r="G1532" s="28" t="str">
        <f aca="false">IF(OR(B1532="",C1532=""),"",F1532&amp;" | "&amp;C1532)</f>
        <v/>
      </c>
      <c r="H1532" s="27" t="str">
        <f aca="false">IF(G1532="","",IFERROR(INDEX(Levels!$C$5:$C$94,MATCH(G1532,Levels!$G$5:$G$94,0)),"Not this class's skill"))</f>
        <v/>
      </c>
    </row>
    <row r="1533" customFormat="false" ht="15" hidden="false" customHeight="false" outlineLevel="0" collapsed="false">
      <c r="A1533" s="23"/>
      <c r="B1533" s="22"/>
      <c r="C1533" s="22"/>
      <c r="D1533" s="22"/>
      <c r="E1533" s="22"/>
      <c r="F1533" s="27" t="str">
        <f aca="false">IF(B1533="","",IFERROR(INDEX(Roster!$B$5:$B$154,MATCH(B1533,Roster!$A$5:$A$154,0)),"Not on roster"))</f>
        <v/>
      </c>
      <c r="G1533" s="28" t="str">
        <f aca="false">IF(OR(B1533="",C1533=""),"",F1533&amp;" | "&amp;C1533)</f>
        <v/>
      </c>
      <c r="H1533" s="27" t="str">
        <f aca="false">IF(G1533="","",IFERROR(INDEX(Levels!$C$5:$C$94,MATCH(G1533,Levels!$G$5:$G$94,0)),"Not this class's skill"))</f>
        <v/>
      </c>
    </row>
    <row r="1534" customFormat="false" ht="15" hidden="false" customHeight="false" outlineLevel="0" collapsed="false">
      <c r="A1534" s="23"/>
      <c r="B1534" s="22"/>
      <c r="C1534" s="22"/>
      <c r="D1534" s="22"/>
      <c r="E1534" s="22"/>
      <c r="F1534" s="27" t="str">
        <f aca="false">IF(B1534="","",IFERROR(INDEX(Roster!$B$5:$B$154,MATCH(B1534,Roster!$A$5:$A$154,0)),"Not on roster"))</f>
        <v/>
      </c>
      <c r="G1534" s="28" t="str">
        <f aca="false">IF(OR(B1534="",C1534=""),"",F1534&amp;" | "&amp;C1534)</f>
        <v/>
      </c>
      <c r="H1534" s="27" t="str">
        <f aca="false">IF(G1534="","",IFERROR(INDEX(Levels!$C$5:$C$94,MATCH(G1534,Levels!$G$5:$G$94,0)),"Not this class's skill"))</f>
        <v/>
      </c>
    </row>
    <row r="1535" customFormat="false" ht="15" hidden="false" customHeight="false" outlineLevel="0" collapsed="false">
      <c r="A1535" s="23"/>
      <c r="B1535" s="22"/>
      <c r="C1535" s="22"/>
      <c r="D1535" s="22"/>
      <c r="E1535" s="22"/>
      <c r="F1535" s="27" t="str">
        <f aca="false">IF(B1535="","",IFERROR(INDEX(Roster!$B$5:$B$154,MATCH(B1535,Roster!$A$5:$A$154,0)),"Not on roster"))</f>
        <v/>
      </c>
      <c r="G1535" s="28" t="str">
        <f aca="false">IF(OR(B1535="",C1535=""),"",F1535&amp;" | "&amp;C1535)</f>
        <v/>
      </c>
      <c r="H1535" s="27" t="str">
        <f aca="false">IF(G1535="","",IFERROR(INDEX(Levels!$C$5:$C$94,MATCH(G1535,Levels!$G$5:$G$94,0)),"Not this class's skill"))</f>
        <v/>
      </c>
    </row>
    <row r="1536" customFormat="false" ht="15" hidden="false" customHeight="false" outlineLevel="0" collapsed="false">
      <c r="A1536" s="23"/>
      <c r="B1536" s="22"/>
      <c r="C1536" s="22"/>
      <c r="D1536" s="22"/>
      <c r="E1536" s="22"/>
      <c r="F1536" s="27" t="str">
        <f aca="false">IF(B1536="","",IFERROR(INDEX(Roster!$B$5:$B$154,MATCH(B1536,Roster!$A$5:$A$154,0)),"Not on roster"))</f>
        <v/>
      </c>
      <c r="G1536" s="28" t="str">
        <f aca="false">IF(OR(B1536="",C1536=""),"",F1536&amp;" | "&amp;C1536)</f>
        <v/>
      </c>
      <c r="H1536" s="27" t="str">
        <f aca="false">IF(G1536="","",IFERROR(INDEX(Levels!$C$5:$C$94,MATCH(G1536,Levels!$G$5:$G$94,0)),"Not this class's skill"))</f>
        <v/>
      </c>
    </row>
    <row r="1537" customFormat="false" ht="15" hidden="false" customHeight="false" outlineLevel="0" collapsed="false">
      <c r="A1537" s="23"/>
      <c r="B1537" s="22"/>
      <c r="C1537" s="22"/>
      <c r="D1537" s="22"/>
      <c r="E1537" s="22"/>
      <c r="F1537" s="27" t="str">
        <f aca="false">IF(B1537="","",IFERROR(INDEX(Roster!$B$5:$B$154,MATCH(B1537,Roster!$A$5:$A$154,0)),"Not on roster"))</f>
        <v/>
      </c>
      <c r="G1537" s="28" t="str">
        <f aca="false">IF(OR(B1537="",C1537=""),"",F1537&amp;" | "&amp;C1537)</f>
        <v/>
      </c>
      <c r="H1537" s="27" t="str">
        <f aca="false">IF(G1537="","",IFERROR(INDEX(Levels!$C$5:$C$94,MATCH(G1537,Levels!$G$5:$G$94,0)),"Not this class's skill"))</f>
        <v/>
      </c>
    </row>
    <row r="1538" customFormat="false" ht="15" hidden="false" customHeight="false" outlineLevel="0" collapsed="false">
      <c r="A1538" s="23"/>
      <c r="B1538" s="22"/>
      <c r="C1538" s="22"/>
      <c r="D1538" s="22"/>
      <c r="E1538" s="22"/>
      <c r="F1538" s="27" t="str">
        <f aca="false">IF(B1538="","",IFERROR(INDEX(Roster!$B$5:$B$154,MATCH(B1538,Roster!$A$5:$A$154,0)),"Not on roster"))</f>
        <v/>
      </c>
      <c r="G1538" s="28" t="str">
        <f aca="false">IF(OR(B1538="",C1538=""),"",F1538&amp;" | "&amp;C1538)</f>
        <v/>
      </c>
      <c r="H1538" s="27" t="str">
        <f aca="false">IF(G1538="","",IFERROR(INDEX(Levels!$C$5:$C$94,MATCH(G1538,Levels!$G$5:$G$94,0)),"Not this class's skill"))</f>
        <v/>
      </c>
    </row>
    <row r="1539" customFormat="false" ht="15" hidden="false" customHeight="false" outlineLevel="0" collapsed="false">
      <c r="A1539" s="23"/>
      <c r="B1539" s="22"/>
      <c r="C1539" s="22"/>
      <c r="D1539" s="22"/>
      <c r="E1539" s="22"/>
      <c r="F1539" s="27" t="str">
        <f aca="false">IF(B1539="","",IFERROR(INDEX(Roster!$B$5:$B$154,MATCH(B1539,Roster!$A$5:$A$154,0)),"Not on roster"))</f>
        <v/>
      </c>
      <c r="G1539" s="28" t="str">
        <f aca="false">IF(OR(B1539="",C1539=""),"",F1539&amp;" | "&amp;C1539)</f>
        <v/>
      </c>
      <c r="H1539" s="27" t="str">
        <f aca="false">IF(G1539="","",IFERROR(INDEX(Levels!$C$5:$C$94,MATCH(G1539,Levels!$G$5:$G$94,0)),"Not this class's skill"))</f>
        <v/>
      </c>
    </row>
    <row r="1540" customFormat="false" ht="15" hidden="false" customHeight="false" outlineLevel="0" collapsed="false">
      <c r="A1540" s="23"/>
      <c r="B1540" s="22"/>
      <c r="C1540" s="22"/>
      <c r="D1540" s="22"/>
      <c r="E1540" s="22"/>
      <c r="F1540" s="27" t="str">
        <f aca="false">IF(B1540="","",IFERROR(INDEX(Roster!$B$5:$B$154,MATCH(B1540,Roster!$A$5:$A$154,0)),"Not on roster"))</f>
        <v/>
      </c>
      <c r="G1540" s="28" t="str">
        <f aca="false">IF(OR(B1540="",C1540=""),"",F1540&amp;" | "&amp;C1540)</f>
        <v/>
      </c>
      <c r="H1540" s="27" t="str">
        <f aca="false">IF(G1540="","",IFERROR(INDEX(Levels!$C$5:$C$94,MATCH(G1540,Levels!$G$5:$G$94,0)),"Not this class's skill"))</f>
        <v/>
      </c>
    </row>
    <row r="1541" customFormat="false" ht="15" hidden="false" customHeight="false" outlineLevel="0" collapsed="false">
      <c r="A1541" s="23"/>
      <c r="B1541" s="22"/>
      <c r="C1541" s="22"/>
      <c r="D1541" s="22"/>
      <c r="E1541" s="22"/>
      <c r="F1541" s="27" t="str">
        <f aca="false">IF(B1541="","",IFERROR(INDEX(Roster!$B$5:$B$154,MATCH(B1541,Roster!$A$5:$A$154,0)),"Not on roster"))</f>
        <v/>
      </c>
      <c r="G1541" s="28" t="str">
        <f aca="false">IF(OR(B1541="",C1541=""),"",F1541&amp;" | "&amp;C1541)</f>
        <v/>
      </c>
      <c r="H1541" s="27" t="str">
        <f aca="false">IF(G1541="","",IFERROR(INDEX(Levels!$C$5:$C$94,MATCH(G1541,Levels!$G$5:$G$94,0)),"Not this class's skill"))</f>
        <v/>
      </c>
    </row>
    <row r="1542" customFormat="false" ht="15" hidden="false" customHeight="false" outlineLevel="0" collapsed="false">
      <c r="A1542" s="23"/>
      <c r="B1542" s="22"/>
      <c r="C1542" s="22"/>
      <c r="D1542" s="22"/>
      <c r="E1542" s="22"/>
      <c r="F1542" s="27" t="str">
        <f aca="false">IF(B1542="","",IFERROR(INDEX(Roster!$B$5:$B$154,MATCH(B1542,Roster!$A$5:$A$154,0)),"Not on roster"))</f>
        <v/>
      </c>
      <c r="G1542" s="28" t="str">
        <f aca="false">IF(OR(B1542="",C1542=""),"",F1542&amp;" | "&amp;C1542)</f>
        <v/>
      </c>
      <c r="H1542" s="27" t="str">
        <f aca="false">IF(G1542="","",IFERROR(INDEX(Levels!$C$5:$C$94,MATCH(G1542,Levels!$G$5:$G$94,0)),"Not this class's skill"))</f>
        <v/>
      </c>
    </row>
    <row r="1543" customFormat="false" ht="15" hidden="false" customHeight="false" outlineLevel="0" collapsed="false">
      <c r="A1543" s="23"/>
      <c r="B1543" s="22"/>
      <c r="C1543" s="22"/>
      <c r="D1543" s="22"/>
      <c r="E1543" s="22"/>
      <c r="F1543" s="27" t="str">
        <f aca="false">IF(B1543="","",IFERROR(INDEX(Roster!$B$5:$B$154,MATCH(B1543,Roster!$A$5:$A$154,0)),"Not on roster"))</f>
        <v/>
      </c>
      <c r="G1543" s="28" t="str">
        <f aca="false">IF(OR(B1543="",C1543=""),"",F1543&amp;" | "&amp;C1543)</f>
        <v/>
      </c>
      <c r="H1543" s="27" t="str">
        <f aca="false">IF(G1543="","",IFERROR(INDEX(Levels!$C$5:$C$94,MATCH(G1543,Levels!$G$5:$G$94,0)),"Not this class's skill"))</f>
        <v/>
      </c>
    </row>
    <row r="1544" customFormat="false" ht="15" hidden="false" customHeight="false" outlineLevel="0" collapsed="false">
      <c r="A1544" s="23"/>
      <c r="B1544" s="22"/>
      <c r="C1544" s="22"/>
      <c r="D1544" s="22"/>
      <c r="E1544" s="22"/>
      <c r="F1544" s="27" t="str">
        <f aca="false">IF(B1544="","",IFERROR(INDEX(Roster!$B$5:$B$154,MATCH(B1544,Roster!$A$5:$A$154,0)),"Not on roster"))</f>
        <v/>
      </c>
      <c r="G1544" s="28" t="str">
        <f aca="false">IF(OR(B1544="",C1544=""),"",F1544&amp;" | "&amp;C1544)</f>
        <v/>
      </c>
      <c r="H1544" s="27" t="str">
        <f aca="false">IF(G1544="","",IFERROR(INDEX(Levels!$C$5:$C$94,MATCH(G1544,Levels!$G$5:$G$94,0)),"Not this class's skill"))</f>
        <v/>
      </c>
    </row>
    <row r="1545" customFormat="false" ht="15" hidden="false" customHeight="false" outlineLevel="0" collapsed="false">
      <c r="A1545" s="23"/>
      <c r="B1545" s="22"/>
      <c r="C1545" s="22"/>
      <c r="D1545" s="22"/>
      <c r="E1545" s="22"/>
      <c r="F1545" s="27" t="str">
        <f aca="false">IF(B1545="","",IFERROR(INDEX(Roster!$B$5:$B$154,MATCH(B1545,Roster!$A$5:$A$154,0)),"Not on roster"))</f>
        <v/>
      </c>
      <c r="G1545" s="28" t="str">
        <f aca="false">IF(OR(B1545="",C1545=""),"",F1545&amp;" | "&amp;C1545)</f>
        <v/>
      </c>
      <c r="H1545" s="27" t="str">
        <f aca="false">IF(G1545="","",IFERROR(INDEX(Levels!$C$5:$C$94,MATCH(G1545,Levels!$G$5:$G$94,0)),"Not this class's skill"))</f>
        <v/>
      </c>
    </row>
    <row r="1546" customFormat="false" ht="15" hidden="false" customHeight="false" outlineLevel="0" collapsed="false">
      <c r="A1546" s="23"/>
      <c r="B1546" s="22"/>
      <c r="C1546" s="22"/>
      <c r="D1546" s="22"/>
      <c r="E1546" s="22"/>
      <c r="F1546" s="27" t="str">
        <f aca="false">IF(B1546="","",IFERROR(INDEX(Roster!$B$5:$B$154,MATCH(B1546,Roster!$A$5:$A$154,0)),"Not on roster"))</f>
        <v/>
      </c>
      <c r="G1546" s="28" t="str">
        <f aca="false">IF(OR(B1546="",C1546=""),"",F1546&amp;" | "&amp;C1546)</f>
        <v/>
      </c>
      <c r="H1546" s="27" t="str">
        <f aca="false">IF(G1546="","",IFERROR(INDEX(Levels!$C$5:$C$94,MATCH(G1546,Levels!$G$5:$G$94,0)),"Not this class's skill"))</f>
        <v/>
      </c>
    </row>
    <row r="1547" customFormat="false" ht="15" hidden="false" customHeight="false" outlineLevel="0" collapsed="false">
      <c r="A1547" s="23"/>
      <c r="B1547" s="22"/>
      <c r="C1547" s="22"/>
      <c r="D1547" s="22"/>
      <c r="E1547" s="22"/>
      <c r="F1547" s="27" t="str">
        <f aca="false">IF(B1547="","",IFERROR(INDEX(Roster!$B$5:$B$154,MATCH(B1547,Roster!$A$5:$A$154,0)),"Not on roster"))</f>
        <v/>
      </c>
      <c r="G1547" s="28" t="str">
        <f aca="false">IF(OR(B1547="",C1547=""),"",F1547&amp;" | "&amp;C1547)</f>
        <v/>
      </c>
      <c r="H1547" s="27" t="str">
        <f aca="false">IF(G1547="","",IFERROR(INDEX(Levels!$C$5:$C$94,MATCH(G1547,Levels!$G$5:$G$94,0)),"Not this class's skill"))</f>
        <v/>
      </c>
    </row>
    <row r="1548" customFormat="false" ht="15" hidden="false" customHeight="false" outlineLevel="0" collapsed="false">
      <c r="A1548" s="23"/>
      <c r="B1548" s="22"/>
      <c r="C1548" s="22"/>
      <c r="D1548" s="22"/>
      <c r="E1548" s="22"/>
      <c r="F1548" s="27" t="str">
        <f aca="false">IF(B1548="","",IFERROR(INDEX(Roster!$B$5:$B$154,MATCH(B1548,Roster!$A$5:$A$154,0)),"Not on roster"))</f>
        <v/>
      </c>
      <c r="G1548" s="28" t="str">
        <f aca="false">IF(OR(B1548="",C1548=""),"",F1548&amp;" | "&amp;C1548)</f>
        <v/>
      </c>
      <c r="H1548" s="27" t="str">
        <f aca="false">IF(G1548="","",IFERROR(INDEX(Levels!$C$5:$C$94,MATCH(G1548,Levels!$G$5:$G$94,0)),"Not this class's skill"))</f>
        <v/>
      </c>
    </row>
    <row r="1549" customFormat="false" ht="15" hidden="false" customHeight="false" outlineLevel="0" collapsed="false">
      <c r="A1549" s="23"/>
      <c r="B1549" s="22"/>
      <c r="C1549" s="22"/>
      <c r="D1549" s="22"/>
      <c r="E1549" s="22"/>
      <c r="F1549" s="27" t="str">
        <f aca="false">IF(B1549="","",IFERROR(INDEX(Roster!$B$5:$B$154,MATCH(B1549,Roster!$A$5:$A$154,0)),"Not on roster"))</f>
        <v/>
      </c>
      <c r="G1549" s="28" t="str">
        <f aca="false">IF(OR(B1549="",C1549=""),"",F1549&amp;" | "&amp;C1549)</f>
        <v/>
      </c>
      <c r="H1549" s="27" t="str">
        <f aca="false">IF(G1549="","",IFERROR(INDEX(Levels!$C$5:$C$94,MATCH(G1549,Levels!$G$5:$G$94,0)),"Not this class's skill"))</f>
        <v/>
      </c>
    </row>
    <row r="1550" customFormat="false" ht="15" hidden="false" customHeight="false" outlineLevel="0" collapsed="false">
      <c r="A1550" s="23"/>
      <c r="B1550" s="22"/>
      <c r="C1550" s="22"/>
      <c r="D1550" s="22"/>
      <c r="E1550" s="22"/>
      <c r="F1550" s="27" t="str">
        <f aca="false">IF(B1550="","",IFERROR(INDEX(Roster!$B$5:$B$154,MATCH(B1550,Roster!$A$5:$A$154,0)),"Not on roster"))</f>
        <v/>
      </c>
      <c r="G1550" s="28" t="str">
        <f aca="false">IF(OR(B1550="",C1550=""),"",F1550&amp;" | "&amp;C1550)</f>
        <v/>
      </c>
      <c r="H1550" s="27" t="str">
        <f aca="false">IF(G1550="","",IFERROR(INDEX(Levels!$C$5:$C$94,MATCH(G1550,Levels!$G$5:$G$94,0)),"Not this class's skill"))</f>
        <v/>
      </c>
    </row>
    <row r="1551" customFormat="false" ht="15" hidden="false" customHeight="false" outlineLevel="0" collapsed="false">
      <c r="A1551" s="23"/>
      <c r="B1551" s="22"/>
      <c r="C1551" s="22"/>
      <c r="D1551" s="22"/>
      <c r="E1551" s="22"/>
      <c r="F1551" s="27" t="str">
        <f aca="false">IF(B1551="","",IFERROR(INDEX(Roster!$B$5:$B$154,MATCH(B1551,Roster!$A$5:$A$154,0)),"Not on roster"))</f>
        <v/>
      </c>
      <c r="G1551" s="28" t="str">
        <f aca="false">IF(OR(B1551="",C1551=""),"",F1551&amp;" | "&amp;C1551)</f>
        <v/>
      </c>
      <c r="H1551" s="27" t="str">
        <f aca="false">IF(G1551="","",IFERROR(INDEX(Levels!$C$5:$C$94,MATCH(G1551,Levels!$G$5:$G$94,0)),"Not this class's skill"))</f>
        <v/>
      </c>
    </row>
    <row r="1552" customFormat="false" ht="15" hidden="false" customHeight="false" outlineLevel="0" collapsed="false">
      <c r="A1552" s="23"/>
      <c r="B1552" s="22"/>
      <c r="C1552" s="22"/>
      <c r="D1552" s="22"/>
      <c r="E1552" s="22"/>
      <c r="F1552" s="27" t="str">
        <f aca="false">IF(B1552="","",IFERROR(INDEX(Roster!$B$5:$B$154,MATCH(B1552,Roster!$A$5:$A$154,0)),"Not on roster"))</f>
        <v/>
      </c>
      <c r="G1552" s="28" t="str">
        <f aca="false">IF(OR(B1552="",C1552=""),"",F1552&amp;" | "&amp;C1552)</f>
        <v/>
      </c>
      <c r="H1552" s="27" t="str">
        <f aca="false">IF(G1552="","",IFERROR(INDEX(Levels!$C$5:$C$94,MATCH(G1552,Levels!$G$5:$G$94,0)),"Not this class's skill"))</f>
        <v/>
      </c>
    </row>
    <row r="1553" customFormat="false" ht="15" hidden="false" customHeight="false" outlineLevel="0" collapsed="false">
      <c r="A1553" s="23"/>
      <c r="B1553" s="22"/>
      <c r="C1553" s="22"/>
      <c r="D1553" s="22"/>
      <c r="E1553" s="22"/>
      <c r="F1553" s="27" t="str">
        <f aca="false">IF(B1553="","",IFERROR(INDEX(Roster!$B$5:$B$154,MATCH(B1553,Roster!$A$5:$A$154,0)),"Not on roster"))</f>
        <v/>
      </c>
      <c r="G1553" s="28" t="str">
        <f aca="false">IF(OR(B1553="",C1553=""),"",F1553&amp;" | "&amp;C1553)</f>
        <v/>
      </c>
      <c r="H1553" s="27" t="str">
        <f aca="false">IF(G1553="","",IFERROR(INDEX(Levels!$C$5:$C$94,MATCH(G1553,Levels!$G$5:$G$94,0)),"Not this class's skill"))</f>
        <v/>
      </c>
    </row>
    <row r="1554" customFormat="false" ht="15" hidden="false" customHeight="false" outlineLevel="0" collapsed="false">
      <c r="A1554" s="23"/>
      <c r="B1554" s="22"/>
      <c r="C1554" s="22"/>
      <c r="D1554" s="22"/>
      <c r="E1554" s="22"/>
      <c r="F1554" s="27" t="str">
        <f aca="false">IF(B1554="","",IFERROR(INDEX(Roster!$B$5:$B$154,MATCH(B1554,Roster!$A$5:$A$154,0)),"Not on roster"))</f>
        <v/>
      </c>
      <c r="G1554" s="28" t="str">
        <f aca="false">IF(OR(B1554="",C1554=""),"",F1554&amp;" | "&amp;C1554)</f>
        <v/>
      </c>
      <c r="H1554" s="27" t="str">
        <f aca="false">IF(G1554="","",IFERROR(INDEX(Levels!$C$5:$C$94,MATCH(G1554,Levels!$G$5:$G$94,0)),"Not this class's skill"))</f>
        <v/>
      </c>
    </row>
    <row r="1555" customFormat="false" ht="15" hidden="false" customHeight="false" outlineLevel="0" collapsed="false">
      <c r="A1555" s="23"/>
      <c r="B1555" s="22"/>
      <c r="C1555" s="22"/>
      <c r="D1555" s="22"/>
      <c r="E1555" s="22"/>
      <c r="F1555" s="27" t="str">
        <f aca="false">IF(B1555="","",IFERROR(INDEX(Roster!$B$5:$B$154,MATCH(B1555,Roster!$A$5:$A$154,0)),"Not on roster"))</f>
        <v/>
      </c>
      <c r="G1555" s="28" t="str">
        <f aca="false">IF(OR(B1555="",C1555=""),"",F1555&amp;" | "&amp;C1555)</f>
        <v/>
      </c>
      <c r="H1555" s="27" t="str">
        <f aca="false">IF(G1555="","",IFERROR(INDEX(Levels!$C$5:$C$94,MATCH(G1555,Levels!$G$5:$G$94,0)),"Not this class's skill"))</f>
        <v/>
      </c>
    </row>
    <row r="1556" customFormat="false" ht="15" hidden="false" customHeight="false" outlineLevel="0" collapsed="false">
      <c r="A1556" s="23"/>
      <c r="B1556" s="22"/>
      <c r="C1556" s="22"/>
      <c r="D1556" s="22"/>
      <c r="E1556" s="22"/>
      <c r="F1556" s="27" t="str">
        <f aca="false">IF(B1556="","",IFERROR(INDEX(Roster!$B$5:$B$154,MATCH(B1556,Roster!$A$5:$A$154,0)),"Not on roster"))</f>
        <v/>
      </c>
      <c r="G1556" s="28" t="str">
        <f aca="false">IF(OR(B1556="",C1556=""),"",F1556&amp;" | "&amp;C1556)</f>
        <v/>
      </c>
      <c r="H1556" s="27" t="str">
        <f aca="false">IF(G1556="","",IFERROR(INDEX(Levels!$C$5:$C$94,MATCH(G1556,Levels!$G$5:$G$94,0)),"Not this class's skill"))</f>
        <v/>
      </c>
    </row>
    <row r="1557" customFormat="false" ht="15" hidden="false" customHeight="false" outlineLevel="0" collapsed="false">
      <c r="A1557" s="23"/>
      <c r="B1557" s="22"/>
      <c r="C1557" s="22"/>
      <c r="D1557" s="22"/>
      <c r="E1557" s="22"/>
      <c r="F1557" s="27" t="str">
        <f aca="false">IF(B1557="","",IFERROR(INDEX(Roster!$B$5:$B$154,MATCH(B1557,Roster!$A$5:$A$154,0)),"Not on roster"))</f>
        <v/>
      </c>
      <c r="G1557" s="28" t="str">
        <f aca="false">IF(OR(B1557="",C1557=""),"",F1557&amp;" | "&amp;C1557)</f>
        <v/>
      </c>
      <c r="H1557" s="27" t="str">
        <f aca="false">IF(G1557="","",IFERROR(INDEX(Levels!$C$5:$C$94,MATCH(G1557,Levels!$G$5:$G$94,0)),"Not this class's skill"))</f>
        <v/>
      </c>
    </row>
    <row r="1558" customFormat="false" ht="15" hidden="false" customHeight="false" outlineLevel="0" collapsed="false">
      <c r="A1558" s="23"/>
      <c r="B1558" s="22"/>
      <c r="C1558" s="22"/>
      <c r="D1558" s="22"/>
      <c r="E1558" s="22"/>
      <c r="F1558" s="27" t="str">
        <f aca="false">IF(B1558="","",IFERROR(INDEX(Roster!$B$5:$B$154,MATCH(B1558,Roster!$A$5:$A$154,0)),"Not on roster"))</f>
        <v/>
      </c>
      <c r="G1558" s="28" t="str">
        <f aca="false">IF(OR(B1558="",C1558=""),"",F1558&amp;" | "&amp;C1558)</f>
        <v/>
      </c>
      <c r="H1558" s="27" t="str">
        <f aca="false">IF(G1558="","",IFERROR(INDEX(Levels!$C$5:$C$94,MATCH(G1558,Levels!$G$5:$G$94,0)),"Not this class's skill"))</f>
        <v/>
      </c>
    </row>
    <row r="1559" customFormat="false" ht="15" hidden="false" customHeight="false" outlineLevel="0" collapsed="false">
      <c r="A1559" s="23"/>
      <c r="B1559" s="22"/>
      <c r="C1559" s="22"/>
      <c r="D1559" s="22"/>
      <c r="E1559" s="22"/>
      <c r="F1559" s="27" t="str">
        <f aca="false">IF(B1559="","",IFERROR(INDEX(Roster!$B$5:$B$154,MATCH(B1559,Roster!$A$5:$A$154,0)),"Not on roster"))</f>
        <v/>
      </c>
      <c r="G1559" s="28" t="str">
        <f aca="false">IF(OR(B1559="",C1559=""),"",F1559&amp;" | "&amp;C1559)</f>
        <v/>
      </c>
      <c r="H1559" s="27" t="str">
        <f aca="false">IF(G1559="","",IFERROR(INDEX(Levels!$C$5:$C$94,MATCH(G1559,Levels!$G$5:$G$94,0)),"Not this class's skill"))</f>
        <v/>
      </c>
    </row>
    <row r="1560" customFormat="false" ht="15" hidden="false" customHeight="false" outlineLevel="0" collapsed="false">
      <c r="A1560" s="23"/>
      <c r="B1560" s="22"/>
      <c r="C1560" s="22"/>
      <c r="D1560" s="22"/>
      <c r="E1560" s="22"/>
      <c r="F1560" s="27" t="str">
        <f aca="false">IF(B1560="","",IFERROR(INDEX(Roster!$B$5:$B$154,MATCH(B1560,Roster!$A$5:$A$154,0)),"Not on roster"))</f>
        <v/>
      </c>
      <c r="G1560" s="28" t="str">
        <f aca="false">IF(OR(B1560="",C1560=""),"",F1560&amp;" | "&amp;C1560)</f>
        <v/>
      </c>
      <c r="H1560" s="27" t="str">
        <f aca="false">IF(G1560="","",IFERROR(INDEX(Levels!$C$5:$C$94,MATCH(G1560,Levels!$G$5:$G$94,0)),"Not this class's skill"))</f>
        <v/>
      </c>
    </row>
    <row r="1561" customFormat="false" ht="15" hidden="false" customHeight="false" outlineLevel="0" collapsed="false">
      <c r="A1561" s="23"/>
      <c r="B1561" s="22"/>
      <c r="C1561" s="22"/>
      <c r="D1561" s="22"/>
      <c r="E1561" s="22"/>
      <c r="F1561" s="27" t="str">
        <f aca="false">IF(B1561="","",IFERROR(INDEX(Roster!$B$5:$B$154,MATCH(B1561,Roster!$A$5:$A$154,0)),"Not on roster"))</f>
        <v/>
      </c>
      <c r="G1561" s="28" t="str">
        <f aca="false">IF(OR(B1561="",C1561=""),"",F1561&amp;" | "&amp;C1561)</f>
        <v/>
      </c>
      <c r="H1561" s="27" t="str">
        <f aca="false">IF(G1561="","",IFERROR(INDEX(Levels!$C$5:$C$94,MATCH(G1561,Levels!$G$5:$G$94,0)),"Not this class's skill"))</f>
        <v/>
      </c>
    </row>
    <row r="1562" customFormat="false" ht="15" hidden="false" customHeight="false" outlineLevel="0" collapsed="false">
      <c r="A1562" s="23"/>
      <c r="B1562" s="22"/>
      <c r="C1562" s="22"/>
      <c r="D1562" s="22"/>
      <c r="E1562" s="22"/>
      <c r="F1562" s="27" t="str">
        <f aca="false">IF(B1562="","",IFERROR(INDEX(Roster!$B$5:$B$154,MATCH(B1562,Roster!$A$5:$A$154,0)),"Not on roster"))</f>
        <v/>
      </c>
      <c r="G1562" s="28" t="str">
        <f aca="false">IF(OR(B1562="",C1562=""),"",F1562&amp;" | "&amp;C1562)</f>
        <v/>
      </c>
      <c r="H1562" s="27" t="str">
        <f aca="false">IF(G1562="","",IFERROR(INDEX(Levels!$C$5:$C$94,MATCH(G1562,Levels!$G$5:$G$94,0)),"Not this class's skill"))</f>
        <v/>
      </c>
    </row>
    <row r="1563" customFormat="false" ht="15" hidden="false" customHeight="false" outlineLevel="0" collapsed="false">
      <c r="A1563" s="23"/>
      <c r="B1563" s="22"/>
      <c r="C1563" s="22"/>
      <c r="D1563" s="22"/>
      <c r="E1563" s="22"/>
      <c r="F1563" s="27" t="str">
        <f aca="false">IF(B1563="","",IFERROR(INDEX(Roster!$B$5:$B$154,MATCH(B1563,Roster!$A$5:$A$154,0)),"Not on roster"))</f>
        <v/>
      </c>
      <c r="G1563" s="28" t="str">
        <f aca="false">IF(OR(B1563="",C1563=""),"",F1563&amp;" | "&amp;C1563)</f>
        <v/>
      </c>
      <c r="H1563" s="27" t="str">
        <f aca="false">IF(G1563="","",IFERROR(INDEX(Levels!$C$5:$C$94,MATCH(G1563,Levels!$G$5:$G$94,0)),"Not this class's skill"))</f>
        <v/>
      </c>
    </row>
    <row r="1564" customFormat="false" ht="15" hidden="false" customHeight="false" outlineLevel="0" collapsed="false">
      <c r="A1564" s="23"/>
      <c r="B1564" s="22"/>
      <c r="C1564" s="22"/>
      <c r="D1564" s="22"/>
      <c r="E1564" s="22"/>
      <c r="F1564" s="27" t="str">
        <f aca="false">IF(B1564="","",IFERROR(INDEX(Roster!$B$5:$B$154,MATCH(B1564,Roster!$A$5:$A$154,0)),"Not on roster"))</f>
        <v/>
      </c>
      <c r="G1564" s="28" t="str">
        <f aca="false">IF(OR(B1564="",C1564=""),"",F1564&amp;" | "&amp;C1564)</f>
        <v/>
      </c>
      <c r="H1564" s="27" t="str">
        <f aca="false">IF(G1564="","",IFERROR(INDEX(Levels!$C$5:$C$94,MATCH(G1564,Levels!$G$5:$G$94,0)),"Not this class's skill"))</f>
        <v/>
      </c>
    </row>
    <row r="1565" customFormat="false" ht="15" hidden="false" customHeight="false" outlineLevel="0" collapsed="false">
      <c r="A1565" s="23"/>
      <c r="B1565" s="22"/>
      <c r="C1565" s="22"/>
      <c r="D1565" s="22"/>
      <c r="E1565" s="22"/>
      <c r="F1565" s="27" t="str">
        <f aca="false">IF(B1565="","",IFERROR(INDEX(Roster!$B$5:$B$154,MATCH(B1565,Roster!$A$5:$A$154,0)),"Not on roster"))</f>
        <v/>
      </c>
      <c r="G1565" s="28" t="str">
        <f aca="false">IF(OR(B1565="",C1565=""),"",F1565&amp;" | "&amp;C1565)</f>
        <v/>
      </c>
      <c r="H1565" s="27" t="str">
        <f aca="false">IF(G1565="","",IFERROR(INDEX(Levels!$C$5:$C$94,MATCH(G1565,Levels!$G$5:$G$94,0)),"Not this class's skill"))</f>
        <v/>
      </c>
    </row>
    <row r="1566" customFormat="false" ht="15" hidden="false" customHeight="false" outlineLevel="0" collapsed="false">
      <c r="A1566" s="23"/>
      <c r="B1566" s="22"/>
      <c r="C1566" s="22"/>
      <c r="D1566" s="22"/>
      <c r="E1566" s="22"/>
      <c r="F1566" s="27" t="str">
        <f aca="false">IF(B1566="","",IFERROR(INDEX(Roster!$B$5:$B$154,MATCH(B1566,Roster!$A$5:$A$154,0)),"Not on roster"))</f>
        <v/>
      </c>
      <c r="G1566" s="28" t="str">
        <f aca="false">IF(OR(B1566="",C1566=""),"",F1566&amp;" | "&amp;C1566)</f>
        <v/>
      </c>
      <c r="H1566" s="27" t="str">
        <f aca="false">IF(G1566="","",IFERROR(INDEX(Levels!$C$5:$C$94,MATCH(G1566,Levels!$G$5:$G$94,0)),"Not this class's skill"))</f>
        <v/>
      </c>
    </row>
    <row r="1567" customFormat="false" ht="15" hidden="false" customHeight="false" outlineLevel="0" collapsed="false">
      <c r="A1567" s="23"/>
      <c r="B1567" s="22"/>
      <c r="C1567" s="22"/>
      <c r="D1567" s="22"/>
      <c r="E1567" s="22"/>
      <c r="F1567" s="27" t="str">
        <f aca="false">IF(B1567="","",IFERROR(INDEX(Roster!$B$5:$B$154,MATCH(B1567,Roster!$A$5:$A$154,0)),"Not on roster"))</f>
        <v/>
      </c>
      <c r="G1567" s="28" t="str">
        <f aca="false">IF(OR(B1567="",C1567=""),"",F1567&amp;" | "&amp;C1567)</f>
        <v/>
      </c>
      <c r="H1567" s="27" t="str">
        <f aca="false">IF(G1567="","",IFERROR(INDEX(Levels!$C$5:$C$94,MATCH(G1567,Levels!$G$5:$G$94,0)),"Not this class's skill"))</f>
        <v/>
      </c>
    </row>
    <row r="1568" customFormat="false" ht="15" hidden="false" customHeight="false" outlineLevel="0" collapsed="false">
      <c r="A1568" s="23"/>
      <c r="B1568" s="22"/>
      <c r="C1568" s="22"/>
      <c r="D1568" s="22"/>
      <c r="E1568" s="22"/>
      <c r="F1568" s="27" t="str">
        <f aca="false">IF(B1568="","",IFERROR(INDEX(Roster!$B$5:$B$154,MATCH(B1568,Roster!$A$5:$A$154,0)),"Not on roster"))</f>
        <v/>
      </c>
      <c r="G1568" s="28" t="str">
        <f aca="false">IF(OR(B1568="",C1568=""),"",F1568&amp;" | "&amp;C1568)</f>
        <v/>
      </c>
      <c r="H1568" s="27" t="str">
        <f aca="false">IF(G1568="","",IFERROR(INDEX(Levels!$C$5:$C$94,MATCH(G1568,Levels!$G$5:$G$94,0)),"Not this class's skill"))</f>
        <v/>
      </c>
    </row>
    <row r="1569" customFormat="false" ht="15" hidden="false" customHeight="false" outlineLevel="0" collapsed="false">
      <c r="A1569" s="23"/>
      <c r="B1569" s="22"/>
      <c r="C1569" s="22"/>
      <c r="D1569" s="22"/>
      <c r="E1569" s="22"/>
      <c r="F1569" s="27" t="str">
        <f aca="false">IF(B1569="","",IFERROR(INDEX(Roster!$B$5:$B$154,MATCH(B1569,Roster!$A$5:$A$154,0)),"Not on roster"))</f>
        <v/>
      </c>
      <c r="G1569" s="28" t="str">
        <f aca="false">IF(OR(B1569="",C1569=""),"",F1569&amp;" | "&amp;C1569)</f>
        <v/>
      </c>
      <c r="H1569" s="27" t="str">
        <f aca="false">IF(G1569="","",IFERROR(INDEX(Levels!$C$5:$C$94,MATCH(G1569,Levels!$G$5:$G$94,0)),"Not this class's skill"))</f>
        <v/>
      </c>
    </row>
    <row r="1570" customFormat="false" ht="15" hidden="false" customHeight="false" outlineLevel="0" collapsed="false">
      <c r="A1570" s="23"/>
      <c r="B1570" s="22"/>
      <c r="C1570" s="22"/>
      <c r="D1570" s="22"/>
      <c r="E1570" s="22"/>
      <c r="F1570" s="27" t="str">
        <f aca="false">IF(B1570="","",IFERROR(INDEX(Roster!$B$5:$B$154,MATCH(B1570,Roster!$A$5:$A$154,0)),"Not on roster"))</f>
        <v/>
      </c>
      <c r="G1570" s="28" t="str">
        <f aca="false">IF(OR(B1570="",C1570=""),"",F1570&amp;" | "&amp;C1570)</f>
        <v/>
      </c>
      <c r="H1570" s="27" t="str">
        <f aca="false">IF(G1570="","",IFERROR(INDEX(Levels!$C$5:$C$94,MATCH(G1570,Levels!$G$5:$G$94,0)),"Not this class's skill"))</f>
        <v/>
      </c>
    </row>
    <row r="1571" customFormat="false" ht="15" hidden="false" customHeight="false" outlineLevel="0" collapsed="false">
      <c r="A1571" s="23"/>
      <c r="B1571" s="22"/>
      <c r="C1571" s="22"/>
      <c r="D1571" s="22"/>
      <c r="E1571" s="22"/>
      <c r="F1571" s="27" t="str">
        <f aca="false">IF(B1571="","",IFERROR(INDEX(Roster!$B$5:$B$154,MATCH(B1571,Roster!$A$5:$A$154,0)),"Not on roster"))</f>
        <v/>
      </c>
      <c r="G1571" s="28" t="str">
        <f aca="false">IF(OR(B1571="",C1571=""),"",F1571&amp;" | "&amp;C1571)</f>
        <v/>
      </c>
      <c r="H1571" s="27" t="str">
        <f aca="false">IF(G1571="","",IFERROR(INDEX(Levels!$C$5:$C$94,MATCH(G1571,Levels!$G$5:$G$94,0)),"Not this class's skill"))</f>
        <v/>
      </c>
    </row>
    <row r="1572" customFormat="false" ht="15" hidden="false" customHeight="false" outlineLevel="0" collapsed="false">
      <c r="A1572" s="23"/>
      <c r="B1572" s="22"/>
      <c r="C1572" s="22"/>
      <c r="D1572" s="22"/>
      <c r="E1572" s="22"/>
      <c r="F1572" s="27" t="str">
        <f aca="false">IF(B1572="","",IFERROR(INDEX(Roster!$B$5:$B$154,MATCH(B1572,Roster!$A$5:$A$154,0)),"Not on roster"))</f>
        <v/>
      </c>
      <c r="G1572" s="28" t="str">
        <f aca="false">IF(OR(B1572="",C1572=""),"",F1572&amp;" | "&amp;C1572)</f>
        <v/>
      </c>
      <c r="H1572" s="27" t="str">
        <f aca="false">IF(G1572="","",IFERROR(INDEX(Levels!$C$5:$C$94,MATCH(G1572,Levels!$G$5:$G$94,0)),"Not this class's skill"))</f>
        <v/>
      </c>
    </row>
    <row r="1573" customFormat="false" ht="15" hidden="false" customHeight="false" outlineLevel="0" collapsed="false">
      <c r="A1573" s="23"/>
      <c r="B1573" s="22"/>
      <c r="C1573" s="22"/>
      <c r="D1573" s="22"/>
      <c r="E1573" s="22"/>
      <c r="F1573" s="27" t="str">
        <f aca="false">IF(B1573="","",IFERROR(INDEX(Roster!$B$5:$B$154,MATCH(B1573,Roster!$A$5:$A$154,0)),"Not on roster"))</f>
        <v/>
      </c>
      <c r="G1573" s="28" t="str">
        <f aca="false">IF(OR(B1573="",C1573=""),"",F1573&amp;" | "&amp;C1573)</f>
        <v/>
      </c>
      <c r="H1573" s="27" t="str">
        <f aca="false">IF(G1573="","",IFERROR(INDEX(Levels!$C$5:$C$94,MATCH(G1573,Levels!$G$5:$G$94,0)),"Not this class's skill"))</f>
        <v/>
      </c>
    </row>
    <row r="1574" customFormat="false" ht="15" hidden="false" customHeight="false" outlineLevel="0" collapsed="false">
      <c r="A1574" s="23"/>
      <c r="B1574" s="22"/>
      <c r="C1574" s="22"/>
      <c r="D1574" s="22"/>
      <c r="E1574" s="22"/>
      <c r="F1574" s="27" t="str">
        <f aca="false">IF(B1574="","",IFERROR(INDEX(Roster!$B$5:$B$154,MATCH(B1574,Roster!$A$5:$A$154,0)),"Not on roster"))</f>
        <v/>
      </c>
      <c r="G1574" s="28" t="str">
        <f aca="false">IF(OR(B1574="",C1574=""),"",F1574&amp;" | "&amp;C1574)</f>
        <v/>
      </c>
      <c r="H1574" s="27" t="str">
        <f aca="false">IF(G1574="","",IFERROR(INDEX(Levels!$C$5:$C$94,MATCH(G1574,Levels!$G$5:$G$94,0)),"Not this class's skill"))</f>
        <v/>
      </c>
    </row>
    <row r="1575" customFormat="false" ht="15" hidden="false" customHeight="false" outlineLevel="0" collapsed="false">
      <c r="A1575" s="23"/>
      <c r="B1575" s="22"/>
      <c r="C1575" s="22"/>
      <c r="D1575" s="22"/>
      <c r="E1575" s="22"/>
      <c r="F1575" s="27" t="str">
        <f aca="false">IF(B1575="","",IFERROR(INDEX(Roster!$B$5:$B$154,MATCH(B1575,Roster!$A$5:$A$154,0)),"Not on roster"))</f>
        <v/>
      </c>
      <c r="G1575" s="28" t="str">
        <f aca="false">IF(OR(B1575="",C1575=""),"",F1575&amp;" | "&amp;C1575)</f>
        <v/>
      </c>
      <c r="H1575" s="27" t="str">
        <f aca="false">IF(G1575="","",IFERROR(INDEX(Levels!$C$5:$C$94,MATCH(G1575,Levels!$G$5:$G$94,0)),"Not this class's skill"))</f>
        <v/>
      </c>
    </row>
    <row r="1576" customFormat="false" ht="15" hidden="false" customHeight="false" outlineLevel="0" collapsed="false">
      <c r="A1576" s="23"/>
      <c r="B1576" s="22"/>
      <c r="C1576" s="22"/>
      <c r="D1576" s="22"/>
      <c r="E1576" s="22"/>
      <c r="F1576" s="27" t="str">
        <f aca="false">IF(B1576="","",IFERROR(INDEX(Roster!$B$5:$B$154,MATCH(B1576,Roster!$A$5:$A$154,0)),"Not on roster"))</f>
        <v/>
      </c>
      <c r="G1576" s="28" t="str">
        <f aca="false">IF(OR(B1576="",C1576=""),"",F1576&amp;" | "&amp;C1576)</f>
        <v/>
      </c>
      <c r="H1576" s="27" t="str">
        <f aca="false">IF(G1576="","",IFERROR(INDEX(Levels!$C$5:$C$94,MATCH(G1576,Levels!$G$5:$G$94,0)),"Not this class's skill"))</f>
        <v/>
      </c>
    </row>
    <row r="1577" customFormat="false" ht="15" hidden="false" customHeight="false" outlineLevel="0" collapsed="false">
      <c r="A1577" s="23"/>
      <c r="B1577" s="22"/>
      <c r="C1577" s="22"/>
      <c r="D1577" s="22"/>
      <c r="E1577" s="22"/>
      <c r="F1577" s="27" t="str">
        <f aca="false">IF(B1577="","",IFERROR(INDEX(Roster!$B$5:$B$154,MATCH(B1577,Roster!$A$5:$A$154,0)),"Not on roster"))</f>
        <v/>
      </c>
      <c r="G1577" s="28" t="str">
        <f aca="false">IF(OR(B1577="",C1577=""),"",F1577&amp;" | "&amp;C1577)</f>
        <v/>
      </c>
      <c r="H1577" s="27" t="str">
        <f aca="false">IF(G1577="","",IFERROR(INDEX(Levels!$C$5:$C$94,MATCH(G1577,Levels!$G$5:$G$94,0)),"Not this class's skill"))</f>
        <v/>
      </c>
    </row>
    <row r="1578" customFormat="false" ht="15" hidden="false" customHeight="false" outlineLevel="0" collapsed="false">
      <c r="A1578" s="23"/>
      <c r="B1578" s="22"/>
      <c r="C1578" s="22"/>
      <c r="D1578" s="22"/>
      <c r="E1578" s="22"/>
      <c r="F1578" s="27" t="str">
        <f aca="false">IF(B1578="","",IFERROR(INDEX(Roster!$B$5:$B$154,MATCH(B1578,Roster!$A$5:$A$154,0)),"Not on roster"))</f>
        <v/>
      </c>
      <c r="G1578" s="28" t="str">
        <f aca="false">IF(OR(B1578="",C1578=""),"",F1578&amp;" | "&amp;C1578)</f>
        <v/>
      </c>
      <c r="H1578" s="27" t="str">
        <f aca="false">IF(G1578="","",IFERROR(INDEX(Levels!$C$5:$C$94,MATCH(G1578,Levels!$G$5:$G$94,0)),"Not this class's skill"))</f>
        <v/>
      </c>
    </row>
    <row r="1579" customFormat="false" ht="15" hidden="false" customHeight="false" outlineLevel="0" collapsed="false">
      <c r="A1579" s="23"/>
      <c r="B1579" s="22"/>
      <c r="C1579" s="22"/>
      <c r="D1579" s="22"/>
      <c r="E1579" s="22"/>
      <c r="F1579" s="27" t="str">
        <f aca="false">IF(B1579="","",IFERROR(INDEX(Roster!$B$5:$B$154,MATCH(B1579,Roster!$A$5:$A$154,0)),"Not on roster"))</f>
        <v/>
      </c>
      <c r="G1579" s="28" t="str">
        <f aca="false">IF(OR(B1579="",C1579=""),"",F1579&amp;" | "&amp;C1579)</f>
        <v/>
      </c>
      <c r="H1579" s="27" t="str">
        <f aca="false">IF(G1579="","",IFERROR(INDEX(Levels!$C$5:$C$94,MATCH(G1579,Levels!$G$5:$G$94,0)),"Not this class's skill"))</f>
        <v/>
      </c>
    </row>
    <row r="1580" customFormat="false" ht="15" hidden="false" customHeight="false" outlineLevel="0" collapsed="false">
      <c r="A1580" s="23"/>
      <c r="B1580" s="22"/>
      <c r="C1580" s="22"/>
      <c r="D1580" s="22"/>
      <c r="E1580" s="22"/>
      <c r="F1580" s="27" t="str">
        <f aca="false">IF(B1580="","",IFERROR(INDEX(Roster!$B$5:$B$154,MATCH(B1580,Roster!$A$5:$A$154,0)),"Not on roster"))</f>
        <v/>
      </c>
      <c r="G1580" s="28" t="str">
        <f aca="false">IF(OR(B1580="",C1580=""),"",F1580&amp;" | "&amp;C1580)</f>
        <v/>
      </c>
      <c r="H1580" s="27" t="str">
        <f aca="false">IF(G1580="","",IFERROR(INDEX(Levels!$C$5:$C$94,MATCH(G1580,Levels!$G$5:$G$94,0)),"Not this class's skill"))</f>
        <v/>
      </c>
    </row>
    <row r="1581" customFormat="false" ht="15" hidden="false" customHeight="false" outlineLevel="0" collapsed="false">
      <c r="A1581" s="23"/>
      <c r="B1581" s="22"/>
      <c r="C1581" s="22"/>
      <c r="D1581" s="22"/>
      <c r="E1581" s="22"/>
      <c r="F1581" s="27" t="str">
        <f aca="false">IF(B1581="","",IFERROR(INDEX(Roster!$B$5:$B$154,MATCH(B1581,Roster!$A$5:$A$154,0)),"Not on roster"))</f>
        <v/>
      </c>
      <c r="G1581" s="28" t="str">
        <f aca="false">IF(OR(B1581="",C1581=""),"",F1581&amp;" | "&amp;C1581)</f>
        <v/>
      </c>
      <c r="H1581" s="27" t="str">
        <f aca="false">IF(G1581="","",IFERROR(INDEX(Levels!$C$5:$C$94,MATCH(G1581,Levels!$G$5:$G$94,0)),"Not this class's skill"))</f>
        <v/>
      </c>
    </row>
    <row r="1582" customFormat="false" ht="15" hidden="false" customHeight="false" outlineLevel="0" collapsed="false">
      <c r="A1582" s="23"/>
      <c r="B1582" s="22"/>
      <c r="C1582" s="22"/>
      <c r="D1582" s="22"/>
      <c r="E1582" s="22"/>
      <c r="F1582" s="27" t="str">
        <f aca="false">IF(B1582="","",IFERROR(INDEX(Roster!$B$5:$B$154,MATCH(B1582,Roster!$A$5:$A$154,0)),"Not on roster"))</f>
        <v/>
      </c>
      <c r="G1582" s="28" t="str">
        <f aca="false">IF(OR(B1582="",C1582=""),"",F1582&amp;" | "&amp;C1582)</f>
        <v/>
      </c>
      <c r="H1582" s="27" t="str">
        <f aca="false">IF(G1582="","",IFERROR(INDEX(Levels!$C$5:$C$94,MATCH(G1582,Levels!$G$5:$G$94,0)),"Not this class's skill"))</f>
        <v/>
      </c>
    </row>
    <row r="1583" customFormat="false" ht="15" hidden="false" customHeight="false" outlineLevel="0" collapsed="false">
      <c r="A1583" s="23"/>
      <c r="B1583" s="22"/>
      <c r="C1583" s="22"/>
      <c r="D1583" s="22"/>
      <c r="E1583" s="22"/>
      <c r="F1583" s="27" t="str">
        <f aca="false">IF(B1583="","",IFERROR(INDEX(Roster!$B$5:$B$154,MATCH(B1583,Roster!$A$5:$A$154,0)),"Not on roster"))</f>
        <v/>
      </c>
      <c r="G1583" s="28" t="str">
        <f aca="false">IF(OR(B1583="",C1583=""),"",F1583&amp;" | "&amp;C1583)</f>
        <v/>
      </c>
      <c r="H1583" s="27" t="str">
        <f aca="false">IF(G1583="","",IFERROR(INDEX(Levels!$C$5:$C$94,MATCH(G1583,Levels!$G$5:$G$94,0)),"Not this class's skill"))</f>
        <v/>
      </c>
    </row>
    <row r="1584" customFormat="false" ht="15" hidden="false" customHeight="false" outlineLevel="0" collapsed="false">
      <c r="A1584" s="23"/>
      <c r="B1584" s="22"/>
      <c r="C1584" s="22"/>
      <c r="D1584" s="22"/>
      <c r="E1584" s="22"/>
      <c r="F1584" s="27" t="str">
        <f aca="false">IF(B1584="","",IFERROR(INDEX(Roster!$B$5:$B$154,MATCH(B1584,Roster!$A$5:$A$154,0)),"Not on roster"))</f>
        <v/>
      </c>
      <c r="G1584" s="28" t="str">
        <f aca="false">IF(OR(B1584="",C1584=""),"",F1584&amp;" | "&amp;C1584)</f>
        <v/>
      </c>
      <c r="H1584" s="27" t="str">
        <f aca="false">IF(G1584="","",IFERROR(INDEX(Levels!$C$5:$C$94,MATCH(G1584,Levels!$G$5:$G$94,0)),"Not this class's skill"))</f>
        <v/>
      </c>
    </row>
    <row r="1585" customFormat="false" ht="15" hidden="false" customHeight="false" outlineLevel="0" collapsed="false">
      <c r="A1585" s="23"/>
      <c r="B1585" s="22"/>
      <c r="C1585" s="22"/>
      <c r="D1585" s="22"/>
      <c r="E1585" s="22"/>
      <c r="F1585" s="27" t="str">
        <f aca="false">IF(B1585="","",IFERROR(INDEX(Roster!$B$5:$B$154,MATCH(B1585,Roster!$A$5:$A$154,0)),"Not on roster"))</f>
        <v/>
      </c>
      <c r="G1585" s="28" t="str">
        <f aca="false">IF(OR(B1585="",C1585=""),"",F1585&amp;" | "&amp;C1585)</f>
        <v/>
      </c>
      <c r="H1585" s="27" t="str">
        <f aca="false">IF(G1585="","",IFERROR(INDEX(Levels!$C$5:$C$94,MATCH(G1585,Levels!$G$5:$G$94,0)),"Not this class's skill"))</f>
        <v/>
      </c>
    </row>
    <row r="1586" customFormat="false" ht="15" hidden="false" customHeight="false" outlineLevel="0" collapsed="false">
      <c r="A1586" s="23"/>
      <c r="B1586" s="22"/>
      <c r="C1586" s="22"/>
      <c r="D1586" s="22"/>
      <c r="E1586" s="22"/>
      <c r="F1586" s="27" t="str">
        <f aca="false">IF(B1586="","",IFERROR(INDEX(Roster!$B$5:$B$154,MATCH(B1586,Roster!$A$5:$A$154,0)),"Not on roster"))</f>
        <v/>
      </c>
      <c r="G1586" s="28" t="str">
        <f aca="false">IF(OR(B1586="",C1586=""),"",F1586&amp;" | "&amp;C1586)</f>
        <v/>
      </c>
      <c r="H1586" s="27" t="str">
        <f aca="false">IF(G1586="","",IFERROR(INDEX(Levels!$C$5:$C$94,MATCH(G1586,Levels!$G$5:$G$94,0)),"Not this class's skill"))</f>
        <v/>
      </c>
    </row>
    <row r="1587" customFormat="false" ht="15" hidden="false" customHeight="false" outlineLevel="0" collapsed="false">
      <c r="A1587" s="23"/>
      <c r="B1587" s="22"/>
      <c r="C1587" s="22"/>
      <c r="D1587" s="22"/>
      <c r="E1587" s="22"/>
      <c r="F1587" s="27" t="str">
        <f aca="false">IF(B1587="","",IFERROR(INDEX(Roster!$B$5:$B$154,MATCH(B1587,Roster!$A$5:$A$154,0)),"Not on roster"))</f>
        <v/>
      </c>
      <c r="G1587" s="28" t="str">
        <f aca="false">IF(OR(B1587="",C1587=""),"",F1587&amp;" | "&amp;C1587)</f>
        <v/>
      </c>
      <c r="H1587" s="27" t="str">
        <f aca="false">IF(G1587="","",IFERROR(INDEX(Levels!$C$5:$C$94,MATCH(G1587,Levels!$G$5:$G$94,0)),"Not this class's skill"))</f>
        <v/>
      </c>
    </row>
    <row r="1588" customFormat="false" ht="15" hidden="false" customHeight="false" outlineLevel="0" collapsed="false">
      <c r="A1588" s="23"/>
      <c r="B1588" s="22"/>
      <c r="C1588" s="22"/>
      <c r="D1588" s="22"/>
      <c r="E1588" s="22"/>
      <c r="F1588" s="27" t="str">
        <f aca="false">IF(B1588="","",IFERROR(INDEX(Roster!$B$5:$B$154,MATCH(B1588,Roster!$A$5:$A$154,0)),"Not on roster"))</f>
        <v/>
      </c>
      <c r="G1588" s="28" t="str">
        <f aca="false">IF(OR(B1588="",C1588=""),"",F1588&amp;" | "&amp;C1588)</f>
        <v/>
      </c>
      <c r="H1588" s="27" t="str">
        <f aca="false">IF(G1588="","",IFERROR(INDEX(Levels!$C$5:$C$94,MATCH(G1588,Levels!$G$5:$G$94,0)),"Not this class's skill"))</f>
        <v/>
      </c>
    </row>
    <row r="1589" customFormat="false" ht="15" hidden="false" customHeight="false" outlineLevel="0" collapsed="false">
      <c r="A1589" s="23"/>
      <c r="B1589" s="22"/>
      <c r="C1589" s="22"/>
      <c r="D1589" s="22"/>
      <c r="E1589" s="22"/>
      <c r="F1589" s="27" t="str">
        <f aca="false">IF(B1589="","",IFERROR(INDEX(Roster!$B$5:$B$154,MATCH(B1589,Roster!$A$5:$A$154,0)),"Not on roster"))</f>
        <v/>
      </c>
      <c r="G1589" s="28" t="str">
        <f aca="false">IF(OR(B1589="",C1589=""),"",F1589&amp;" | "&amp;C1589)</f>
        <v/>
      </c>
      <c r="H1589" s="27" t="str">
        <f aca="false">IF(G1589="","",IFERROR(INDEX(Levels!$C$5:$C$94,MATCH(G1589,Levels!$G$5:$G$94,0)),"Not this class's skill"))</f>
        <v/>
      </c>
    </row>
    <row r="1590" customFormat="false" ht="15" hidden="false" customHeight="false" outlineLevel="0" collapsed="false">
      <c r="A1590" s="23"/>
      <c r="B1590" s="22"/>
      <c r="C1590" s="22"/>
      <c r="D1590" s="22"/>
      <c r="E1590" s="22"/>
      <c r="F1590" s="27" t="str">
        <f aca="false">IF(B1590="","",IFERROR(INDEX(Roster!$B$5:$B$154,MATCH(B1590,Roster!$A$5:$A$154,0)),"Not on roster"))</f>
        <v/>
      </c>
      <c r="G1590" s="28" t="str">
        <f aca="false">IF(OR(B1590="",C1590=""),"",F1590&amp;" | "&amp;C1590)</f>
        <v/>
      </c>
      <c r="H1590" s="27" t="str">
        <f aca="false">IF(G1590="","",IFERROR(INDEX(Levels!$C$5:$C$94,MATCH(G1590,Levels!$G$5:$G$94,0)),"Not this class's skill"))</f>
        <v/>
      </c>
    </row>
    <row r="1591" customFormat="false" ht="15" hidden="false" customHeight="false" outlineLevel="0" collapsed="false">
      <c r="A1591" s="23"/>
      <c r="B1591" s="22"/>
      <c r="C1591" s="22"/>
      <c r="D1591" s="22"/>
      <c r="E1591" s="22"/>
      <c r="F1591" s="27" t="str">
        <f aca="false">IF(B1591="","",IFERROR(INDEX(Roster!$B$5:$B$154,MATCH(B1591,Roster!$A$5:$A$154,0)),"Not on roster"))</f>
        <v/>
      </c>
      <c r="G1591" s="28" t="str">
        <f aca="false">IF(OR(B1591="",C1591=""),"",F1591&amp;" | "&amp;C1591)</f>
        <v/>
      </c>
      <c r="H1591" s="27" t="str">
        <f aca="false">IF(G1591="","",IFERROR(INDEX(Levels!$C$5:$C$94,MATCH(G1591,Levels!$G$5:$G$94,0)),"Not this class's skill"))</f>
        <v/>
      </c>
    </row>
    <row r="1592" customFormat="false" ht="15" hidden="false" customHeight="false" outlineLevel="0" collapsed="false">
      <c r="A1592" s="23"/>
      <c r="B1592" s="22"/>
      <c r="C1592" s="22"/>
      <c r="D1592" s="22"/>
      <c r="E1592" s="22"/>
      <c r="F1592" s="27" t="str">
        <f aca="false">IF(B1592="","",IFERROR(INDEX(Roster!$B$5:$B$154,MATCH(B1592,Roster!$A$5:$A$154,0)),"Not on roster"))</f>
        <v/>
      </c>
      <c r="G1592" s="28" t="str">
        <f aca="false">IF(OR(B1592="",C1592=""),"",F1592&amp;" | "&amp;C1592)</f>
        <v/>
      </c>
      <c r="H1592" s="27" t="str">
        <f aca="false">IF(G1592="","",IFERROR(INDEX(Levels!$C$5:$C$94,MATCH(G1592,Levels!$G$5:$G$94,0)),"Not this class's skill"))</f>
        <v/>
      </c>
    </row>
    <row r="1593" customFormat="false" ht="15" hidden="false" customHeight="false" outlineLevel="0" collapsed="false">
      <c r="A1593" s="23"/>
      <c r="B1593" s="22"/>
      <c r="C1593" s="22"/>
      <c r="D1593" s="22"/>
      <c r="E1593" s="22"/>
      <c r="F1593" s="27" t="str">
        <f aca="false">IF(B1593="","",IFERROR(INDEX(Roster!$B$5:$B$154,MATCH(B1593,Roster!$A$5:$A$154,0)),"Not on roster"))</f>
        <v/>
      </c>
      <c r="G1593" s="28" t="str">
        <f aca="false">IF(OR(B1593="",C1593=""),"",F1593&amp;" | "&amp;C1593)</f>
        <v/>
      </c>
      <c r="H1593" s="27" t="str">
        <f aca="false">IF(G1593="","",IFERROR(INDEX(Levels!$C$5:$C$94,MATCH(G1593,Levels!$G$5:$G$94,0)),"Not this class's skill"))</f>
        <v/>
      </c>
    </row>
    <row r="1594" customFormat="false" ht="15" hidden="false" customHeight="false" outlineLevel="0" collapsed="false">
      <c r="A1594" s="23"/>
      <c r="B1594" s="22"/>
      <c r="C1594" s="22"/>
      <c r="D1594" s="22"/>
      <c r="E1594" s="22"/>
      <c r="F1594" s="27" t="str">
        <f aca="false">IF(B1594="","",IFERROR(INDEX(Roster!$B$5:$B$154,MATCH(B1594,Roster!$A$5:$A$154,0)),"Not on roster"))</f>
        <v/>
      </c>
      <c r="G1594" s="28" t="str">
        <f aca="false">IF(OR(B1594="",C1594=""),"",F1594&amp;" | "&amp;C1594)</f>
        <v/>
      </c>
      <c r="H1594" s="27" t="str">
        <f aca="false">IF(G1594="","",IFERROR(INDEX(Levels!$C$5:$C$94,MATCH(G1594,Levels!$G$5:$G$94,0)),"Not this class's skill"))</f>
        <v/>
      </c>
    </row>
    <row r="1595" customFormat="false" ht="15" hidden="false" customHeight="false" outlineLevel="0" collapsed="false">
      <c r="A1595" s="23"/>
      <c r="B1595" s="22"/>
      <c r="C1595" s="22"/>
      <c r="D1595" s="22"/>
      <c r="E1595" s="22"/>
      <c r="F1595" s="27" t="str">
        <f aca="false">IF(B1595="","",IFERROR(INDEX(Roster!$B$5:$B$154,MATCH(B1595,Roster!$A$5:$A$154,0)),"Not on roster"))</f>
        <v/>
      </c>
      <c r="G1595" s="28" t="str">
        <f aca="false">IF(OR(B1595="",C1595=""),"",F1595&amp;" | "&amp;C1595)</f>
        <v/>
      </c>
      <c r="H1595" s="27" t="str">
        <f aca="false">IF(G1595="","",IFERROR(INDEX(Levels!$C$5:$C$94,MATCH(G1595,Levels!$G$5:$G$94,0)),"Not this class's skill"))</f>
        <v/>
      </c>
    </row>
    <row r="1596" customFormat="false" ht="15" hidden="false" customHeight="false" outlineLevel="0" collapsed="false">
      <c r="A1596" s="23"/>
      <c r="B1596" s="22"/>
      <c r="C1596" s="22"/>
      <c r="D1596" s="22"/>
      <c r="E1596" s="22"/>
      <c r="F1596" s="27" t="str">
        <f aca="false">IF(B1596="","",IFERROR(INDEX(Roster!$B$5:$B$154,MATCH(B1596,Roster!$A$5:$A$154,0)),"Not on roster"))</f>
        <v/>
      </c>
      <c r="G1596" s="28" t="str">
        <f aca="false">IF(OR(B1596="",C1596=""),"",F1596&amp;" | "&amp;C1596)</f>
        <v/>
      </c>
      <c r="H1596" s="27" t="str">
        <f aca="false">IF(G1596="","",IFERROR(INDEX(Levels!$C$5:$C$94,MATCH(G1596,Levels!$G$5:$G$94,0)),"Not this class's skill"))</f>
        <v/>
      </c>
    </row>
    <row r="1597" customFormat="false" ht="15" hidden="false" customHeight="false" outlineLevel="0" collapsed="false">
      <c r="A1597" s="23"/>
      <c r="B1597" s="22"/>
      <c r="C1597" s="22"/>
      <c r="D1597" s="22"/>
      <c r="E1597" s="22"/>
      <c r="F1597" s="27" t="str">
        <f aca="false">IF(B1597="","",IFERROR(INDEX(Roster!$B$5:$B$154,MATCH(B1597,Roster!$A$5:$A$154,0)),"Not on roster"))</f>
        <v/>
      </c>
      <c r="G1597" s="28" t="str">
        <f aca="false">IF(OR(B1597="",C1597=""),"",F1597&amp;" | "&amp;C1597)</f>
        <v/>
      </c>
      <c r="H1597" s="27" t="str">
        <f aca="false">IF(G1597="","",IFERROR(INDEX(Levels!$C$5:$C$94,MATCH(G1597,Levels!$G$5:$G$94,0)),"Not this class's skill"))</f>
        <v/>
      </c>
    </row>
    <row r="1598" customFormat="false" ht="15" hidden="false" customHeight="false" outlineLevel="0" collapsed="false">
      <c r="A1598" s="23"/>
      <c r="B1598" s="22"/>
      <c r="C1598" s="22"/>
      <c r="D1598" s="22"/>
      <c r="E1598" s="22"/>
      <c r="F1598" s="27" t="str">
        <f aca="false">IF(B1598="","",IFERROR(INDEX(Roster!$B$5:$B$154,MATCH(B1598,Roster!$A$5:$A$154,0)),"Not on roster"))</f>
        <v/>
      </c>
      <c r="G1598" s="28" t="str">
        <f aca="false">IF(OR(B1598="",C1598=""),"",F1598&amp;" | "&amp;C1598)</f>
        <v/>
      </c>
      <c r="H1598" s="27" t="str">
        <f aca="false">IF(G1598="","",IFERROR(INDEX(Levels!$C$5:$C$94,MATCH(G1598,Levels!$G$5:$G$94,0)),"Not this class's skill"))</f>
        <v/>
      </c>
    </row>
    <row r="1599" customFormat="false" ht="15" hidden="false" customHeight="false" outlineLevel="0" collapsed="false">
      <c r="A1599" s="23"/>
      <c r="B1599" s="22"/>
      <c r="C1599" s="22"/>
      <c r="D1599" s="22"/>
      <c r="E1599" s="22"/>
      <c r="F1599" s="27" t="str">
        <f aca="false">IF(B1599="","",IFERROR(INDEX(Roster!$B$5:$B$154,MATCH(B1599,Roster!$A$5:$A$154,0)),"Not on roster"))</f>
        <v/>
      </c>
      <c r="G1599" s="28" t="str">
        <f aca="false">IF(OR(B1599="",C1599=""),"",F1599&amp;" | "&amp;C1599)</f>
        <v/>
      </c>
      <c r="H1599" s="27" t="str">
        <f aca="false">IF(G1599="","",IFERROR(INDEX(Levels!$C$5:$C$94,MATCH(G1599,Levels!$G$5:$G$94,0)),"Not this class's skill"))</f>
        <v/>
      </c>
    </row>
    <row r="1600" customFormat="false" ht="15" hidden="false" customHeight="false" outlineLevel="0" collapsed="false">
      <c r="A1600" s="23"/>
      <c r="B1600" s="22"/>
      <c r="C1600" s="22"/>
      <c r="D1600" s="22"/>
      <c r="E1600" s="22"/>
      <c r="F1600" s="27" t="str">
        <f aca="false">IF(B1600="","",IFERROR(INDEX(Roster!$B$5:$B$154,MATCH(B1600,Roster!$A$5:$A$154,0)),"Not on roster"))</f>
        <v/>
      </c>
      <c r="G1600" s="28" t="str">
        <f aca="false">IF(OR(B1600="",C1600=""),"",F1600&amp;" | "&amp;C1600)</f>
        <v/>
      </c>
      <c r="H1600" s="27" t="str">
        <f aca="false">IF(G1600="","",IFERROR(INDEX(Levels!$C$5:$C$94,MATCH(G1600,Levels!$G$5:$G$94,0)),"Not this class's skill"))</f>
        <v/>
      </c>
    </row>
    <row r="1601" customFormat="false" ht="15" hidden="false" customHeight="false" outlineLevel="0" collapsed="false">
      <c r="A1601" s="23"/>
      <c r="B1601" s="22"/>
      <c r="C1601" s="22"/>
      <c r="D1601" s="22"/>
      <c r="E1601" s="22"/>
      <c r="F1601" s="27" t="str">
        <f aca="false">IF(B1601="","",IFERROR(INDEX(Roster!$B$5:$B$154,MATCH(B1601,Roster!$A$5:$A$154,0)),"Not on roster"))</f>
        <v/>
      </c>
      <c r="G1601" s="28" t="str">
        <f aca="false">IF(OR(B1601="",C1601=""),"",F1601&amp;" | "&amp;C1601)</f>
        <v/>
      </c>
      <c r="H1601" s="27" t="str">
        <f aca="false">IF(G1601="","",IFERROR(INDEX(Levels!$C$5:$C$94,MATCH(G1601,Levels!$G$5:$G$94,0)),"Not this class's skill"))</f>
        <v/>
      </c>
    </row>
    <row r="1602" customFormat="false" ht="15" hidden="false" customHeight="false" outlineLevel="0" collapsed="false">
      <c r="A1602" s="23"/>
      <c r="B1602" s="22"/>
      <c r="C1602" s="22"/>
      <c r="D1602" s="22"/>
      <c r="E1602" s="22"/>
      <c r="F1602" s="27" t="str">
        <f aca="false">IF(B1602="","",IFERROR(INDEX(Roster!$B$5:$B$154,MATCH(B1602,Roster!$A$5:$A$154,0)),"Not on roster"))</f>
        <v/>
      </c>
      <c r="G1602" s="28" t="str">
        <f aca="false">IF(OR(B1602="",C1602=""),"",F1602&amp;" | "&amp;C1602)</f>
        <v/>
      </c>
      <c r="H1602" s="27" t="str">
        <f aca="false">IF(G1602="","",IFERROR(INDEX(Levels!$C$5:$C$94,MATCH(G1602,Levels!$G$5:$G$94,0)),"Not this class's skill"))</f>
        <v/>
      </c>
    </row>
    <row r="1603" customFormat="false" ht="15" hidden="false" customHeight="false" outlineLevel="0" collapsed="false">
      <c r="A1603" s="23"/>
      <c r="B1603" s="22"/>
      <c r="C1603" s="22"/>
      <c r="D1603" s="22"/>
      <c r="E1603" s="22"/>
      <c r="F1603" s="27" t="str">
        <f aca="false">IF(B1603="","",IFERROR(INDEX(Roster!$B$5:$B$154,MATCH(B1603,Roster!$A$5:$A$154,0)),"Not on roster"))</f>
        <v/>
      </c>
      <c r="G1603" s="28" t="str">
        <f aca="false">IF(OR(B1603="",C1603=""),"",F1603&amp;" | "&amp;C1603)</f>
        <v/>
      </c>
      <c r="H1603" s="27" t="str">
        <f aca="false">IF(G1603="","",IFERROR(INDEX(Levels!$C$5:$C$94,MATCH(G1603,Levels!$G$5:$G$94,0)),"Not this class's skill"))</f>
        <v/>
      </c>
    </row>
    <row r="1604" customFormat="false" ht="15" hidden="false" customHeight="false" outlineLevel="0" collapsed="false">
      <c r="A1604" s="23"/>
      <c r="B1604" s="22"/>
      <c r="C1604" s="22"/>
      <c r="D1604" s="22"/>
      <c r="E1604" s="22"/>
      <c r="F1604" s="27" t="str">
        <f aca="false">IF(B1604="","",IFERROR(INDEX(Roster!$B$5:$B$154,MATCH(B1604,Roster!$A$5:$A$154,0)),"Not on roster"))</f>
        <v/>
      </c>
      <c r="G1604" s="28" t="str">
        <f aca="false">IF(OR(B1604="",C1604=""),"",F1604&amp;" | "&amp;C1604)</f>
        <v/>
      </c>
      <c r="H1604" s="27" t="str">
        <f aca="false">IF(G1604="","",IFERROR(INDEX(Levels!$C$5:$C$94,MATCH(G1604,Levels!$G$5:$G$94,0)),"Not this class's skill"))</f>
        <v/>
      </c>
    </row>
    <row r="1605" customFormat="false" ht="15" hidden="false" customHeight="false" outlineLevel="0" collapsed="false">
      <c r="A1605" s="23"/>
      <c r="B1605" s="22"/>
      <c r="C1605" s="22"/>
      <c r="D1605" s="22"/>
      <c r="E1605" s="22"/>
      <c r="F1605" s="27" t="str">
        <f aca="false">IF(B1605="","",IFERROR(INDEX(Roster!$B$5:$B$154,MATCH(B1605,Roster!$A$5:$A$154,0)),"Not on roster"))</f>
        <v/>
      </c>
      <c r="G1605" s="28" t="str">
        <f aca="false">IF(OR(B1605="",C1605=""),"",F1605&amp;" | "&amp;C1605)</f>
        <v/>
      </c>
      <c r="H1605" s="27" t="str">
        <f aca="false">IF(G1605="","",IFERROR(INDEX(Levels!$C$5:$C$94,MATCH(G1605,Levels!$G$5:$G$94,0)),"Not this class's skill"))</f>
        <v/>
      </c>
    </row>
    <row r="1606" customFormat="false" ht="15" hidden="false" customHeight="false" outlineLevel="0" collapsed="false">
      <c r="A1606" s="23"/>
      <c r="B1606" s="22"/>
      <c r="C1606" s="22"/>
      <c r="D1606" s="22"/>
      <c r="E1606" s="22"/>
      <c r="F1606" s="27" t="str">
        <f aca="false">IF(B1606="","",IFERROR(INDEX(Roster!$B$5:$B$154,MATCH(B1606,Roster!$A$5:$A$154,0)),"Not on roster"))</f>
        <v/>
      </c>
      <c r="G1606" s="28" t="str">
        <f aca="false">IF(OR(B1606="",C1606=""),"",F1606&amp;" | "&amp;C1606)</f>
        <v/>
      </c>
      <c r="H1606" s="27" t="str">
        <f aca="false">IF(G1606="","",IFERROR(INDEX(Levels!$C$5:$C$94,MATCH(G1606,Levels!$G$5:$G$94,0)),"Not this class's skill"))</f>
        <v/>
      </c>
    </row>
    <row r="1607" customFormat="false" ht="15" hidden="false" customHeight="false" outlineLevel="0" collapsed="false">
      <c r="A1607" s="23"/>
      <c r="B1607" s="22"/>
      <c r="C1607" s="22"/>
      <c r="D1607" s="22"/>
      <c r="E1607" s="22"/>
      <c r="F1607" s="27" t="str">
        <f aca="false">IF(B1607="","",IFERROR(INDEX(Roster!$B$5:$B$154,MATCH(B1607,Roster!$A$5:$A$154,0)),"Not on roster"))</f>
        <v/>
      </c>
      <c r="G1607" s="28" t="str">
        <f aca="false">IF(OR(B1607="",C1607=""),"",F1607&amp;" | "&amp;C1607)</f>
        <v/>
      </c>
      <c r="H1607" s="27" t="str">
        <f aca="false">IF(G1607="","",IFERROR(INDEX(Levels!$C$5:$C$94,MATCH(G1607,Levels!$G$5:$G$94,0)),"Not this class's skill"))</f>
        <v/>
      </c>
    </row>
    <row r="1608" customFormat="false" ht="15" hidden="false" customHeight="false" outlineLevel="0" collapsed="false">
      <c r="A1608" s="23"/>
      <c r="B1608" s="22"/>
      <c r="C1608" s="22"/>
      <c r="D1608" s="22"/>
      <c r="E1608" s="22"/>
      <c r="F1608" s="27" t="str">
        <f aca="false">IF(B1608="","",IFERROR(INDEX(Roster!$B$5:$B$154,MATCH(B1608,Roster!$A$5:$A$154,0)),"Not on roster"))</f>
        <v/>
      </c>
      <c r="G1608" s="28" t="str">
        <f aca="false">IF(OR(B1608="",C1608=""),"",F1608&amp;" | "&amp;C1608)</f>
        <v/>
      </c>
      <c r="H1608" s="27" t="str">
        <f aca="false">IF(G1608="","",IFERROR(INDEX(Levels!$C$5:$C$94,MATCH(G1608,Levels!$G$5:$G$94,0)),"Not this class's skill"))</f>
        <v/>
      </c>
    </row>
    <row r="1609" customFormat="false" ht="15" hidden="false" customHeight="false" outlineLevel="0" collapsed="false">
      <c r="A1609" s="23"/>
      <c r="B1609" s="22"/>
      <c r="C1609" s="22"/>
      <c r="D1609" s="22"/>
      <c r="E1609" s="22"/>
      <c r="F1609" s="27" t="str">
        <f aca="false">IF(B1609="","",IFERROR(INDEX(Roster!$B$5:$B$154,MATCH(B1609,Roster!$A$5:$A$154,0)),"Not on roster"))</f>
        <v/>
      </c>
      <c r="G1609" s="28" t="str">
        <f aca="false">IF(OR(B1609="",C1609=""),"",F1609&amp;" | "&amp;C1609)</f>
        <v/>
      </c>
      <c r="H1609" s="27" t="str">
        <f aca="false">IF(G1609="","",IFERROR(INDEX(Levels!$C$5:$C$94,MATCH(G1609,Levels!$G$5:$G$94,0)),"Not this class's skill"))</f>
        <v/>
      </c>
    </row>
    <row r="1610" customFormat="false" ht="15" hidden="false" customHeight="false" outlineLevel="0" collapsed="false">
      <c r="A1610" s="23"/>
      <c r="B1610" s="22"/>
      <c r="C1610" s="22"/>
      <c r="D1610" s="22"/>
      <c r="E1610" s="22"/>
      <c r="F1610" s="27" t="str">
        <f aca="false">IF(B1610="","",IFERROR(INDEX(Roster!$B$5:$B$154,MATCH(B1610,Roster!$A$5:$A$154,0)),"Not on roster"))</f>
        <v/>
      </c>
      <c r="G1610" s="28" t="str">
        <f aca="false">IF(OR(B1610="",C1610=""),"",F1610&amp;" | "&amp;C1610)</f>
        <v/>
      </c>
      <c r="H1610" s="27" t="str">
        <f aca="false">IF(G1610="","",IFERROR(INDEX(Levels!$C$5:$C$94,MATCH(G1610,Levels!$G$5:$G$94,0)),"Not this class's skill"))</f>
        <v/>
      </c>
    </row>
    <row r="1611" customFormat="false" ht="15" hidden="false" customHeight="false" outlineLevel="0" collapsed="false">
      <c r="A1611" s="23"/>
      <c r="B1611" s="22"/>
      <c r="C1611" s="22"/>
      <c r="D1611" s="22"/>
      <c r="E1611" s="22"/>
      <c r="F1611" s="27" t="str">
        <f aca="false">IF(B1611="","",IFERROR(INDEX(Roster!$B$5:$B$154,MATCH(B1611,Roster!$A$5:$A$154,0)),"Not on roster"))</f>
        <v/>
      </c>
      <c r="G1611" s="28" t="str">
        <f aca="false">IF(OR(B1611="",C1611=""),"",F1611&amp;" | "&amp;C1611)</f>
        <v/>
      </c>
      <c r="H1611" s="27" t="str">
        <f aca="false">IF(G1611="","",IFERROR(INDEX(Levels!$C$5:$C$94,MATCH(G1611,Levels!$G$5:$G$94,0)),"Not this class's skill"))</f>
        <v/>
      </c>
    </row>
    <row r="1612" customFormat="false" ht="15" hidden="false" customHeight="false" outlineLevel="0" collapsed="false">
      <c r="A1612" s="23"/>
      <c r="B1612" s="22"/>
      <c r="C1612" s="22"/>
      <c r="D1612" s="22"/>
      <c r="E1612" s="22"/>
      <c r="F1612" s="27" t="str">
        <f aca="false">IF(B1612="","",IFERROR(INDEX(Roster!$B$5:$B$154,MATCH(B1612,Roster!$A$5:$A$154,0)),"Not on roster"))</f>
        <v/>
      </c>
      <c r="G1612" s="28" t="str">
        <f aca="false">IF(OR(B1612="",C1612=""),"",F1612&amp;" | "&amp;C1612)</f>
        <v/>
      </c>
      <c r="H1612" s="27" t="str">
        <f aca="false">IF(G1612="","",IFERROR(INDEX(Levels!$C$5:$C$94,MATCH(G1612,Levels!$G$5:$G$94,0)),"Not this class's skill"))</f>
        <v/>
      </c>
    </row>
    <row r="1613" customFormat="false" ht="15" hidden="false" customHeight="false" outlineLevel="0" collapsed="false">
      <c r="A1613" s="23"/>
      <c r="B1613" s="22"/>
      <c r="C1613" s="22"/>
      <c r="D1613" s="22"/>
      <c r="E1613" s="22"/>
      <c r="F1613" s="27" t="str">
        <f aca="false">IF(B1613="","",IFERROR(INDEX(Roster!$B$5:$B$154,MATCH(B1613,Roster!$A$5:$A$154,0)),"Not on roster"))</f>
        <v/>
      </c>
      <c r="G1613" s="28" t="str">
        <f aca="false">IF(OR(B1613="",C1613=""),"",F1613&amp;" | "&amp;C1613)</f>
        <v/>
      </c>
      <c r="H1613" s="27" t="str">
        <f aca="false">IF(G1613="","",IFERROR(INDEX(Levels!$C$5:$C$94,MATCH(G1613,Levels!$G$5:$G$94,0)),"Not this class's skill"))</f>
        <v/>
      </c>
    </row>
    <row r="1614" customFormat="false" ht="15" hidden="false" customHeight="false" outlineLevel="0" collapsed="false">
      <c r="A1614" s="23"/>
      <c r="B1614" s="22"/>
      <c r="C1614" s="22"/>
      <c r="D1614" s="22"/>
      <c r="E1614" s="22"/>
      <c r="F1614" s="27" t="str">
        <f aca="false">IF(B1614="","",IFERROR(INDEX(Roster!$B$5:$B$154,MATCH(B1614,Roster!$A$5:$A$154,0)),"Not on roster"))</f>
        <v/>
      </c>
      <c r="G1614" s="28" t="str">
        <f aca="false">IF(OR(B1614="",C1614=""),"",F1614&amp;" | "&amp;C1614)</f>
        <v/>
      </c>
      <c r="H1614" s="27" t="str">
        <f aca="false">IF(G1614="","",IFERROR(INDEX(Levels!$C$5:$C$94,MATCH(G1614,Levels!$G$5:$G$94,0)),"Not this class's skill"))</f>
        <v/>
      </c>
    </row>
    <row r="1615" customFormat="false" ht="15" hidden="false" customHeight="false" outlineLevel="0" collapsed="false">
      <c r="A1615" s="23"/>
      <c r="B1615" s="22"/>
      <c r="C1615" s="22"/>
      <c r="D1615" s="22"/>
      <c r="E1615" s="22"/>
      <c r="F1615" s="27" t="str">
        <f aca="false">IF(B1615="","",IFERROR(INDEX(Roster!$B$5:$B$154,MATCH(B1615,Roster!$A$5:$A$154,0)),"Not on roster"))</f>
        <v/>
      </c>
      <c r="G1615" s="28" t="str">
        <f aca="false">IF(OR(B1615="",C1615=""),"",F1615&amp;" | "&amp;C1615)</f>
        <v/>
      </c>
      <c r="H1615" s="27" t="str">
        <f aca="false">IF(G1615="","",IFERROR(INDEX(Levels!$C$5:$C$94,MATCH(G1615,Levels!$G$5:$G$94,0)),"Not this class's skill"))</f>
        <v/>
      </c>
    </row>
    <row r="1616" customFormat="false" ht="15" hidden="false" customHeight="false" outlineLevel="0" collapsed="false">
      <c r="A1616" s="23"/>
      <c r="B1616" s="22"/>
      <c r="C1616" s="22"/>
      <c r="D1616" s="22"/>
      <c r="E1616" s="22"/>
      <c r="F1616" s="27" t="str">
        <f aca="false">IF(B1616="","",IFERROR(INDEX(Roster!$B$5:$B$154,MATCH(B1616,Roster!$A$5:$A$154,0)),"Not on roster"))</f>
        <v/>
      </c>
      <c r="G1616" s="28" t="str">
        <f aca="false">IF(OR(B1616="",C1616=""),"",F1616&amp;" | "&amp;C1616)</f>
        <v/>
      </c>
      <c r="H1616" s="27" t="str">
        <f aca="false">IF(G1616="","",IFERROR(INDEX(Levels!$C$5:$C$94,MATCH(G1616,Levels!$G$5:$G$94,0)),"Not this class's skill"))</f>
        <v/>
      </c>
    </row>
    <row r="1617" customFormat="false" ht="15" hidden="false" customHeight="false" outlineLevel="0" collapsed="false">
      <c r="A1617" s="23"/>
      <c r="B1617" s="22"/>
      <c r="C1617" s="22"/>
      <c r="D1617" s="22"/>
      <c r="E1617" s="22"/>
      <c r="F1617" s="27" t="str">
        <f aca="false">IF(B1617="","",IFERROR(INDEX(Roster!$B$5:$B$154,MATCH(B1617,Roster!$A$5:$A$154,0)),"Not on roster"))</f>
        <v/>
      </c>
      <c r="G1617" s="28" t="str">
        <f aca="false">IF(OR(B1617="",C1617=""),"",F1617&amp;" | "&amp;C1617)</f>
        <v/>
      </c>
      <c r="H1617" s="27" t="str">
        <f aca="false">IF(G1617="","",IFERROR(INDEX(Levels!$C$5:$C$94,MATCH(G1617,Levels!$G$5:$G$94,0)),"Not this class's skill"))</f>
        <v/>
      </c>
    </row>
    <row r="1618" customFormat="false" ht="15" hidden="false" customHeight="false" outlineLevel="0" collapsed="false">
      <c r="A1618" s="23"/>
      <c r="B1618" s="22"/>
      <c r="C1618" s="22"/>
      <c r="D1618" s="22"/>
      <c r="E1618" s="22"/>
      <c r="F1618" s="27" t="str">
        <f aca="false">IF(B1618="","",IFERROR(INDEX(Roster!$B$5:$B$154,MATCH(B1618,Roster!$A$5:$A$154,0)),"Not on roster"))</f>
        <v/>
      </c>
      <c r="G1618" s="28" t="str">
        <f aca="false">IF(OR(B1618="",C1618=""),"",F1618&amp;" | "&amp;C1618)</f>
        <v/>
      </c>
      <c r="H1618" s="27" t="str">
        <f aca="false">IF(G1618="","",IFERROR(INDEX(Levels!$C$5:$C$94,MATCH(G1618,Levels!$G$5:$G$94,0)),"Not this class's skill"))</f>
        <v/>
      </c>
    </row>
    <row r="1619" customFormat="false" ht="15" hidden="false" customHeight="false" outlineLevel="0" collapsed="false">
      <c r="A1619" s="23"/>
      <c r="B1619" s="22"/>
      <c r="C1619" s="22"/>
      <c r="D1619" s="22"/>
      <c r="E1619" s="22"/>
      <c r="F1619" s="27" t="str">
        <f aca="false">IF(B1619="","",IFERROR(INDEX(Roster!$B$5:$B$154,MATCH(B1619,Roster!$A$5:$A$154,0)),"Not on roster"))</f>
        <v/>
      </c>
      <c r="G1619" s="28" t="str">
        <f aca="false">IF(OR(B1619="",C1619=""),"",F1619&amp;" | "&amp;C1619)</f>
        <v/>
      </c>
      <c r="H1619" s="27" t="str">
        <f aca="false">IF(G1619="","",IFERROR(INDEX(Levels!$C$5:$C$94,MATCH(G1619,Levels!$G$5:$G$94,0)),"Not this class's skill"))</f>
        <v/>
      </c>
    </row>
    <row r="1620" customFormat="false" ht="15" hidden="false" customHeight="false" outlineLevel="0" collapsed="false">
      <c r="A1620" s="23"/>
      <c r="B1620" s="22"/>
      <c r="C1620" s="22"/>
      <c r="D1620" s="22"/>
      <c r="E1620" s="22"/>
      <c r="F1620" s="27" t="str">
        <f aca="false">IF(B1620="","",IFERROR(INDEX(Roster!$B$5:$B$154,MATCH(B1620,Roster!$A$5:$A$154,0)),"Not on roster"))</f>
        <v/>
      </c>
      <c r="G1620" s="28" t="str">
        <f aca="false">IF(OR(B1620="",C1620=""),"",F1620&amp;" | "&amp;C1620)</f>
        <v/>
      </c>
      <c r="H1620" s="27" t="str">
        <f aca="false">IF(G1620="","",IFERROR(INDEX(Levels!$C$5:$C$94,MATCH(G1620,Levels!$G$5:$G$94,0)),"Not this class's skill"))</f>
        <v/>
      </c>
    </row>
    <row r="1621" customFormat="false" ht="15" hidden="false" customHeight="false" outlineLevel="0" collapsed="false">
      <c r="A1621" s="23"/>
      <c r="B1621" s="22"/>
      <c r="C1621" s="22"/>
      <c r="D1621" s="22"/>
      <c r="E1621" s="22"/>
      <c r="F1621" s="27" t="str">
        <f aca="false">IF(B1621="","",IFERROR(INDEX(Roster!$B$5:$B$154,MATCH(B1621,Roster!$A$5:$A$154,0)),"Not on roster"))</f>
        <v/>
      </c>
      <c r="G1621" s="28" t="str">
        <f aca="false">IF(OR(B1621="",C1621=""),"",F1621&amp;" | "&amp;C1621)</f>
        <v/>
      </c>
      <c r="H1621" s="27" t="str">
        <f aca="false">IF(G1621="","",IFERROR(INDEX(Levels!$C$5:$C$94,MATCH(G1621,Levels!$G$5:$G$94,0)),"Not this class's skill"))</f>
        <v/>
      </c>
    </row>
    <row r="1622" customFormat="false" ht="15" hidden="false" customHeight="false" outlineLevel="0" collapsed="false">
      <c r="A1622" s="23"/>
      <c r="B1622" s="22"/>
      <c r="C1622" s="22"/>
      <c r="D1622" s="22"/>
      <c r="E1622" s="22"/>
      <c r="F1622" s="27" t="str">
        <f aca="false">IF(B1622="","",IFERROR(INDEX(Roster!$B$5:$B$154,MATCH(B1622,Roster!$A$5:$A$154,0)),"Not on roster"))</f>
        <v/>
      </c>
      <c r="G1622" s="28" t="str">
        <f aca="false">IF(OR(B1622="",C1622=""),"",F1622&amp;" | "&amp;C1622)</f>
        <v/>
      </c>
      <c r="H1622" s="27" t="str">
        <f aca="false">IF(G1622="","",IFERROR(INDEX(Levels!$C$5:$C$94,MATCH(G1622,Levels!$G$5:$G$94,0)),"Not this class's skill"))</f>
        <v/>
      </c>
    </row>
    <row r="1623" customFormat="false" ht="15" hidden="false" customHeight="false" outlineLevel="0" collapsed="false">
      <c r="A1623" s="23"/>
      <c r="B1623" s="22"/>
      <c r="C1623" s="22"/>
      <c r="D1623" s="22"/>
      <c r="E1623" s="22"/>
      <c r="F1623" s="27" t="str">
        <f aca="false">IF(B1623="","",IFERROR(INDEX(Roster!$B$5:$B$154,MATCH(B1623,Roster!$A$5:$A$154,0)),"Not on roster"))</f>
        <v/>
      </c>
      <c r="G1623" s="28" t="str">
        <f aca="false">IF(OR(B1623="",C1623=""),"",F1623&amp;" | "&amp;C1623)</f>
        <v/>
      </c>
      <c r="H1623" s="27" t="str">
        <f aca="false">IF(G1623="","",IFERROR(INDEX(Levels!$C$5:$C$94,MATCH(G1623,Levels!$G$5:$G$94,0)),"Not this class's skill"))</f>
        <v/>
      </c>
    </row>
    <row r="1624" customFormat="false" ht="15" hidden="false" customHeight="false" outlineLevel="0" collapsed="false">
      <c r="A1624" s="23"/>
      <c r="B1624" s="22"/>
      <c r="C1624" s="22"/>
      <c r="D1624" s="22"/>
      <c r="E1624" s="22"/>
      <c r="F1624" s="27" t="str">
        <f aca="false">IF(B1624="","",IFERROR(INDEX(Roster!$B$5:$B$154,MATCH(B1624,Roster!$A$5:$A$154,0)),"Not on roster"))</f>
        <v/>
      </c>
      <c r="G1624" s="28" t="str">
        <f aca="false">IF(OR(B1624="",C1624=""),"",F1624&amp;" | "&amp;C1624)</f>
        <v/>
      </c>
      <c r="H1624" s="27" t="str">
        <f aca="false">IF(G1624="","",IFERROR(INDEX(Levels!$C$5:$C$94,MATCH(G1624,Levels!$G$5:$G$94,0)),"Not this class's skill"))</f>
        <v/>
      </c>
    </row>
    <row r="1625" customFormat="false" ht="15" hidden="false" customHeight="false" outlineLevel="0" collapsed="false">
      <c r="A1625" s="23"/>
      <c r="B1625" s="22"/>
      <c r="C1625" s="22"/>
      <c r="D1625" s="22"/>
      <c r="E1625" s="22"/>
      <c r="F1625" s="27" t="str">
        <f aca="false">IF(B1625="","",IFERROR(INDEX(Roster!$B$5:$B$154,MATCH(B1625,Roster!$A$5:$A$154,0)),"Not on roster"))</f>
        <v/>
      </c>
      <c r="G1625" s="28" t="str">
        <f aca="false">IF(OR(B1625="",C1625=""),"",F1625&amp;" | "&amp;C1625)</f>
        <v/>
      </c>
      <c r="H1625" s="27" t="str">
        <f aca="false">IF(G1625="","",IFERROR(INDEX(Levels!$C$5:$C$94,MATCH(G1625,Levels!$G$5:$G$94,0)),"Not this class's skill"))</f>
        <v/>
      </c>
    </row>
    <row r="1626" customFormat="false" ht="15" hidden="false" customHeight="false" outlineLevel="0" collapsed="false">
      <c r="A1626" s="23"/>
      <c r="B1626" s="22"/>
      <c r="C1626" s="22"/>
      <c r="D1626" s="22"/>
      <c r="E1626" s="22"/>
      <c r="F1626" s="27" t="str">
        <f aca="false">IF(B1626="","",IFERROR(INDEX(Roster!$B$5:$B$154,MATCH(B1626,Roster!$A$5:$A$154,0)),"Not on roster"))</f>
        <v/>
      </c>
      <c r="G1626" s="28" t="str">
        <f aca="false">IF(OR(B1626="",C1626=""),"",F1626&amp;" | "&amp;C1626)</f>
        <v/>
      </c>
      <c r="H1626" s="27" t="str">
        <f aca="false">IF(G1626="","",IFERROR(INDEX(Levels!$C$5:$C$94,MATCH(G1626,Levels!$G$5:$G$94,0)),"Not this class's skill"))</f>
        <v/>
      </c>
    </row>
    <row r="1627" customFormat="false" ht="15" hidden="false" customHeight="false" outlineLevel="0" collapsed="false">
      <c r="A1627" s="23"/>
      <c r="B1627" s="22"/>
      <c r="C1627" s="22"/>
      <c r="D1627" s="22"/>
      <c r="E1627" s="22"/>
      <c r="F1627" s="27" t="str">
        <f aca="false">IF(B1627="","",IFERROR(INDEX(Roster!$B$5:$B$154,MATCH(B1627,Roster!$A$5:$A$154,0)),"Not on roster"))</f>
        <v/>
      </c>
      <c r="G1627" s="28" t="str">
        <f aca="false">IF(OR(B1627="",C1627=""),"",F1627&amp;" | "&amp;C1627)</f>
        <v/>
      </c>
      <c r="H1627" s="27" t="str">
        <f aca="false">IF(G1627="","",IFERROR(INDEX(Levels!$C$5:$C$94,MATCH(G1627,Levels!$G$5:$G$94,0)),"Not this class's skill"))</f>
        <v/>
      </c>
    </row>
    <row r="1628" customFormat="false" ht="15" hidden="false" customHeight="false" outlineLevel="0" collapsed="false">
      <c r="A1628" s="23"/>
      <c r="B1628" s="22"/>
      <c r="C1628" s="22"/>
      <c r="D1628" s="22"/>
      <c r="E1628" s="22"/>
      <c r="F1628" s="27" t="str">
        <f aca="false">IF(B1628="","",IFERROR(INDEX(Roster!$B$5:$B$154,MATCH(B1628,Roster!$A$5:$A$154,0)),"Not on roster"))</f>
        <v/>
      </c>
      <c r="G1628" s="28" t="str">
        <f aca="false">IF(OR(B1628="",C1628=""),"",F1628&amp;" | "&amp;C1628)</f>
        <v/>
      </c>
      <c r="H1628" s="27" t="str">
        <f aca="false">IF(G1628="","",IFERROR(INDEX(Levels!$C$5:$C$94,MATCH(G1628,Levels!$G$5:$G$94,0)),"Not this class's skill"))</f>
        <v/>
      </c>
    </row>
    <row r="1629" customFormat="false" ht="15" hidden="false" customHeight="false" outlineLevel="0" collapsed="false">
      <c r="A1629" s="23"/>
      <c r="B1629" s="22"/>
      <c r="C1629" s="22"/>
      <c r="D1629" s="22"/>
      <c r="E1629" s="22"/>
      <c r="F1629" s="27" t="str">
        <f aca="false">IF(B1629="","",IFERROR(INDEX(Roster!$B$5:$B$154,MATCH(B1629,Roster!$A$5:$A$154,0)),"Not on roster"))</f>
        <v/>
      </c>
      <c r="G1629" s="28" t="str">
        <f aca="false">IF(OR(B1629="",C1629=""),"",F1629&amp;" | "&amp;C1629)</f>
        <v/>
      </c>
      <c r="H1629" s="27" t="str">
        <f aca="false">IF(G1629="","",IFERROR(INDEX(Levels!$C$5:$C$94,MATCH(G1629,Levels!$G$5:$G$94,0)),"Not this class's skill"))</f>
        <v/>
      </c>
    </row>
    <row r="1630" customFormat="false" ht="15" hidden="false" customHeight="false" outlineLevel="0" collapsed="false">
      <c r="A1630" s="23"/>
      <c r="B1630" s="22"/>
      <c r="C1630" s="22"/>
      <c r="D1630" s="22"/>
      <c r="E1630" s="22"/>
      <c r="F1630" s="27" t="str">
        <f aca="false">IF(B1630="","",IFERROR(INDEX(Roster!$B$5:$B$154,MATCH(B1630,Roster!$A$5:$A$154,0)),"Not on roster"))</f>
        <v/>
      </c>
      <c r="G1630" s="28" t="str">
        <f aca="false">IF(OR(B1630="",C1630=""),"",F1630&amp;" | "&amp;C1630)</f>
        <v/>
      </c>
      <c r="H1630" s="27" t="str">
        <f aca="false">IF(G1630="","",IFERROR(INDEX(Levels!$C$5:$C$94,MATCH(G1630,Levels!$G$5:$G$94,0)),"Not this class's skill"))</f>
        <v/>
      </c>
    </row>
    <row r="1631" customFormat="false" ht="15" hidden="false" customHeight="false" outlineLevel="0" collapsed="false">
      <c r="A1631" s="23"/>
      <c r="B1631" s="22"/>
      <c r="C1631" s="22"/>
      <c r="D1631" s="22"/>
      <c r="E1631" s="22"/>
      <c r="F1631" s="27" t="str">
        <f aca="false">IF(B1631="","",IFERROR(INDEX(Roster!$B$5:$B$154,MATCH(B1631,Roster!$A$5:$A$154,0)),"Not on roster"))</f>
        <v/>
      </c>
      <c r="G1631" s="28" t="str">
        <f aca="false">IF(OR(B1631="",C1631=""),"",F1631&amp;" | "&amp;C1631)</f>
        <v/>
      </c>
      <c r="H1631" s="27" t="str">
        <f aca="false">IF(G1631="","",IFERROR(INDEX(Levels!$C$5:$C$94,MATCH(G1631,Levels!$G$5:$G$94,0)),"Not this class's skill"))</f>
        <v/>
      </c>
    </row>
    <row r="1632" customFormat="false" ht="15" hidden="false" customHeight="false" outlineLevel="0" collapsed="false">
      <c r="A1632" s="23"/>
      <c r="B1632" s="22"/>
      <c r="C1632" s="22"/>
      <c r="D1632" s="22"/>
      <c r="E1632" s="22"/>
      <c r="F1632" s="27" t="str">
        <f aca="false">IF(B1632="","",IFERROR(INDEX(Roster!$B$5:$B$154,MATCH(B1632,Roster!$A$5:$A$154,0)),"Not on roster"))</f>
        <v/>
      </c>
      <c r="G1632" s="28" t="str">
        <f aca="false">IF(OR(B1632="",C1632=""),"",F1632&amp;" | "&amp;C1632)</f>
        <v/>
      </c>
      <c r="H1632" s="27" t="str">
        <f aca="false">IF(G1632="","",IFERROR(INDEX(Levels!$C$5:$C$94,MATCH(G1632,Levels!$G$5:$G$94,0)),"Not this class's skill"))</f>
        <v/>
      </c>
    </row>
    <row r="1633" customFormat="false" ht="15" hidden="false" customHeight="false" outlineLevel="0" collapsed="false">
      <c r="A1633" s="23"/>
      <c r="B1633" s="22"/>
      <c r="C1633" s="22"/>
      <c r="D1633" s="22"/>
      <c r="E1633" s="22"/>
      <c r="F1633" s="27" t="str">
        <f aca="false">IF(B1633="","",IFERROR(INDEX(Roster!$B$5:$B$154,MATCH(B1633,Roster!$A$5:$A$154,0)),"Not on roster"))</f>
        <v/>
      </c>
      <c r="G1633" s="28" t="str">
        <f aca="false">IF(OR(B1633="",C1633=""),"",F1633&amp;" | "&amp;C1633)</f>
        <v/>
      </c>
      <c r="H1633" s="27" t="str">
        <f aca="false">IF(G1633="","",IFERROR(INDEX(Levels!$C$5:$C$94,MATCH(G1633,Levels!$G$5:$G$94,0)),"Not this class's skill"))</f>
        <v/>
      </c>
    </row>
    <row r="1634" customFormat="false" ht="15" hidden="false" customHeight="false" outlineLevel="0" collapsed="false">
      <c r="A1634" s="23"/>
      <c r="B1634" s="22"/>
      <c r="C1634" s="22"/>
      <c r="D1634" s="22"/>
      <c r="E1634" s="22"/>
      <c r="F1634" s="27" t="str">
        <f aca="false">IF(B1634="","",IFERROR(INDEX(Roster!$B$5:$B$154,MATCH(B1634,Roster!$A$5:$A$154,0)),"Not on roster"))</f>
        <v/>
      </c>
      <c r="G1634" s="28" t="str">
        <f aca="false">IF(OR(B1634="",C1634=""),"",F1634&amp;" | "&amp;C1634)</f>
        <v/>
      </c>
      <c r="H1634" s="27" t="str">
        <f aca="false">IF(G1634="","",IFERROR(INDEX(Levels!$C$5:$C$94,MATCH(G1634,Levels!$G$5:$G$94,0)),"Not this class's skill"))</f>
        <v/>
      </c>
    </row>
    <row r="1635" customFormat="false" ht="15" hidden="false" customHeight="false" outlineLevel="0" collapsed="false">
      <c r="A1635" s="23"/>
      <c r="B1635" s="22"/>
      <c r="C1635" s="22"/>
      <c r="D1635" s="22"/>
      <c r="E1635" s="22"/>
      <c r="F1635" s="27" t="str">
        <f aca="false">IF(B1635="","",IFERROR(INDEX(Roster!$B$5:$B$154,MATCH(B1635,Roster!$A$5:$A$154,0)),"Not on roster"))</f>
        <v/>
      </c>
      <c r="G1635" s="28" t="str">
        <f aca="false">IF(OR(B1635="",C1635=""),"",F1635&amp;" | "&amp;C1635)</f>
        <v/>
      </c>
      <c r="H1635" s="27" t="str">
        <f aca="false">IF(G1635="","",IFERROR(INDEX(Levels!$C$5:$C$94,MATCH(G1635,Levels!$G$5:$G$94,0)),"Not this class's skill"))</f>
        <v/>
      </c>
    </row>
    <row r="1636" customFormat="false" ht="15" hidden="false" customHeight="false" outlineLevel="0" collapsed="false">
      <c r="A1636" s="23"/>
      <c r="B1636" s="22"/>
      <c r="C1636" s="22"/>
      <c r="D1636" s="22"/>
      <c r="E1636" s="22"/>
      <c r="F1636" s="27" t="str">
        <f aca="false">IF(B1636="","",IFERROR(INDEX(Roster!$B$5:$B$154,MATCH(B1636,Roster!$A$5:$A$154,0)),"Not on roster"))</f>
        <v/>
      </c>
      <c r="G1636" s="28" t="str">
        <f aca="false">IF(OR(B1636="",C1636=""),"",F1636&amp;" | "&amp;C1636)</f>
        <v/>
      </c>
      <c r="H1636" s="27" t="str">
        <f aca="false">IF(G1636="","",IFERROR(INDEX(Levels!$C$5:$C$94,MATCH(G1636,Levels!$G$5:$G$94,0)),"Not this class's skill"))</f>
        <v/>
      </c>
    </row>
    <row r="1637" customFormat="false" ht="15" hidden="false" customHeight="false" outlineLevel="0" collapsed="false">
      <c r="A1637" s="23"/>
      <c r="B1637" s="22"/>
      <c r="C1637" s="22"/>
      <c r="D1637" s="22"/>
      <c r="E1637" s="22"/>
      <c r="F1637" s="27" t="str">
        <f aca="false">IF(B1637="","",IFERROR(INDEX(Roster!$B$5:$B$154,MATCH(B1637,Roster!$A$5:$A$154,0)),"Not on roster"))</f>
        <v/>
      </c>
      <c r="G1637" s="28" t="str">
        <f aca="false">IF(OR(B1637="",C1637=""),"",F1637&amp;" | "&amp;C1637)</f>
        <v/>
      </c>
      <c r="H1637" s="27" t="str">
        <f aca="false">IF(G1637="","",IFERROR(INDEX(Levels!$C$5:$C$94,MATCH(G1637,Levels!$G$5:$G$94,0)),"Not this class's skill"))</f>
        <v/>
      </c>
    </row>
    <row r="1638" customFormat="false" ht="15" hidden="false" customHeight="false" outlineLevel="0" collapsed="false">
      <c r="A1638" s="23"/>
      <c r="B1638" s="22"/>
      <c r="C1638" s="22"/>
      <c r="D1638" s="22"/>
      <c r="E1638" s="22"/>
      <c r="F1638" s="27" t="str">
        <f aca="false">IF(B1638="","",IFERROR(INDEX(Roster!$B$5:$B$154,MATCH(B1638,Roster!$A$5:$A$154,0)),"Not on roster"))</f>
        <v/>
      </c>
      <c r="G1638" s="28" t="str">
        <f aca="false">IF(OR(B1638="",C1638=""),"",F1638&amp;" | "&amp;C1638)</f>
        <v/>
      </c>
      <c r="H1638" s="27" t="str">
        <f aca="false">IF(G1638="","",IFERROR(INDEX(Levels!$C$5:$C$94,MATCH(G1638,Levels!$G$5:$G$94,0)),"Not this class's skill"))</f>
        <v/>
      </c>
    </row>
    <row r="1639" customFormat="false" ht="15" hidden="false" customHeight="false" outlineLevel="0" collapsed="false">
      <c r="A1639" s="23"/>
      <c r="B1639" s="22"/>
      <c r="C1639" s="22"/>
      <c r="D1639" s="22"/>
      <c r="E1639" s="22"/>
      <c r="F1639" s="27" t="str">
        <f aca="false">IF(B1639="","",IFERROR(INDEX(Roster!$B$5:$B$154,MATCH(B1639,Roster!$A$5:$A$154,0)),"Not on roster"))</f>
        <v/>
      </c>
      <c r="G1639" s="28" t="str">
        <f aca="false">IF(OR(B1639="",C1639=""),"",F1639&amp;" | "&amp;C1639)</f>
        <v/>
      </c>
      <c r="H1639" s="27" t="str">
        <f aca="false">IF(G1639="","",IFERROR(INDEX(Levels!$C$5:$C$94,MATCH(G1639,Levels!$G$5:$G$94,0)),"Not this class's skill"))</f>
        <v/>
      </c>
    </row>
    <row r="1640" customFormat="false" ht="15" hidden="false" customHeight="false" outlineLevel="0" collapsed="false">
      <c r="A1640" s="23"/>
      <c r="B1640" s="22"/>
      <c r="C1640" s="22"/>
      <c r="D1640" s="22"/>
      <c r="E1640" s="22"/>
      <c r="F1640" s="27" t="str">
        <f aca="false">IF(B1640="","",IFERROR(INDEX(Roster!$B$5:$B$154,MATCH(B1640,Roster!$A$5:$A$154,0)),"Not on roster"))</f>
        <v/>
      </c>
      <c r="G1640" s="28" t="str">
        <f aca="false">IF(OR(B1640="",C1640=""),"",F1640&amp;" | "&amp;C1640)</f>
        <v/>
      </c>
      <c r="H1640" s="27" t="str">
        <f aca="false">IF(G1640="","",IFERROR(INDEX(Levels!$C$5:$C$94,MATCH(G1640,Levels!$G$5:$G$94,0)),"Not this class's skill"))</f>
        <v/>
      </c>
    </row>
    <row r="1641" customFormat="false" ht="15" hidden="false" customHeight="false" outlineLevel="0" collapsed="false">
      <c r="A1641" s="23"/>
      <c r="B1641" s="22"/>
      <c r="C1641" s="22"/>
      <c r="D1641" s="22"/>
      <c r="E1641" s="22"/>
      <c r="F1641" s="27" t="str">
        <f aca="false">IF(B1641="","",IFERROR(INDEX(Roster!$B$5:$B$154,MATCH(B1641,Roster!$A$5:$A$154,0)),"Not on roster"))</f>
        <v/>
      </c>
      <c r="G1641" s="28" t="str">
        <f aca="false">IF(OR(B1641="",C1641=""),"",F1641&amp;" | "&amp;C1641)</f>
        <v/>
      </c>
      <c r="H1641" s="27" t="str">
        <f aca="false">IF(G1641="","",IFERROR(INDEX(Levels!$C$5:$C$94,MATCH(G1641,Levels!$G$5:$G$94,0)),"Not this class's skill"))</f>
        <v/>
      </c>
    </row>
    <row r="1642" customFormat="false" ht="15" hidden="false" customHeight="false" outlineLevel="0" collapsed="false">
      <c r="A1642" s="23"/>
      <c r="B1642" s="22"/>
      <c r="C1642" s="22"/>
      <c r="D1642" s="22"/>
      <c r="E1642" s="22"/>
      <c r="F1642" s="27" t="str">
        <f aca="false">IF(B1642="","",IFERROR(INDEX(Roster!$B$5:$B$154,MATCH(B1642,Roster!$A$5:$A$154,0)),"Not on roster"))</f>
        <v/>
      </c>
      <c r="G1642" s="28" t="str">
        <f aca="false">IF(OR(B1642="",C1642=""),"",F1642&amp;" | "&amp;C1642)</f>
        <v/>
      </c>
      <c r="H1642" s="27" t="str">
        <f aca="false">IF(G1642="","",IFERROR(INDEX(Levels!$C$5:$C$94,MATCH(G1642,Levels!$G$5:$G$94,0)),"Not this class's skill"))</f>
        <v/>
      </c>
    </row>
    <row r="1643" customFormat="false" ht="15" hidden="false" customHeight="false" outlineLevel="0" collapsed="false">
      <c r="A1643" s="23"/>
      <c r="B1643" s="22"/>
      <c r="C1643" s="22"/>
      <c r="D1643" s="22"/>
      <c r="E1643" s="22"/>
      <c r="F1643" s="27" t="str">
        <f aca="false">IF(B1643="","",IFERROR(INDEX(Roster!$B$5:$B$154,MATCH(B1643,Roster!$A$5:$A$154,0)),"Not on roster"))</f>
        <v/>
      </c>
      <c r="G1643" s="28" t="str">
        <f aca="false">IF(OR(B1643="",C1643=""),"",F1643&amp;" | "&amp;C1643)</f>
        <v/>
      </c>
      <c r="H1643" s="27" t="str">
        <f aca="false">IF(G1643="","",IFERROR(INDEX(Levels!$C$5:$C$94,MATCH(G1643,Levels!$G$5:$G$94,0)),"Not this class's skill"))</f>
        <v/>
      </c>
    </row>
    <row r="1644" customFormat="false" ht="15" hidden="false" customHeight="false" outlineLevel="0" collapsed="false">
      <c r="A1644" s="23"/>
      <c r="B1644" s="22"/>
      <c r="C1644" s="22"/>
      <c r="D1644" s="22"/>
      <c r="E1644" s="22"/>
      <c r="F1644" s="27" t="str">
        <f aca="false">IF(B1644="","",IFERROR(INDEX(Roster!$B$5:$B$154,MATCH(B1644,Roster!$A$5:$A$154,0)),"Not on roster"))</f>
        <v/>
      </c>
      <c r="G1644" s="28" t="str">
        <f aca="false">IF(OR(B1644="",C1644=""),"",F1644&amp;" | "&amp;C1644)</f>
        <v/>
      </c>
      <c r="H1644" s="27" t="str">
        <f aca="false">IF(G1644="","",IFERROR(INDEX(Levels!$C$5:$C$94,MATCH(G1644,Levels!$G$5:$G$94,0)),"Not this class's skill"))</f>
        <v/>
      </c>
    </row>
    <row r="1645" customFormat="false" ht="15" hidden="false" customHeight="false" outlineLevel="0" collapsed="false">
      <c r="A1645" s="23"/>
      <c r="B1645" s="22"/>
      <c r="C1645" s="22"/>
      <c r="D1645" s="22"/>
      <c r="E1645" s="22"/>
      <c r="F1645" s="27" t="str">
        <f aca="false">IF(B1645="","",IFERROR(INDEX(Roster!$B$5:$B$154,MATCH(B1645,Roster!$A$5:$A$154,0)),"Not on roster"))</f>
        <v/>
      </c>
      <c r="G1645" s="28" t="str">
        <f aca="false">IF(OR(B1645="",C1645=""),"",F1645&amp;" | "&amp;C1645)</f>
        <v/>
      </c>
      <c r="H1645" s="27" t="str">
        <f aca="false">IF(G1645="","",IFERROR(INDEX(Levels!$C$5:$C$94,MATCH(G1645,Levels!$G$5:$G$94,0)),"Not this class's skill"))</f>
        <v/>
      </c>
    </row>
    <row r="1646" customFormat="false" ht="15" hidden="false" customHeight="false" outlineLevel="0" collapsed="false">
      <c r="A1646" s="23"/>
      <c r="B1646" s="22"/>
      <c r="C1646" s="22"/>
      <c r="D1646" s="22"/>
      <c r="E1646" s="22"/>
      <c r="F1646" s="27" t="str">
        <f aca="false">IF(B1646="","",IFERROR(INDEX(Roster!$B$5:$B$154,MATCH(B1646,Roster!$A$5:$A$154,0)),"Not on roster"))</f>
        <v/>
      </c>
      <c r="G1646" s="28" t="str">
        <f aca="false">IF(OR(B1646="",C1646=""),"",F1646&amp;" | "&amp;C1646)</f>
        <v/>
      </c>
      <c r="H1646" s="27" t="str">
        <f aca="false">IF(G1646="","",IFERROR(INDEX(Levels!$C$5:$C$94,MATCH(G1646,Levels!$G$5:$G$94,0)),"Not this class's skill"))</f>
        <v/>
      </c>
    </row>
    <row r="1647" customFormat="false" ht="15" hidden="false" customHeight="false" outlineLevel="0" collapsed="false">
      <c r="A1647" s="23"/>
      <c r="B1647" s="22"/>
      <c r="C1647" s="22"/>
      <c r="D1647" s="22"/>
      <c r="E1647" s="22"/>
      <c r="F1647" s="27" t="str">
        <f aca="false">IF(B1647="","",IFERROR(INDEX(Roster!$B$5:$B$154,MATCH(B1647,Roster!$A$5:$A$154,0)),"Not on roster"))</f>
        <v/>
      </c>
      <c r="G1647" s="28" t="str">
        <f aca="false">IF(OR(B1647="",C1647=""),"",F1647&amp;" | "&amp;C1647)</f>
        <v/>
      </c>
      <c r="H1647" s="27" t="str">
        <f aca="false">IF(G1647="","",IFERROR(INDEX(Levels!$C$5:$C$94,MATCH(G1647,Levels!$G$5:$G$94,0)),"Not this class's skill"))</f>
        <v/>
      </c>
    </row>
    <row r="1648" customFormat="false" ht="15" hidden="false" customHeight="false" outlineLevel="0" collapsed="false">
      <c r="A1648" s="23"/>
      <c r="B1648" s="22"/>
      <c r="C1648" s="22"/>
      <c r="D1648" s="22"/>
      <c r="E1648" s="22"/>
      <c r="F1648" s="27" t="str">
        <f aca="false">IF(B1648="","",IFERROR(INDEX(Roster!$B$5:$B$154,MATCH(B1648,Roster!$A$5:$A$154,0)),"Not on roster"))</f>
        <v/>
      </c>
      <c r="G1648" s="28" t="str">
        <f aca="false">IF(OR(B1648="",C1648=""),"",F1648&amp;" | "&amp;C1648)</f>
        <v/>
      </c>
      <c r="H1648" s="27" t="str">
        <f aca="false">IF(G1648="","",IFERROR(INDEX(Levels!$C$5:$C$94,MATCH(G1648,Levels!$G$5:$G$94,0)),"Not this class's skill"))</f>
        <v/>
      </c>
    </row>
    <row r="1649" customFormat="false" ht="15" hidden="false" customHeight="false" outlineLevel="0" collapsed="false">
      <c r="A1649" s="23"/>
      <c r="B1649" s="22"/>
      <c r="C1649" s="22"/>
      <c r="D1649" s="22"/>
      <c r="E1649" s="22"/>
      <c r="F1649" s="27" t="str">
        <f aca="false">IF(B1649="","",IFERROR(INDEX(Roster!$B$5:$B$154,MATCH(B1649,Roster!$A$5:$A$154,0)),"Not on roster"))</f>
        <v/>
      </c>
      <c r="G1649" s="28" t="str">
        <f aca="false">IF(OR(B1649="",C1649=""),"",F1649&amp;" | "&amp;C1649)</f>
        <v/>
      </c>
      <c r="H1649" s="27" t="str">
        <f aca="false">IF(G1649="","",IFERROR(INDEX(Levels!$C$5:$C$94,MATCH(G1649,Levels!$G$5:$G$94,0)),"Not this class's skill"))</f>
        <v/>
      </c>
    </row>
    <row r="1650" customFormat="false" ht="15" hidden="false" customHeight="false" outlineLevel="0" collapsed="false">
      <c r="A1650" s="23"/>
      <c r="B1650" s="22"/>
      <c r="C1650" s="22"/>
      <c r="D1650" s="22"/>
      <c r="E1650" s="22"/>
      <c r="F1650" s="27" t="str">
        <f aca="false">IF(B1650="","",IFERROR(INDEX(Roster!$B$5:$B$154,MATCH(B1650,Roster!$A$5:$A$154,0)),"Not on roster"))</f>
        <v/>
      </c>
      <c r="G1650" s="28" t="str">
        <f aca="false">IF(OR(B1650="",C1650=""),"",F1650&amp;" | "&amp;C1650)</f>
        <v/>
      </c>
      <c r="H1650" s="27" t="str">
        <f aca="false">IF(G1650="","",IFERROR(INDEX(Levels!$C$5:$C$94,MATCH(G1650,Levels!$G$5:$G$94,0)),"Not this class's skill"))</f>
        <v/>
      </c>
    </row>
    <row r="1651" customFormat="false" ht="15" hidden="false" customHeight="false" outlineLevel="0" collapsed="false">
      <c r="A1651" s="23"/>
      <c r="B1651" s="22"/>
      <c r="C1651" s="22"/>
      <c r="D1651" s="22"/>
      <c r="E1651" s="22"/>
      <c r="F1651" s="27" t="str">
        <f aca="false">IF(B1651="","",IFERROR(INDEX(Roster!$B$5:$B$154,MATCH(B1651,Roster!$A$5:$A$154,0)),"Not on roster"))</f>
        <v/>
      </c>
      <c r="G1651" s="28" t="str">
        <f aca="false">IF(OR(B1651="",C1651=""),"",F1651&amp;" | "&amp;C1651)</f>
        <v/>
      </c>
      <c r="H1651" s="27" t="str">
        <f aca="false">IF(G1651="","",IFERROR(INDEX(Levels!$C$5:$C$94,MATCH(G1651,Levels!$G$5:$G$94,0)),"Not this class's skill"))</f>
        <v/>
      </c>
    </row>
    <row r="1652" customFormat="false" ht="15" hidden="false" customHeight="false" outlineLevel="0" collapsed="false">
      <c r="A1652" s="23"/>
      <c r="B1652" s="22"/>
      <c r="C1652" s="22"/>
      <c r="D1652" s="22"/>
      <c r="E1652" s="22"/>
      <c r="F1652" s="27" t="str">
        <f aca="false">IF(B1652="","",IFERROR(INDEX(Roster!$B$5:$B$154,MATCH(B1652,Roster!$A$5:$A$154,0)),"Not on roster"))</f>
        <v/>
      </c>
      <c r="G1652" s="28" t="str">
        <f aca="false">IF(OR(B1652="",C1652=""),"",F1652&amp;" | "&amp;C1652)</f>
        <v/>
      </c>
      <c r="H1652" s="27" t="str">
        <f aca="false">IF(G1652="","",IFERROR(INDEX(Levels!$C$5:$C$94,MATCH(G1652,Levels!$G$5:$G$94,0)),"Not this class's skill"))</f>
        <v/>
      </c>
    </row>
    <row r="1653" customFormat="false" ht="15" hidden="false" customHeight="false" outlineLevel="0" collapsed="false">
      <c r="A1653" s="23"/>
      <c r="B1653" s="22"/>
      <c r="C1653" s="22"/>
      <c r="D1653" s="22"/>
      <c r="E1653" s="22"/>
      <c r="F1653" s="27" t="str">
        <f aca="false">IF(B1653="","",IFERROR(INDEX(Roster!$B$5:$B$154,MATCH(B1653,Roster!$A$5:$A$154,0)),"Not on roster"))</f>
        <v/>
      </c>
      <c r="G1653" s="28" t="str">
        <f aca="false">IF(OR(B1653="",C1653=""),"",F1653&amp;" | "&amp;C1653)</f>
        <v/>
      </c>
      <c r="H1653" s="27" t="str">
        <f aca="false">IF(G1653="","",IFERROR(INDEX(Levels!$C$5:$C$94,MATCH(G1653,Levels!$G$5:$G$94,0)),"Not this class's skill"))</f>
        <v/>
      </c>
    </row>
    <row r="1654" customFormat="false" ht="15" hidden="false" customHeight="false" outlineLevel="0" collapsed="false">
      <c r="A1654" s="23"/>
      <c r="B1654" s="22"/>
      <c r="C1654" s="22"/>
      <c r="D1654" s="22"/>
      <c r="E1654" s="22"/>
      <c r="F1654" s="27" t="str">
        <f aca="false">IF(B1654="","",IFERROR(INDEX(Roster!$B$5:$B$154,MATCH(B1654,Roster!$A$5:$A$154,0)),"Not on roster"))</f>
        <v/>
      </c>
      <c r="G1654" s="28" t="str">
        <f aca="false">IF(OR(B1654="",C1654=""),"",F1654&amp;" | "&amp;C1654)</f>
        <v/>
      </c>
      <c r="H1654" s="27" t="str">
        <f aca="false">IF(G1654="","",IFERROR(INDEX(Levels!$C$5:$C$94,MATCH(G1654,Levels!$G$5:$G$94,0)),"Not this class's skill"))</f>
        <v/>
      </c>
    </row>
    <row r="1655" customFormat="false" ht="15" hidden="false" customHeight="false" outlineLevel="0" collapsed="false">
      <c r="A1655" s="23"/>
      <c r="B1655" s="22"/>
      <c r="C1655" s="22"/>
      <c r="D1655" s="22"/>
      <c r="E1655" s="22"/>
      <c r="F1655" s="27" t="str">
        <f aca="false">IF(B1655="","",IFERROR(INDEX(Roster!$B$5:$B$154,MATCH(B1655,Roster!$A$5:$A$154,0)),"Not on roster"))</f>
        <v/>
      </c>
      <c r="G1655" s="28" t="str">
        <f aca="false">IF(OR(B1655="",C1655=""),"",F1655&amp;" | "&amp;C1655)</f>
        <v/>
      </c>
      <c r="H1655" s="27" t="str">
        <f aca="false">IF(G1655="","",IFERROR(INDEX(Levels!$C$5:$C$94,MATCH(G1655,Levels!$G$5:$G$94,0)),"Not this class's skill"))</f>
        <v/>
      </c>
    </row>
    <row r="1656" customFormat="false" ht="15" hidden="false" customHeight="false" outlineLevel="0" collapsed="false">
      <c r="A1656" s="23"/>
      <c r="B1656" s="22"/>
      <c r="C1656" s="22"/>
      <c r="D1656" s="22"/>
      <c r="E1656" s="22"/>
      <c r="F1656" s="27" t="str">
        <f aca="false">IF(B1656="","",IFERROR(INDEX(Roster!$B$5:$B$154,MATCH(B1656,Roster!$A$5:$A$154,0)),"Not on roster"))</f>
        <v/>
      </c>
      <c r="G1656" s="28" t="str">
        <f aca="false">IF(OR(B1656="",C1656=""),"",F1656&amp;" | "&amp;C1656)</f>
        <v/>
      </c>
      <c r="H1656" s="27" t="str">
        <f aca="false">IF(G1656="","",IFERROR(INDEX(Levels!$C$5:$C$94,MATCH(G1656,Levels!$G$5:$G$94,0)),"Not this class's skill"))</f>
        <v/>
      </c>
    </row>
    <row r="1657" customFormat="false" ht="15" hidden="false" customHeight="false" outlineLevel="0" collapsed="false">
      <c r="A1657" s="23"/>
      <c r="B1657" s="22"/>
      <c r="C1657" s="22"/>
      <c r="D1657" s="22"/>
      <c r="E1657" s="22"/>
      <c r="F1657" s="27" t="str">
        <f aca="false">IF(B1657="","",IFERROR(INDEX(Roster!$B$5:$B$154,MATCH(B1657,Roster!$A$5:$A$154,0)),"Not on roster"))</f>
        <v/>
      </c>
      <c r="G1657" s="28" t="str">
        <f aca="false">IF(OR(B1657="",C1657=""),"",F1657&amp;" | "&amp;C1657)</f>
        <v/>
      </c>
      <c r="H1657" s="27" t="str">
        <f aca="false">IF(G1657="","",IFERROR(INDEX(Levels!$C$5:$C$94,MATCH(G1657,Levels!$G$5:$G$94,0)),"Not this class's skill"))</f>
        <v/>
      </c>
    </row>
    <row r="1658" customFormat="false" ht="15" hidden="false" customHeight="false" outlineLevel="0" collapsed="false">
      <c r="A1658" s="23"/>
      <c r="B1658" s="22"/>
      <c r="C1658" s="22"/>
      <c r="D1658" s="22"/>
      <c r="E1658" s="22"/>
      <c r="F1658" s="27" t="str">
        <f aca="false">IF(B1658="","",IFERROR(INDEX(Roster!$B$5:$B$154,MATCH(B1658,Roster!$A$5:$A$154,0)),"Not on roster"))</f>
        <v/>
      </c>
      <c r="G1658" s="28" t="str">
        <f aca="false">IF(OR(B1658="",C1658=""),"",F1658&amp;" | "&amp;C1658)</f>
        <v/>
      </c>
      <c r="H1658" s="27" t="str">
        <f aca="false">IF(G1658="","",IFERROR(INDEX(Levels!$C$5:$C$94,MATCH(G1658,Levels!$G$5:$G$94,0)),"Not this class's skill"))</f>
        <v/>
      </c>
    </row>
    <row r="1659" customFormat="false" ht="15" hidden="false" customHeight="false" outlineLevel="0" collapsed="false">
      <c r="A1659" s="23"/>
      <c r="B1659" s="22"/>
      <c r="C1659" s="22"/>
      <c r="D1659" s="22"/>
      <c r="E1659" s="22"/>
      <c r="F1659" s="27" t="str">
        <f aca="false">IF(B1659="","",IFERROR(INDEX(Roster!$B$5:$B$154,MATCH(B1659,Roster!$A$5:$A$154,0)),"Not on roster"))</f>
        <v/>
      </c>
      <c r="G1659" s="28" t="str">
        <f aca="false">IF(OR(B1659="",C1659=""),"",F1659&amp;" | "&amp;C1659)</f>
        <v/>
      </c>
      <c r="H1659" s="27" t="str">
        <f aca="false">IF(G1659="","",IFERROR(INDEX(Levels!$C$5:$C$94,MATCH(G1659,Levels!$G$5:$G$94,0)),"Not this class's skill"))</f>
        <v/>
      </c>
    </row>
    <row r="1660" customFormat="false" ht="15" hidden="false" customHeight="false" outlineLevel="0" collapsed="false">
      <c r="A1660" s="23"/>
      <c r="B1660" s="22"/>
      <c r="C1660" s="22"/>
      <c r="D1660" s="22"/>
      <c r="E1660" s="22"/>
      <c r="F1660" s="27" t="str">
        <f aca="false">IF(B1660="","",IFERROR(INDEX(Roster!$B$5:$B$154,MATCH(B1660,Roster!$A$5:$A$154,0)),"Not on roster"))</f>
        <v/>
      </c>
      <c r="G1660" s="28" t="str">
        <f aca="false">IF(OR(B1660="",C1660=""),"",F1660&amp;" | "&amp;C1660)</f>
        <v/>
      </c>
      <c r="H1660" s="27" t="str">
        <f aca="false">IF(G1660="","",IFERROR(INDEX(Levels!$C$5:$C$94,MATCH(G1660,Levels!$G$5:$G$94,0)),"Not this class's skill"))</f>
        <v/>
      </c>
    </row>
    <row r="1661" customFormat="false" ht="15" hidden="false" customHeight="false" outlineLevel="0" collapsed="false">
      <c r="A1661" s="23"/>
      <c r="B1661" s="22"/>
      <c r="C1661" s="22"/>
      <c r="D1661" s="22"/>
      <c r="E1661" s="22"/>
      <c r="F1661" s="27" t="str">
        <f aca="false">IF(B1661="","",IFERROR(INDEX(Roster!$B$5:$B$154,MATCH(B1661,Roster!$A$5:$A$154,0)),"Not on roster"))</f>
        <v/>
      </c>
      <c r="G1661" s="28" t="str">
        <f aca="false">IF(OR(B1661="",C1661=""),"",F1661&amp;" | "&amp;C1661)</f>
        <v/>
      </c>
      <c r="H1661" s="27" t="str">
        <f aca="false">IF(G1661="","",IFERROR(INDEX(Levels!$C$5:$C$94,MATCH(G1661,Levels!$G$5:$G$94,0)),"Not this class's skill"))</f>
        <v/>
      </c>
    </row>
    <row r="1662" customFormat="false" ht="15" hidden="false" customHeight="false" outlineLevel="0" collapsed="false">
      <c r="A1662" s="23"/>
      <c r="B1662" s="22"/>
      <c r="C1662" s="22"/>
      <c r="D1662" s="22"/>
      <c r="E1662" s="22"/>
      <c r="F1662" s="27" t="str">
        <f aca="false">IF(B1662="","",IFERROR(INDEX(Roster!$B$5:$B$154,MATCH(B1662,Roster!$A$5:$A$154,0)),"Not on roster"))</f>
        <v/>
      </c>
      <c r="G1662" s="28" t="str">
        <f aca="false">IF(OR(B1662="",C1662=""),"",F1662&amp;" | "&amp;C1662)</f>
        <v/>
      </c>
      <c r="H1662" s="27" t="str">
        <f aca="false">IF(G1662="","",IFERROR(INDEX(Levels!$C$5:$C$94,MATCH(G1662,Levels!$G$5:$G$94,0)),"Not this class's skill"))</f>
        <v/>
      </c>
    </row>
    <row r="1663" customFormat="false" ht="15" hidden="false" customHeight="false" outlineLevel="0" collapsed="false">
      <c r="A1663" s="23"/>
      <c r="B1663" s="22"/>
      <c r="C1663" s="22"/>
      <c r="D1663" s="22"/>
      <c r="E1663" s="22"/>
      <c r="F1663" s="27" t="str">
        <f aca="false">IF(B1663="","",IFERROR(INDEX(Roster!$B$5:$B$154,MATCH(B1663,Roster!$A$5:$A$154,0)),"Not on roster"))</f>
        <v/>
      </c>
      <c r="G1663" s="28" t="str">
        <f aca="false">IF(OR(B1663="",C1663=""),"",F1663&amp;" | "&amp;C1663)</f>
        <v/>
      </c>
      <c r="H1663" s="27" t="str">
        <f aca="false">IF(G1663="","",IFERROR(INDEX(Levels!$C$5:$C$94,MATCH(G1663,Levels!$G$5:$G$94,0)),"Not this class's skill"))</f>
        <v/>
      </c>
    </row>
    <row r="1664" customFormat="false" ht="15" hidden="false" customHeight="false" outlineLevel="0" collapsed="false">
      <c r="A1664" s="23"/>
      <c r="B1664" s="22"/>
      <c r="C1664" s="22"/>
      <c r="D1664" s="22"/>
      <c r="E1664" s="22"/>
      <c r="F1664" s="27" t="str">
        <f aca="false">IF(B1664="","",IFERROR(INDEX(Roster!$B$5:$B$154,MATCH(B1664,Roster!$A$5:$A$154,0)),"Not on roster"))</f>
        <v/>
      </c>
      <c r="G1664" s="28" t="str">
        <f aca="false">IF(OR(B1664="",C1664=""),"",F1664&amp;" | "&amp;C1664)</f>
        <v/>
      </c>
      <c r="H1664" s="27" t="str">
        <f aca="false">IF(G1664="","",IFERROR(INDEX(Levels!$C$5:$C$94,MATCH(G1664,Levels!$G$5:$G$94,0)),"Not this class's skill"))</f>
        <v/>
      </c>
    </row>
    <row r="1665" customFormat="false" ht="15" hidden="false" customHeight="false" outlineLevel="0" collapsed="false">
      <c r="A1665" s="23"/>
      <c r="B1665" s="22"/>
      <c r="C1665" s="22"/>
      <c r="D1665" s="22"/>
      <c r="E1665" s="22"/>
      <c r="F1665" s="27" t="str">
        <f aca="false">IF(B1665="","",IFERROR(INDEX(Roster!$B$5:$B$154,MATCH(B1665,Roster!$A$5:$A$154,0)),"Not on roster"))</f>
        <v/>
      </c>
      <c r="G1665" s="28" t="str">
        <f aca="false">IF(OR(B1665="",C1665=""),"",F1665&amp;" | "&amp;C1665)</f>
        <v/>
      </c>
      <c r="H1665" s="27" t="str">
        <f aca="false">IF(G1665="","",IFERROR(INDEX(Levels!$C$5:$C$94,MATCH(G1665,Levels!$G$5:$G$94,0)),"Not this class's skill"))</f>
        <v/>
      </c>
    </row>
    <row r="1666" customFormat="false" ht="15" hidden="false" customHeight="false" outlineLevel="0" collapsed="false">
      <c r="A1666" s="23"/>
      <c r="B1666" s="22"/>
      <c r="C1666" s="22"/>
      <c r="D1666" s="22"/>
      <c r="E1666" s="22"/>
      <c r="F1666" s="27" t="str">
        <f aca="false">IF(B1666="","",IFERROR(INDEX(Roster!$B$5:$B$154,MATCH(B1666,Roster!$A$5:$A$154,0)),"Not on roster"))</f>
        <v/>
      </c>
      <c r="G1666" s="28" t="str">
        <f aca="false">IF(OR(B1666="",C1666=""),"",F1666&amp;" | "&amp;C1666)</f>
        <v/>
      </c>
      <c r="H1666" s="27" t="str">
        <f aca="false">IF(G1666="","",IFERROR(INDEX(Levels!$C$5:$C$94,MATCH(G1666,Levels!$G$5:$G$94,0)),"Not this class's skill"))</f>
        <v/>
      </c>
    </row>
    <row r="1667" customFormat="false" ht="15" hidden="false" customHeight="false" outlineLevel="0" collapsed="false">
      <c r="A1667" s="23"/>
      <c r="B1667" s="22"/>
      <c r="C1667" s="22"/>
      <c r="D1667" s="22"/>
      <c r="E1667" s="22"/>
      <c r="F1667" s="27" t="str">
        <f aca="false">IF(B1667="","",IFERROR(INDEX(Roster!$B$5:$B$154,MATCH(B1667,Roster!$A$5:$A$154,0)),"Not on roster"))</f>
        <v/>
      </c>
      <c r="G1667" s="28" t="str">
        <f aca="false">IF(OR(B1667="",C1667=""),"",F1667&amp;" | "&amp;C1667)</f>
        <v/>
      </c>
      <c r="H1667" s="27" t="str">
        <f aca="false">IF(G1667="","",IFERROR(INDEX(Levels!$C$5:$C$94,MATCH(G1667,Levels!$G$5:$G$94,0)),"Not this class's skill"))</f>
        <v/>
      </c>
    </row>
    <row r="1668" customFormat="false" ht="15" hidden="false" customHeight="false" outlineLevel="0" collapsed="false">
      <c r="A1668" s="23"/>
      <c r="B1668" s="22"/>
      <c r="C1668" s="22"/>
      <c r="D1668" s="22"/>
      <c r="E1668" s="22"/>
      <c r="F1668" s="27" t="str">
        <f aca="false">IF(B1668="","",IFERROR(INDEX(Roster!$B$5:$B$154,MATCH(B1668,Roster!$A$5:$A$154,0)),"Not on roster"))</f>
        <v/>
      </c>
      <c r="G1668" s="28" t="str">
        <f aca="false">IF(OR(B1668="",C1668=""),"",F1668&amp;" | "&amp;C1668)</f>
        <v/>
      </c>
      <c r="H1668" s="27" t="str">
        <f aca="false">IF(G1668="","",IFERROR(INDEX(Levels!$C$5:$C$94,MATCH(G1668,Levels!$G$5:$G$94,0)),"Not this class's skill"))</f>
        <v/>
      </c>
    </row>
    <row r="1669" customFormat="false" ht="15" hidden="false" customHeight="false" outlineLevel="0" collapsed="false">
      <c r="A1669" s="23"/>
      <c r="B1669" s="22"/>
      <c r="C1669" s="22"/>
      <c r="D1669" s="22"/>
      <c r="E1669" s="22"/>
      <c r="F1669" s="27" t="str">
        <f aca="false">IF(B1669="","",IFERROR(INDEX(Roster!$B$5:$B$154,MATCH(B1669,Roster!$A$5:$A$154,0)),"Not on roster"))</f>
        <v/>
      </c>
      <c r="G1669" s="28" t="str">
        <f aca="false">IF(OR(B1669="",C1669=""),"",F1669&amp;" | "&amp;C1669)</f>
        <v/>
      </c>
      <c r="H1669" s="27" t="str">
        <f aca="false">IF(G1669="","",IFERROR(INDEX(Levels!$C$5:$C$94,MATCH(G1669,Levels!$G$5:$G$94,0)),"Not this class's skill"))</f>
        <v/>
      </c>
    </row>
    <row r="1670" customFormat="false" ht="15" hidden="false" customHeight="false" outlineLevel="0" collapsed="false">
      <c r="A1670" s="23"/>
      <c r="B1670" s="22"/>
      <c r="C1670" s="22"/>
      <c r="D1670" s="22"/>
      <c r="E1670" s="22"/>
      <c r="F1670" s="27" t="str">
        <f aca="false">IF(B1670="","",IFERROR(INDEX(Roster!$B$5:$B$154,MATCH(B1670,Roster!$A$5:$A$154,0)),"Not on roster"))</f>
        <v/>
      </c>
      <c r="G1670" s="28" t="str">
        <f aca="false">IF(OR(B1670="",C1670=""),"",F1670&amp;" | "&amp;C1670)</f>
        <v/>
      </c>
      <c r="H1670" s="27" t="str">
        <f aca="false">IF(G1670="","",IFERROR(INDEX(Levels!$C$5:$C$94,MATCH(G1670,Levels!$G$5:$G$94,0)),"Not this class's skill"))</f>
        <v/>
      </c>
    </row>
    <row r="1671" customFormat="false" ht="15" hidden="false" customHeight="false" outlineLevel="0" collapsed="false">
      <c r="A1671" s="23"/>
      <c r="B1671" s="22"/>
      <c r="C1671" s="22"/>
      <c r="D1671" s="22"/>
      <c r="E1671" s="22"/>
      <c r="F1671" s="27" t="str">
        <f aca="false">IF(B1671="","",IFERROR(INDEX(Roster!$B$5:$B$154,MATCH(B1671,Roster!$A$5:$A$154,0)),"Not on roster"))</f>
        <v/>
      </c>
      <c r="G1671" s="28" t="str">
        <f aca="false">IF(OR(B1671="",C1671=""),"",F1671&amp;" | "&amp;C1671)</f>
        <v/>
      </c>
      <c r="H1671" s="27" t="str">
        <f aca="false">IF(G1671="","",IFERROR(INDEX(Levels!$C$5:$C$94,MATCH(G1671,Levels!$G$5:$G$94,0)),"Not this class's skill"))</f>
        <v/>
      </c>
    </row>
    <row r="1672" customFormat="false" ht="15" hidden="false" customHeight="false" outlineLevel="0" collapsed="false">
      <c r="A1672" s="23"/>
      <c r="B1672" s="22"/>
      <c r="C1672" s="22"/>
      <c r="D1672" s="22"/>
      <c r="E1672" s="22"/>
      <c r="F1672" s="27" t="str">
        <f aca="false">IF(B1672="","",IFERROR(INDEX(Roster!$B$5:$B$154,MATCH(B1672,Roster!$A$5:$A$154,0)),"Not on roster"))</f>
        <v/>
      </c>
      <c r="G1672" s="28" t="str">
        <f aca="false">IF(OR(B1672="",C1672=""),"",F1672&amp;" | "&amp;C1672)</f>
        <v/>
      </c>
      <c r="H1672" s="27" t="str">
        <f aca="false">IF(G1672="","",IFERROR(INDEX(Levels!$C$5:$C$94,MATCH(G1672,Levels!$G$5:$G$94,0)),"Not this class's skill"))</f>
        <v/>
      </c>
    </row>
    <row r="1673" customFormat="false" ht="15" hidden="false" customHeight="false" outlineLevel="0" collapsed="false">
      <c r="A1673" s="23"/>
      <c r="B1673" s="22"/>
      <c r="C1673" s="22"/>
      <c r="D1673" s="22"/>
      <c r="E1673" s="22"/>
      <c r="F1673" s="27" t="str">
        <f aca="false">IF(B1673="","",IFERROR(INDEX(Roster!$B$5:$B$154,MATCH(B1673,Roster!$A$5:$A$154,0)),"Not on roster"))</f>
        <v/>
      </c>
      <c r="G1673" s="28" t="str">
        <f aca="false">IF(OR(B1673="",C1673=""),"",F1673&amp;" | "&amp;C1673)</f>
        <v/>
      </c>
      <c r="H1673" s="27" t="str">
        <f aca="false">IF(G1673="","",IFERROR(INDEX(Levels!$C$5:$C$94,MATCH(G1673,Levels!$G$5:$G$94,0)),"Not this class's skill"))</f>
        <v/>
      </c>
    </row>
    <row r="1674" customFormat="false" ht="15" hidden="false" customHeight="false" outlineLevel="0" collapsed="false">
      <c r="A1674" s="23"/>
      <c r="B1674" s="22"/>
      <c r="C1674" s="22"/>
      <c r="D1674" s="22"/>
      <c r="E1674" s="22"/>
      <c r="F1674" s="27" t="str">
        <f aca="false">IF(B1674="","",IFERROR(INDEX(Roster!$B$5:$B$154,MATCH(B1674,Roster!$A$5:$A$154,0)),"Not on roster"))</f>
        <v/>
      </c>
      <c r="G1674" s="28" t="str">
        <f aca="false">IF(OR(B1674="",C1674=""),"",F1674&amp;" | "&amp;C1674)</f>
        <v/>
      </c>
      <c r="H1674" s="27" t="str">
        <f aca="false">IF(G1674="","",IFERROR(INDEX(Levels!$C$5:$C$94,MATCH(G1674,Levels!$G$5:$G$94,0)),"Not this class's skill"))</f>
        <v/>
      </c>
    </row>
    <row r="1675" customFormat="false" ht="15" hidden="false" customHeight="false" outlineLevel="0" collapsed="false">
      <c r="A1675" s="23"/>
      <c r="B1675" s="22"/>
      <c r="C1675" s="22"/>
      <c r="D1675" s="22"/>
      <c r="E1675" s="22"/>
      <c r="F1675" s="27" t="str">
        <f aca="false">IF(B1675="","",IFERROR(INDEX(Roster!$B$5:$B$154,MATCH(B1675,Roster!$A$5:$A$154,0)),"Not on roster"))</f>
        <v/>
      </c>
      <c r="G1675" s="28" t="str">
        <f aca="false">IF(OR(B1675="",C1675=""),"",F1675&amp;" | "&amp;C1675)</f>
        <v/>
      </c>
      <c r="H1675" s="27" t="str">
        <f aca="false">IF(G1675="","",IFERROR(INDEX(Levels!$C$5:$C$94,MATCH(G1675,Levels!$G$5:$G$94,0)),"Not this class's skill"))</f>
        <v/>
      </c>
    </row>
    <row r="1676" customFormat="false" ht="15" hidden="false" customHeight="false" outlineLevel="0" collapsed="false">
      <c r="A1676" s="23"/>
      <c r="B1676" s="22"/>
      <c r="C1676" s="22"/>
      <c r="D1676" s="22"/>
      <c r="E1676" s="22"/>
      <c r="F1676" s="27" t="str">
        <f aca="false">IF(B1676="","",IFERROR(INDEX(Roster!$B$5:$B$154,MATCH(B1676,Roster!$A$5:$A$154,0)),"Not on roster"))</f>
        <v/>
      </c>
      <c r="G1676" s="28" t="str">
        <f aca="false">IF(OR(B1676="",C1676=""),"",F1676&amp;" | "&amp;C1676)</f>
        <v/>
      </c>
      <c r="H1676" s="27" t="str">
        <f aca="false">IF(G1676="","",IFERROR(INDEX(Levels!$C$5:$C$94,MATCH(G1676,Levels!$G$5:$G$94,0)),"Not this class's skill"))</f>
        <v/>
      </c>
    </row>
    <row r="1677" customFormat="false" ht="15" hidden="false" customHeight="false" outlineLevel="0" collapsed="false">
      <c r="A1677" s="23"/>
      <c r="B1677" s="22"/>
      <c r="C1677" s="22"/>
      <c r="D1677" s="22"/>
      <c r="E1677" s="22"/>
      <c r="F1677" s="27" t="str">
        <f aca="false">IF(B1677="","",IFERROR(INDEX(Roster!$B$5:$B$154,MATCH(B1677,Roster!$A$5:$A$154,0)),"Not on roster"))</f>
        <v/>
      </c>
      <c r="G1677" s="28" t="str">
        <f aca="false">IF(OR(B1677="",C1677=""),"",F1677&amp;" | "&amp;C1677)</f>
        <v/>
      </c>
      <c r="H1677" s="27" t="str">
        <f aca="false">IF(G1677="","",IFERROR(INDEX(Levels!$C$5:$C$94,MATCH(G1677,Levels!$G$5:$G$94,0)),"Not this class's skill"))</f>
        <v/>
      </c>
    </row>
    <row r="1678" customFormat="false" ht="15" hidden="false" customHeight="false" outlineLevel="0" collapsed="false">
      <c r="A1678" s="23"/>
      <c r="B1678" s="22"/>
      <c r="C1678" s="22"/>
      <c r="D1678" s="22"/>
      <c r="E1678" s="22"/>
      <c r="F1678" s="27" t="str">
        <f aca="false">IF(B1678="","",IFERROR(INDEX(Roster!$B$5:$B$154,MATCH(B1678,Roster!$A$5:$A$154,0)),"Not on roster"))</f>
        <v/>
      </c>
      <c r="G1678" s="28" t="str">
        <f aca="false">IF(OR(B1678="",C1678=""),"",F1678&amp;" | "&amp;C1678)</f>
        <v/>
      </c>
      <c r="H1678" s="27" t="str">
        <f aca="false">IF(G1678="","",IFERROR(INDEX(Levels!$C$5:$C$94,MATCH(G1678,Levels!$G$5:$G$94,0)),"Not this class's skill"))</f>
        <v/>
      </c>
    </row>
    <row r="1679" customFormat="false" ht="15" hidden="false" customHeight="false" outlineLevel="0" collapsed="false">
      <c r="A1679" s="23"/>
      <c r="B1679" s="22"/>
      <c r="C1679" s="22"/>
      <c r="D1679" s="22"/>
      <c r="E1679" s="22"/>
      <c r="F1679" s="27" t="str">
        <f aca="false">IF(B1679="","",IFERROR(INDEX(Roster!$B$5:$B$154,MATCH(B1679,Roster!$A$5:$A$154,0)),"Not on roster"))</f>
        <v/>
      </c>
      <c r="G1679" s="28" t="str">
        <f aca="false">IF(OR(B1679="",C1679=""),"",F1679&amp;" | "&amp;C1679)</f>
        <v/>
      </c>
      <c r="H1679" s="27" t="str">
        <f aca="false">IF(G1679="","",IFERROR(INDEX(Levels!$C$5:$C$94,MATCH(G1679,Levels!$G$5:$G$94,0)),"Not this class's skill"))</f>
        <v/>
      </c>
    </row>
    <row r="1680" customFormat="false" ht="15" hidden="false" customHeight="false" outlineLevel="0" collapsed="false">
      <c r="A1680" s="23"/>
      <c r="B1680" s="22"/>
      <c r="C1680" s="22"/>
      <c r="D1680" s="22"/>
      <c r="E1680" s="22"/>
      <c r="F1680" s="27" t="str">
        <f aca="false">IF(B1680="","",IFERROR(INDEX(Roster!$B$5:$B$154,MATCH(B1680,Roster!$A$5:$A$154,0)),"Not on roster"))</f>
        <v/>
      </c>
      <c r="G1680" s="28" t="str">
        <f aca="false">IF(OR(B1680="",C1680=""),"",F1680&amp;" | "&amp;C1680)</f>
        <v/>
      </c>
      <c r="H1680" s="27" t="str">
        <f aca="false">IF(G1680="","",IFERROR(INDEX(Levels!$C$5:$C$94,MATCH(G1680,Levels!$G$5:$G$94,0)),"Not this class's skill"))</f>
        <v/>
      </c>
    </row>
    <row r="1681" customFormat="false" ht="15" hidden="false" customHeight="false" outlineLevel="0" collapsed="false">
      <c r="A1681" s="23"/>
      <c r="B1681" s="22"/>
      <c r="C1681" s="22"/>
      <c r="D1681" s="22"/>
      <c r="E1681" s="22"/>
      <c r="F1681" s="27" t="str">
        <f aca="false">IF(B1681="","",IFERROR(INDEX(Roster!$B$5:$B$154,MATCH(B1681,Roster!$A$5:$A$154,0)),"Not on roster"))</f>
        <v/>
      </c>
      <c r="G1681" s="28" t="str">
        <f aca="false">IF(OR(B1681="",C1681=""),"",F1681&amp;" | "&amp;C1681)</f>
        <v/>
      </c>
      <c r="H1681" s="27" t="str">
        <f aca="false">IF(G1681="","",IFERROR(INDEX(Levels!$C$5:$C$94,MATCH(G1681,Levels!$G$5:$G$94,0)),"Not this class's skill"))</f>
        <v/>
      </c>
    </row>
    <row r="1682" customFormat="false" ht="15" hidden="false" customHeight="false" outlineLevel="0" collapsed="false">
      <c r="A1682" s="23"/>
      <c r="B1682" s="22"/>
      <c r="C1682" s="22"/>
      <c r="D1682" s="22"/>
      <c r="E1682" s="22"/>
      <c r="F1682" s="27" t="str">
        <f aca="false">IF(B1682="","",IFERROR(INDEX(Roster!$B$5:$B$154,MATCH(B1682,Roster!$A$5:$A$154,0)),"Not on roster"))</f>
        <v/>
      </c>
      <c r="G1682" s="28" t="str">
        <f aca="false">IF(OR(B1682="",C1682=""),"",F1682&amp;" | "&amp;C1682)</f>
        <v/>
      </c>
      <c r="H1682" s="27" t="str">
        <f aca="false">IF(G1682="","",IFERROR(INDEX(Levels!$C$5:$C$94,MATCH(G1682,Levels!$G$5:$G$94,0)),"Not this class's skill"))</f>
        <v/>
      </c>
    </row>
    <row r="1683" customFormat="false" ht="15" hidden="false" customHeight="false" outlineLevel="0" collapsed="false">
      <c r="A1683" s="23"/>
      <c r="B1683" s="22"/>
      <c r="C1683" s="22"/>
      <c r="D1683" s="22"/>
      <c r="E1683" s="22"/>
      <c r="F1683" s="27" t="str">
        <f aca="false">IF(B1683="","",IFERROR(INDEX(Roster!$B$5:$B$154,MATCH(B1683,Roster!$A$5:$A$154,0)),"Not on roster"))</f>
        <v/>
      </c>
      <c r="G1683" s="28" t="str">
        <f aca="false">IF(OR(B1683="",C1683=""),"",F1683&amp;" | "&amp;C1683)</f>
        <v/>
      </c>
      <c r="H1683" s="27" t="str">
        <f aca="false">IF(G1683="","",IFERROR(INDEX(Levels!$C$5:$C$94,MATCH(G1683,Levels!$G$5:$G$94,0)),"Not this class's skill"))</f>
        <v/>
      </c>
    </row>
    <row r="1684" customFormat="false" ht="15" hidden="false" customHeight="false" outlineLevel="0" collapsed="false">
      <c r="A1684" s="23"/>
      <c r="B1684" s="22"/>
      <c r="C1684" s="22"/>
      <c r="D1684" s="22"/>
      <c r="E1684" s="22"/>
      <c r="F1684" s="27" t="str">
        <f aca="false">IF(B1684="","",IFERROR(INDEX(Roster!$B$5:$B$154,MATCH(B1684,Roster!$A$5:$A$154,0)),"Not on roster"))</f>
        <v/>
      </c>
      <c r="G1684" s="28" t="str">
        <f aca="false">IF(OR(B1684="",C1684=""),"",F1684&amp;" | "&amp;C1684)</f>
        <v/>
      </c>
      <c r="H1684" s="27" t="str">
        <f aca="false">IF(G1684="","",IFERROR(INDEX(Levels!$C$5:$C$94,MATCH(G1684,Levels!$G$5:$G$94,0)),"Not this class's skill"))</f>
        <v/>
      </c>
    </row>
    <row r="1685" customFormat="false" ht="15" hidden="false" customHeight="false" outlineLevel="0" collapsed="false">
      <c r="A1685" s="23"/>
      <c r="B1685" s="22"/>
      <c r="C1685" s="22"/>
      <c r="D1685" s="22"/>
      <c r="E1685" s="22"/>
      <c r="F1685" s="27" t="str">
        <f aca="false">IF(B1685="","",IFERROR(INDEX(Roster!$B$5:$B$154,MATCH(B1685,Roster!$A$5:$A$154,0)),"Not on roster"))</f>
        <v/>
      </c>
      <c r="G1685" s="28" t="str">
        <f aca="false">IF(OR(B1685="",C1685=""),"",F1685&amp;" | "&amp;C1685)</f>
        <v/>
      </c>
      <c r="H1685" s="27" t="str">
        <f aca="false">IF(G1685="","",IFERROR(INDEX(Levels!$C$5:$C$94,MATCH(G1685,Levels!$G$5:$G$94,0)),"Not this class's skill"))</f>
        <v/>
      </c>
    </row>
    <row r="1686" customFormat="false" ht="15" hidden="false" customHeight="false" outlineLevel="0" collapsed="false">
      <c r="A1686" s="23"/>
      <c r="B1686" s="22"/>
      <c r="C1686" s="22"/>
      <c r="D1686" s="22"/>
      <c r="E1686" s="22"/>
      <c r="F1686" s="27" t="str">
        <f aca="false">IF(B1686="","",IFERROR(INDEX(Roster!$B$5:$B$154,MATCH(B1686,Roster!$A$5:$A$154,0)),"Not on roster"))</f>
        <v/>
      </c>
      <c r="G1686" s="28" t="str">
        <f aca="false">IF(OR(B1686="",C1686=""),"",F1686&amp;" | "&amp;C1686)</f>
        <v/>
      </c>
      <c r="H1686" s="27" t="str">
        <f aca="false">IF(G1686="","",IFERROR(INDEX(Levels!$C$5:$C$94,MATCH(G1686,Levels!$G$5:$G$94,0)),"Not this class's skill"))</f>
        <v/>
      </c>
    </row>
    <row r="1687" customFormat="false" ht="15" hidden="false" customHeight="false" outlineLevel="0" collapsed="false">
      <c r="A1687" s="23"/>
      <c r="B1687" s="22"/>
      <c r="C1687" s="22"/>
      <c r="D1687" s="22"/>
      <c r="E1687" s="22"/>
      <c r="F1687" s="27" t="str">
        <f aca="false">IF(B1687="","",IFERROR(INDEX(Roster!$B$5:$B$154,MATCH(B1687,Roster!$A$5:$A$154,0)),"Not on roster"))</f>
        <v/>
      </c>
      <c r="G1687" s="28" t="str">
        <f aca="false">IF(OR(B1687="",C1687=""),"",F1687&amp;" | "&amp;C1687)</f>
        <v/>
      </c>
      <c r="H1687" s="27" t="str">
        <f aca="false">IF(G1687="","",IFERROR(INDEX(Levels!$C$5:$C$94,MATCH(G1687,Levels!$G$5:$G$94,0)),"Not this class's skill"))</f>
        <v/>
      </c>
    </row>
    <row r="1688" customFormat="false" ht="15" hidden="false" customHeight="false" outlineLevel="0" collapsed="false">
      <c r="A1688" s="23"/>
      <c r="B1688" s="22"/>
      <c r="C1688" s="22"/>
      <c r="D1688" s="22"/>
      <c r="E1688" s="22"/>
      <c r="F1688" s="27" t="str">
        <f aca="false">IF(B1688="","",IFERROR(INDEX(Roster!$B$5:$B$154,MATCH(B1688,Roster!$A$5:$A$154,0)),"Not on roster"))</f>
        <v/>
      </c>
      <c r="G1688" s="28" t="str">
        <f aca="false">IF(OR(B1688="",C1688=""),"",F1688&amp;" | "&amp;C1688)</f>
        <v/>
      </c>
      <c r="H1688" s="27" t="str">
        <f aca="false">IF(G1688="","",IFERROR(INDEX(Levels!$C$5:$C$94,MATCH(G1688,Levels!$G$5:$G$94,0)),"Not this class's skill"))</f>
        <v/>
      </c>
    </row>
    <row r="1689" customFormat="false" ht="15" hidden="false" customHeight="false" outlineLevel="0" collapsed="false">
      <c r="A1689" s="23"/>
      <c r="B1689" s="22"/>
      <c r="C1689" s="22"/>
      <c r="D1689" s="22"/>
      <c r="E1689" s="22"/>
      <c r="F1689" s="27" t="str">
        <f aca="false">IF(B1689="","",IFERROR(INDEX(Roster!$B$5:$B$154,MATCH(B1689,Roster!$A$5:$A$154,0)),"Not on roster"))</f>
        <v/>
      </c>
      <c r="G1689" s="28" t="str">
        <f aca="false">IF(OR(B1689="",C1689=""),"",F1689&amp;" | "&amp;C1689)</f>
        <v/>
      </c>
      <c r="H1689" s="27" t="str">
        <f aca="false">IF(G1689="","",IFERROR(INDEX(Levels!$C$5:$C$94,MATCH(G1689,Levels!$G$5:$G$94,0)),"Not this class's skill"))</f>
        <v/>
      </c>
    </row>
    <row r="1690" customFormat="false" ht="15" hidden="false" customHeight="false" outlineLevel="0" collapsed="false">
      <c r="A1690" s="23"/>
      <c r="B1690" s="22"/>
      <c r="C1690" s="22"/>
      <c r="D1690" s="22"/>
      <c r="E1690" s="22"/>
      <c r="F1690" s="27" t="str">
        <f aca="false">IF(B1690="","",IFERROR(INDEX(Roster!$B$5:$B$154,MATCH(B1690,Roster!$A$5:$A$154,0)),"Not on roster"))</f>
        <v/>
      </c>
      <c r="G1690" s="28" t="str">
        <f aca="false">IF(OR(B1690="",C1690=""),"",F1690&amp;" | "&amp;C1690)</f>
        <v/>
      </c>
      <c r="H1690" s="27" t="str">
        <f aca="false">IF(G1690="","",IFERROR(INDEX(Levels!$C$5:$C$94,MATCH(G1690,Levels!$G$5:$G$94,0)),"Not this class's skill"))</f>
        <v/>
      </c>
    </row>
    <row r="1691" customFormat="false" ht="15" hidden="false" customHeight="false" outlineLevel="0" collapsed="false">
      <c r="A1691" s="23"/>
      <c r="B1691" s="22"/>
      <c r="C1691" s="22"/>
      <c r="D1691" s="22"/>
      <c r="E1691" s="22"/>
      <c r="F1691" s="27" t="str">
        <f aca="false">IF(B1691="","",IFERROR(INDEX(Roster!$B$5:$B$154,MATCH(B1691,Roster!$A$5:$A$154,0)),"Not on roster"))</f>
        <v/>
      </c>
      <c r="G1691" s="28" t="str">
        <f aca="false">IF(OR(B1691="",C1691=""),"",F1691&amp;" | "&amp;C1691)</f>
        <v/>
      </c>
      <c r="H1691" s="27" t="str">
        <f aca="false">IF(G1691="","",IFERROR(INDEX(Levels!$C$5:$C$94,MATCH(G1691,Levels!$G$5:$G$94,0)),"Not this class's skill"))</f>
        <v/>
      </c>
    </row>
    <row r="1692" customFormat="false" ht="15" hidden="false" customHeight="false" outlineLevel="0" collapsed="false">
      <c r="A1692" s="23"/>
      <c r="B1692" s="22"/>
      <c r="C1692" s="22"/>
      <c r="D1692" s="22"/>
      <c r="E1692" s="22"/>
      <c r="F1692" s="27" t="str">
        <f aca="false">IF(B1692="","",IFERROR(INDEX(Roster!$B$5:$B$154,MATCH(B1692,Roster!$A$5:$A$154,0)),"Not on roster"))</f>
        <v/>
      </c>
      <c r="G1692" s="28" t="str">
        <f aca="false">IF(OR(B1692="",C1692=""),"",F1692&amp;" | "&amp;C1692)</f>
        <v/>
      </c>
      <c r="H1692" s="27" t="str">
        <f aca="false">IF(G1692="","",IFERROR(INDEX(Levels!$C$5:$C$94,MATCH(G1692,Levels!$G$5:$G$94,0)),"Not this class's skill"))</f>
        <v/>
      </c>
    </row>
    <row r="1693" customFormat="false" ht="15" hidden="false" customHeight="false" outlineLevel="0" collapsed="false">
      <c r="A1693" s="23"/>
      <c r="B1693" s="22"/>
      <c r="C1693" s="22"/>
      <c r="D1693" s="22"/>
      <c r="E1693" s="22"/>
      <c r="F1693" s="27" t="str">
        <f aca="false">IF(B1693="","",IFERROR(INDEX(Roster!$B$5:$B$154,MATCH(B1693,Roster!$A$5:$A$154,0)),"Not on roster"))</f>
        <v/>
      </c>
      <c r="G1693" s="28" t="str">
        <f aca="false">IF(OR(B1693="",C1693=""),"",F1693&amp;" | "&amp;C1693)</f>
        <v/>
      </c>
      <c r="H1693" s="27" t="str">
        <f aca="false">IF(G1693="","",IFERROR(INDEX(Levels!$C$5:$C$94,MATCH(G1693,Levels!$G$5:$G$94,0)),"Not this class's skill"))</f>
        <v/>
      </c>
    </row>
    <row r="1694" customFormat="false" ht="15" hidden="false" customHeight="false" outlineLevel="0" collapsed="false">
      <c r="A1694" s="23"/>
      <c r="B1694" s="22"/>
      <c r="C1694" s="22"/>
      <c r="D1694" s="22"/>
      <c r="E1694" s="22"/>
      <c r="F1694" s="27" t="str">
        <f aca="false">IF(B1694="","",IFERROR(INDEX(Roster!$B$5:$B$154,MATCH(B1694,Roster!$A$5:$A$154,0)),"Not on roster"))</f>
        <v/>
      </c>
      <c r="G1694" s="28" t="str">
        <f aca="false">IF(OR(B1694="",C1694=""),"",F1694&amp;" | "&amp;C1694)</f>
        <v/>
      </c>
      <c r="H1694" s="27" t="str">
        <f aca="false">IF(G1694="","",IFERROR(INDEX(Levels!$C$5:$C$94,MATCH(G1694,Levels!$G$5:$G$94,0)),"Not this class's skill"))</f>
        <v/>
      </c>
    </row>
    <row r="1695" customFormat="false" ht="15" hidden="false" customHeight="false" outlineLevel="0" collapsed="false">
      <c r="A1695" s="23"/>
      <c r="B1695" s="22"/>
      <c r="C1695" s="22"/>
      <c r="D1695" s="22"/>
      <c r="E1695" s="22"/>
      <c r="F1695" s="27" t="str">
        <f aca="false">IF(B1695="","",IFERROR(INDEX(Roster!$B$5:$B$154,MATCH(B1695,Roster!$A$5:$A$154,0)),"Not on roster"))</f>
        <v/>
      </c>
      <c r="G1695" s="28" t="str">
        <f aca="false">IF(OR(B1695="",C1695=""),"",F1695&amp;" | "&amp;C1695)</f>
        <v/>
      </c>
      <c r="H1695" s="27" t="str">
        <f aca="false">IF(G1695="","",IFERROR(INDEX(Levels!$C$5:$C$94,MATCH(G1695,Levels!$G$5:$G$94,0)),"Not this class's skill"))</f>
        <v/>
      </c>
    </row>
    <row r="1696" customFormat="false" ht="15" hidden="false" customHeight="false" outlineLevel="0" collapsed="false">
      <c r="A1696" s="23"/>
      <c r="B1696" s="22"/>
      <c r="C1696" s="22"/>
      <c r="D1696" s="22"/>
      <c r="E1696" s="22"/>
      <c r="F1696" s="27" t="str">
        <f aca="false">IF(B1696="","",IFERROR(INDEX(Roster!$B$5:$B$154,MATCH(B1696,Roster!$A$5:$A$154,0)),"Not on roster"))</f>
        <v/>
      </c>
      <c r="G1696" s="28" t="str">
        <f aca="false">IF(OR(B1696="",C1696=""),"",F1696&amp;" | "&amp;C1696)</f>
        <v/>
      </c>
      <c r="H1696" s="27" t="str">
        <f aca="false">IF(G1696="","",IFERROR(INDEX(Levels!$C$5:$C$94,MATCH(G1696,Levels!$G$5:$G$94,0)),"Not this class's skill"))</f>
        <v/>
      </c>
    </row>
    <row r="1697" customFormat="false" ht="15" hidden="false" customHeight="false" outlineLevel="0" collapsed="false">
      <c r="A1697" s="23"/>
      <c r="B1697" s="22"/>
      <c r="C1697" s="22"/>
      <c r="D1697" s="22"/>
      <c r="E1697" s="22"/>
      <c r="F1697" s="27" t="str">
        <f aca="false">IF(B1697="","",IFERROR(INDEX(Roster!$B$5:$B$154,MATCH(B1697,Roster!$A$5:$A$154,0)),"Not on roster"))</f>
        <v/>
      </c>
      <c r="G1697" s="28" t="str">
        <f aca="false">IF(OR(B1697="",C1697=""),"",F1697&amp;" | "&amp;C1697)</f>
        <v/>
      </c>
      <c r="H1697" s="27" t="str">
        <f aca="false">IF(G1697="","",IFERROR(INDEX(Levels!$C$5:$C$94,MATCH(G1697,Levels!$G$5:$G$94,0)),"Not this class's skill"))</f>
        <v/>
      </c>
    </row>
    <row r="1698" customFormat="false" ht="15" hidden="false" customHeight="false" outlineLevel="0" collapsed="false">
      <c r="A1698" s="23"/>
      <c r="B1698" s="22"/>
      <c r="C1698" s="22"/>
      <c r="D1698" s="22"/>
      <c r="E1698" s="22"/>
      <c r="F1698" s="27" t="str">
        <f aca="false">IF(B1698="","",IFERROR(INDEX(Roster!$B$5:$B$154,MATCH(B1698,Roster!$A$5:$A$154,0)),"Not on roster"))</f>
        <v/>
      </c>
      <c r="G1698" s="28" t="str">
        <f aca="false">IF(OR(B1698="",C1698=""),"",F1698&amp;" | "&amp;C1698)</f>
        <v/>
      </c>
      <c r="H1698" s="27" t="str">
        <f aca="false">IF(G1698="","",IFERROR(INDEX(Levels!$C$5:$C$94,MATCH(G1698,Levels!$G$5:$G$94,0)),"Not this class's skill"))</f>
        <v/>
      </c>
    </row>
    <row r="1699" customFormat="false" ht="15" hidden="false" customHeight="false" outlineLevel="0" collapsed="false">
      <c r="A1699" s="23"/>
      <c r="B1699" s="22"/>
      <c r="C1699" s="22"/>
      <c r="D1699" s="22"/>
      <c r="E1699" s="22"/>
      <c r="F1699" s="27" t="str">
        <f aca="false">IF(B1699="","",IFERROR(INDEX(Roster!$B$5:$B$154,MATCH(B1699,Roster!$A$5:$A$154,0)),"Not on roster"))</f>
        <v/>
      </c>
      <c r="G1699" s="28" t="str">
        <f aca="false">IF(OR(B1699="",C1699=""),"",F1699&amp;" | "&amp;C1699)</f>
        <v/>
      </c>
      <c r="H1699" s="27" t="str">
        <f aca="false">IF(G1699="","",IFERROR(INDEX(Levels!$C$5:$C$94,MATCH(G1699,Levels!$G$5:$G$94,0)),"Not this class's skill"))</f>
        <v/>
      </c>
    </row>
    <row r="1700" customFormat="false" ht="15" hidden="false" customHeight="false" outlineLevel="0" collapsed="false">
      <c r="A1700" s="23"/>
      <c r="B1700" s="22"/>
      <c r="C1700" s="22"/>
      <c r="D1700" s="22"/>
      <c r="E1700" s="22"/>
      <c r="F1700" s="27" t="str">
        <f aca="false">IF(B1700="","",IFERROR(INDEX(Roster!$B$5:$B$154,MATCH(B1700,Roster!$A$5:$A$154,0)),"Not on roster"))</f>
        <v/>
      </c>
      <c r="G1700" s="28" t="str">
        <f aca="false">IF(OR(B1700="",C1700=""),"",F1700&amp;" | "&amp;C1700)</f>
        <v/>
      </c>
      <c r="H1700" s="27" t="str">
        <f aca="false">IF(G1700="","",IFERROR(INDEX(Levels!$C$5:$C$94,MATCH(G1700,Levels!$G$5:$G$94,0)),"Not this class's skill"))</f>
        <v/>
      </c>
    </row>
    <row r="1701" customFormat="false" ht="15" hidden="false" customHeight="false" outlineLevel="0" collapsed="false">
      <c r="A1701" s="23"/>
      <c r="B1701" s="22"/>
      <c r="C1701" s="22"/>
      <c r="D1701" s="22"/>
      <c r="E1701" s="22"/>
      <c r="F1701" s="27" t="str">
        <f aca="false">IF(B1701="","",IFERROR(INDEX(Roster!$B$5:$B$154,MATCH(B1701,Roster!$A$5:$A$154,0)),"Not on roster"))</f>
        <v/>
      </c>
      <c r="G1701" s="28" t="str">
        <f aca="false">IF(OR(B1701="",C1701=""),"",F1701&amp;" | "&amp;C1701)</f>
        <v/>
      </c>
      <c r="H1701" s="27" t="str">
        <f aca="false">IF(G1701="","",IFERROR(INDEX(Levels!$C$5:$C$94,MATCH(G1701,Levels!$G$5:$G$94,0)),"Not this class's skill"))</f>
        <v/>
      </c>
    </row>
    <row r="1702" customFormat="false" ht="15" hidden="false" customHeight="false" outlineLevel="0" collapsed="false">
      <c r="A1702" s="23"/>
      <c r="B1702" s="22"/>
      <c r="C1702" s="22"/>
      <c r="D1702" s="22"/>
      <c r="E1702" s="22"/>
      <c r="F1702" s="27" t="str">
        <f aca="false">IF(B1702="","",IFERROR(INDEX(Roster!$B$5:$B$154,MATCH(B1702,Roster!$A$5:$A$154,0)),"Not on roster"))</f>
        <v/>
      </c>
      <c r="G1702" s="28" t="str">
        <f aca="false">IF(OR(B1702="",C1702=""),"",F1702&amp;" | "&amp;C1702)</f>
        <v/>
      </c>
      <c r="H1702" s="27" t="str">
        <f aca="false">IF(G1702="","",IFERROR(INDEX(Levels!$C$5:$C$94,MATCH(G1702,Levels!$G$5:$G$94,0)),"Not this class's skill"))</f>
        <v/>
      </c>
    </row>
    <row r="1703" customFormat="false" ht="15" hidden="false" customHeight="false" outlineLevel="0" collapsed="false">
      <c r="A1703" s="23"/>
      <c r="B1703" s="22"/>
      <c r="C1703" s="22"/>
      <c r="D1703" s="22"/>
      <c r="E1703" s="22"/>
      <c r="F1703" s="27" t="str">
        <f aca="false">IF(B1703="","",IFERROR(INDEX(Roster!$B$5:$B$154,MATCH(B1703,Roster!$A$5:$A$154,0)),"Not on roster"))</f>
        <v/>
      </c>
      <c r="G1703" s="28" t="str">
        <f aca="false">IF(OR(B1703="",C1703=""),"",F1703&amp;" | "&amp;C1703)</f>
        <v/>
      </c>
      <c r="H1703" s="27" t="str">
        <f aca="false">IF(G1703="","",IFERROR(INDEX(Levels!$C$5:$C$94,MATCH(G1703,Levels!$G$5:$G$94,0)),"Not this class's skill"))</f>
        <v/>
      </c>
    </row>
    <row r="1704" customFormat="false" ht="15" hidden="false" customHeight="false" outlineLevel="0" collapsed="false">
      <c r="A1704" s="23"/>
      <c r="B1704" s="22"/>
      <c r="C1704" s="22"/>
      <c r="D1704" s="22"/>
      <c r="E1704" s="22"/>
      <c r="F1704" s="27" t="str">
        <f aca="false">IF(B1704="","",IFERROR(INDEX(Roster!$B$5:$B$154,MATCH(B1704,Roster!$A$5:$A$154,0)),"Not on roster"))</f>
        <v/>
      </c>
      <c r="G1704" s="28" t="str">
        <f aca="false">IF(OR(B1704="",C1704=""),"",F1704&amp;" | "&amp;C1704)</f>
        <v/>
      </c>
      <c r="H1704" s="27" t="str">
        <f aca="false">IF(G1704="","",IFERROR(INDEX(Levels!$C$5:$C$94,MATCH(G1704,Levels!$G$5:$G$94,0)),"Not this class's skill"))</f>
        <v/>
      </c>
    </row>
    <row r="1705" customFormat="false" ht="15" hidden="false" customHeight="false" outlineLevel="0" collapsed="false">
      <c r="A1705" s="23"/>
      <c r="B1705" s="22"/>
      <c r="C1705" s="22"/>
      <c r="D1705" s="22"/>
      <c r="E1705" s="22"/>
      <c r="F1705" s="27" t="str">
        <f aca="false">IF(B1705="","",IFERROR(INDEX(Roster!$B$5:$B$154,MATCH(B1705,Roster!$A$5:$A$154,0)),"Not on roster"))</f>
        <v/>
      </c>
      <c r="G1705" s="28" t="str">
        <f aca="false">IF(OR(B1705="",C1705=""),"",F1705&amp;" | "&amp;C1705)</f>
        <v/>
      </c>
      <c r="H1705" s="27" t="str">
        <f aca="false">IF(G1705="","",IFERROR(INDEX(Levels!$C$5:$C$94,MATCH(G1705,Levels!$G$5:$G$94,0)),"Not this class's skill"))</f>
        <v/>
      </c>
    </row>
    <row r="1706" customFormat="false" ht="15" hidden="false" customHeight="false" outlineLevel="0" collapsed="false">
      <c r="A1706" s="23"/>
      <c r="B1706" s="22"/>
      <c r="C1706" s="22"/>
      <c r="D1706" s="22"/>
      <c r="E1706" s="22"/>
      <c r="F1706" s="27" t="str">
        <f aca="false">IF(B1706="","",IFERROR(INDEX(Roster!$B$5:$B$154,MATCH(B1706,Roster!$A$5:$A$154,0)),"Not on roster"))</f>
        <v/>
      </c>
      <c r="G1706" s="28" t="str">
        <f aca="false">IF(OR(B1706="",C1706=""),"",F1706&amp;" | "&amp;C1706)</f>
        <v/>
      </c>
      <c r="H1706" s="27" t="str">
        <f aca="false">IF(G1706="","",IFERROR(INDEX(Levels!$C$5:$C$94,MATCH(G1706,Levels!$G$5:$G$94,0)),"Not this class's skill"))</f>
        <v/>
      </c>
    </row>
    <row r="1707" customFormat="false" ht="15" hidden="false" customHeight="false" outlineLevel="0" collapsed="false">
      <c r="A1707" s="23"/>
      <c r="B1707" s="22"/>
      <c r="C1707" s="22"/>
      <c r="D1707" s="22"/>
      <c r="E1707" s="22"/>
      <c r="F1707" s="27" t="str">
        <f aca="false">IF(B1707="","",IFERROR(INDEX(Roster!$B$5:$B$154,MATCH(B1707,Roster!$A$5:$A$154,0)),"Not on roster"))</f>
        <v/>
      </c>
      <c r="G1707" s="28" t="str">
        <f aca="false">IF(OR(B1707="",C1707=""),"",F1707&amp;" | "&amp;C1707)</f>
        <v/>
      </c>
      <c r="H1707" s="27" t="str">
        <f aca="false">IF(G1707="","",IFERROR(INDEX(Levels!$C$5:$C$94,MATCH(G1707,Levels!$G$5:$G$94,0)),"Not this class's skill"))</f>
        <v/>
      </c>
    </row>
    <row r="1708" customFormat="false" ht="15" hidden="false" customHeight="false" outlineLevel="0" collapsed="false">
      <c r="A1708" s="23"/>
      <c r="B1708" s="22"/>
      <c r="C1708" s="22"/>
      <c r="D1708" s="22"/>
      <c r="E1708" s="22"/>
      <c r="F1708" s="27" t="str">
        <f aca="false">IF(B1708="","",IFERROR(INDEX(Roster!$B$5:$B$154,MATCH(B1708,Roster!$A$5:$A$154,0)),"Not on roster"))</f>
        <v/>
      </c>
      <c r="G1708" s="28" t="str">
        <f aca="false">IF(OR(B1708="",C1708=""),"",F1708&amp;" | "&amp;C1708)</f>
        <v/>
      </c>
      <c r="H1708" s="27" t="str">
        <f aca="false">IF(G1708="","",IFERROR(INDEX(Levels!$C$5:$C$94,MATCH(G1708,Levels!$G$5:$G$94,0)),"Not this class's skill"))</f>
        <v/>
      </c>
    </row>
    <row r="1709" customFormat="false" ht="15" hidden="false" customHeight="false" outlineLevel="0" collapsed="false">
      <c r="A1709" s="23"/>
      <c r="B1709" s="22"/>
      <c r="C1709" s="22"/>
      <c r="D1709" s="22"/>
      <c r="E1709" s="22"/>
      <c r="F1709" s="27" t="str">
        <f aca="false">IF(B1709="","",IFERROR(INDEX(Roster!$B$5:$B$154,MATCH(B1709,Roster!$A$5:$A$154,0)),"Not on roster"))</f>
        <v/>
      </c>
      <c r="G1709" s="28" t="str">
        <f aca="false">IF(OR(B1709="",C1709=""),"",F1709&amp;" | "&amp;C1709)</f>
        <v/>
      </c>
      <c r="H1709" s="27" t="str">
        <f aca="false">IF(G1709="","",IFERROR(INDEX(Levels!$C$5:$C$94,MATCH(G1709,Levels!$G$5:$G$94,0)),"Not this class's skill"))</f>
        <v/>
      </c>
    </row>
    <row r="1710" customFormat="false" ht="15" hidden="false" customHeight="false" outlineLevel="0" collapsed="false">
      <c r="A1710" s="23"/>
      <c r="B1710" s="22"/>
      <c r="C1710" s="22"/>
      <c r="D1710" s="22"/>
      <c r="E1710" s="22"/>
      <c r="F1710" s="27" t="str">
        <f aca="false">IF(B1710="","",IFERROR(INDEX(Roster!$B$5:$B$154,MATCH(B1710,Roster!$A$5:$A$154,0)),"Not on roster"))</f>
        <v/>
      </c>
      <c r="G1710" s="28" t="str">
        <f aca="false">IF(OR(B1710="",C1710=""),"",F1710&amp;" | "&amp;C1710)</f>
        <v/>
      </c>
      <c r="H1710" s="27" t="str">
        <f aca="false">IF(G1710="","",IFERROR(INDEX(Levels!$C$5:$C$94,MATCH(G1710,Levels!$G$5:$G$94,0)),"Not this class's skill"))</f>
        <v/>
      </c>
    </row>
    <row r="1711" customFormat="false" ht="15" hidden="false" customHeight="false" outlineLevel="0" collapsed="false">
      <c r="A1711" s="23"/>
      <c r="B1711" s="22"/>
      <c r="C1711" s="22"/>
      <c r="D1711" s="22"/>
      <c r="E1711" s="22"/>
      <c r="F1711" s="27" t="str">
        <f aca="false">IF(B1711="","",IFERROR(INDEX(Roster!$B$5:$B$154,MATCH(B1711,Roster!$A$5:$A$154,0)),"Not on roster"))</f>
        <v/>
      </c>
      <c r="G1711" s="28" t="str">
        <f aca="false">IF(OR(B1711="",C1711=""),"",F1711&amp;" | "&amp;C1711)</f>
        <v/>
      </c>
      <c r="H1711" s="27" t="str">
        <f aca="false">IF(G1711="","",IFERROR(INDEX(Levels!$C$5:$C$94,MATCH(G1711,Levels!$G$5:$G$94,0)),"Not this class's skill"))</f>
        <v/>
      </c>
    </row>
    <row r="1712" customFormat="false" ht="15" hidden="false" customHeight="false" outlineLevel="0" collapsed="false">
      <c r="A1712" s="23"/>
      <c r="B1712" s="22"/>
      <c r="C1712" s="22"/>
      <c r="D1712" s="22"/>
      <c r="E1712" s="22"/>
      <c r="F1712" s="27" t="str">
        <f aca="false">IF(B1712="","",IFERROR(INDEX(Roster!$B$5:$B$154,MATCH(B1712,Roster!$A$5:$A$154,0)),"Not on roster"))</f>
        <v/>
      </c>
      <c r="G1712" s="28" t="str">
        <f aca="false">IF(OR(B1712="",C1712=""),"",F1712&amp;" | "&amp;C1712)</f>
        <v/>
      </c>
      <c r="H1712" s="27" t="str">
        <f aca="false">IF(G1712="","",IFERROR(INDEX(Levels!$C$5:$C$94,MATCH(G1712,Levels!$G$5:$G$94,0)),"Not this class's skill"))</f>
        <v/>
      </c>
    </row>
    <row r="1713" customFormat="false" ht="15" hidden="false" customHeight="false" outlineLevel="0" collapsed="false">
      <c r="A1713" s="23"/>
      <c r="B1713" s="22"/>
      <c r="C1713" s="22"/>
      <c r="D1713" s="22"/>
      <c r="E1713" s="22"/>
      <c r="F1713" s="27" t="str">
        <f aca="false">IF(B1713="","",IFERROR(INDEX(Roster!$B$5:$B$154,MATCH(B1713,Roster!$A$5:$A$154,0)),"Not on roster"))</f>
        <v/>
      </c>
      <c r="G1713" s="28" t="str">
        <f aca="false">IF(OR(B1713="",C1713=""),"",F1713&amp;" | "&amp;C1713)</f>
        <v/>
      </c>
      <c r="H1713" s="27" t="str">
        <f aca="false">IF(G1713="","",IFERROR(INDEX(Levels!$C$5:$C$94,MATCH(G1713,Levels!$G$5:$G$94,0)),"Not this class's skill"))</f>
        <v/>
      </c>
    </row>
    <row r="1714" customFormat="false" ht="15" hidden="false" customHeight="false" outlineLevel="0" collapsed="false">
      <c r="A1714" s="23"/>
      <c r="B1714" s="22"/>
      <c r="C1714" s="22"/>
      <c r="D1714" s="22"/>
      <c r="E1714" s="22"/>
      <c r="F1714" s="27" t="str">
        <f aca="false">IF(B1714="","",IFERROR(INDEX(Roster!$B$5:$B$154,MATCH(B1714,Roster!$A$5:$A$154,0)),"Not on roster"))</f>
        <v/>
      </c>
      <c r="G1714" s="28" t="str">
        <f aca="false">IF(OR(B1714="",C1714=""),"",F1714&amp;" | "&amp;C1714)</f>
        <v/>
      </c>
      <c r="H1714" s="27" t="str">
        <f aca="false">IF(G1714="","",IFERROR(INDEX(Levels!$C$5:$C$94,MATCH(G1714,Levels!$G$5:$G$94,0)),"Not this class's skill"))</f>
        <v/>
      </c>
    </row>
    <row r="1715" customFormat="false" ht="15" hidden="false" customHeight="false" outlineLevel="0" collapsed="false">
      <c r="A1715" s="23"/>
      <c r="B1715" s="22"/>
      <c r="C1715" s="22"/>
      <c r="D1715" s="22"/>
      <c r="E1715" s="22"/>
      <c r="F1715" s="27" t="str">
        <f aca="false">IF(B1715="","",IFERROR(INDEX(Roster!$B$5:$B$154,MATCH(B1715,Roster!$A$5:$A$154,0)),"Not on roster"))</f>
        <v/>
      </c>
      <c r="G1715" s="28" t="str">
        <f aca="false">IF(OR(B1715="",C1715=""),"",F1715&amp;" | "&amp;C1715)</f>
        <v/>
      </c>
      <c r="H1715" s="27" t="str">
        <f aca="false">IF(G1715="","",IFERROR(INDEX(Levels!$C$5:$C$94,MATCH(G1715,Levels!$G$5:$G$94,0)),"Not this class's skill"))</f>
        <v/>
      </c>
    </row>
    <row r="1716" customFormat="false" ht="15" hidden="false" customHeight="false" outlineLevel="0" collapsed="false">
      <c r="A1716" s="23"/>
      <c r="B1716" s="22"/>
      <c r="C1716" s="22"/>
      <c r="D1716" s="22"/>
      <c r="E1716" s="22"/>
      <c r="F1716" s="27" t="str">
        <f aca="false">IF(B1716="","",IFERROR(INDEX(Roster!$B$5:$B$154,MATCH(B1716,Roster!$A$5:$A$154,0)),"Not on roster"))</f>
        <v/>
      </c>
      <c r="G1716" s="28" t="str">
        <f aca="false">IF(OR(B1716="",C1716=""),"",F1716&amp;" | "&amp;C1716)</f>
        <v/>
      </c>
      <c r="H1716" s="27" t="str">
        <f aca="false">IF(G1716="","",IFERROR(INDEX(Levels!$C$5:$C$94,MATCH(G1716,Levels!$G$5:$G$94,0)),"Not this class's skill"))</f>
        <v/>
      </c>
    </row>
    <row r="1717" customFormat="false" ht="15" hidden="false" customHeight="false" outlineLevel="0" collapsed="false">
      <c r="A1717" s="23"/>
      <c r="B1717" s="22"/>
      <c r="C1717" s="22"/>
      <c r="D1717" s="22"/>
      <c r="E1717" s="22"/>
      <c r="F1717" s="27" t="str">
        <f aca="false">IF(B1717="","",IFERROR(INDEX(Roster!$B$5:$B$154,MATCH(B1717,Roster!$A$5:$A$154,0)),"Not on roster"))</f>
        <v/>
      </c>
      <c r="G1717" s="28" t="str">
        <f aca="false">IF(OR(B1717="",C1717=""),"",F1717&amp;" | "&amp;C1717)</f>
        <v/>
      </c>
      <c r="H1717" s="27" t="str">
        <f aca="false">IF(G1717="","",IFERROR(INDEX(Levels!$C$5:$C$94,MATCH(G1717,Levels!$G$5:$G$94,0)),"Not this class's skill"))</f>
        <v/>
      </c>
    </row>
    <row r="1718" customFormat="false" ht="15" hidden="false" customHeight="false" outlineLevel="0" collapsed="false">
      <c r="A1718" s="23"/>
      <c r="B1718" s="22"/>
      <c r="C1718" s="22"/>
      <c r="D1718" s="22"/>
      <c r="E1718" s="22"/>
      <c r="F1718" s="27" t="str">
        <f aca="false">IF(B1718="","",IFERROR(INDEX(Roster!$B$5:$B$154,MATCH(B1718,Roster!$A$5:$A$154,0)),"Not on roster"))</f>
        <v/>
      </c>
      <c r="G1718" s="28" t="str">
        <f aca="false">IF(OR(B1718="",C1718=""),"",F1718&amp;" | "&amp;C1718)</f>
        <v/>
      </c>
      <c r="H1718" s="27" t="str">
        <f aca="false">IF(G1718="","",IFERROR(INDEX(Levels!$C$5:$C$94,MATCH(G1718,Levels!$G$5:$G$94,0)),"Not this class's skill"))</f>
        <v/>
      </c>
    </row>
    <row r="1719" customFormat="false" ht="15" hidden="false" customHeight="false" outlineLevel="0" collapsed="false">
      <c r="A1719" s="23"/>
      <c r="B1719" s="22"/>
      <c r="C1719" s="22"/>
      <c r="D1719" s="22"/>
      <c r="E1719" s="22"/>
      <c r="F1719" s="27" t="str">
        <f aca="false">IF(B1719="","",IFERROR(INDEX(Roster!$B$5:$B$154,MATCH(B1719,Roster!$A$5:$A$154,0)),"Not on roster"))</f>
        <v/>
      </c>
      <c r="G1719" s="28" t="str">
        <f aca="false">IF(OR(B1719="",C1719=""),"",F1719&amp;" | "&amp;C1719)</f>
        <v/>
      </c>
      <c r="H1719" s="27" t="str">
        <f aca="false">IF(G1719="","",IFERROR(INDEX(Levels!$C$5:$C$94,MATCH(G1719,Levels!$G$5:$G$94,0)),"Not this class's skill"))</f>
        <v/>
      </c>
    </row>
    <row r="1720" customFormat="false" ht="15" hidden="false" customHeight="false" outlineLevel="0" collapsed="false">
      <c r="A1720" s="23"/>
      <c r="B1720" s="22"/>
      <c r="C1720" s="22"/>
      <c r="D1720" s="22"/>
      <c r="E1720" s="22"/>
      <c r="F1720" s="27" t="str">
        <f aca="false">IF(B1720="","",IFERROR(INDEX(Roster!$B$5:$B$154,MATCH(B1720,Roster!$A$5:$A$154,0)),"Not on roster"))</f>
        <v/>
      </c>
      <c r="G1720" s="28" t="str">
        <f aca="false">IF(OR(B1720="",C1720=""),"",F1720&amp;" | "&amp;C1720)</f>
        <v/>
      </c>
      <c r="H1720" s="27" t="str">
        <f aca="false">IF(G1720="","",IFERROR(INDEX(Levels!$C$5:$C$94,MATCH(G1720,Levels!$G$5:$G$94,0)),"Not this class's skill"))</f>
        <v/>
      </c>
    </row>
    <row r="1721" customFormat="false" ht="15" hidden="false" customHeight="false" outlineLevel="0" collapsed="false">
      <c r="A1721" s="23"/>
      <c r="B1721" s="22"/>
      <c r="C1721" s="22"/>
      <c r="D1721" s="22"/>
      <c r="E1721" s="22"/>
      <c r="F1721" s="27" t="str">
        <f aca="false">IF(B1721="","",IFERROR(INDEX(Roster!$B$5:$B$154,MATCH(B1721,Roster!$A$5:$A$154,0)),"Not on roster"))</f>
        <v/>
      </c>
      <c r="G1721" s="28" t="str">
        <f aca="false">IF(OR(B1721="",C1721=""),"",F1721&amp;" | "&amp;C1721)</f>
        <v/>
      </c>
      <c r="H1721" s="27" t="str">
        <f aca="false">IF(G1721="","",IFERROR(INDEX(Levels!$C$5:$C$94,MATCH(G1721,Levels!$G$5:$G$94,0)),"Not this class's skill"))</f>
        <v/>
      </c>
    </row>
    <row r="1722" customFormat="false" ht="15" hidden="false" customHeight="false" outlineLevel="0" collapsed="false">
      <c r="A1722" s="23"/>
      <c r="B1722" s="22"/>
      <c r="C1722" s="22"/>
      <c r="D1722" s="22"/>
      <c r="E1722" s="22"/>
      <c r="F1722" s="27" t="str">
        <f aca="false">IF(B1722="","",IFERROR(INDEX(Roster!$B$5:$B$154,MATCH(B1722,Roster!$A$5:$A$154,0)),"Not on roster"))</f>
        <v/>
      </c>
      <c r="G1722" s="28" t="str">
        <f aca="false">IF(OR(B1722="",C1722=""),"",F1722&amp;" | "&amp;C1722)</f>
        <v/>
      </c>
      <c r="H1722" s="27" t="str">
        <f aca="false">IF(G1722="","",IFERROR(INDEX(Levels!$C$5:$C$94,MATCH(G1722,Levels!$G$5:$G$94,0)),"Not this class's skill"))</f>
        <v/>
      </c>
    </row>
    <row r="1723" customFormat="false" ht="15" hidden="false" customHeight="false" outlineLevel="0" collapsed="false">
      <c r="A1723" s="23"/>
      <c r="B1723" s="22"/>
      <c r="C1723" s="22"/>
      <c r="D1723" s="22"/>
      <c r="E1723" s="22"/>
      <c r="F1723" s="27" t="str">
        <f aca="false">IF(B1723="","",IFERROR(INDEX(Roster!$B$5:$B$154,MATCH(B1723,Roster!$A$5:$A$154,0)),"Not on roster"))</f>
        <v/>
      </c>
      <c r="G1723" s="28" t="str">
        <f aca="false">IF(OR(B1723="",C1723=""),"",F1723&amp;" | "&amp;C1723)</f>
        <v/>
      </c>
      <c r="H1723" s="27" t="str">
        <f aca="false">IF(G1723="","",IFERROR(INDEX(Levels!$C$5:$C$94,MATCH(G1723,Levels!$G$5:$G$94,0)),"Not this class's skill"))</f>
        <v/>
      </c>
    </row>
    <row r="1724" customFormat="false" ht="15" hidden="false" customHeight="false" outlineLevel="0" collapsed="false">
      <c r="A1724" s="23"/>
      <c r="B1724" s="22"/>
      <c r="C1724" s="22"/>
      <c r="D1724" s="22"/>
      <c r="E1724" s="22"/>
      <c r="F1724" s="27" t="str">
        <f aca="false">IF(B1724="","",IFERROR(INDEX(Roster!$B$5:$B$154,MATCH(B1724,Roster!$A$5:$A$154,0)),"Not on roster"))</f>
        <v/>
      </c>
      <c r="G1724" s="28" t="str">
        <f aca="false">IF(OR(B1724="",C1724=""),"",F1724&amp;" | "&amp;C1724)</f>
        <v/>
      </c>
      <c r="H1724" s="27" t="str">
        <f aca="false">IF(G1724="","",IFERROR(INDEX(Levels!$C$5:$C$94,MATCH(G1724,Levels!$G$5:$G$94,0)),"Not this class's skill"))</f>
        <v/>
      </c>
    </row>
    <row r="1725" customFormat="false" ht="15" hidden="false" customHeight="false" outlineLevel="0" collapsed="false">
      <c r="A1725" s="23"/>
      <c r="B1725" s="22"/>
      <c r="C1725" s="22"/>
      <c r="D1725" s="22"/>
      <c r="E1725" s="22"/>
      <c r="F1725" s="27" t="str">
        <f aca="false">IF(B1725="","",IFERROR(INDEX(Roster!$B$5:$B$154,MATCH(B1725,Roster!$A$5:$A$154,0)),"Not on roster"))</f>
        <v/>
      </c>
      <c r="G1725" s="28" t="str">
        <f aca="false">IF(OR(B1725="",C1725=""),"",F1725&amp;" | "&amp;C1725)</f>
        <v/>
      </c>
      <c r="H1725" s="27" t="str">
        <f aca="false">IF(G1725="","",IFERROR(INDEX(Levels!$C$5:$C$94,MATCH(G1725,Levels!$G$5:$G$94,0)),"Not this class's skill"))</f>
        <v/>
      </c>
    </row>
    <row r="1726" customFormat="false" ht="15" hidden="false" customHeight="false" outlineLevel="0" collapsed="false">
      <c r="A1726" s="23"/>
      <c r="B1726" s="22"/>
      <c r="C1726" s="22"/>
      <c r="D1726" s="22"/>
      <c r="E1726" s="22"/>
      <c r="F1726" s="27" t="str">
        <f aca="false">IF(B1726="","",IFERROR(INDEX(Roster!$B$5:$B$154,MATCH(B1726,Roster!$A$5:$A$154,0)),"Not on roster"))</f>
        <v/>
      </c>
      <c r="G1726" s="28" t="str">
        <f aca="false">IF(OR(B1726="",C1726=""),"",F1726&amp;" | "&amp;C1726)</f>
        <v/>
      </c>
      <c r="H1726" s="27" t="str">
        <f aca="false">IF(G1726="","",IFERROR(INDEX(Levels!$C$5:$C$94,MATCH(G1726,Levels!$G$5:$G$94,0)),"Not this class's skill"))</f>
        <v/>
      </c>
    </row>
    <row r="1727" customFormat="false" ht="15" hidden="false" customHeight="false" outlineLevel="0" collapsed="false">
      <c r="A1727" s="23"/>
      <c r="B1727" s="22"/>
      <c r="C1727" s="22"/>
      <c r="D1727" s="22"/>
      <c r="E1727" s="22"/>
      <c r="F1727" s="27" t="str">
        <f aca="false">IF(B1727="","",IFERROR(INDEX(Roster!$B$5:$B$154,MATCH(B1727,Roster!$A$5:$A$154,0)),"Not on roster"))</f>
        <v/>
      </c>
      <c r="G1727" s="28" t="str">
        <f aca="false">IF(OR(B1727="",C1727=""),"",F1727&amp;" | "&amp;C1727)</f>
        <v/>
      </c>
      <c r="H1727" s="27" t="str">
        <f aca="false">IF(G1727="","",IFERROR(INDEX(Levels!$C$5:$C$94,MATCH(G1727,Levels!$G$5:$G$94,0)),"Not this class's skill"))</f>
        <v/>
      </c>
    </row>
    <row r="1728" customFormat="false" ht="15" hidden="false" customHeight="false" outlineLevel="0" collapsed="false">
      <c r="A1728" s="23"/>
      <c r="B1728" s="22"/>
      <c r="C1728" s="22"/>
      <c r="D1728" s="22"/>
      <c r="E1728" s="22"/>
      <c r="F1728" s="27" t="str">
        <f aca="false">IF(B1728="","",IFERROR(INDEX(Roster!$B$5:$B$154,MATCH(B1728,Roster!$A$5:$A$154,0)),"Not on roster"))</f>
        <v/>
      </c>
      <c r="G1728" s="28" t="str">
        <f aca="false">IF(OR(B1728="",C1728=""),"",F1728&amp;" | "&amp;C1728)</f>
        <v/>
      </c>
      <c r="H1728" s="27" t="str">
        <f aca="false">IF(G1728="","",IFERROR(INDEX(Levels!$C$5:$C$94,MATCH(G1728,Levels!$G$5:$G$94,0)),"Not this class's skill"))</f>
        <v/>
      </c>
    </row>
    <row r="1729" customFormat="false" ht="15" hidden="false" customHeight="false" outlineLevel="0" collapsed="false">
      <c r="A1729" s="23"/>
      <c r="B1729" s="22"/>
      <c r="C1729" s="22"/>
      <c r="D1729" s="22"/>
      <c r="E1729" s="22"/>
      <c r="F1729" s="27" t="str">
        <f aca="false">IF(B1729="","",IFERROR(INDEX(Roster!$B$5:$B$154,MATCH(B1729,Roster!$A$5:$A$154,0)),"Not on roster"))</f>
        <v/>
      </c>
      <c r="G1729" s="28" t="str">
        <f aca="false">IF(OR(B1729="",C1729=""),"",F1729&amp;" | "&amp;C1729)</f>
        <v/>
      </c>
      <c r="H1729" s="27" t="str">
        <f aca="false">IF(G1729="","",IFERROR(INDEX(Levels!$C$5:$C$94,MATCH(G1729,Levels!$G$5:$G$94,0)),"Not this class's skill"))</f>
        <v/>
      </c>
    </row>
    <row r="1730" customFormat="false" ht="15" hidden="false" customHeight="false" outlineLevel="0" collapsed="false">
      <c r="A1730" s="23"/>
      <c r="B1730" s="22"/>
      <c r="C1730" s="22"/>
      <c r="D1730" s="22"/>
      <c r="E1730" s="22"/>
      <c r="F1730" s="27" t="str">
        <f aca="false">IF(B1730="","",IFERROR(INDEX(Roster!$B$5:$B$154,MATCH(B1730,Roster!$A$5:$A$154,0)),"Not on roster"))</f>
        <v/>
      </c>
      <c r="G1730" s="28" t="str">
        <f aca="false">IF(OR(B1730="",C1730=""),"",F1730&amp;" | "&amp;C1730)</f>
        <v/>
      </c>
      <c r="H1730" s="27" t="str">
        <f aca="false">IF(G1730="","",IFERROR(INDEX(Levels!$C$5:$C$94,MATCH(G1730,Levels!$G$5:$G$94,0)),"Not this class's skill"))</f>
        <v/>
      </c>
    </row>
    <row r="1731" customFormat="false" ht="15" hidden="false" customHeight="false" outlineLevel="0" collapsed="false">
      <c r="A1731" s="23"/>
      <c r="B1731" s="22"/>
      <c r="C1731" s="22"/>
      <c r="D1731" s="22"/>
      <c r="E1731" s="22"/>
      <c r="F1731" s="27" t="str">
        <f aca="false">IF(B1731="","",IFERROR(INDEX(Roster!$B$5:$B$154,MATCH(B1731,Roster!$A$5:$A$154,0)),"Not on roster"))</f>
        <v/>
      </c>
      <c r="G1731" s="28" t="str">
        <f aca="false">IF(OR(B1731="",C1731=""),"",F1731&amp;" | "&amp;C1731)</f>
        <v/>
      </c>
      <c r="H1731" s="27" t="str">
        <f aca="false">IF(G1731="","",IFERROR(INDEX(Levels!$C$5:$C$94,MATCH(G1731,Levels!$G$5:$G$94,0)),"Not this class's skill"))</f>
        <v/>
      </c>
    </row>
    <row r="1732" customFormat="false" ht="15" hidden="false" customHeight="false" outlineLevel="0" collapsed="false">
      <c r="A1732" s="23"/>
      <c r="B1732" s="22"/>
      <c r="C1732" s="22"/>
      <c r="D1732" s="22"/>
      <c r="E1732" s="22"/>
      <c r="F1732" s="27" t="str">
        <f aca="false">IF(B1732="","",IFERROR(INDEX(Roster!$B$5:$B$154,MATCH(B1732,Roster!$A$5:$A$154,0)),"Not on roster"))</f>
        <v/>
      </c>
      <c r="G1732" s="28" t="str">
        <f aca="false">IF(OR(B1732="",C1732=""),"",F1732&amp;" | "&amp;C1732)</f>
        <v/>
      </c>
      <c r="H1732" s="27" t="str">
        <f aca="false">IF(G1732="","",IFERROR(INDEX(Levels!$C$5:$C$94,MATCH(G1732,Levels!$G$5:$G$94,0)),"Not this class's skill"))</f>
        <v/>
      </c>
    </row>
    <row r="1733" customFormat="false" ht="15" hidden="false" customHeight="false" outlineLevel="0" collapsed="false">
      <c r="A1733" s="23"/>
      <c r="B1733" s="22"/>
      <c r="C1733" s="22"/>
      <c r="D1733" s="22"/>
      <c r="E1733" s="22"/>
      <c r="F1733" s="27" t="str">
        <f aca="false">IF(B1733="","",IFERROR(INDEX(Roster!$B$5:$B$154,MATCH(B1733,Roster!$A$5:$A$154,0)),"Not on roster"))</f>
        <v/>
      </c>
      <c r="G1733" s="28" t="str">
        <f aca="false">IF(OR(B1733="",C1733=""),"",F1733&amp;" | "&amp;C1733)</f>
        <v/>
      </c>
      <c r="H1733" s="27" t="str">
        <f aca="false">IF(G1733="","",IFERROR(INDEX(Levels!$C$5:$C$94,MATCH(G1733,Levels!$G$5:$G$94,0)),"Not this class's skill"))</f>
        <v/>
      </c>
    </row>
    <row r="1734" customFormat="false" ht="15" hidden="false" customHeight="false" outlineLevel="0" collapsed="false">
      <c r="A1734" s="23"/>
      <c r="B1734" s="22"/>
      <c r="C1734" s="22"/>
      <c r="D1734" s="22"/>
      <c r="E1734" s="22"/>
      <c r="F1734" s="27" t="str">
        <f aca="false">IF(B1734="","",IFERROR(INDEX(Roster!$B$5:$B$154,MATCH(B1734,Roster!$A$5:$A$154,0)),"Not on roster"))</f>
        <v/>
      </c>
      <c r="G1734" s="28" t="str">
        <f aca="false">IF(OR(B1734="",C1734=""),"",F1734&amp;" | "&amp;C1734)</f>
        <v/>
      </c>
      <c r="H1734" s="27" t="str">
        <f aca="false">IF(G1734="","",IFERROR(INDEX(Levels!$C$5:$C$94,MATCH(G1734,Levels!$G$5:$G$94,0)),"Not this class's skill"))</f>
        <v/>
      </c>
    </row>
    <row r="1735" customFormat="false" ht="15" hidden="false" customHeight="false" outlineLevel="0" collapsed="false">
      <c r="A1735" s="23"/>
      <c r="B1735" s="22"/>
      <c r="C1735" s="22"/>
      <c r="D1735" s="22"/>
      <c r="E1735" s="22"/>
      <c r="F1735" s="27" t="str">
        <f aca="false">IF(B1735="","",IFERROR(INDEX(Roster!$B$5:$B$154,MATCH(B1735,Roster!$A$5:$A$154,0)),"Not on roster"))</f>
        <v/>
      </c>
      <c r="G1735" s="28" t="str">
        <f aca="false">IF(OR(B1735="",C1735=""),"",F1735&amp;" | "&amp;C1735)</f>
        <v/>
      </c>
      <c r="H1735" s="27" t="str">
        <f aca="false">IF(G1735="","",IFERROR(INDEX(Levels!$C$5:$C$94,MATCH(G1735,Levels!$G$5:$G$94,0)),"Not this class's skill"))</f>
        <v/>
      </c>
    </row>
    <row r="1736" customFormat="false" ht="15" hidden="false" customHeight="false" outlineLevel="0" collapsed="false">
      <c r="A1736" s="23"/>
      <c r="B1736" s="22"/>
      <c r="C1736" s="22"/>
      <c r="D1736" s="22"/>
      <c r="E1736" s="22"/>
      <c r="F1736" s="27" t="str">
        <f aca="false">IF(B1736="","",IFERROR(INDEX(Roster!$B$5:$B$154,MATCH(B1736,Roster!$A$5:$A$154,0)),"Not on roster"))</f>
        <v/>
      </c>
      <c r="G1736" s="28" t="str">
        <f aca="false">IF(OR(B1736="",C1736=""),"",F1736&amp;" | "&amp;C1736)</f>
        <v/>
      </c>
      <c r="H1736" s="27" t="str">
        <f aca="false">IF(G1736="","",IFERROR(INDEX(Levels!$C$5:$C$94,MATCH(G1736,Levels!$G$5:$G$94,0)),"Not this class's skill"))</f>
        <v/>
      </c>
    </row>
    <row r="1737" customFormat="false" ht="15" hidden="false" customHeight="false" outlineLevel="0" collapsed="false">
      <c r="A1737" s="23"/>
      <c r="B1737" s="22"/>
      <c r="C1737" s="22"/>
      <c r="D1737" s="22"/>
      <c r="E1737" s="22"/>
      <c r="F1737" s="27" t="str">
        <f aca="false">IF(B1737="","",IFERROR(INDEX(Roster!$B$5:$B$154,MATCH(B1737,Roster!$A$5:$A$154,0)),"Not on roster"))</f>
        <v/>
      </c>
      <c r="G1737" s="28" t="str">
        <f aca="false">IF(OR(B1737="",C1737=""),"",F1737&amp;" | "&amp;C1737)</f>
        <v/>
      </c>
      <c r="H1737" s="27" t="str">
        <f aca="false">IF(G1737="","",IFERROR(INDEX(Levels!$C$5:$C$94,MATCH(G1737,Levels!$G$5:$G$94,0)),"Not this class's skill"))</f>
        <v/>
      </c>
    </row>
    <row r="1738" customFormat="false" ht="15" hidden="false" customHeight="false" outlineLevel="0" collapsed="false">
      <c r="A1738" s="23"/>
      <c r="B1738" s="22"/>
      <c r="C1738" s="22"/>
      <c r="D1738" s="22"/>
      <c r="E1738" s="22"/>
      <c r="F1738" s="27" t="str">
        <f aca="false">IF(B1738="","",IFERROR(INDEX(Roster!$B$5:$B$154,MATCH(B1738,Roster!$A$5:$A$154,0)),"Not on roster"))</f>
        <v/>
      </c>
      <c r="G1738" s="28" t="str">
        <f aca="false">IF(OR(B1738="",C1738=""),"",F1738&amp;" | "&amp;C1738)</f>
        <v/>
      </c>
      <c r="H1738" s="27" t="str">
        <f aca="false">IF(G1738="","",IFERROR(INDEX(Levels!$C$5:$C$94,MATCH(G1738,Levels!$G$5:$G$94,0)),"Not this class's skill"))</f>
        <v/>
      </c>
    </row>
    <row r="1739" customFormat="false" ht="15" hidden="false" customHeight="false" outlineLevel="0" collapsed="false">
      <c r="A1739" s="23"/>
      <c r="B1739" s="22"/>
      <c r="C1739" s="22"/>
      <c r="D1739" s="22"/>
      <c r="E1739" s="22"/>
      <c r="F1739" s="27" t="str">
        <f aca="false">IF(B1739="","",IFERROR(INDEX(Roster!$B$5:$B$154,MATCH(B1739,Roster!$A$5:$A$154,0)),"Not on roster"))</f>
        <v/>
      </c>
      <c r="G1739" s="28" t="str">
        <f aca="false">IF(OR(B1739="",C1739=""),"",F1739&amp;" | "&amp;C1739)</f>
        <v/>
      </c>
      <c r="H1739" s="27" t="str">
        <f aca="false">IF(G1739="","",IFERROR(INDEX(Levels!$C$5:$C$94,MATCH(G1739,Levels!$G$5:$G$94,0)),"Not this class's skill"))</f>
        <v/>
      </c>
    </row>
    <row r="1740" customFormat="false" ht="15" hidden="false" customHeight="false" outlineLevel="0" collapsed="false">
      <c r="A1740" s="23"/>
      <c r="B1740" s="22"/>
      <c r="C1740" s="22"/>
      <c r="D1740" s="22"/>
      <c r="E1740" s="22"/>
      <c r="F1740" s="27" t="str">
        <f aca="false">IF(B1740="","",IFERROR(INDEX(Roster!$B$5:$B$154,MATCH(B1740,Roster!$A$5:$A$154,0)),"Not on roster"))</f>
        <v/>
      </c>
      <c r="G1740" s="28" t="str">
        <f aca="false">IF(OR(B1740="",C1740=""),"",F1740&amp;" | "&amp;C1740)</f>
        <v/>
      </c>
      <c r="H1740" s="27" t="str">
        <f aca="false">IF(G1740="","",IFERROR(INDEX(Levels!$C$5:$C$94,MATCH(G1740,Levels!$G$5:$G$94,0)),"Not this class's skill"))</f>
        <v/>
      </c>
    </row>
    <row r="1741" customFormat="false" ht="15" hidden="false" customHeight="false" outlineLevel="0" collapsed="false">
      <c r="A1741" s="23"/>
      <c r="B1741" s="22"/>
      <c r="C1741" s="22"/>
      <c r="D1741" s="22"/>
      <c r="E1741" s="22"/>
      <c r="F1741" s="27" t="str">
        <f aca="false">IF(B1741="","",IFERROR(INDEX(Roster!$B$5:$B$154,MATCH(B1741,Roster!$A$5:$A$154,0)),"Not on roster"))</f>
        <v/>
      </c>
      <c r="G1741" s="28" t="str">
        <f aca="false">IF(OR(B1741="",C1741=""),"",F1741&amp;" | "&amp;C1741)</f>
        <v/>
      </c>
      <c r="H1741" s="27" t="str">
        <f aca="false">IF(G1741="","",IFERROR(INDEX(Levels!$C$5:$C$94,MATCH(G1741,Levels!$G$5:$G$94,0)),"Not this class's skill"))</f>
        <v/>
      </c>
    </row>
    <row r="1742" customFormat="false" ht="15" hidden="false" customHeight="false" outlineLevel="0" collapsed="false">
      <c r="A1742" s="23"/>
      <c r="B1742" s="22"/>
      <c r="C1742" s="22"/>
      <c r="D1742" s="22"/>
      <c r="E1742" s="22"/>
      <c r="F1742" s="27" t="str">
        <f aca="false">IF(B1742="","",IFERROR(INDEX(Roster!$B$5:$B$154,MATCH(B1742,Roster!$A$5:$A$154,0)),"Not on roster"))</f>
        <v/>
      </c>
      <c r="G1742" s="28" t="str">
        <f aca="false">IF(OR(B1742="",C1742=""),"",F1742&amp;" | "&amp;C1742)</f>
        <v/>
      </c>
      <c r="H1742" s="27" t="str">
        <f aca="false">IF(G1742="","",IFERROR(INDEX(Levels!$C$5:$C$94,MATCH(G1742,Levels!$G$5:$G$94,0)),"Not this class's skill"))</f>
        <v/>
      </c>
    </row>
    <row r="1743" customFormat="false" ht="15" hidden="false" customHeight="false" outlineLevel="0" collapsed="false">
      <c r="A1743" s="23"/>
      <c r="B1743" s="22"/>
      <c r="C1743" s="22"/>
      <c r="D1743" s="22"/>
      <c r="E1743" s="22"/>
      <c r="F1743" s="27" t="str">
        <f aca="false">IF(B1743="","",IFERROR(INDEX(Roster!$B$5:$B$154,MATCH(B1743,Roster!$A$5:$A$154,0)),"Not on roster"))</f>
        <v/>
      </c>
      <c r="G1743" s="28" t="str">
        <f aca="false">IF(OR(B1743="",C1743=""),"",F1743&amp;" | "&amp;C1743)</f>
        <v/>
      </c>
      <c r="H1743" s="27" t="str">
        <f aca="false">IF(G1743="","",IFERROR(INDEX(Levels!$C$5:$C$94,MATCH(G1743,Levels!$G$5:$G$94,0)),"Not this class's skill"))</f>
        <v/>
      </c>
    </row>
    <row r="1744" customFormat="false" ht="15" hidden="false" customHeight="false" outlineLevel="0" collapsed="false">
      <c r="A1744" s="23"/>
      <c r="B1744" s="22"/>
      <c r="C1744" s="22"/>
      <c r="D1744" s="22"/>
      <c r="E1744" s="22"/>
      <c r="F1744" s="27" t="str">
        <f aca="false">IF(B1744="","",IFERROR(INDEX(Roster!$B$5:$B$154,MATCH(B1744,Roster!$A$5:$A$154,0)),"Not on roster"))</f>
        <v/>
      </c>
      <c r="G1744" s="28" t="str">
        <f aca="false">IF(OR(B1744="",C1744=""),"",F1744&amp;" | "&amp;C1744)</f>
        <v/>
      </c>
      <c r="H1744" s="27" t="str">
        <f aca="false">IF(G1744="","",IFERROR(INDEX(Levels!$C$5:$C$94,MATCH(G1744,Levels!$G$5:$G$94,0)),"Not this class's skill"))</f>
        <v/>
      </c>
    </row>
    <row r="1745" customFormat="false" ht="15" hidden="false" customHeight="false" outlineLevel="0" collapsed="false">
      <c r="A1745" s="23"/>
      <c r="B1745" s="22"/>
      <c r="C1745" s="22"/>
      <c r="D1745" s="22"/>
      <c r="E1745" s="22"/>
      <c r="F1745" s="27" t="str">
        <f aca="false">IF(B1745="","",IFERROR(INDEX(Roster!$B$5:$B$154,MATCH(B1745,Roster!$A$5:$A$154,0)),"Not on roster"))</f>
        <v/>
      </c>
      <c r="G1745" s="28" t="str">
        <f aca="false">IF(OR(B1745="",C1745=""),"",F1745&amp;" | "&amp;C1745)</f>
        <v/>
      </c>
      <c r="H1745" s="27" t="str">
        <f aca="false">IF(G1745="","",IFERROR(INDEX(Levels!$C$5:$C$94,MATCH(G1745,Levels!$G$5:$G$94,0)),"Not this class's skill"))</f>
        <v/>
      </c>
    </row>
    <row r="1746" customFormat="false" ht="15" hidden="false" customHeight="false" outlineLevel="0" collapsed="false">
      <c r="A1746" s="23"/>
      <c r="B1746" s="22"/>
      <c r="C1746" s="22"/>
      <c r="D1746" s="22"/>
      <c r="E1746" s="22"/>
      <c r="F1746" s="27" t="str">
        <f aca="false">IF(B1746="","",IFERROR(INDEX(Roster!$B$5:$B$154,MATCH(B1746,Roster!$A$5:$A$154,0)),"Not on roster"))</f>
        <v/>
      </c>
      <c r="G1746" s="28" t="str">
        <f aca="false">IF(OR(B1746="",C1746=""),"",F1746&amp;" | "&amp;C1746)</f>
        <v/>
      </c>
      <c r="H1746" s="27" t="str">
        <f aca="false">IF(G1746="","",IFERROR(INDEX(Levels!$C$5:$C$94,MATCH(G1746,Levels!$G$5:$G$94,0)),"Not this class's skill"))</f>
        <v/>
      </c>
    </row>
    <row r="1747" customFormat="false" ht="15" hidden="false" customHeight="false" outlineLevel="0" collapsed="false">
      <c r="A1747" s="23"/>
      <c r="B1747" s="22"/>
      <c r="C1747" s="22"/>
      <c r="D1747" s="22"/>
      <c r="E1747" s="22"/>
      <c r="F1747" s="27" t="str">
        <f aca="false">IF(B1747="","",IFERROR(INDEX(Roster!$B$5:$B$154,MATCH(B1747,Roster!$A$5:$A$154,0)),"Not on roster"))</f>
        <v/>
      </c>
      <c r="G1747" s="28" t="str">
        <f aca="false">IF(OR(B1747="",C1747=""),"",F1747&amp;" | "&amp;C1747)</f>
        <v/>
      </c>
      <c r="H1747" s="27" t="str">
        <f aca="false">IF(G1747="","",IFERROR(INDEX(Levels!$C$5:$C$94,MATCH(G1747,Levels!$G$5:$G$94,0)),"Not this class's skill"))</f>
        <v/>
      </c>
    </row>
    <row r="1748" customFormat="false" ht="15" hidden="false" customHeight="false" outlineLevel="0" collapsed="false">
      <c r="A1748" s="23"/>
      <c r="B1748" s="22"/>
      <c r="C1748" s="22"/>
      <c r="D1748" s="22"/>
      <c r="E1748" s="22"/>
      <c r="F1748" s="27" t="str">
        <f aca="false">IF(B1748="","",IFERROR(INDEX(Roster!$B$5:$B$154,MATCH(B1748,Roster!$A$5:$A$154,0)),"Not on roster"))</f>
        <v/>
      </c>
      <c r="G1748" s="28" t="str">
        <f aca="false">IF(OR(B1748="",C1748=""),"",F1748&amp;" | "&amp;C1748)</f>
        <v/>
      </c>
      <c r="H1748" s="27" t="str">
        <f aca="false">IF(G1748="","",IFERROR(INDEX(Levels!$C$5:$C$94,MATCH(G1748,Levels!$G$5:$G$94,0)),"Not this class's skill"))</f>
        <v/>
      </c>
    </row>
    <row r="1749" customFormat="false" ht="15" hidden="false" customHeight="false" outlineLevel="0" collapsed="false">
      <c r="A1749" s="23"/>
      <c r="B1749" s="22"/>
      <c r="C1749" s="22"/>
      <c r="D1749" s="22"/>
      <c r="E1749" s="22"/>
      <c r="F1749" s="27" t="str">
        <f aca="false">IF(B1749="","",IFERROR(INDEX(Roster!$B$5:$B$154,MATCH(B1749,Roster!$A$5:$A$154,0)),"Not on roster"))</f>
        <v/>
      </c>
      <c r="G1749" s="28" t="str">
        <f aca="false">IF(OR(B1749="",C1749=""),"",F1749&amp;" | "&amp;C1749)</f>
        <v/>
      </c>
      <c r="H1749" s="27" t="str">
        <f aca="false">IF(G1749="","",IFERROR(INDEX(Levels!$C$5:$C$94,MATCH(G1749,Levels!$G$5:$G$94,0)),"Not this class's skill"))</f>
        <v/>
      </c>
    </row>
    <row r="1750" customFormat="false" ht="15" hidden="false" customHeight="false" outlineLevel="0" collapsed="false">
      <c r="A1750" s="23"/>
      <c r="B1750" s="22"/>
      <c r="C1750" s="22"/>
      <c r="D1750" s="22"/>
      <c r="E1750" s="22"/>
      <c r="F1750" s="27" t="str">
        <f aca="false">IF(B1750="","",IFERROR(INDEX(Roster!$B$5:$B$154,MATCH(B1750,Roster!$A$5:$A$154,0)),"Not on roster"))</f>
        <v/>
      </c>
      <c r="G1750" s="28" t="str">
        <f aca="false">IF(OR(B1750="",C1750=""),"",F1750&amp;" | "&amp;C1750)</f>
        <v/>
      </c>
      <c r="H1750" s="27" t="str">
        <f aca="false">IF(G1750="","",IFERROR(INDEX(Levels!$C$5:$C$94,MATCH(G1750,Levels!$G$5:$G$94,0)),"Not this class's skill"))</f>
        <v/>
      </c>
    </row>
    <row r="1751" customFormat="false" ht="15" hidden="false" customHeight="false" outlineLevel="0" collapsed="false">
      <c r="A1751" s="23"/>
      <c r="B1751" s="22"/>
      <c r="C1751" s="22"/>
      <c r="D1751" s="22"/>
      <c r="E1751" s="22"/>
      <c r="F1751" s="27" t="str">
        <f aca="false">IF(B1751="","",IFERROR(INDEX(Roster!$B$5:$B$154,MATCH(B1751,Roster!$A$5:$A$154,0)),"Not on roster"))</f>
        <v/>
      </c>
      <c r="G1751" s="28" t="str">
        <f aca="false">IF(OR(B1751="",C1751=""),"",F1751&amp;" | "&amp;C1751)</f>
        <v/>
      </c>
      <c r="H1751" s="27" t="str">
        <f aca="false">IF(G1751="","",IFERROR(INDEX(Levels!$C$5:$C$94,MATCH(G1751,Levels!$G$5:$G$94,0)),"Not this class's skill"))</f>
        <v/>
      </c>
    </row>
    <row r="1752" customFormat="false" ht="15" hidden="false" customHeight="false" outlineLevel="0" collapsed="false">
      <c r="A1752" s="23"/>
      <c r="B1752" s="22"/>
      <c r="C1752" s="22"/>
      <c r="D1752" s="22"/>
      <c r="E1752" s="22"/>
      <c r="F1752" s="27" t="str">
        <f aca="false">IF(B1752="","",IFERROR(INDEX(Roster!$B$5:$B$154,MATCH(B1752,Roster!$A$5:$A$154,0)),"Not on roster"))</f>
        <v/>
      </c>
      <c r="G1752" s="28" t="str">
        <f aca="false">IF(OR(B1752="",C1752=""),"",F1752&amp;" | "&amp;C1752)</f>
        <v/>
      </c>
      <c r="H1752" s="27" t="str">
        <f aca="false">IF(G1752="","",IFERROR(INDEX(Levels!$C$5:$C$94,MATCH(G1752,Levels!$G$5:$G$94,0)),"Not this class's skill"))</f>
        <v/>
      </c>
    </row>
    <row r="1753" customFormat="false" ht="15" hidden="false" customHeight="false" outlineLevel="0" collapsed="false">
      <c r="A1753" s="23"/>
      <c r="B1753" s="22"/>
      <c r="C1753" s="22"/>
      <c r="D1753" s="22"/>
      <c r="E1753" s="22"/>
      <c r="F1753" s="27" t="str">
        <f aca="false">IF(B1753="","",IFERROR(INDEX(Roster!$B$5:$B$154,MATCH(B1753,Roster!$A$5:$A$154,0)),"Not on roster"))</f>
        <v/>
      </c>
      <c r="G1753" s="28" t="str">
        <f aca="false">IF(OR(B1753="",C1753=""),"",F1753&amp;" | "&amp;C1753)</f>
        <v/>
      </c>
      <c r="H1753" s="27" t="str">
        <f aca="false">IF(G1753="","",IFERROR(INDEX(Levels!$C$5:$C$94,MATCH(G1753,Levels!$G$5:$G$94,0)),"Not this class's skill"))</f>
        <v/>
      </c>
    </row>
    <row r="1754" customFormat="false" ht="15" hidden="false" customHeight="false" outlineLevel="0" collapsed="false">
      <c r="A1754" s="23"/>
      <c r="B1754" s="22"/>
      <c r="C1754" s="22"/>
      <c r="D1754" s="22"/>
      <c r="E1754" s="22"/>
      <c r="F1754" s="27" t="str">
        <f aca="false">IF(B1754="","",IFERROR(INDEX(Roster!$B$5:$B$154,MATCH(B1754,Roster!$A$5:$A$154,0)),"Not on roster"))</f>
        <v/>
      </c>
      <c r="G1754" s="28" t="str">
        <f aca="false">IF(OR(B1754="",C1754=""),"",F1754&amp;" | "&amp;C1754)</f>
        <v/>
      </c>
      <c r="H1754" s="27" t="str">
        <f aca="false">IF(G1754="","",IFERROR(INDEX(Levels!$C$5:$C$94,MATCH(G1754,Levels!$G$5:$G$94,0)),"Not this class's skill"))</f>
        <v/>
      </c>
    </row>
    <row r="1755" customFormat="false" ht="15" hidden="false" customHeight="false" outlineLevel="0" collapsed="false">
      <c r="A1755" s="23"/>
      <c r="B1755" s="22"/>
      <c r="C1755" s="22"/>
      <c r="D1755" s="22"/>
      <c r="E1755" s="22"/>
      <c r="F1755" s="27" t="str">
        <f aca="false">IF(B1755="","",IFERROR(INDEX(Roster!$B$5:$B$154,MATCH(B1755,Roster!$A$5:$A$154,0)),"Not on roster"))</f>
        <v/>
      </c>
      <c r="G1755" s="28" t="str">
        <f aca="false">IF(OR(B1755="",C1755=""),"",F1755&amp;" | "&amp;C1755)</f>
        <v/>
      </c>
      <c r="H1755" s="27" t="str">
        <f aca="false">IF(G1755="","",IFERROR(INDEX(Levels!$C$5:$C$94,MATCH(G1755,Levels!$G$5:$G$94,0)),"Not this class's skill"))</f>
        <v/>
      </c>
    </row>
    <row r="1756" customFormat="false" ht="15" hidden="false" customHeight="false" outlineLevel="0" collapsed="false">
      <c r="A1756" s="23"/>
      <c r="B1756" s="22"/>
      <c r="C1756" s="22"/>
      <c r="D1756" s="22"/>
      <c r="E1756" s="22"/>
      <c r="F1756" s="27" t="str">
        <f aca="false">IF(B1756="","",IFERROR(INDEX(Roster!$B$5:$B$154,MATCH(B1756,Roster!$A$5:$A$154,0)),"Not on roster"))</f>
        <v/>
      </c>
      <c r="G1756" s="28" t="str">
        <f aca="false">IF(OR(B1756="",C1756=""),"",F1756&amp;" | "&amp;C1756)</f>
        <v/>
      </c>
      <c r="H1756" s="27" t="str">
        <f aca="false">IF(G1756="","",IFERROR(INDEX(Levels!$C$5:$C$94,MATCH(G1756,Levels!$G$5:$G$94,0)),"Not this class's skill"))</f>
        <v/>
      </c>
    </row>
    <row r="1757" customFormat="false" ht="15" hidden="false" customHeight="false" outlineLevel="0" collapsed="false">
      <c r="A1757" s="23"/>
      <c r="B1757" s="22"/>
      <c r="C1757" s="22"/>
      <c r="D1757" s="22"/>
      <c r="E1757" s="22"/>
      <c r="F1757" s="27" t="str">
        <f aca="false">IF(B1757="","",IFERROR(INDEX(Roster!$B$5:$B$154,MATCH(B1757,Roster!$A$5:$A$154,0)),"Not on roster"))</f>
        <v/>
      </c>
      <c r="G1757" s="28" t="str">
        <f aca="false">IF(OR(B1757="",C1757=""),"",F1757&amp;" | "&amp;C1757)</f>
        <v/>
      </c>
      <c r="H1757" s="27" t="str">
        <f aca="false">IF(G1757="","",IFERROR(INDEX(Levels!$C$5:$C$94,MATCH(G1757,Levels!$G$5:$G$94,0)),"Not this class's skill"))</f>
        <v/>
      </c>
    </row>
    <row r="1758" customFormat="false" ht="15" hidden="false" customHeight="false" outlineLevel="0" collapsed="false">
      <c r="A1758" s="23"/>
      <c r="B1758" s="22"/>
      <c r="C1758" s="22"/>
      <c r="D1758" s="22"/>
      <c r="E1758" s="22"/>
      <c r="F1758" s="27" t="str">
        <f aca="false">IF(B1758="","",IFERROR(INDEX(Roster!$B$5:$B$154,MATCH(B1758,Roster!$A$5:$A$154,0)),"Not on roster"))</f>
        <v/>
      </c>
      <c r="G1758" s="28" t="str">
        <f aca="false">IF(OR(B1758="",C1758=""),"",F1758&amp;" | "&amp;C1758)</f>
        <v/>
      </c>
      <c r="H1758" s="27" t="str">
        <f aca="false">IF(G1758="","",IFERROR(INDEX(Levels!$C$5:$C$94,MATCH(G1758,Levels!$G$5:$G$94,0)),"Not this class's skill"))</f>
        <v/>
      </c>
    </row>
    <row r="1759" customFormat="false" ht="15" hidden="false" customHeight="false" outlineLevel="0" collapsed="false">
      <c r="A1759" s="23"/>
      <c r="B1759" s="22"/>
      <c r="C1759" s="22"/>
      <c r="D1759" s="22"/>
      <c r="E1759" s="22"/>
      <c r="F1759" s="27" t="str">
        <f aca="false">IF(B1759="","",IFERROR(INDEX(Roster!$B$5:$B$154,MATCH(B1759,Roster!$A$5:$A$154,0)),"Not on roster"))</f>
        <v/>
      </c>
      <c r="G1759" s="28" t="str">
        <f aca="false">IF(OR(B1759="",C1759=""),"",F1759&amp;" | "&amp;C1759)</f>
        <v/>
      </c>
      <c r="H1759" s="27" t="str">
        <f aca="false">IF(G1759="","",IFERROR(INDEX(Levels!$C$5:$C$94,MATCH(G1759,Levels!$G$5:$G$94,0)),"Not this class's skill"))</f>
        <v/>
      </c>
    </row>
    <row r="1760" customFormat="false" ht="15" hidden="false" customHeight="false" outlineLevel="0" collapsed="false">
      <c r="A1760" s="23"/>
      <c r="B1760" s="22"/>
      <c r="C1760" s="22"/>
      <c r="D1760" s="22"/>
      <c r="E1760" s="22"/>
      <c r="F1760" s="27" t="str">
        <f aca="false">IF(B1760="","",IFERROR(INDEX(Roster!$B$5:$B$154,MATCH(B1760,Roster!$A$5:$A$154,0)),"Not on roster"))</f>
        <v/>
      </c>
      <c r="G1760" s="28" t="str">
        <f aca="false">IF(OR(B1760="",C1760=""),"",F1760&amp;" | "&amp;C1760)</f>
        <v/>
      </c>
      <c r="H1760" s="27" t="str">
        <f aca="false">IF(G1760="","",IFERROR(INDEX(Levels!$C$5:$C$94,MATCH(G1760,Levels!$G$5:$G$94,0)),"Not this class's skill"))</f>
        <v/>
      </c>
    </row>
    <row r="1761" customFormat="false" ht="15" hidden="false" customHeight="false" outlineLevel="0" collapsed="false">
      <c r="A1761" s="23"/>
      <c r="B1761" s="22"/>
      <c r="C1761" s="22"/>
      <c r="D1761" s="22"/>
      <c r="E1761" s="22"/>
      <c r="F1761" s="27" t="str">
        <f aca="false">IF(B1761="","",IFERROR(INDEX(Roster!$B$5:$B$154,MATCH(B1761,Roster!$A$5:$A$154,0)),"Not on roster"))</f>
        <v/>
      </c>
      <c r="G1761" s="28" t="str">
        <f aca="false">IF(OR(B1761="",C1761=""),"",F1761&amp;" | "&amp;C1761)</f>
        <v/>
      </c>
      <c r="H1761" s="27" t="str">
        <f aca="false">IF(G1761="","",IFERROR(INDEX(Levels!$C$5:$C$94,MATCH(G1761,Levels!$G$5:$G$94,0)),"Not this class's skill"))</f>
        <v/>
      </c>
    </row>
    <row r="1762" customFormat="false" ht="15" hidden="false" customHeight="false" outlineLevel="0" collapsed="false">
      <c r="A1762" s="23"/>
      <c r="B1762" s="22"/>
      <c r="C1762" s="22"/>
      <c r="D1762" s="22"/>
      <c r="E1762" s="22"/>
      <c r="F1762" s="27" t="str">
        <f aca="false">IF(B1762="","",IFERROR(INDEX(Roster!$B$5:$B$154,MATCH(B1762,Roster!$A$5:$A$154,0)),"Not on roster"))</f>
        <v/>
      </c>
      <c r="G1762" s="28" t="str">
        <f aca="false">IF(OR(B1762="",C1762=""),"",F1762&amp;" | "&amp;C1762)</f>
        <v/>
      </c>
      <c r="H1762" s="27" t="str">
        <f aca="false">IF(G1762="","",IFERROR(INDEX(Levels!$C$5:$C$94,MATCH(G1762,Levels!$G$5:$G$94,0)),"Not this class's skill"))</f>
        <v/>
      </c>
    </row>
    <row r="1763" customFormat="false" ht="15" hidden="false" customHeight="false" outlineLevel="0" collapsed="false">
      <c r="A1763" s="23"/>
      <c r="B1763" s="22"/>
      <c r="C1763" s="22"/>
      <c r="D1763" s="22"/>
      <c r="E1763" s="22"/>
      <c r="F1763" s="27" t="str">
        <f aca="false">IF(B1763="","",IFERROR(INDEX(Roster!$B$5:$B$154,MATCH(B1763,Roster!$A$5:$A$154,0)),"Not on roster"))</f>
        <v/>
      </c>
      <c r="G1763" s="28" t="str">
        <f aca="false">IF(OR(B1763="",C1763=""),"",F1763&amp;" | "&amp;C1763)</f>
        <v/>
      </c>
      <c r="H1763" s="27" t="str">
        <f aca="false">IF(G1763="","",IFERROR(INDEX(Levels!$C$5:$C$94,MATCH(G1763,Levels!$G$5:$G$94,0)),"Not this class's skill"))</f>
        <v/>
      </c>
    </row>
    <row r="1764" customFormat="false" ht="15" hidden="false" customHeight="false" outlineLevel="0" collapsed="false">
      <c r="A1764" s="23"/>
      <c r="B1764" s="22"/>
      <c r="C1764" s="22"/>
      <c r="D1764" s="22"/>
      <c r="E1764" s="22"/>
      <c r="F1764" s="27" t="str">
        <f aca="false">IF(B1764="","",IFERROR(INDEX(Roster!$B$5:$B$154,MATCH(B1764,Roster!$A$5:$A$154,0)),"Not on roster"))</f>
        <v/>
      </c>
      <c r="G1764" s="28" t="str">
        <f aca="false">IF(OR(B1764="",C1764=""),"",F1764&amp;" | "&amp;C1764)</f>
        <v/>
      </c>
      <c r="H1764" s="27" t="str">
        <f aca="false">IF(G1764="","",IFERROR(INDEX(Levels!$C$5:$C$94,MATCH(G1764,Levels!$G$5:$G$94,0)),"Not this class's skill"))</f>
        <v/>
      </c>
    </row>
    <row r="1765" customFormat="false" ht="15" hidden="false" customHeight="false" outlineLevel="0" collapsed="false">
      <c r="A1765" s="23"/>
      <c r="B1765" s="22"/>
      <c r="C1765" s="22"/>
      <c r="D1765" s="22"/>
      <c r="E1765" s="22"/>
      <c r="F1765" s="27" t="str">
        <f aca="false">IF(B1765="","",IFERROR(INDEX(Roster!$B$5:$B$154,MATCH(B1765,Roster!$A$5:$A$154,0)),"Not on roster"))</f>
        <v/>
      </c>
      <c r="G1765" s="28" t="str">
        <f aca="false">IF(OR(B1765="",C1765=""),"",F1765&amp;" | "&amp;C1765)</f>
        <v/>
      </c>
      <c r="H1765" s="27" t="str">
        <f aca="false">IF(G1765="","",IFERROR(INDEX(Levels!$C$5:$C$94,MATCH(G1765,Levels!$G$5:$G$94,0)),"Not this class's skill"))</f>
        <v/>
      </c>
    </row>
    <row r="1766" customFormat="false" ht="15" hidden="false" customHeight="false" outlineLevel="0" collapsed="false">
      <c r="A1766" s="23"/>
      <c r="B1766" s="22"/>
      <c r="C1766" s="22"/>
      <c r="D1766" s="22"/>
      <c r="E1766" s="22"/>
      <c r="F1766" s="27" t="str">
        <f aca="false">IF(B1766="","",IFERROR(INDEX(Roster!$B$5:$B$154,MATCH(B1766,Roster!$A$5:$A$154,0)),"Not on roster"))</f>
        <v/>
      </c>
      <c r="G1766" s="28" t="str">
        <f aca="false">IF(OR(B1766="",C1766=""),"",F1766&amp;" | "&amp;C1766)</f>
        <v/>
      </c>
      <c r="H1766" s="27" t="str">
        <f aca="false">IF(G1766="","",IFERROR(INDEX(Levels!$C$5:$C$94,MATCH(G1766,Levels!$G$5:$G$94,0)),"Not this class's skill"))</f>
        <v/>
      </c>
    </row>
    <row r="1767" customFormat="false" ht="15" hidden="false" customHeight="false" outlineLevel="0" collapsed="false">
      <c r="A1767" s="23"/>
      <c r="B1767" s="22"/>
      <c r="C1767" s="22"/>
      <c r="D1767" s="22"/>
      <c r="E1767" s="22"/>
      <c r="F1767" s="27" t="str">
        <f aca="false">IF(B1767="","",IFERROR(INDEX(Roster!$B$5:$B$154,MATCH(B1767,Roster!$A$5:$A$154,0)),"Not on roster"))</f>
        <v/>
      </c>
      <c r="G1767" s="28" t="str">
        <f aca="false">IF(OR(B1767="",C1767=""),"",F1767&amp;" | "&amp;C1767)</f>
        <v/>
      </c>
      <c r="H1767" s="27" t="str">
        <f aca="false">IF(G1767="","",IFERROR(INDEX(Levels!$C$5:$C$94,MATCH(G1767,Levels!$G$5:$G$94,0)),"Not this class's skill"))</f>
        <v/>
      </c>
    </row>
    <row r="1768" customFormat="false" ht="15" hidden="false" customHeight="false" outlineLevel="0" collapsed="false">
      <c r="A1768" s="23"/>
      <c r="B1768" s="22"/>
      <c r="C1768" s="22"/>
      <c r="D1768" s="22"/>
      <c r="E1768" s="22"/>
      <c r="F1768" s="27" t="str">
        <f aca="false">IF(B1768="","",IFERROR(INDEX(Roster!$B$5:$B$154,MATCH(B1768,Roster!$A$5:$A$154,0)),"Not on roster"))</f>
        <v/>
      </c>
      <c r="G1768" s="28" t="str">
        <f aca="false">IF(OR(B1768="",C1768=""),"",F1768&amp;" | "&amp;C1768)</f>
        <v/>
      </c>
      <c r="H1768" s="27" t="str">
        <f aca="false">IF(G1768="","",IFERROR(INDEX(Levels!$C$5:$C$94,MATCH(G1768,Levels!$G$5:$G$94,0)),"Not this class's skill"))</f>
        <v/>
      </c>
    </row>
    <row r="1769" customFormat="false" ht="15" hidden="false" customHeight="false" outlineLevel="0" collapsed="false">
      <c r="A1769" s="23"/>
      <c r="B1769" s="22"/>
      <c r="C1769" s="22"/>
      <c r="D1769" s="22"/>
      <c r="E1769" s="22"/>
      <c r="F1769" s="27" t="str">
        <f aca="false">IF(B1769="","",IFERROR(INDEX(Roster!$B$5:$B$154,MATCH(B1769,Roster!$A$5:$A$154,0)),"Not on roster"))</f>
        <v/>
      </c>
      <c r="G1769" s="28" t="str">
        <f aca="false">IF(OR(B1769="",C1769=""),"",F1769&amp;" | "&amp;C1769)</f>
        <v/>
      </c>
      <c r="H1769" s="27" t="str">
        <f aca="false">IF(G1769="","",IFERROR(INDEX(Levels!$C$5:$C$94,MATCH(G1769,Levels!$G$5:$G$94,0)),"Not this class's skill"))</f>
        <v/>
      </c>
    </row>
    <row r="1770" customFormat="false" ht="15" hidden="false" customHeight="false" outlineLevel="0" collapsed="false">
      <c r="A1770" s="23"/>
      <c r="B1770" s="22"/>
      <c r="C1770" s="22"/>
      <c r="D1770" s="22"/>
      <c r="E1770" s="22"/>
      <c r="F1770" s="27" t="str">
        <f aca="false">IF(B1770="","",IFERROR(INDEX(Roster!$B$5:$B$154,MATCH(B1770,Roster!$A$5:$A$154,0)),"Not on roster"))</f>
        <v/>
      </c>
      <c r="G1770" s="28" t="str">
        <f aca="false">IF(OR(B1770="",C1770=""),"",F1770&amp;" | "&amp;C1770)</f>
        <v/>
      </c>
      <c r="H1770" s="27" t="str">
        <f aca="false">IF(G1770="","",IFERROR(INDEX(Levels!$C$5:$C$94,MATCH(G1770,Levels!$G$5:$G$94,0)),"Not this class's skill"))</f>
        <v/>
      </c>
    </row>
    <row r="1771" customFormat="false" ht="15" hidden="false" customHeight="false" outlineLevel="0" collapsed="false">
      <c r="A1771" s="23"/>
      <c r="B1771" s="22"/>
      <c r="C1771" s="22"/>
      <c r="D1771" s="22"/>
      <c r="E1771" s="22"/>
      <c r="F1771" s="27" t="str">
        <f aca="false">IF(B1771="","",IFERROR(INDEX(Roster!$B$5:$B$154,MATCH(B1771,Roster!$A$5:$A$154,0)),"Not on roster"))</f>
        <v/>
      </c>
      <c r="G1771" s="28" t="str">
        <f aca="false">IF(OR(B1771="",C1771=""),"",F1771&amp;" | "&amp;C1771)</f>
        <v/>
      </c>
      <c r="H1771" s="27" t="str">
        <f aca="false">IF(G1771="","",IFERROR(INDEX(Levels!$C$5:$C$94,MATCH(G1771,Levels!$G$5:$G$94,0)),"Not this class's skill"))</f>
        <v/>
      </c>
    </row>
    <row r="1772" customFormat="false" ht="15" hidden="false" customHeight="false" outlineLevel="0" collapsed="false">
      <c r="A1772" s="23"/>
      <c r="B1772" s="22"/>
      <c r="C1772" s="22"/>
      <c r="D1772" s="22"/>
      <c r="E1772" s="22"/>
      <c r="F1772" s="27" t="str">
        <f aca="false">IF(B1772="","",IFERROR(INDEX(Roster!$B$5:$B$154,MATCH(B1772,Roster!$A$5:$A$154,0)),"Not on roster"))</f>
        <v/>
      </c>
      <c r="G1772" s="28" t="str">
        <f aca="false">IF(OR(B1772="",C1772=""),"",F1772&amp;" | "&amp;C1772)</f>
        <v/>
      </c>
      <c r="H1772" s="27" t="str">
        <f aca="false">IF(G1772="","",IFERROR(INDEX(Levels!$C$5:$C$94,MATCH(G1772,Levels!$G$5:$G$94,0)),"Not this class's skill"))</f>
        <v/>
      </c>
    </row>
    <row r="1773" customFormat="false" ht="15" hidden="false" customHeight="false" outlineLevel="0" collapsed="false">
      <c r="A1773" s="23"/>
      <c r="B1773" s="22"/>
      <c r="C1773" s="22"/>
      <c r="D1773" s="22"/>
      <c r="E1773" s="22"/>
      <c r="F1773" s="27" t="str">
        <f aca="false">IF(B1773="","",IFERROR(INDEX(Roster!$B$5:$B$154,MATCH(B1773,Roster!$A$5:$A$154,0)),"Not on roster"))</f>
        <v/>
      </c>
      <c r="G1773" s="28" t="str">
        <f aca="false">IF(OR(B1773="",C1773=""),"",F1773&amp;" | "&amp;C1773)</f>
        <v/>
      </c>
      <c r="H1773" s="27" t="str">
        <f aca="false">IF(G1773="","",IFERROR(INDEX(Levels!$C$5:$C$94,MATCH(G1773,Levels!$G$5:$G$94,0)),"Not this class's skill"))</f>
        <v/>
      </c>
    </row>
    <row r="1774" customFormat="false" ht="15" hidden="false" customHeight="false" outlineLevel="0" collapsed="false">
      <c r="A1774" s="23"/>
      <c r="B1774" s="22"/>
      <c r="C1774" s="22"/>
      <c r="D1774" s="22"/>
      <c r="E1774" s="22"/>
      <c r="F1774" s="27" t="str">
        <f aca="false">IF(B1774="","",IFERROR(INDEX(Roster!$B$5:$B$154,MATCH(B1774,Roster!$A$5:$A$154,0)),"Not on roster"))</f>
        <v/>
      </c>
      <c r="G1774" s="28" t="str">
        <f aca="false">IF(OR(B1774="",C1774=""),"",F1774&amp;" | "&amp;C1774)</f>
        <v/>
      </c>
      <c r="H1774" s="27" t="str">
        <f aca="false">IF(G1774="","",IFERROR(INDEX(Levels!$C$5:$C$94,MATCH(G1774,Levels!$G$5:$G$94,0)),"Not this class's skill"))</f>
        <v/>
      </c>
    </row>
    <row r="1775" customFormat="false" ht="15" hidden="false" customHeight="false" outlineLevel="0" collapsed="false">
      <c r="A1775" s="23"/>
      <c r="B1775" s="22"/>
      <c r="C1775" s="22"/>
      <c r="D1775" s="22"/>
      <c r="E1775" s="22"/>
      <c r="F1775" s="27" t="str">
        <f aca="false">IF(B1775="","",IFERROR(INDEX(Roster!$B$5:$B$154,MATCH(B1775,Roster!$A$5:$A$154,0)),"Not on roster"))</f>
        <v/>
      </c>
      <c r="G1775" s="28" t="str">
        <f aca="false">IF(OR(B1775="",C1775=""),"",F1775&amp;" | "&amp;C1775)</f>
        <v/>
      </c>
      <c r="H1775" s="27" t="str">
        <f aca="false">IF(G1775="","",IFERROR(INDEX(Levels!$C$5:$C$94,MATCH(G1775,Levels!$G$5:$G$94,0)),"Not this class's skill"))</f>
        <v/>
      </c>
    </row>
    <row r="1776" customFormat="false" ht="15" hidden="false" customHeight="false" outlineLevel="0" collapsed="false">
      <c r="A1776" s="23"/>
      <c r="B1776" s="22"/>
      <c r="C1776" s="22"/>
      <c r="D1776" s="22"/>
      <c r="E1776" s="22"/>
      <c r="F1776" s="27" t="str">
        <f aca="false">IF(B1776="","",IFERROR(INDEX(Roster!$B$5:$B$154,MATCH(B1776,Roster!$A$5:$A$154,0)),"Not on roster"))</f>
        <v/>
      </c>
      <c r="G1776" s="28" t="str">
        <f aca="false">IF(OR(B1776="",C1776=""),"",F1776&amp;" | "&amp;C1776)</f>
        <v/>
      </c>
      <c r="H1776" s="27" t="str">
        <f aca="false">IF(G1776="","",IFERROR(INDEX(Levels!$C$5:$C$94,MATCH(G1776,Levels!$G$5:$G$94,0)),"Not this class's skill"))</f>
        <v/>
      </c>
    </row>
    <row r="1777" customFormat="false" ht="15" hidden="false" customHeight="false" outlineLevel="0" collapsed="false">
      <c r="A1777" s="23"/>
      <c r="B1777" s="22"/>
      <c r="C1777" s="22"/>
      <c r="D1777" s="22"/>
      <c r="E1777" s="22"/>
      <c r="F1777" s="27" t="str">
        <f aca="false">IF(B1777="","",IFERROR(INDEX(Roster!$B$5:$B$154,MATCH(B1777,Roster!$A$5:$A$154,0)),"Not on roster"))</f>
        <v/>
      </c>
      <c r="G1777" s="28" t="str">
        <f aca="false">IF(OR(B1777="",C1777=""),"",F1777&amp;" | "&amp;C1777)</f>
        <v/>
      </c>
      <c r="H1777" s="27" t="str">
        <f aca="false">IF(G1777="","",IFERROR(INDEX(Levels!$C$5:$C$94,MATCH(G1777,Levels!$G$5:$G$94,0)),"Not this class's skill"))</f>
        <v/>
      </c>
    </row>
    <row r="1778" customFormat="false" ht="15" hidden="false" customHeight="false" outlineLevel="0" collapsed="false">
      <c r="A1778" s="23"/>
      <c r="B1778" s="22"/>
      <c r="C1778" s="22"/>
      <c r="D1778" s="22"/>
      <c r="E1778" s="22"/>
      <c r="F1778" s="27" t="str">
        <f aca="false">IF(B1778="","",IFERROR(INDEX(Roster!$B$5:$B$154,MATCH(B1778,Roster!$A$5:$A$154,0)),"Not on roster"))</f>
        <v/>
      </c>
      <c r="G1778" s="28" t="str">
        <f aca="false">IF(OR(B1778="",C1778=""),"",F1778&amp;" | "&amp;C1778)</f>
        <v/>
      </c>
      <c r="H1778" s="27" t="str">
        <f aca="false">IF(G1778="","",IFERROR(INDEX(Levels!$C$5:$C$94,MATCH(G1778,Levels!$G$5:$G$94,0)),"Not this class's skill"))</f>
        <v/>
      </c>
    </row>
    <row r="1779" customFormat="false" ht="15" hidden="false" customHeight="false" outlineLevel="0" collapsed="false">
      <c r="A1779" s="23"/>
      <c r="B1779" s="22"/>
      <c r="C1779" s="22"/>
      <c r="D1779" s="22"/>
      <c r="E1779" s="22"/>
      <c r="F1779" s="27" t="str">
        <f aca="false">IF(B1779="","",IFERROR(INDEX(Roster!$B$5:$B$154,MATCH(B1779,Roster!$A$5:$A$154,0)),"Not on roster"))</f>
        <v/>
      </c>
      <c r="G1779" s="28" t="str">
        <f aca="false">IF(OR(B1779="",C1779=""),"",F1779&amp;" | "&amp;C1779)</f>
        <v/>
      </c>
      <c r="H1779" s="27" t="str">
        <f aca="false">IF(G1779="","",IFERROR(INDEX(Levels!$C$5:$C$94,MATCH(G1779,Levels!$G$5:$G$94,0)),"Not this class's skill"))</f>
        <v/>
      </c>
    </row>
    <row r="1780" customFormat="false" ht="15" hidden="false" customHeight="false" outlineLevel="0" collapsed="false">
      <c r="A1780" s="23"/>
      <c r="B1780" s="22"/>
      <c r="C1780" s="22"/>
      <c r="D1780" s="22"/>
      <c r="E1780" s="22"/>
      <c r="F1780" s="27" t="str">
        <f aca="false">IF(B1780="","",IFERROR(INDEX(Roster!$B$5:$B$154,MATCH(B1780,Roster!$A$5:$A$154,0)),"Not on roster"))</f>
        <v/>
      </c>
      <c r="G1780" s="28" t="str">
        <f aca="false">IF(OR(B1780="",C1780=""),"",F1780&amp;" | "&amp;C1780)</f>
        <v/>
      </c>
      <c r="H1780" s="27" t="str">
        <f aca="false">IF(G1780="","",IFERROR(INDEX(Levels!$C$5:$C$94,MATCH(G1780,Levels!$G$5:$G$94,0)),"Not this class's skill"))</f>
        <v/>
      </c>
    </row>
    <row r="1781" customFormat="false" ht="15" hidden="false" customHeight="false" outlineLevel="0" collapsed="false">
      <c r="A1781" s="23"/>
      <c r="B1781" s="22"/>
      <c r="C1781" s="22"/>
      <c r="D1781" s="22"/>
      <c r="E1781" s="22"/>
      <c r="F1781" s="27" t="str">
        <f aca="false">IF(B1781="","",IFERROR(INDEX(Roster!$B$5:$B$154,MATCH(B1781,Roster!$A$5:$A$154,0)),"Not on roster"))</f>
        <v/>
      </c>
      <c r="G1781" s="28" t="str">
        <f aca="false">IF(OR(B1781="",C1781=""),"",F1781&amp;" | "&amp;C1781)</f>
        <v/>
      </c>
      <c r="H1781" s="27" t="str">
        <f aca="false">IF(G1781="","",IFERROR(INDEX(Levels!$C$5:$C$94,MATCH(G1781,Levels!$G$5:$G$94,0)),"Not this class's skill"))</f>
        <v/>
      </c>
    </row>
    <row r="1782" customFormat="false" ht="15" hidden="false" customHeight="false" outlineLevel="0" collapsed="false">
      <c r="A1782" s="23"/>
      <c r="B1782" s="22"/>
      <c r="C1782" s="22"/>
      <c r="D1782" s="22"/>
      <c r="E1782" s="22"/>
      <c r="F1782" s="27" t="str">
        <f aca="false">IF(B1782="","",IFERROR(INDEX(Roster!$B$5:$B$154,MATCH(B1782,Roster!$A$5:$A$154,0)),"Not on roster"))</f>
        <v/>
      </c>
      <c r="G1782" s="28" t="str">
        <f aca="false">IF(OR(B1782="",C1782=""),"",F1782&amp;" | "&amp;C1782)</f>
        <v/>
      </c>
      <c r="H1782" s="27" t="str">
        <f aca="false">IF(G1782="","",IFERROR(INDEX(Levels!$C$5:$C$94,MATCH(G1782,Levels!$G$5:$G$94,0)),"Not this class's skill"))</f>
        <v/>
      </c>
    </row>
    <row r="1783" customFormat="false" ht="15" hidden="false" customHeight="false" outlineLevel="0" collapsed="false">
      <c r="A1783" s="23"/>
      <c r="B1783" s="22"/>
      <c r="C1783" s="22"/>
      <c r="D1783" s="22"/>
      <c r="E1783" s="22"/>
      <c r="F1783" s="27" t="str">
        <f aca="false">IF(B1783="","",IFERROR(INDEX(Roster!$B$5:$B$154,MATCH(B1783,Roster!$A$5:$A$154,0)),"Not on roster"))</f>
        <v/>
      </c>
      <c r="G1783" s="28" t="str">
        <f aca="false">IF(OR(B1783="",C1783=""),"",F1783&amp;" | "&amp;C1783)</f>
        <v/>
      </c>
      <c r="H1783" s="27" t="str">
        <f aca="false">IF(G1783="","",IFERROR(INDEX(Levels!$C$5:$C$94,MATCH(G1783,Levels!$G$5:$G$94,0)),"Not this class's skill"))</f>
        <v/>
      </c>
    </row>
    <row r="1784" customFormat="false" ht="15" hidden="false" customHeight="false" outlineLevel="0" collapsed="false">
      <c r="A1784" s="23"/>
      <c r="B1784" s="22"/>
      <c r="C1784" s="22"/>
      <c r="D1784" s="22"/>
      <c r="E1784" s="22"/>
      <c r="F1784" s="27" t="str">
        <f aca="false">IF(B1784="","",IFERROR(INDEX(Roster!$B$5:$B$154,MATCH(B1784,Roster!$A$5:$A$154,0)),"Not on roster"))</f>
        <v/>
      </c>
      <c r="G1784" s="28" t="str">
        <f aca="false">IF(OR(B1784="",C1784=""),"",F1784&amp;" | "&amp;C1784)</f>
        <v/>
      </c>
      <c r="H1784" s="27" t="str">
        <f aca="false">IF(G1784="","",IFERROR(INDEX(Levels!$C$5:$C$94,MATCH(G1784,Levels!$G$5:$G$94,0)),"Not this class's skill"))</f>
        <v/>
      </c>
    </row>
    <row r="1785" customFormat="false" ht="15" hidden="false" customHeight="false" outlineLevel="0" collapsed="false">
      <c r="A1785" s="23"/>
      <c r="B1785" s="22"/>
      <c r="C1785" s="22"/>
      <c r="D1785" s="22"/>
      <c r="E1785" s="22"/>
      <c r="F1785" s="27" t="str">
        <f aca="false">IF(B1785="","",IFERROR(INDEX(Roster!$B$5:$B$154,MATCH(B1785,Roster!$A$5:$A$154,0)),"Not on roster"))</f>
        <v/>
      </c>
      <c r="G1785" s="28" t="str">
        <f aca="false">IF(OR(B1785="",C1785=""),"",F1785&amp;" | "&amp;C1785)</f>
        <v/>
      </c>
      <c r="H1785" s="27" t="str">
        <f aca="false">IF(G1785="","",IFERROR(INDEX(Levels!$C$5:$C$94,MATCH(G1785,Levels!$G$5:$G$94,0)),"Not this class's skill"))</f>
        <v/>
      </c>
    </row>
    <row r="1786" customFormat="false" ht="15" hidden="false" customHeight="false" outlineLevel="0" collapsed="false">
      <c r="A1786" s="23"/>
      <c r="B1786" s="22"/>
      <c r="C1786" s="22"/>
      <c r="D1786" s="22"/>
      <c r="E1786" s="22"/>
      <c r="F1786" s="27" t="str">
        <f aca="false">IF(B1786="","",IFERROR(INDEX(Roster!$B$5:$B$154,MATCH(B1786,Roster!$A$5:$A$154,0)),"Not on roster"))</f>
        <v/>
      </c>
      <c r="G1786" s="28" t="str">
        <f aca="false">IF(OR(B1786="",C1786=""),"",F1786&amp;" | "&amp;C1786)</f>
        <v/>
      </c>
      <c r="H1786" s="27" t="str">
        <f aca="false">IF(G1786="","",IFERROR(INDEX(Levels!$C$5:$C$94,MATCH(G1786,Levels!$G$5:$G$94,0)),"Not this class's skill"))</f>
        <v/>
      </c>
    </row>
    <row r="1787" customFormat="false" ht="15" hidden="false" customHeight="false" outlineLevel="0" collapsed="false">
      <c r="A1787" s="23"/>
      <c r="B1787" s="22"/>
      <c r="C1787" s="22"/>
      <c r="D1787" s="22"/>
      <c r="E1787" s="22"/>
      <c r="F1787" s="27" t="str">
        <f aca="false">IF(B1787="","",IFERROR(INDEX(Roster!$B$5:$B$154,MATCH(B1787,Roster!$A$5:$A$154,0)),"Not on roster"))</f>
        <v/>
      </c>
      <c r="G1787" s="28" t="str">
        <f aca="false">IF(OR(B1787="",C1787=""),"",F1787&amp;" | "&amp;C1787)</f>
        <v/>
      </c>
      <c r="H1787" s="27" t="str">
        <f aca="false">IF(G1787="","",IFERROR(INDEX(Levels!$C$5:$C$94,MATCH(G1787,Levels!$G$5:$G$94,0)),"Not this class's skill"))</f>
        <v/>
      </c>
    </row>
    <row r="1788" customFormat="false" ht="15" hidden="false" customHeight="false" outlineLevel="0" collapsed="false">
      <c r="A1788" s="23"/>
      <c r="B1788" s="22"/>
      <c r="C1788" s="22"/>
      <c r="D1788" s="22"/>
      <c r="E1788" s="22"/>
      <c r="F1788" s="27" t="str">
        <f aca="false">IF(B1788="","",IFERROR(INDEX(Roster!$B$5:$B$154,MATCH(B1788,Roster!$A$5:$A$154,0)),"Not on roster"))</f>
        <v/>
      </c>
      <c r="G1788" s="28" t="str">
        <f aca="false">IF(OR(B1788="",C1788=""),"",F1788&amp;" | "&amp;C1788)</f>
        <v/>
      </c>
      <c r="H1788" s="27" t="str">
        <f aca="false">IF(G1788="","",IFERROR(INDEX(Levels!$C$5:$C$94,MATCH(G1788,Levels!$G$5:$G$94,0)),"Not this class's skill"))</f>
        <v/>
      </c>
    </row>
    <row r="1789" customFormat="false" ht="15" hidden="false" customHeight="false" outlineLevel="0" collapsed="false">
      <c r="A1789" s="23"/>
      <c r="B1789" s="22"/>
      <c r="C1789" s="22"/>
      <c r="D1789" s="22"/>
      <c r="E1789" s="22"/>
      <c r="F1789" s="27" t="str">
        <f aca="false">IF(B1789="","",IFERROR(INDEX(Roster!$B$5:$B$154,MATCH(B1789,Roster!$A$5:$A$154,0)),"Not on roster"))</f>
        <v/>
      </c>
      <c r="G1789" s="28" t="str">
        <f aca="false">IF(OR(B1789="",C1789=""),"",F1789&amp;" | "&amp;C1789)</f>
        <v/>
      </c>
      <c r="H1789" s="27" t="str">
        <f aca="false">IF(G1789="","",IFERROR(INDEX(Levels!$C$5:$C$94,MATCH(G1789,Levels!$G$5:$G$94,0)),"Not this class's skill"))</f>
        <v/>
      </c>
    </row>
    <row r="1790" customFormat="false" ht="15" hidden="false" customHeight="false" outlineLevel="0" collapsed="false">
      <c r="A1790" s="23"/>
      <c r="B1790" s="22"/>
      <c r="C1790" s="22"/>
      <c r="D1790" s="22"/>
      <c r="E1790" s="22"/>
      <c r="F1790" s="27" t="str">
        <f aca="false">IF(B1790="","",IFERROR(INDEX(Roster!$B$5:$B$154,MATCH(B1790,Roster!$A$5:$A$154,0)),"Not on roster"))</f>
        <v/>
      </c>
      <c r="G1790" s="28" t="str">
        <f aca="false">IF(OR(B1790="",C1790=""),"",F1790&amp;" | "&amp;C1790)</f>
        <v/>
      </c>
      <c r="H1790" s="27" t="str">
        <f aca="false">IF(G1790="","",IFERROR(INDEX(Levels!$C$5:$C$94,MATCH(G1790,Levels!$G$5:$G$94,0)),"Not this class's skill"))</f>
        <v/>
      </c>
    </row>
    <row r="1791" customFormat="false" ht="15" hidden="false" customHeight="false" outlineLevel="0" collapsed="false">
      <c r="A1791" s="23"/>
      <c r="B1791" s="22"/>
      <c r="C1791" s="22"/>
      <c r="D1791" s="22"/>
      <c r="E1791" s="22"/>
      <c r="F1791" s="27" t="str">
        <f aca="false">IF(B1791="","",IFERROR(INDEX(Roster!$B$5:$B$154,MATCH(B1791,Roster!$A$5:$A$154,0)),"Not on roster"))</f>
        <v/>
      </c>
      <c r="G1791" s="28" t="str">
        <f aca="false">IF(OR(B1791="",C1791=""),"",F1791&amp;" | "&amp;C1791)</f>
        <v/>
      </c>
      <c r="H1791" s="27" t="str">
        <f aca="false">IF(G1791="","",IFERROR(INDEX(Levels!$C$5:$C$94,MATCH(G1791,Levels!$G$5:$G$94,0)),"Not this class's skill"))</f>
        <v/>
      </c>
    </row>
    <row r="1792" customFormat="false" ht="15" hidden="false" customHeight="false" outlineLevel="0" collapsed="false">
      <c r="A1792" s="23"/>
      <c r="B1792" s="22"/>
      <c r="C1792" s="22"/>
      <c r="D1792" s="22"/>
      <c r="E1792" s="22"/>
      <c r="F1792" s="27" t="str">
        <f aca="false">IF(B1792="","",IFERROR(INDEX(Roster!$B$5:$B$154,MATCH(B1792,Roster!$A$5:$A$154,0)),"Not on roster"))</f>
        <v/>
      </c>
      <c r="G1792" s="28" t="str">
        <f aca="false">IF(OR(B1792="",C1792=""),"",F1792&amp;" | "&amp;C1792)</f>
        <v/>
      </c>
      <c r="H1792" s="27" t="str">
        <f aca="false">IF(G1792="","",IFERROR(INDEX(Levels!$C$5:$C$94,MATCH(G1792,Levels!$G$5:$G$94,0)),"Not this class's skill"))</f>
        <v/>
      </c>
    </row>
    <row r="1793" customFormat="false" ht="15" hidden="false" customHeight="false" outlineLevel="0" collapsed="false">
      <c r="A1793" s="23"/>
      <c r="B1793" s="22"/>
      <c r="C1793" s="22"/>
      <c r="D1793" s="22"/>
      <c r="E1793" s="22"/>
      <c r="F1793" s="27" t="str">
        <f aca="false">IF(B1793="","",IFERROR(INDEX(Roster!$B$5:$B$154,MATCH(B1793,Roster!$A$5:$A$154,0)),"Not on roster"))</f>
        <v/>
      </c>
      <c r="G1793" s="28" t="str">
        <f aca="false">IF(OR(B1793="",C1793=""),"",F1793&amp;" | "&amp;C1793)</f>
        <v/>
      </c>
      <c r="H1793" s="27" t="str">
        <f aca="false">IF(G1793="","",IFERROR(INDEX(Levels!$C$5:$C$94,MATCH(G1793,Levels!$G$5:$G$94,0)),"Not this class's skill"))</f>
        <v/>
      </c>
    </row>
    <row r="1794" customFormat="false" ht="15" hidden="false" customHeight="false" outlineLevel="0" collapsed="false">
      <c r="A1794" s="23"/>
      <c r="B1794" s="22"/>
      <c r="C1794" s="22"/>
      <c r="D1794" s="22"/>
      <c r="E1794" s="22"/>
      <c r="F1794" s="27" t="str">
        <f aca="false">IF(B1794="","",IFERROR(INDEX(Roster!$B$5:$B$154,MATCH(B1794,Roster!$A$5:$A$154,0)),"Not on roster"))</f>
        <v/>
      </c>
      <c r="G1794" s="28" t="str">
        <f aca="false">IF(OR(B1794="",C1794=""),"",F1794&amp;" | "&amp;C1794)</f>
        <v/>
      </c>
      <c r="H1794" s="27" t="str">
        <f aca="false">IF(G1794="","",IFERROR(INDEX(Levels!$C$5:$C$94,MATCH(G1794,Levels!$G$5:$G$94,0)),"Not this class's skill"))</f>
        <v/>
      </c>
    </row>
    <row r="1795" customFormat="false" ht="15" hidden="false" customHeight="false" outlineLevel="0" collapsed="false">
      <c r="A1795" s="23"/>
      <c r="B1795" s="22"/>
      <c r="C1795" s="22"/>
      <c r="D1795" s="22"/>
      <c r="E1795" s="22"/>
      <c r="F1795" s="27" t="str">
        <f aca="false">IF(B1795="","",IFERROR(INDEX(Roster!$B$5:$B$154,MATCH(B1795,Roster!$A$5:$A$154,0)),"Not on roster"))</f>
        <v/>
      </c>
      <c r="G1795" s="28" t="str">
        <f aca="false">IF(OR(B1795="",C1795=""),"",F1795&amp;" | "&amp;C1795)</f>
        <v/>
      </c>
      <c r="H1795" s="27" t="str">
        <f aca="false">IF(G1795="","",IFERROR(INDEX(Levels!$C$5:$C$94,MATCH(G1795,Levels!$G$5:$G$94,0)),"Not this class's skill"))</f>
        <v/>
      </c>
    </row>
    <row r="1796" customFormat="false" ht="15" hidden="false" customHeight="false" outlineLevel="0" collapsed="false">
      <c r="A1796" s="23"/>
      <c r="B1796" s="22"/>
      <c r="C1796" s="22"/>
      <c r="D1796" s="22"/>
      <c r="E1796" s="22"/>
      <c r="F1796" s="27" t="str">
        <f aca="false">IF(B1796="","",IFERROR(INDEX(Roster!$B$5:$B$154,MATCH(B1796,Roster!$A$5:$A$154,0)),"Not on roster"))</f>
        <v/>
      </c>
      <c r="G1796" s="28" t="str">
        <f aca="false">IF(OR(B1796="",C1796=""),"",F1796&amp;" | "&amp;C1796)</f>
        <v/>
      </c>
      <c r="H1796" s="27" t="str">
        <f aca="false">IF(G1796="","",IFERROR(INDEX(Levels!$C$5:$C$94,MATCH(G1796,Levels!$G$5:$G$94,0)),"Not this class's skill"))</f>
        <v/>
      </c>
    </row>
    <row r="1797" customFormat="false" ht="15" hidden="false" customHeight="false" outlineLevel="0" collapsed="false">
      <c r="A1797" s="23"/>
      <c r="B1797" s="22"/>
      <c r="C1797" s="22"/>
      <c r="D1797" s="22"/>
      <c r="E1797" s="22"/>
      <c r="F1797" s="27" t="str">
        <f aca="false">IF(B1797="","",IFERROR(INDEX(Roster!$B$5:$B$154,MATCH(B1797,Roster!$A$5:$A$154,0)),"Not on roster"))</f>
        <v/>
      </c>
      <c r="G1797" s="28" t="str">
        <f aca="false">IF(OR(B1797="",C1797=""),"",F1797&amp;" | "&amp;C1797)</f>
        <v/>
      </c>
      <c r="H1797" s="27" t="str">
        <f aca="false">IF(G1797="","",IFERROR(INDEX(Levels!$C$5:$C$94,MATCH(G1797,Levels!$G$5:$G$94,0)),"Not this class's skill"))</f>
        <v/>
      </c>
    </row>
    <row r="1798" customFormat="false" ht="15" hidden="false" customHeight="false" outlineLevel="0" collapsed="false">
      <c r="A1798" s="23"/>
      <c r="B1798" s="22"/>
      <c r="C1798" s="22"/>
      <c r="D1798" s="22"/>
      <c r="E1798" s="22"/>
      <c r="F1798" s="27" t="str">
        <f aca="false">IF(B1798="","",IFERROR(INDEX(Roster!$B$5:$B$154,MATCH(B1798,Roster!$A$5:$A$154,0)),"Not on roster"))</f>
        <v/>
      </c>
      <c r="G1798" s="28" t="str">
        <f aca="false">IF(OR(B1798="",C1798=""),"",F1798&amp;" | "&amp;C1798)</f>
        <v/>
      </c>
      <c r="H1798" s="27" t="str">
        <f aca="false">IF(G1798="","",IFERROR(INDEX(Levels!$C$5:$C$94,MATCH(G1798,Levels!$G$5:$G$94,0)),"Not this class's skill"))</f>
        <v/>
      </c>
    </row>
    <row r="1799" customFormat="false" ht="15" hidden="false" customHeight="false" outlineLevel="0" collapsed="false">
      <c r="A1799" s="23"/>
      <c r="B1799" s="22"/>
      <c r="C1799" s="22"/>
      <c r="D1799" s="22"/>
      <c r="E1799" s="22"/>
      <c r="F1799" s="27" t="str">
        <f aca="false">IF(B1799="","",IFERROR(INDEX(Roster!$B$5:$B$154,MATCH(B1799,Roster!$A$5:$A$154,0)),"Not on roster"))</f>
        <v/>
      </c>
      <c r="G1799" s="28" t="str">
        <f aca="false">IF(OR(B1799="",C1799=""),"",F1799&amp;" | "&amp;C1799)</f>
        <v/>
      </c>
      <c r="H1799" s="27" t="str">
        <f aca="false">IF(G1799="","",IFERROR(INDEX(Levels!$C$5:$C$94,MATCH(G1799,Levels!$G$5:$G$94,0)),"Not this class's skill"))</f>
        <v/>
      </c>
    </row>
    <row r="1800" customFormat="false" ht="15" hidden="false" customHeight="false" outlineLevel="0" collapsed="false">
      <c r="A1800" s="23"/>
      <c r="B1800" s="22"/>
      <c r="C1800" s="22"/>
      <c r="D1800" s="22"/>
      <c r="E1800" s="22"/>
      <c r="F1800" s="27" t="str">
        <f aca="false">IF(B1800="","",IFERROR(INDEX(Roster!$B$5:$B$154,MATCH(B1800,Roster!$A$5:$A$154,0)),"Not on roster"))</f>
        <v/>
      </c>
      <c r="G1800" s="28" t="str">
        <f aca="false">IF(OR(B1800="",C1800=""),"",F1800&amp;" | "&amp;C1800)</f>
        <v/>
      </c>
      <c r="H1800" s="27" t="str">
        <f aca="false">IF(G1800="","",IFERROR(INDEX(Levels!$C$5:$C$94,MATCH(G1800,Levels!$G$5:$G$94,0)),"Not this class's skill"))</f>
        <v/>
      </c>
    </row>
    <row r="1801" customFormat="false" ht="15" hidden="false" customHeight="false" outlineLevel="0" collapsed="false">
      <c r="A1801" s="23"/>
      <c r="B1801" s="22"/>
      <c r="C1801" s="22"/>
      <c r="D1801" s="22"/>
      <c r="E1801" s="22"/>
      <c r="F1801" s="27" t="str">
        <f aca="false">IF(B1801="","",IFERROR(INDEX(Roster!$B$5:$B$154,MATCH(B1801,Roster!$A$5:$A$154,0)),"Not on roster"))</f>
        <v/>
      </c>
      <c r="G1801" s="28" t="str">
        <f aca="false">IF(OR(B1801="",C1801=""),"",F1801&amp;" | "&amp;C1801)</f>
        <v/>
      </c>
      <c r="H1801" s="27" t="str">
        <f aca="false">IF(G1801="","",IFERROR(INDEX(Levels!$C$5:$C$94,MATCH(G1801,Levels!$G$5:$G$94,0)),"Not this class's skill"))</f>
        <v/>
      </c>
    </row>
    <row r="1802" customFormat="false" ht="15" hidden="false" customHeight="false" outlineLevel="0" collapsed="false">
      <c r="A1802" s="23"/>
      <c r="B1802" s="22"/>
      <c r="C1802" s="22"/>
      <c r="D1802" s="22"/>
      <c r="E1802" s="22"/>
      <c r="F1802" s="27" t="str">
        <f aca="false">IF(B1802="","",IFERROR(INDEX(Roster!$B$5:$B$154,MATCH(B1802,Roster!$A$5:$A$154,0)),"Not on roster"))</f>
        <v/>
      </c>
      <c r="G1802" s="28" t="str">
        <f aca="false">IF(OR(B1802="",C1802=""),"",F1802&amp;" | "&amp;C1802)</f>
        <v/>
      </c>
      <c r="H1802" s="27" t="str">
        <f aca="false">IF(G1802="","",IFERROR(INDEX(Levels!$C$5:$C$94,MATCH(G1802,Levels!$G$5:$G$94,0)),"Not this class's skill"))</f>
        <v/>
      </c>
    </row>
    <row r="1803" customFormat="false" ht="15" hidden="false" customHeight="false" outlineLevel="0" collapsed="false">
      <c r="A1803" s="23"/>
      <c r="B1803" s="22"/>
      <c r="C1803" s="22"/>
      <c r="D1803" s="22"/>
      <c r="E1803" s="22"/>
      <c r="F1803" s="27" t="str">
        <f aca="false">IF(B1803="","",IFERROR(INDEX(Roster!$B$5:$B$154,MATCH(B1803,Roster!$A$5:$A$154,0)),"Not on roster"))</f>
        <v/>
      </c>
      <c r="G1803" s="28" t="str">
        <f aca="false">IF(OR(B1803="",C1803=""),"",F1803&amp;" | "&amp;C1803)</f>
        <v/>
      </c>
      <c r="H1803" s="27" t="str">
        <f aca="false">IF(G1803="","",IFERROR(INDEX(Levels!$C$5:$C$94,MATCH(G1803,Levels!$G$5:$G$94,0)),"Not this class's skill"))</f>
        <v/>
      </c>
    </row>
    <row r="1804" customFormat="false" ht="15" hidden="false" customHeight="false" outlineLevel="0" collapsed="false">
      <c r="A1804" s="23"/>
      <c r="B1804" s="22"/>
      <c r="C1804" s="22"/>
      <c r="D1804" s="22"/>
      <c r="E1804" s="22"/>
      <c r="F1804" s="27" t="str">
        <f aca="false">IF(B1804="","",IFERROR(INDEX(Roster!$B$5:$B$154,MATCH(B1804,Roster!$A$5:$A$154,0)),"Not on roster"))</f>
        <v/>
      </c>
      <c r="G1804" s="28" t="str">
        <f aca="false">IF(OR(B1804="",C1804=""),"",F1804&amp;" | "&amp;C1804)</f>
        <v/>
      </c>
      <c r="H1804" s="27" t="str">
        <f aca="false">IF(G1804="","",IFERROR(INDEX(Levels!$C$5:$C$94,MATCH(G1804,Levels!$G$5:$G$94,0)),"Not this class's skill"))</f>
        <v/>
      </c>
    </row>
    <row r="1805" customFormat="false" ht="15" hidden="false" customHeight="false" outlineLevel="0" collapsed="false">
      <c r="A1805" s="23"/>
      <c r="B1805" s="22"/>
      <c r="C1805" s="22"/>
      <c r="D1805" s="22"/>
      <c r="E1805" s="22"/>
      <c r="F1805" s="27" t="str">
        <f aca="false">IF(B1805="","",IFERROR(INDEX(Roster!$B$5:$B$154,MATCH(B1805,Roster!$A$5:$A$154,0)),"Not on roster"))</f>
        <v/>
      </c>
      <c r="G1805" s="28" t="str">
        <f aca="false">IF(OR(B1805="",C1805=""),"",F1805&amp;" | "&amp;C1805)</f>
        <v/>
      </c>
      <c r="H1805" s="27" t="str">
        <f aca="false">IF(G1805="","",IFERROR(INDEX(Levels!$C$5:$C$94,MATCH(G1805,Levels!$G$5:$G$94,0)),"Not this class's skill"))</f>
        <v/>
      </c>
    </row>
    <row r="1806" customFormat="false" ht="15" hidden="false" customHeight="false" outlineLevel="0" collapsed="false">
      <c r="A1806" s="23"/>
      <c r="B1806" s="22"/>
      <c r="C1806" s="22"/>
      <c r="D1806" s="22"/>
      <c r="E1806" s="22"/>
      <c r="F1806" s="27" t="str">
        <f aca="false">IF(B1806="","",IFERROR(INDEX(Roster!$B$5:$B$154,MATCH(B1806,Roster!$A$5:$A$154,0)),"Not on roster"))</f>
        <v/>
      </c>
      <c r="G1806" s="28" t="str">
        <f aca="false">IF(OR(B1806="",C1806=""),"",F1806&amp;" | "&amp;C1806)</f>
        <v/>
      </c>
      <c r="H1806" s="27" t="str">
        <f aca="false">IF(G1806="","",IFERROR(INDEX(Levels!$C$5:$C$94,MATCH(G1806,Levels!$G$5:$G$94,0)),"Not this class's skill"))</f>
        <v/>
      </c>
    </row>
    <row r="1807" customFormat="false" ht="15" hidden="false" customHeight="false" outlineLevel="0" collapsed="false">
      <c r="A1807" s="23"/>
      <c r="B1807" s="22"/>
      <c r="C1807" s="22"/>
      <c r="D1807" s="22"/>
      <c r="E1807" s="22"/>
      <c r="F1807" s="27" t="str">
        <f aca="false">IF(B1807="","",IFERROR(INDEX(Roster!$B$5:$B$154,MATCH(B1807,Roster!$A$5:$A$154,0)),"Not on roster"))</f>
        <v/>
      </c>
      <c r="G1807" s="28" t="str">
        <f aca="false">IF(OR(B1807="",C1807=""),"",F1807&amp;" | "&amp;C1807)</f>
        <v/>
      </c>
      <c r="H1807" s="27" t="str">
        <f aca="false">IF(G1807="","",IFERROR(INDEX(Levels!$C$5:$C$94,MATCH(G1807,Levels!$G$5:$G$94,0)),"Not this class's skill"))</f>
        <v/>
      </c>
    </row>
    <row r="1808" customFormat="false" ht="15" hidden="false" customHeight="false" outlineLevel="0" collapsed="false">
      <c r="A1808" s="23"/>
      <c r="B1808" s="22"/>
      <c r="C1808" s="22"/>
      <c r="D1808" s="22"/>
      <c r="E1808" s="22"/>
      <c r="F1808" s="27" t="str">
        <f aca="false">IF(B1808="","",IFERROR(INDEX(Roster!$B$5:$B$154,MATCH(B1808,Roster!$A$5:$A$154,0)),"Not on roster"))</f>
        <v/>
      </c>
      <c r="G1808" s="28" t="str">
        <f aca="false">IF(OR(B1808="",C1808=""),"",F1808&amp;" | "&amp;C1808)</f>
        <v/>
      </c>
      <c r="H1808" s="27" t="str">
        <f aca="false">IF(G1808="","",IFERROR(INDEX(Levels!$C$5:$C$94,MATCH(G1808,Levels!$G$5:$G$94,0)),"Not this class's skill"))</f>
        <v/>
      </c>
    </row>
    <row r="1809" customFormat="false" ht="15" hidden="false" customHeight="false" outlineLevel="0" collapsed="false">
      <c r="A1809" s="23"/>
      <c r="B1809" s="22"/>
      <c r="C1809" s="22"/>
      <c r="D1809" s="22"/>
      <c r="E1809" s="22"/>
      <c r="F1809" s="27" t="str">
        <f aca="false">IF(B1809="","",IFERROR(INDEX(Roster!$B$5:$B$154,MATCH(B1809,Roster!$A$5:$A$154,0)),"Not on roster"))</f>
        <v/>
      </c>
      <c r="G1809" s="28" t="str">
        <f aca="false">IF(OR(B1809="",C1809=""),"",F1809&amp;" | "&amp;C1809)</f>
        <v/>
      </c>
      <c r="H1809" s="27" t="str">
        <f aca="false">IF(G1809="","",IFERROR(INDEX(Levels!$C$5:$C$94,MATCH(G1809,Levels!$G$5:$G$94,0)),"Not this class's skill"))</f>
        <v/>
      </c>
    </row>
    <row r="1810" customFormat="false" ht="15" hidden="false" customHeight="false" outlineLevel="0" collapsed="false">
      <c r="A1810" s="23"/>
      <c r="B1810" s="22"/>
      <c r="C1810" s="22"/>
      <c r="D1810" s="22"/>
      <c r="E1810" s="22"/>
      <c r="F1810" s="27" t="str">
        <f aca="false">IF(B1810="","",IFERROR(INDEX(Roster!$B$5:$B$154,MATCH(B1810,Roster!$A$5:$A$154,0)),"Not on roster"))</f>
        <v/>
      </c>
      <c r="G1810" s="28" t="str">
        <f aca="false">IF(OR(B1810="",C1810=""),"",F1810&amp;" | "&amp;C1810)</f>
        <v/>
      </c>
      <c r="H1810" s="27" t="str">
        <f aca="false">IF(G1810="","",IFERROR(INDEX(Levels!$C$5:$C$94,MATCH(G1810,Levels!$G$5:$G$94,0)),"Not this class's skill"))</f>
        <v/>
      </c>
    </row>
    <row r="1811" customFormat="false" ht="15" hidden="false" customHeight="false" outlineLevel="0" collapsed="false">
      <c r="A1811" s="23"/>
      <c r="B1811" s="22"/>
      <c r="C1811" s="22"/>
      <c r="D1811" s="22"/>
      <c r="E1811" s="22"/>
      <c r="F1811" s="27" t="str">
        <f aca="false">IF(B1811="","",IFERROR(INDEX(Roster!$B$5:$B$154,MATCH(B1811,Roster!$A$5:$A$154,0)),"Not on roster"))</f>
        <v/>
      </c>
      <c r="G1811" s="28" t="str">
        <f aca="false">IF(OR(B1811="",C1811=""),"",F1811&amp;" | "&amp;C1811)</f>
        <v/>
      </c>
      <c r="H1811" s="27" t="str">
        <f aca="false">IF(G1811="","",IFERROR(INDEX(Levels!$C$5:$C$94,MATCH(G1811,Levels!$G$5:$G$94,0)),"Not this class's skill"))</f>
        <v/>
      </c>
    </row>
    <row r="1812" customFormat="false" ht="15" hidden="false" customHeight="false" outlineLevel="0" collapsed="false">
      <c r="A1812" s="23"/>
      <c r="B1812" s="22"/>
      <c r="C1812" s="22"/>
      <c r="D1812" s="22"/>
      <c r="E1812" s="22"/>
      <c r="F1812" s="27" t="str">
        <f aca="false">IF(B1812="","",IFERROR(INDEX(Roster!$B$5:$B$154,MATCH(B1812,Roster!$A$5:$A$154,0)),"Not on roster"))</f>
        <v/>
      </c>
      <c r="G1812" s="28" t="str">
        <f aca="false">IF(OR(B1812="",C1812=""),"",F1812&amp;" | "&amp;C1812)</f>
        <v/>
      </c>
      <c r="H1812" s="27" t="str">
        <f aca="false">IF(G1812="","",IFERROR(INDEX(Levels!$C$5:$C$94,MATCH(G1812,Levels!$G$5:$G$94,0)),"Not this class's skill"))</f>
        <v/>
      </c>
    </row>
    <row r="1813" customFormat="false" ht="15" hidden="false" customHeight="false" outlineLevel="0" collapsed="false">
      <c r="A1813" s="23"/>
      <c r="B1813" s="22"/>
      <c r="C1813" s="22"/>
      <c r="D1813" s="22"/>
      <c r="E1813" s="22"/>
      <c r="F1813" s="27" t="str">
        <f aca="false">IF(B1813="","",IFERROR(INDEX(Roster!$B$5:$B$154,MATCH(B1813,Roster!$A$5:$A$154,0)),"Not on roster"))</f>
        <v/>
      </c>
      <c r="G1813" s="28" t="str">
        <f aca="false">IF(OR(B1813="",C1813=""),"",F1813&amp;" | "&amp;C1813)</f>
        <v/>
      </c>
      <c r="H1813" s="27" t="str">
        <f aca="false">IF(G1813="","",IFERROR(INDEX(Levels!$C$5:$C$94,MATCH(G1813,Levels!$G$5:$G$94,0)),"Not this class's skill"))</f>
        <v/>
      </c>
    </row>
    <row r="1814" customFormat="false" ht="15" hidden="false" customHeight="false" outlineLevel="0" collapsed="false">
      <c r="A1814" s="23"/>
      <c r="B1814" s="22"/>
      <c r="C1814" s="22"/>
      <c r="D1814" s="22"/>
      <c r="E1814" s="22"/>
      <c r="F1814" s="27" t="str">
        <f aca="false">IF(B1814="","",IFERROR(INDEX(Roster!$B$5:$B$154,MATCH(B1814,Roster!$A$5:$A$154,0)),"Not on roster"))</f>
        <v/>
      </c>
      <c r="G1814" s="28" t="str">
        <f aca="false">IF(OR(B1814="",C1814=""),"",F1814&amp;" | "&amp;C1814)</f>
        <v/>
      </c>
      <c r="H1814" s="27" t="str">
        <f aca="false">IF(G1814="","",IFERROR(INDEX(Levels!$C$5:$C$94,MATCH(G1814,Levels!$G$5:$G$94,0)),"Not this class's skill"))</f>
        <v/>
      </c>
    </row>
    <row r="1815" customFormat="false" ht="15" hidden="false" customHeight="false" outlineLevel="0" collapsed="false">
      <c r="A1815" s="23"/>
      <c r="B1815" s="22"/>
      <c r="C1815" s="22"/>
      <c r="D1815" s="22"/>
      <c r="E1815" s="22"/>
      <c r="F1815" s="27" t="str">
        <f aca="false">IF(B1815="","",IFERROR(INDEX(Roster!$B$5:$B$154,MATCH(B1815,Roster!$A$5:$A$154,0)),"Not on roster"))</f>
        <v/>
      </c>
      <c r="G1815" s="28" t="str">
        <f aca="false">IF(OR(B1815="",C1815=""),"",F1815&amp;" | "&amp;C1815)</f>
        <v/>
      </c>
      <c r="H1815" s="27" t="str">
        <f aca="false">IF(G1815="","",IFERROR(INDEX(Levels!$C$5:$C$94,MATCH(G1815,Levels!$G$5:$G$94,0)),"Not this class's skill"))</f>
        <v/>
      </c>
    </row>
    <row r="1816" customFormat="false" ht="15" hidden="false" customHeight="false" outlineLevel="0" collapsed="false">
      <c r="A1816" s="23"/>
      <c r="B1816" s="22"/>
      <c r="C1816" s="22"/>
      <c r="D1816" s="22"/>
      <c r="E1816" s="22"/>
      <c r="F1816" s="27" t="str">
        <f aca="false">IF(B1816="","",IFERROR(INDEX(Roster!$B$5:$B$154,MATCH(B1816,Roster!$A$5:$A$154,0)),"Not on roster"))</f>
        <v/>
      </c>
      <c r="G1816" s="28" t="str">
        <f aca="false">IF(OR(B1816="",C1816=""),"",F1816&amp;" | "&amp;C1816)</f>
        <v/>
      </c>
      <c r="H1816" s="27" t="str">
        <f aca="false">IF(G1816="","",IFERROR(INDEX(Levels!$C$5:$C$94,MATCH(G1816,Levels!$G$5:$G$94,0)),"Not this class's skill"))</f>
        <v/>
      </c>
    </row>
    <row r="1817" customFormat="false" ht="15" hidden="false" customHeight="false" outlineLevel="0" collapsed="false">
      <c r="A1817" s="23"/>
      <c r="B1817" s="22"/>
      <c r="C1817" s="22"/>
      <c r="D1817" s="22"/>
      <c r="E1817" s="22"/>
      <c r="F1817" s="27" t="str">
        <f aca="false">IF(B1817="","",IFERROR(INDEX(Roster!$B$5:$B$154,MATCH(B1817,Roster!$A$5:$A$154,0)),"Not on roster"))</f>
        <v/>
      </c>
      <c r="G1817" s="28" t="str">
        <f aca="false">IF(OR(B1817="",C1817=""),"",F1817&amp;" | "&amp;C1817)</f>
        <v/>
      </c>
      <c r="H1817" s="27" t="str">
        <f aca="false">IF(G1817="","",IFERROR(INDEX(Levels!$C$5:$C$94,MATCH(G1817,Levels!$G$5:$G$94,0)),"Not this class's skill"))</f>
        <v/>
      </c>
    </row>
    <row r="1818" customFormat="false" ht="15" hidden="false" customHeight="false" outlineLevel="0" collapsed="false">
      <c r="A1818" s="23"/>
      <c r="B1818" s="22"/>
      <c r="C1818" s="22"/>
      <c r="D1818" s="22"/>
      <c r="E1818" s="22"/>
      <c r="F1818" s="27" t="str">
        <f aca="false">IF(B1818="","",IFERROR(INDEX(Roster!$B$5:$B$154,MATCH(B1818,Roster!$A$5:$A$154,0)),"Not on roster"))</f>
        <v/>
      </c>
      <c r="G1818" s="28" t="str">
        <f aca="false">IF(OR(B1818="",C1818=""),"",F1818&amp;" | "&amp;C1818)</f>
        <v/>
      </c>
      <c r="H1818" s="27" t="str">
        <f aca="false">IF(G1818="","",IFERROR(INDEX(Levels!$C$5:$C$94,MATCH(G1818,Levels!$G$5:$G$94,0)),"Not this class's skill"))</f>
        <v/>
      </c>
    </row>
    <row r="1819" customFormat="false" ht="15" hidden="false" customHeight="false" outlineLevel="0" collapsed="false">
      <c r="A1819" s="23"/>
      <c r="B1819" s="22"/>
      <c r="C1819" s="22"/>
      <c r="D1819" s="22"/>
      <c r="E1819" s="22"/>
      <c r="F1819" s="27" t="str">
        <f aca="false">IF(B1819="","",IFERROR(INDEX(Roster!$B$5:$B$154,MATCH(B1819,Roster!$A$5:$A$154,0)),"Not on roster"))</f>
        <v/>
      </c>
      <c r="G1819" s="28" t="str">
        <f aca="false">IF(OR(B1819="",C1819=""),"",F1819&amp;" | "&amp;C1819)</f>
        <v/>
      </c>
      <c r="H1819" s="27" t="str">
        <f aca="false">IF(G1819="","",IFERROR(INDEX(Levels!$C$5:$C$94,MATCH(G1819,Levels!$G$5:$G$94,0)),"Not this class's skill"))</f>
        <v/>
      </c>
    </row>
    <row r="1820" customFormat="false" ht="15" hidden="false" customHeight="false" outlineLevel="0" collapsed="false">
      <c r="A1820" s="23"/>
      <c r="B1820" s="22"/>
      <c r="C1820" s="22"/>
      <c r="D1820" s="22"/>
      <c r="E1820" s="22"/>
      <c r="F1820" s="27" t="str">
        <f aca="false">IF(B1820="","",IFERROR(INDEX(Roster!$B$5:$B$154,MATCH(B1820,Roster!$A$5:$A$154,0)),"Not on roster"))</f>
        <v/>
      </c>
      <c r="G1820" s="28" t="str">
        <f aca="false">IF(OR(B1820="",C1820=""),"",F1820&amp;" | "&amp;C1820)</f>
        <v/>
      </c>
      <c r="H1820" s="27" t="str">
        <f aca="false">IF(G1820="","",IFERROR(INDEX(Levels!$C$5:$C$94,MATCH(G1820,Levels!$G$5:$G$94,0)),"Not this class's skill"))</f>
        <v/>
      </c>
    </row>
    <row r="1821" customFormat="false" ht="15" hidden="false" customHeight="false" outlineLevel="0" collapsed="false">
      <c r="A1821" s="23"/>
      <c r="B1821" s="22"/>
      <c r="C1821" s="22"/>
      <c r="D1821" s="22"/>
      <c r="E1821" s="22"/>
      <c r="F1821" s="27" t="str">
        <f aca="false">IF(B1821="","",IFERROR(INDEX(Roster!$B$5:$B$154,MATCH(B1821,Roster!$A$5:$A$154,0)),"Not on roster"))</f>
        <v/>
      </c>
      <c r="G1821" s="28" t="str">
        <f aca="false">IF(OR(B1821="",C1821=""),"",F1821&amp;" | "&amp;C1821)</f>
        <v/>
      </c>
      <c r="H1821" s="27" t="str">
        <f aca="false">IF(G1821="","",IFERROR(INDEX(Levels!$C$5:$C$94,MATCH(G1821,Levels!$G$5:$G$94,0)),"Not this class's skill"))</f>
        <v/>
      </c>
    </row>
    <row r="1822" customFormat="false" ht="15" hidden="false" customHeight="false" outlineLevel="0" collapsed="false">
      <c r="A1822" s="23"/>
      <c r="B1822" s="22"/>
      <c r="C1822" s="22"/>
      <c r="D1822" s="22"/>
      <c r="E1822" s="22"/>
      <c r="F1822" s="27" t="str">
        <f aca="false">IF(B1822="","",IFERROR(INDEX(Roster!$B$5:$B$154,MATCH(B1822,Roster!$A$5:$A$154,0)),"Not on roster"))</f>
        <v/>
      </c>
      <c r="G1822" s="28" t="str">
        <f aca="false">IF(OR(B1822="",C1822=""),"",F1822&amp;" | "&amp;C1822)</f>
        <v/>
      </c>
      <c r="H1822" s="27" t="str">
        <f aca="false">IF(G1822="","",IFERROR(INDEX(Levels!$C$5:$C$94,MATCH(G1822,Levels!$G$5:$G$94,0)),"Not this class's skill"))</f>
        <v/>
      </c>
    </row>
    <row r="1823" customFormat="false" ht="15" hidden="false" customHeight="false" outlineLevel="0" collapsed="false">
      <c r="A1823" s="23"/>
      <c r="B1823" s="22"/>
      <c r="C1823" s="22"/>
      <c r="D1823" s="22"/>
      <c r="E1823" s="22"/>
      <c r="F1823" s="27" t="str">
        <f aca="false">IF(B1823="","",IFERROR(INDEX(Roster!$B$5:$B$154,MATCH(B1823,Roster!$A$5:$A$154,0)),"Not on roster"))</f>
        <v/>
      </c>
      <c r="G1823" s="28" t="str">
        <f aca="false">IF(OR(B1823="",C1823=""),"",F1823&amp;" | "&amp;C1823)</f>
        <v/>
      </c>
      <c r="H1823" s="27" t="str">
        <f aca="false">IF(G1823="","",IFERROR(INDEX(Levels!$C$5:$C$94,MATCH(G1823,Levels!$G$5:$G$94,0)),"Not this class's skill"))</f>
        <v/>
      </c>
    </row>
    <row r="1824" customFormat="false" ht="15" hidden="false" customHeight="false" outlineLevel="0" collapsed="false">
      <c r="A1824" s="23"/>
      <c r="B1824" s="22"/>
      <c r="C1824" s="22"/>
      <c r="D1824" s="22"/>
      <c r="E1824" s="22"/>
      <c r="F1824" s="27" t="str">
        <f aca="false">IF(B1824="","",IFERROR(INDEX(Roster!$B$5:$B$154,MATCH(B1824,Roster!$A$5:$A$154,0)),"Not on roster"))</f>
        <v/>
      </c>
      <c r="G1824" s="28" t="str">
        <f aca="false">IF(OR(B1824="",C1824=""),"",F1824&amp;" | "&amp;C1824)</f>
        <v/>
      </c>
      <c r="H1824" s="27" t="str">
        <f aca="false">IF(G1824="","",IFERROR(INDEX(Levels!$C$5:$C$94,MATCH(G1824,Levels!$G$5:$G$94,0)),"Not this class's skill"))</f>
        <v/>
      </c>
    </row>
    <row r="1825" customFormat="false" ht="15" hidden="false" customHeight="false" outlineLevel="0" collapsed="false">
      <c r="A1825" s="23"/>
      <c r="B1825" s="22"/>
      <c r="C1825" s="22"/>
      <c r="D1825" s="22"/>
      <c r="E1825" s="22"/>
      <c r="F1825" s="27" t="str">
        <f aca="false">IF(B1825="","",IFERROR(INDEX(Roster!$B$5:$B$154,MATCH(B1825,Roster!$A$5:$A$154,0)),"Not on roster"))</f>
        <v/>
      </c>
      <c r="G1825" s="28" t="str">
        <f aca="false">IF(OR(B1825="",C1825=""),"",F1825&amp;" | "&amp;C1825)</f>
        <v/>
      </c>
      <c r="H1825" s="27" t="str">
        <f aca="false">IF(G1825="","",IFERROR(INDEX(Levels!$C$5:$C$94,MATCH(G1825,Levels!$G$5:$G$94,0)),"Not this class's skill"))</f>
        <v/>
      </c>
    </row>
    <row r="1826" customFormat="false" ht="15" hidden="false" customHeight="false" outlineLevel="0" collapsed="false">
      <c r="A1826" s="23"/>
      <c r="B1826" s="22"/>
      <c r="C1826" s="22"/>
      <c r="D1826" s="22"/>
      <c r="E1826" s="22"/>
      <c r="F1826" s="27" t="str">
        <f aca="false">IF(B1826="","",IFERROR(INDEX(Roster!$B$5:$B$154,MATCH(B1826,Roster!$A$5:$A$154,0)),"Not on roster"))</f>
        <v/>
      </c>
      <c r="G1826" s="28" t="str">
        <f aca="false">IF(OR(B1826="",C1826=""),"",F1826&amp;" | "&amp;C1826)</f>
        <v/>
      </c>
      <c r="H1826" s="27" t="str">
        <f aca="false">IF(G1826="","",IFERROR(INDEX(Levels!$C$5:$C$94,MATCH(G1826,Levels!$G$5:$G$94,0)),"Not this class's skill"))</f>
        <v/>
      </c>
    </row>
    <row r="1827" customFormat="false" ht="15" hidden="false" customHeight="false" outlineLevel="0" collapsed="false">
      <c r="A1827" s="23"/>
      <c r="B1827" s="22"/>
      <c r="C1827" s="22"/>
      <c r="D1827" s="22"/>
      <c r="E1827" s="22"/>
      <c r="F1827" s="27" t="str">
        <f aca="false">IF(B1827="","",IFERROR(INDEX(Roster!$B$5:$B$154,MATCH(B1827,Roster!$A$5:$A$154,0)),"Not on roster"))</f>
        <v/>
      </c>
      <c r="G1827" s="28" t="str">
        <f aca="false">IF(OR(B1827="",C1827=""),"",F1827&amp;" | "&amp;C1827)</f>
        <v/>
      </c>
      <c r="H1827" s="27" t="str">
        <f aca="false">IF(G1827="","",IFERROR(INDEX(Levels!$C$5:$C$94,MATCH(G1827,Levels!$G$5:$G$94,0)),"Not this class's skill"))</f>
        <v/>
      </c>
    </row>
    <row r="1828" customFormat="false" ht="15" hidden="false" customHeight="false" outlineLevel="0" collapsed="false">
      <c r="A1828" s="23"/>
      <c r="B1828" s="22"/>
      <c r="C1828" s="22"/>
      <c r="D1828" s="22"/>
      <c r="E1828" s="22"/>
      <c r="F1828" s="27" t="str">
        <f aca="false">IF(B1828="","",IFERROR(INDEX(Roster!$B$5:$B$154,MATCH(B1828,Roster!$A$5:$A$154,0)),"Not on roster"))</f>
        <v/>
      </c>
      <c r="G1828" s="28" t="str">
        <f aca="false">IF(OR(B1828="",C1828=""),"",F1828&amp;" | "&amp;C1828)</f>
        <v/>
      </c>
      <c r="H1828" s="27" t="str">
        <f aca="false">IF(G1828="","",IFERROR(INDEX(Levels!$C$5:$C$94,MATCH(G1828,Levels!$G$5:$G$94,0)),"Not this class's skill"))</f>
        <v/>
      </c>
    </row>
    <row r="1829" customFormat="false" ht="15" hidden="false" customHeight="false" outlineLevel="0" collapsed="false">
      <c r="A1829" s="23"/>
      <c r="B1829" s="22"/>
      <c r="C1829" s="22"/>
      <c r="D1829" s="22"/>
      <c r="E1829" s="22"/>
      <c r="F1829" s="27" t="str">
        <f aca="false">IF(B1829="","",IFERROR(INDEX(Roster!$B$5:$B$154,MATCH(B1829,Roster!$A$5:$A$154,0)),"Not on roster"))</f>
        <v/>
      </c>
      <c r="G1829" s="28" t="str">
        <f aca="false">IF(OR(B1829="",C1829=""),"",F1829&amp;" | "&amp;C1829)</f>
        <v/>
      </c>
      <c r="H1829" s="27" t="str">
        <f aca="false">IF(G1829="","",IFERROR(INDEX(Levels!$C$5:$C$94,MATCH(G1829,Levels!$G$5:$G$94,0)),"Not this class's skill"))</f>
        <v/>
      </c>
    </row>
    <row r="1830" customFormat="false" ht="15" hidden="false" customHeight="false" outlineLevel="0" collapsed="false">
      <c r="A1830" s="23"/>
      <c r="B1830" s="22"/>
      <c r="C1830" s="22"/>
      <c r="D1830" s="22"/>
      <c r="E1830" s="22"/>
      <c r="F1830" s="27" t="str">
        <f aca="false">IF(B1830="","",IFERROR(INDEX(Roster!$B$5:$B$154,MATCH(B1830,Roster!$A$5:$A$154,0)),"Not on roster"))</f>
        <v/>
      </c>
      <c r="G1830" s="28" t="str">
        <f aca="false">IF(OR(B1830="",C1830=""),"",F1830&amp;" | "&amp;C1830)</f>
        <v/>
      </c>
      <c r="H1830" s="27" t="str">
        <f aca="false">IF(G1830="","",IFERROR(INDEX(Levels!$C$5:$C$94,MATCH(G1830,Levels!$G$5:$G$94,0)),"Not this class's skill"))</f>
        <v/>
      </c>
    </row>
    <row r="1831" customFormat="false" ht="15" hidden="false" customHeight="false" outlineLevel="0" collapsed="false">
      <c r="A1831" s="23"/>
      <c r="B1831" s="22"/>
      <c r="C1831" s="22"/>
      <c r="D1831" s="22"/>
      <c r="E1831" s="22"/>
      <c r="F1831" s="27" t="str">
        <f aca="false">IF(B1831="","",IFERROR(INDEX(Roster!$B$5:$B$154,MATCH(B1831,Roster!$A$5:$A$154,0)),"Not on roster"))</f>
        <v/>
      </c>
      <c r="G1831" s="28" t="str">
        <f aca="false">IF(OR(B1831="",C1831=""),"",F1831&amp;" | "&amp;C1831)</f>
        <v/>
      </c>
      <c r="H1831" s="27" t="str">
        <f aca="false">IF(G1831="","",IFERROR(INDEX(Levels!$C$5:$C$94,MATCH(G1831,Levels!$G$5:$G$94,0)),"Not this class's skill"))</f>
        <v/>
      </c>
    </row>
    <row r="1832" customFormat="false" ht="15" hidden="false" customHeight="false" outlineLevel="0" collapsed="false">
      <c r="A1832" s="23"/>
      <c r="B1832" s="22"/>
      <c r="C1832" s="22"/>
      <c r="D1832" s="22"/>
      <c r="E1832" s="22"/>
      <c r="F1832" s="27" t="str">
        <f aca="false">IF(B1832="","",IFERROR(INDEX(Roster!$B$5:$B$154,MATCH(B1832,Roster!$A$5:$A$154,0)),"Not on roster"))</f>
        <v/>
      </c>
      <c r="G1832" s="28" t="str">
        <f aca="false">IF(OR(B1832="",C1832=""),"",F1832&amp;" | "&amp;C1832)</f>
        <v/>
      </c>
      <c r="H1832" s="27" t="str">
        <f aca="false">IF(G1832="","",IFERROR(INDEX(Levels!$C$5:$C$94,MATCH(G1832,Levels!$G$5:$G$94,0)),"Not this class's skill"))</f>
        <v/>
      </c>
    </row>
    <row r="1833" customFormat="false" ht="15" hidden="false" customHeight="false" outlineLevel="0" collapsed="false">
      <c r="A1833" s="23"/>
      <c r="B1833" s="22"/>
      <c r="C1833" s="22"/>
      <c r="D1833" s="22"/>
      <c r="E1833" s="22"/>
      <c r="F1833" s="27" t="str">
        <f aca="false">IF(B1833="","",IFERROR(INDEX(Roster!$B$5:$B$154,MATCH(B1833,Roster!$A$5:$A$154,0)),"Not on roster"))</f>
        <v/>
      </c>
      <c r="G1833" s="28" t="str">
        <f aca="false">IF(OR(B1833="",C1833=""),"",F1833&amp;" | "&amp;C1833)</f>
        <v/>
      </c>
      <c r="H1833" s="27" t="str">
        <f aca="false">IF(G1833="","",IFERROR(INDEX(Levels!$C$5:$C$94,MATCH(G1833,Levels!$G$5:$G$94,0)),"Not this class's skill"))</f>
        <v/>
      </c>
    </row>
    <row r="1834" customFormat="false" ht="15" hidden="false" customHeight="false" outlineLevel="0" collapsed="false">
      <c r="A1834" s="23"/>
      <c r="B1834" s="22"/>
      <c r="C1834" s="22"/>
      <c r="D1834" s="22"/>
      <c r="E1834" s="22"/>
      <c r="F1834" s="27" t="str">
        <f aca="false">IF(B1834="","",IFERROR(INDEX(Roster!$B$5:$B$154,MATCH(B1834,Roster!$A$5:$A$154,0)),"Not on roster"))</f>
        <v/>
      </c>
      <c r="G1834" s="28" t="str">
        <f aca="false">IF(OR(B1834="",C1834=""),"",F1834&amp;" | "&amp;C1834)</f>
        <v/>
      </c>
      <c r="H1834" s="27" t="str">
        <f aca="false">IF(G1834="","",IFERROR(INDEX(Levels!$C$5:$C$94,MATCH(G1834,Levels!$G$5:$G$94,0)),"Not this class's skill"))</f>
        <v/>
      </c>
    </row>
    <row r="1835" customFormat="false" ht="15" hidden="false" customHeight="false" outlineLevel="0" collapsed="false">
      <c r="A1835" s="23"/>
      <c r="B1835" s="22"/>
      <c r="C1835" s="22"/>
      <c r="D1835" s="22"/>
      <c r="E1835" s="22"/>
      <c r="F1835" s="27" t="str">
        <f aca="false">IF(B1835="","",IFERROR(INDEX(Roster!$B$5:$B$154,MATCH(B1835,Roster!$A$5:$A$154,0)),"Not on roster"))</f>
        <v/>
      </c>
      <c r="G1835" s="28" t="str">
        <f aca="false">IF(OR(B1835="",C1835=""),"",F1835&amp;" | "&amp;C1835)</f>
        <v/>
      </c>
      <c r="H1835" s="27" t="str">
        <f aca="false">IF(G1835="","",IFERROR(INDEX(Levels!$C$5:$C$94,MATCH(G1835,Levels!$G$5:$G$94,0)),"Not this class's skill"))</f>
        <v/>
      </c>
    </row>
    <row r="1836" customFormat="false" ht="15" hidden="false" customHeight="false" outlineLevel="0" collapsed="false">
      <c r="A1836" s="23"/>
      <c r="B1836" s="22"/>
      <c r="C1836" s="22"/>
      <c r="D1836" s="22"/>
      <c r="E1836" s="22"/>
      <c r="F1836" s="27" t="str">
        <f aca="false">IF(B1836="","",IFERROR(INDEX(Roster!$B$5:$B$154,MATCH(B1836,Roster!$A$5:$A$154,0)),"Not on roster"))</f>
        <v/>
      </c>
      <c r="G1836" s="28" t="str">
        <f aca="false">IF(OR(B1836="",C1836=""),"",F1836&amp;" | "&amp;C1836)</f>
        <v/>
      </c>
      <c r="H1836" s="27" t="str">
        <f aca="false">IF(G1836="","",IFERROR(INDEX(Levels!$C$5:$C$94,MATCH(G1836,Levels!$G$5:$G$94,0)),"Not this class's skill"))</f>
        <v/>
      </c>
    </row>
    <row r="1837" customFormat="false" ht="15" hidden="false" customHeight="false" outlineLevel="0" collapsed="false">
      <c r="A1837" s="23"/>
      <c r="B1837" s="22"/>
      <c r="C1837" s="22"/>
      <c r="D1837" s="22"/>
      <c r="E1837" s="22"/>
      <c r="F1837" s="27" t="str">
        <f aca="false">IF(B1837="","",IFERROR(INDEX(Roster!$B$5:$B$154,MATCH(B1837,Roster!$A$5:$A$154,0)),"Not on roster"))</f>
        <v/>
      </c>
      <c r="G1837" s="28" t="str">
        <f aca="false">IF(OR(B1837="",C1837=""),"",F1837&amp;" | "&amp;C1837)</f>
        <v/>
      </c>
      <c r="H1837" s="27" t="str">
        <f aca="false">IF(G1837="","",IFERROR(INDEX(Levels!$C$5:$C$94,MATCH(G1837,Levels!$G$5:$G$94,0)),"Not this class's skill"))</f>
        <v/>
      </c>
    </row>
    <row r="1838" customFormat="false" ht="15" hidden="false" customHeight="false" outlineLevel="0" collapsed="false">
      <c r="A1838" s="23"/>
      <c r="B1838" s="22"/>
      <c r="C1838" s="22"/>
      <c r="D1838" s="22"/>
      <c r="E1838" s="22"/>
      <c r="F1838" s="27" t="str">
        <f aca="false">IF(B1838="","",IFERROR(INDEX(Roster!$B$5:$B$154,MATCH(B1838,Roster!$A$5:$A$154,0)),"Not on roster"))</f>
        <v/>
      </c>
      <c r="G1838" s="28" t="str">
        <f aca="false">IF(OR(B1838="",C1838=""),"",F1838&amp;" | "&amp;C1838)</f>
        <v/>
      </c>
      <c r="H1838" s="27" t="str">
        <f aca="false">IF(G1838="","",IFERROR(INDEX(Levels!$C$5:$C$94,MATCH(G1838,Levels!$G$5:$G$94,0)),"Not this class's skill"))</f>
        <v/>
      </c>
    </row>
    <row r="1839" customFormat="false" ht="15" hidden="false" customHeight="false" outlineLevel="0" collapsed="false">
      <c r="A1839" s="23"/>
      <c r="B1839" s="22"/>
      <c r="C1839" s="22"/>
      <c r="D1839" s="22"/>
      <c r="E1839" s="22"/>
      <c r="F1839" s="27" t="str">
        <f aca="false">IF(B1839="","",IFERROR(INDEX(Roster!$B$5:$B$154,MATCH(B1839,Roster!$A$5:$A$154,0)),"Not on roster"))</f>
        <v/>
      </c>
      <c r="G1839" s="28" t="str">
        <f aca="false">IF(OR(B1839="",C1839=""),"",F1839&amp;" | "&amp;C1839)</f>
        <v/>
      </c>
      <c r="H1839" s="27" t="str">
        <f aca="false">IF(G1839="","",IFERROR(INDEX(Levels!$C$5:$C$94,MATCH(G1839,Levels!$G$5:$G$94,0)),"Not this class's skill"))</f>
        <v/>
      </c>
    </row>
    <row r="1840" customFormat="false" ht="15" hidden="false" customHeight="false" outlineLevel="0" collapsed="false">
      <c r="A1840" s="23"/>
      <c r="B1840" s="22"/>
      <c r="C1840" s="22"/>
      <c r="D1840" s="22"/>
      <c r="E1840" s="22"/>
      <c r="F1840" s="27" t="str">
        <f aca="false">IF(B1840="","",IFERROR(INDEX(Roster!$B$5:$B$154,MATCH(B1840,Roster!$A$5:$A$154,0)),"Not on roster"))</f>
        <v/>
      </c>
      <c r="G1840" s="28" t="str">
        <f aca="false">IF(OR(B1840="",C1840=""),"",F1840&amp;" | "&amp;C1840)</f>
        <v/>
      </c>
      <c r="H1840" s="27" t="str">
        <f aca="false">IF(G1840="","",IFERROR(INDEX(Levels!$C$5:$C$94,MATCH(G1840,Levels!$G$5:$G$94,0)),"Not this class's skill"))</f>
        <v/>
      </c>
    </row>
    <row r="1841" customFormat="false" ht="15" hidden="false" customHeight="false" outlineLevel="0" collapsed="false">
      <c r="A1841" s="23"/>
      <c r="B1841" s="22"/>
      <c r="C1841" s="22"/>
      <c r="D1841" s="22"/>
      <c r="E1841" s="22"/>
      <c r="F1841" s="27" t="str">
        <f aca="false">IF(B1841="","",IFERROR(INDEX(Roster!$B$5:$B$154,MATCH(B1841,Roster!$A$5:$A$154,0)),"Not on roster"))</f>
        <v/>
      </c>
      <c r="G1841" s="28" t="str">
        <f aca="false">IF(OR(B1841="",C1841=""),"",F1841&amp;" | "&amp;C1841)</f>
        <v/>
      </c>
      <c r="H1841" s="27" t="str">
        <f aca="false">IF(G1841="","",IFERROR(INDEX(Levels!$C$5:$C$94,MATCH(G1841,Levels!$G$5:$G$94,0)),"Not this class's skill"))</f>
        <v/>
      </c>
    </row>
    <row r="1842" customFormat="false" ht="15" hidden="false" customHeight="false" outlineLevel="0" collapsed="false">
      <c r="A1842" s="23"/>
      <c r="B1842" s="22"/>
      <c r="C1842" s="22"/>
      <c r="D1842" s="22"/>
      <c r="E1842" s="22"/>
      <c r="F1842" s="27" t="str">
        <f aca="false">IF(B1842="","",IFERROR(INDEX(Roster!$B$5:$B$154,MATCH(B1842,Roster!$A$5:$A$154,0)),"Not on roster"))</f>
        <v/>
      </c>
      <c r="G1842" s="28" t="str">
        <f aca="false">IF(OR(B1842="",C1842=""),"",F1842&amp;" | "&amp;C1842)</f>
        <v/>
      </c>
      <c r="H1842" s="27" t="str">
        <f aca="false">IF(G1842="","",IFERROR(INDEX(Levels!$C$5:$C$94,MATCH(G1842,Levels!$G$5:$G$94,0)),"Not this class's skill"))</f>
        <v/>
      </c>
    </row>
    <row r="1843" customFormat="false" ht="15" hidden="false" customHeight="false" outlineLevel="0" collapsed="false">
      <c r="A1843" s="23"/>
      <c r="B1843" s="22"/>
      <c r="C1843" s="22"/>
      <c r="D1843" s="22"/>
      <c r="E1843" s="22"/>
      <c r="F1843" s="27" t="str">
        <f aca="false">IF(B1843="","",IFERROR(INDEX(Roster!$B$5:$B$154,MATCH(B1843,Roster!$A$5:$A$154,0)),"Not on roster"))</f>
        <v/>
      </c>
      <c r="G1843" s="28" t="str">
        <f aca="false">IF(OR(B1843="",C1843=""),"",F1843&amp;" | "&amp;C1843)</f>
        <v/>
      </c>
      <c r="H1843" s="27" t="str">
        <f aca="false">IF(G1843="","",IFERROR(INDEX(Levels!$C$5:$C$94,MATCH(G1843,Levels!$G$5:$G$94,0)),"Not this class's skill"))</f>
        <v/>
      </c>
    </row>
    <row r="1844" customFormat="false" ht="15" hidden="false" customHeight="false" outlineLevel="0" collapsed="false">
      <c r="A1844" s="23"/>
      <c r="B1844" s="22"/>
      <c r="C1844" s="22"/>
      <c r="D1844" s="22"/>
      <c r="E1844" s="22"/>
      <c r="F1844" s="27" t="str">
        <f aca="false">IF(B1844="","",IFERROR(INDEX(Roster!$B$5:$B$154,MATCH(B1844,Roster!$A$5:$A$154,0)),"Not on roster"))</f>
        <v/>
      </c>
      <c r="G1844" s="28" t="str">
        <f aca="false">IF(OR(B1844="",C1844=""),"",F1844&amp;" | "&amp;C1844)</f>
        <v/>
      </c>
      <c r="H1844" s="27" t="str">
        <f aca="false">IF(G1844="","",IFERROR(INDEX(Levels!$C$5:$C$94,MATCH(G1844,Levels!$G$5:$G$94,0)),"Not this class's skill"))</f>
        <v/>
      </c>
    </row>
    <row r="1845" customFormat="false" ht="15" hidden="false" customHeight="false" outlineLevel="0" collapsed="false">
      <c r="A1845" s="23"/>
      <c r="B1845" s="22"/>
      <c r="C1845" s="22"/>
      <c r="D1845" s="22"/>
      <c r="E1845" s="22"/>
      <c r="F1845" s="27" t="str">
        <f aca="false">IF(B1845="","",IFERROR(INDEX(Roster!$B$5:$B$154,MATCH(B1845,Roster!$A$5:$A$154,0)),"Not on roster"))</f>
        <v/>
      </c>
      <c r="G1845" s="28" t="str">
        <f aca="false">IF(OR(B1845="",C1845=""),"",F1845&amp;" | "&amp;C1845)</f>
        <v/>
      </c>
      <c r="H1845" s="27" t="str">
        <f aca="false">IF(G1845="","",IFERROR(INDEX(Levels!$C$5:$C$94,MATCH(G1845,Levels!$G$5:$G$94,0)),"Not this class's skill"))</f>
        <v/>
      </c>
    </row>
    <row r="1846" customFormat="false" ht="15" hidden="false" customHeight="false" outlineLevel="0" collapsed="false">
      <c r="A1846" s="23"/>
      <c r="B1846" s="22"/>
      <c r="C1846" s="22"/>
      <c r="D1846" s="22"/>
      <c r="E1846" s="22"/>
      <c r="F1846" s="27" t="str">
        <f aca="false">IF(B1846="","",IFERROR(INDEX(Roster!$B$5:$B$154,MATCH(B1846,Roster!$A$5:$A$154,0)),"Not on roster"))</f>
        <v/>
      </c>
      <c r="G1846" s="28" t="str">
        <f aca="false">IF(OR(B1846="",C1846=""),"",F1846&amp;" | "&amp;C1846)</f>
        <v/>
      </c>
      <c r="H1846" s="27" t="str">
        <f aca="false">IF(G1846="","",IFERROR(INDEX(Levels!$C$5:$C$94,MATCH(G1846,Levels!$G$5:$G$94,0)),"Not this class's skill"))</f>
        <v/>
      </c>
    </row>
    <row r="1847" customFormat="false" ht="15" hidden="false" customHeight="false" outlineLevel="0" collapsed="false">
      <c r="A1847" s="23"/>
      <c r="B1847" s="22"/>
      <c r="C1847" s="22"/>
      <c r="D1847" s="22"/>
      <c r="E1847" s="22"/>
      <c r="F1847" s="27" t="str">
        <f aca="false">IF(B1847="","",IFERROR(INDEX(Roster!$B$5:$B$154,MATCH(B1847,Roster!$A$5:$A$154,0)),"Not on roster"))</f>
        <v/>
      </c>
      <c r="G1847" s="28" t="str">
        <f aca="false">IF(OR(B1847="",C1847=""),"",F1847&amp;" | "&amp;C1847)</f>
        <v/>
      </c>
      <c r="H1847" s="27" t="str">
        <f aca="false">IF(G1847="","",IFERROR(INDEX(Levels!$C$5:$C$94,MATCH(G1847,Levels!$G$5:$G$94,0)),"Not this class's skill"))</f>
        <v/>
      </c>
    </row>
    <row r="1848" customFormat="false" ht="15" hidden="false" customHeight="false" outlineLevel="0" collapsed="false">
      <c r="A1848" s="23"/>
      <c r="B1848" s="22"/>
      <c r="C1848" s="22"/>
      <c r="D1848" s="22"/>
      <c r="E1848" s="22"/>
      <c r="F1848" s="27" t="str">
        <f aca="false">IF(B1848="","",IFERROR(INDEX(Roster!$B$5:$B$154,MATCH(B1848,Roster!$A$5:$A$154,0)),"Not on roster"))</f>
        <v/>
      </c>
      <c r="G1848" s="28" t="str">
        <f aca="false">IF(OR(B1848="",C1848=""),"",F1848&amp;" | "&amp;C1848)</f>
        <v/>
      </c>
      <c r="H1848" s="27" t="str">
        <f aca="false">IF(G1848="","",IFERROR(INDEX(Levels!$C$5:$C$94,MATCH(G1848,Levels!$G$5:$G$94,0)),"Not this class's skill"))</f>
        <v/>
      </c>
    </row>
    <row r="1849" customFormat="false" ht="15" hidden="false" customHeight="false" outlineLevel="0" collapsed="false">
      <c r="A1849" s="23"/>
      <c r="B1849" s="22"/>
      <c r="C1849" s="22"/>
      <c r="D1849" s="22"/>
      <c r="E1849" s="22"/>
      <c r="F1849" s="27" t="str">
        <f aca="false">IF(B1849="","",IFERROR(INDEX(Roster!$B$5:$B$154,MATCH(B1849,Roster!$A$5:$A$154,0)),"Not on roster"))</f>
        <v/>
      </c>
      <c r="G1849" s="28" t="str">
        <f aca="false">IF(OR(B1849="",C1849=""),"",F1849&amp;" | "&amp;C1849)</f>
        <v/>
      </c>
      <c r="H1849" s="27" t="str">
        <f aca="false">IF(G1849="","",IFERROR(INDEX(Levels!$C$5:$C$94,MATCH(G1849,Levels!$G$5:$G$94,0)),"Not this class's skill"))</f>
        <v/>
      </c>
    </row>
    <row r="1850" customFormat="false" ht="15" hidden="false" customHeight="false" outlineLevel="0" collapsed="false">
      <c r="A1850" s="23"/>
      <c r="B1850" s="22"/>
      <c r="C1850" s="22"/>
      <c r="D1850" s="22"/>
      <c r="E1850" s="22"/>
      <c r="F1850" s="27" t="str">
        <f aca="false">IF(B1850="","",IFERROR(INDEX(Roster!$B$5:$B$154,MATCH(B1850,Roster!$A$5:$A$154,0)),"Not on roster"))</f>
        <v/>
      </c>
      <c r="G1850" s="28" t="str">
        <f aca="false">IF(OR(B1850="",C1850=""),"",F1850&amp;" | "&amp;C1850)</f>
        <v/>
      </c>
      <c r="H1850" s="27" t="str">
        <f aca="false">IF(G1850="","",IFERROR(INDEX(Levels!$C$5:$C$94,MATCH(G1850,Levels!$G$5:$G$94,0)),"Not this class's skill"))</f>
        <v/>
      </c>
    </row>
    <row r="1851" customFormat="false" ht="15" hidden="false" customHeight="false" outlineLevel="0" collapsed="false">
      <c r="A1851" s="23"/>
      <c r="B1851" s="22"/>
      <c r="C1851" s="22"/>
      <c r="D1851" s="22"/>
      <c r="E1851" s="22"/>
      <c r="F1851" s="27" t="str">
        <f aca="false">IF(B1851="","",IFERROR(INDEX(Roster!$B$5:$B$154,MATCH(B1851,Roster!$A$5:$A$154,0)),"Not on roster"))</f>
        <v/>
      </c>
      <c r="G1851" s="28" t="str">
        <f aca="false">IF(OR(B1851="",C1851=""),"",F1851&amp;" | "&amp;C1851)</f>
        <v/>
      </c>
      <c r="H1851" s="27" t="str">
        <f aca="false">IF(G1851="","",IFERROR(INDEX(Levels!$C$5:$C$94,MATCH(G1851,Levels!$G$5:$G$94,0)),"Not this class's skill"))</f>
        <v/>
      </c>
    </row>
    <row r="1852" customFormat="false" ht="15" hidden="false" customHeight="false" outlineLevel="0" collapsed="false">
      <c r="A1852" s="23"/>
      <c r="B1852" s="22"/>
      <c r="C1852" s="22"/>
      <c r="D1852" s="22"/>
      <c r="E1852" s="22"/>
      <c r="F1852" s="27" t="str">
        <f aca="false">IF(B1852="","",IFERROR(INDEX(Roster!$B$5:$B$154,MATCH(B1852,Roster!$A$5:$A$154,0)),"Not on roster"))</f>
        <v/>
      </c>
      <c r="G1852" s="28" t="str">
        <f aca="false">IF(OR(B1852="",C1852=""),"",F1852&amp;" | "&amp;C1852)</f>
        <v/>
      </c>
      <c r="H1852" s="27" t="str">
        <f aca="false">IF(G1852="","",IFERROR(INDEX(Levels!$C$5:$C$94,MATCH(G1852,Levels!$G$5:$G$94,0)),"Not this class's skill"))</f>
        <v/>
      </c>
    </row>
    <row r="1853" customFormat="false" ht="15" hidden="false" customHeight="false" outlineLevel="0" collapsed="false">
      <c r="A1853" s="23"/>
      <c r="B1853" s="22"/>
      <c r="C1853" s="22"/>
      <c r="D1853" s="22"/>
      <c r="E1853" s="22"/>
      <c r="F1853" s="27" t="str">
        <f aca="false">IF(B1853="","",IFERROR(INDEX(Roster!$B$5:$B$154,MATCH(B1853,Roster!$A$5:$A$154,0)),"Not on roster"))</f>
        <v/>
      </c>
      <c r="G1853" s="28" t="str">
        <f aca="false">IF(OR(B1853="",C1853=""),"",F1853&amp;" | "&amp;C1853)</f>
        <v/>
      </c>
      <c r="H1853" s="27" t="str">
        <f aca="false">IF(G1853="","",IFERROR(INDEX(Levels!$C$5:$C$94,MATCH(G1853,Levels!$G$5:$G$94,0)),"Not this class's skill"))</f>
        <v/>
      </c>
    </row>
    <row r="1854" customFormat="false" ht="15" hidden="false" customHeight="false" outlineLevel="0" collapsed="false">
      <c r="A1854" s="23"/>
      <c r="B1854" s="22"/>
      <c r="C1854" s="22"/>
      <c r="D1854" s="22"/>
      <c r="E1854" s="22"/>
      <c r="F1854" s="27" t="str">
        <f aca="false">IF(B1854="","",IFERROR(INDEX(Roster!$B$5:$B$154,MATCH(B1854,Roster!$A$5:$A$154,0)),"Not on roster"))</f>
        <v/>
      </c>
      <c r="G1854" s="28" t="str">
        <f aca="false">IF(OR(B1854="",C1854=""),"",F1854&amp;" | "&amp;C1854)</f>
        <v/>
      </c>
      <c r="H1854" s="27" t="str">
        <f aca="false">IF(G1854="","",IFERROR(INDEX(Levels!$C$5:$C$94,MATCH(G1854,Levels!$G$5:$G$94,0)),"Not this class's skill"))</f>
        <v/>
      </c>
    </row>
    <row r="1855" customFormat="false" ht="15" hidden="false" customHeight="false" outlineLevel="0" collapsed="false">
      <c r="A1855" s="23"/>
      <c r="B1855" s="22"/>
      <c r="C1855" s="22"/>
      <c r="D1855" s="22"/>
      <c r="E1855" s="22"/>
      <c r="F1855" s="27" t="str">
        <f aca="false">IF(B1855="","",IFERROR(INDEX(Roster!$B$5:$B$154,MATCH(B1855,Roster!$A$5:$A$154,0)),"Not on roster"))</f>
        <v/>
      </c>
      <c r="G1855" s="28" t="str">
        <f aca="false">IF(OR(B1855="",C1855=""),"",F1855&amp;" | "&amp;C1855)</f>
        <v/>
      </c>
      <c r="H1855" s="27" t="str">
        <f aca="false">IF(G1855="","",IFERROR(INDEX(Levels!$C$5:$C$94,MATCH(G1855,Levels!$G$5:$G$94,0)),"Not this class's skill"))</f>
        <v/>
      </c>
    </row>
    <row r="1856" customFormat="false" ht="15" hidden="false" customHeight="false" outlineLevel="0" collapsed="false">
      <c r="A1856" s="23"/>
      <c r="B1856" s="22"/>
      <c r="C1856" s="22"/>
      <c r="D1856" s="22"/>
      <c r="E1856" s="22"/>
      <c r="F1856" s="27" t="str">
        <f aca="false">IF(B1856="","",IFERROR(INDEX(Roster!$B$5:$B$154,MATCH(B1856,Roster!$A$5:$A$154,0)),"Not on roster"))</f>
        <v/>
      </c>
      <c r="G1856" s="28" t="str">
        <f aca="false">IF(OR(B1856="",C1856=""),"",F1856&amp;" | "&amp;C1856)</f>
        <v/>
      </c>
      <c r="H1856" s="27" t="str">
        <f aca="false">IF(G1856="","",IFERROR(INDEX(Levels!$C$5:$C$94,MATCH(G1856,Levels!$G$5:$G$94,0)),"Not this class's skill"))</f>
        <v/>
      </c>
    </row>
    <row r="1857" customFormat="false" ht="15" hidden="false" customHeight="false" outlineLevel="0" collapsed="false">
      <c r="A1857" s="23"/>
      <c r="B1857" s="22"/>
      <c r="C1857" s="22"/>
      <c r="D1857" s="22"/>
      <c r="E1857" s="22"/>
      <c r="F1857" s="27" t="str">
        <f aca="false">IF(B1857="","",IFERROR(INDEX(Roster!$B$5:$B$154,MATCH(B1857,Roster!$A$5:$A$154,0)),"Not on roster"))</f>
        <v/>
      </c>
      <c r="G1857" s="28" t="str">
        <f aca="false">IF(OR(B1857="",C1857=""),"",F1857&amp;" | "&amp;C1857)</f>
        <v/>
      </c>
      <c r="H1857" s="27" t="str">
        <f aca="false">IF(G1857="","",IFERROR(INDEX(Levels!$C$5:$C$94,MATCH(G1857,Levels!$G$5:$G$94,0)),"Not this class's skill"))</f>
        <v/>
      </c>
    </row>
    <row r="1858" customFormat="false" ht="15" hidden="false" customHeight="false" outlineLevel="0" collapsed="false">
      <c r="A1858" s="23"/>
      <c r="B1858" s="22"/>
      <c r="C1858" s="22"/>
      <c r="D1858" s="22"/>
      <c r="E1858" s="22"/>
      <c r="F1858" s="27" t="str">
        <f aca="false">IF(B1858="","",IFERROR(INDEX(Roster!$B$5:$B$154,MATCH(B1858,Roster!$A$5:$A$154,0)),"Not on roster"))</f>
        <v/>
      </c>
      <c r="G1858" s="28" t="str">
        <f aca="false">IF(OR(B1858="",C1858=""),"",F1858&amp;" | "&amp;C1858)</f>
        <v/>
      </c>
      <c r="H1858" s="27" t="str">
        <f aca="false">IF(G1858="","",IFERROR(INDEX(Levels!$C$5:$C$94,MATCH(G1858,Levels!$G$5:$G$94,0)),"Not this class's skill"))</f>
        <v/>
      </c>
    </row>
    <row r="1859" customFormat="false" ht="15" hidden="false" customHeight="false" outlineLevel="0" collapsed="false">
      <c r="A1859" s="23"/>
      <c r="B1859" s="22"/>
      <c r="C1859" s="22"/>
      <c r="D1859" s="22"/>
      <c r="E1859" s="22"/>
      <c r="F1859" s="27" t="str">
        <f aca="false">IF(B1859="","",IFERROR(INDEX(Roster!$B$5:$B$154,MATCH(B1859,Roster!$A$5:$A$154,0)),"Not on roster"))</f>
        <v/>
      </c>
      <c r="G1859" s="28" t="str">
        <f aca="false">IF(OR(B1859="",C1859=""),"",F1859&amp;" | "&amp;C1859)</f>
        <v/>
      </c>
      <c r="H1859" s="27" t="str">
        <f aca="false">IF(G1859="","",IFERROR(INDEX(Levels!$C$5:$C$94,MATCH(G1859,Levels!$G$5:$G$94,0)),"Not this class's skill"))</f>
        <v/>
      </c>
    </row>
    <row r="1860" customFormat="false" ht="15" hidden="false" customHeight="false" outlineLevel="0" collapsed="false">
      <c r="A1860" s="23"/>
      <c r="B1860" s="22"/>
      <c r="C1860" s="22"/>
      <c r="D1860" s="22"/>
      <c r="E1860" s="22"/>
      <c r="F1860" s="27" t="str">
        <f aca="false">IF(B1860="","",IFERROR(INDEX(Roster!$B$5:$B$154,MATCH(B1860,Roster!$A$5:$A$154,0)),"Not on roster"))</f>
        <v/>
      </c>
      <c r="G1860" s="28" t="str">
        <f aca="false">IF(OR(B1860="",C1860=""),"",F1860&amp;" | "&amp;C1860)</f>
        <v/>
      </c>
      <c r="H1860" s="27" t="str">
        <f aca="false">IF(G1860="","",IFERROR(INDEX(Levels!$C$5:$C$94,MATCH(G1860,Levels!$G$5:$G$94,0)),"Not this class's skill"))</f>
        <v/>
      </c>
    </row>
    <row r="1861" customFormat="false" ht="15" hidden="false" customHeight="false" outlineLevel="0" collapsed="false">
      <c r="A1861" s="23"/>
      <c r="B1861" s="22"/>
      <c r="C1861" s="22"/>
      <c r="D1861" s="22"/>
      <c r="E1861" s="22"/>
      <c r="F1861" s="27" t="str">
        <f aca="false">IF(B1861="","",IFERROR(INDEX(Roster!$B$5:$B$154,MATCH(B1861,Roster!$A$5:$A$154,0)),"Not on roster"))</f>
        <v/>
      </c>
      <c r="G1861" s="28" t="str">
        <f aca="false">IF(OR(B1861="",C1861=""),"",F1861&amp;" | "&amp;C1861)</f>
        <v/>
      </c>
      <c r="H1861" s="27" t="str">
        <f aca="false">IF(G1861="","",IFERROR(INDEX(Levels!$C$5:$C$94,MATCH(G1861,Levels!$G$5:$G$94,0)),"Not this class's skill"))</f>
        <v/>
      </c>
    </row>
    <row r="1862" customFormat="false" ht="15" hidden="false" customHeight="false" outlineLevel="0" collapsed="false">
      <c r="A1862" s="23"/>
      <c r="B1862" s="22"/>
      <c r="C1862" s="22"/>
      <c r="D1862" s="22"/>
      <c r="E1862" s="22"/>
      <c r="F1862" s="27" t="str">
        <f aca="false">IF(B1862="","",IFERROR(INDEX(Roster!$B$5:$B$154,MATCH(B1862,Roster!$A$5:$A$154,0)),"Not on roster"))</f>
        <v/>
      </c>
      <c r="G1862" s="28" t="str">
        <f aca="false">IF(OR(B1862="",C1862=""),"",F1862&amp;" | "&amp;C1862)</f>
        <v/>
      </c>
      <c r="H1862" s="27" t="str">
        <f aca="false">IF(G1862="","",IFERROR(INDEX(Levels!$C$5:$C$94,MATCH(G1862,Levels!$G$5:$G$94,0)),"Not this class's skill"))</f>
        <v/>
      </c>
    </row>
    <row r="1863" customFormat="false" ht="15" hidden="false" customHeight="false" outlineLevel="0" collapsed="false">
      <c r="A1863" s="23"/>
      <c r="B1863" s="22"/>
      <c r="C1863" s="22"/>
      <c r="D1863" s="22"/>
      <c r="E1863" s="22"/>
      <c r="F1863" s="27" t="str">
        <f aca="false">IF(B1863="","",IFERROR(INDEX(Roster!$B$5:$B$154,MATCH(B1863,Roster!$A$5:$A$154,0)),"Not on roster"))</f>
        <v/>
      </c>
      <c r="G1863" s="28" t="str">
        <f aca="false">IF(OR(B1863="",C1863=""),"",F1863&amp;" | "&amp;C1863)</f>
        <v/>
      </c>
      <c r="H1863" s="27" t="str">
        <f aca="false">IF(G1863="","",IFERROR(INDEX(Levels!$C$5:$C$94,MATCH(G1863,Levels!$G$5:$G$94,0)),"Not this class's skill"))</f>
        <v/>
      </c>
    </row>
    <row r="1864" customFormat="false" ht="15" hidden="false" customHeight="false" outlineLevel="0" collapsed="false">
      <c r="A1864" s="23"/>
      <c r="B1864" s="22"/>
      <c r="C1864" s="22"/>
      <c r="D1864" s="22"/>
      <c r="E1864" s="22"/>
      <c r="F1864" s="27" t="str">
        <f aca="false">IF(B1864="","",IFERROR(INDEX(Roster!$B$5:$B$154,MATCH(B1864,Roster!$A$5:$A$154,0)),"Not on roster"))</f>
        <v/>
      </c>
      <c r="G1864" s="28" t="str">
        <f aca="false">IF(OR(B1864="",C1864=""),"",F1864&amp;" | "&amp;C1864)</f>
        <v/>
      </c>
      <c r="H1864" s="27" t="str">
        <f aca="false">IF(G1864="","",IFERROR(INDEX(Levels!$C$5:$C$94,MATCH(G1864,Levels!$G$5:$G$94,0)),"Not this class's skill"))</f>
        <v/>
      </c>
    </row>
    <row r="1865" customFormat="false" ht="15" hidden="false" customHeight="false" outlineLevel="0" collapsed="false">
      <c r="A1865" s="23"/>
      <c r="B1865" s="22"/>
      <c r="C1865" s="22"/>
      <c r="D1865" s="22"/>
      <c r="E1865" s="22"/>
      <c r="F1865" s="27" t="str">
        <f aca="false">IF(B1865="","",IFERROR(INDEX(Roster!$B$5:$B$154,MATCH(B1865,Roster!$A$5:$A$154,0)),"Not on roster"))</f>
        <v/>
      </c>
      <c r="G1865" s="28" t="str">
        <f aca="false">IF(OR(B1865="",C1865=""),"",F1865&amp;" | "&amp;C1865)</f>
        <v/>
      </c>
      <c r="H1865" s="27" t="str">
        <f aca="false">IF(G1865="","",IFERROR(INDEX(Levels!$C$5:$C$94,MATCH(G1865,Levels!$G$5:$G$94,0)),"Not this class's skill"))</f>
        <v/>
      </c>
    </row>
    <row r="1866" customFormat="false" ht="15" hidden="false" customHeight="false" outlineLevel="0" collapsed="false">
      <c r="A1866" s="23"/>
      <c r="B1866" s="22"/>
      <c r="C1866" s="22"/>
      <c r="D1866" s="22"/>
      <c r="E1866" s="22"/>
      <c r="F1866" s="27" t="str">
        <f aca="false">IF(B1866="","",IFERROR(INDEX(Roster!$B$5:$B$154,MATCH(B1866,Roster!$A$5:$A$154,0)),"Not on roster"))</f>
        <v/>
      </c>
      <c r="G1866" s="28" t="str">
        <f aca="false">IF(OR(B1866="",C1866=""),"",F1866&amp;" | "&amp;C1866)</f>
        <v/>
      </c>
      <c r="H1866" s="27" t="str">
        <f aca="false">IF(G1866="","",IFERROR(INDEX(Levels!$C$5:$C$94,MATCH(G1866,Levels!$G$5:$G$94,0)),"Not this class's skill"))</f>
        <v/>
      </c>
    </row>
    <row r="1867" customFormat="false" ht="15" hidden="false" customHeight="false" outlineLevel="0" collapsed="false">
      <c r="A1867" s="23"/>
      <c r="B1867" s="22"/>
      <c r="C1867" s="22"/>
      <c r="D1867" s="22"/>
      <c r="E1867" s="22"/>
      <c r="F1867" s="27" t="str">
        <f aca="false">IF(B1867="","",IFERROR(INDEX(Roster!$B$5:$B$154,MATCH(B1867,Roster!$A$5:$A$154,0)),"Not on roster"))</f>
        <v/>
      </c>
      <c r="G1867" s="28" t="str">
        <f aca="false">IF(OR(B1867="",C1867=""),"",F1867&amp;" | "&amp;C1867)</f>
        <v/>
      </c>
      <c r="H1867" s="27" t="str">
        <f aca="false">IF(G1867="","",IFERROR(INDEX(Levels!$C$5:$C$94,MATCH(G1867,Levels!$G$5:$G$94,0)),"Not this class's skill"))</f>
        <v/>
      </c>
    </row>
    <row r="1868" customFormat="false" ht="15" hidden="false" customHeight="false" outlineLevel="0" collapsed="false">
      <c r="A1868" s="23"/>
      <c r="B1868" s="22"/>
      <c r="C1868" s="22"/>
      <c r="D1868" s="22"/>
      <c r="E1868" s="22"/>
      <c r="F1868" s="27" t="str">
        <f aca="false">IF(B1868="","",IFERROR(INDEX(Roster!$B$5:$B$154,MATCH(B1868,Roster!$A$5:$A$154,0)),"Not on roster"))</f>
        <v/>
      </c>
      <c r="G1868" s="28" t="str">
        <f aca="false">IF(OR(B1868="",C1868=""),"",F1868&amp;" | "&amp;C1868)</f>
        <v/>
      </c>
      <c r="H1868" s="27" t="str">
        <f aca="false">IF(G1868="","",IFERROR(INDEX(Levels!$C$5:$C$94,MATCH(G1868,Levels!$G$5:$G$94,0)),"Not this class's skill"))</f>
        <v/>
      </c>
    </row>
    <row r="1869" customFormat="false" ht="15" hidden="false" customHeight="false" outlineLevel="0" collapsed="false">
      <c r="A1869" s="23"/>
      <c r="B1869" s="22"/>
      <c r="C1869" s="22"/>
      <c r="D1869" s="22"/>
      <c r="E1869" s="22"/>
      <c r="F1869" s="27" t="str">
        <f aca="false">IF(B1869="","",IFERROR(INDEX(Roster!$B$5:$B$154,MATCH(B1869,Roster!$A$5:$A$154,0)),"Not on roster"))</f>
        <v/>
      </c>
      <c r="G1869" s="28" t="str">
        <f aca="false">IF(OR(B1869="",C1869=""),"",F1869&amp;" | "&amp;C1869)</f>
        <v/>
      </c>
      <c r="H1869" s="27" t="str">
        <f aca="false">IF(G1869="","",IFERROR(INDEX(Levels!$C$5:$C$94,MATCH(G1869,Levels!$G$5:$G$94,0)),"Not this class's skill"))</f>
        <v/>
      </c>
    </row>
    <row r="1870" customFormat="false" ht="15" hidden="false" customHeight="false" outlineLevel="0" collapsed="false">
      <c r="A1870" s="23"/>
      <c r="B1870" s="22"/>
      <c r="C1870" s="22"/>
      <c r="D1870" s="22"/>
      <c r="E1870" s="22"/>
      <c r="F1870" s="27" t="str">
        <f aca="false">IF(B1870="","",IFERROR(INDEX(Roster!$B$5:$B$154,MATCH(B1870,Roster!$A$5:$A$154,0)),"Not on roster"))</f>
        <v/>
      </c>
      <c r="G1870" s="28" t="str">
        <f aca="false">IF(OR(B1870="",C1870=""),"",F1870&amp;" | "&amp;C1870)</f>
        <v/>
      </c>
      <c r="H1870" s="27" t="str">
        <f aca="false">IF(G1870="","",IFERROR(INDEX(Levels!$C$5:$C$94,MATCH(G1870,Levels!$G$5:$G$94,0)),"Not this class's skill"))</f>
        <v/>
      </c>
    </row>
    <row r="1871" customFormat="false" ht="15" hidden="false" customHeight="false" outlineLevel="0" collapsed="false">
      <c r="A1871" s="23"/>
      <c r="B1871" s="22"/>
      <c r="C1871" s="22"/>
      <c r="D1871" s="22"/>
      <c r="E1871" s="22"/>
      <c r="F1871" s="27" t="str">
        <f aca="false">IF(B1871="","",IFERROR(INDEX(Roster!$B$5:$B$154,MATCH(B1871,Roster!$A$5:$A$154,0)),"Not on roster"))</f>
        <v/>
      </c>
      <c r="G1871" s="28" t="str">
        <f aca="false">IF(OR(B1871="",C1871=""),"",F1871&amp;" | "&amp;C1871)</f>
        <v/>
      </c>
      <c r="H1871" s="27" t="str">
        <f aca="false">IF(G1871="","",IFERROR(INDEX(Levels!$C$5:$C$94,MATCH(G1871,Levels!$G$5:$G$94,0)),"Not this class's skill"))</f>
        <v/>
      </c>
    </row>
    <row r="1872" customFormat="false" ht="15" hidden="false" customHeight="false" outlineLevel="0" collapsed="false">
      <c r="A1872" s="23"/>
      <c r="B1872" s="22"/>
      <c r="C1872" s="22"/>
      <c r="D1872" s="22"/>
      <c r="E1872" s="22"/>
      <c r="F1872" s="27" t="str">
        <f aca="false">IF(B1872="","",IFERROR(INDEX(Roster!$B$5:$B$154,MATCH(B1872,Roster!$A$5:$A$154,0)),"Not on roster"))</f>
        <v/>
      </c>
      <c r="G1872" s="28" t="str">
        <f aca="false">IF(OR(B1872="",C1872=""),"",F1872&amp;" | "&amp;C1872)</f>
        <v/>
      </c>
      <c r="H1872" s="27" t="str">
        <f aca="false">IF(G1872="","",IFERROR(INDEX(Levels!$C$5:$C$94,MATCH(G1872,Levels!$G$5:$G$94,0)),"Not this class's skill"))</f>
        <v/>
      </c>
    </row>
    <row r="1873" customFormat="false" ht="15" hidden="false" customHeight="false" outlineLevel="0" collapsed="false">
      <c r="A1873" s="23"/>
      <c r="B1873" s="22"/>
      <c r="C1873" s="22"/>
      <c r="D1873" s="22"/>
      <c r="E1873" s="22"/>
      <c r="F1873" s="27" t="str">
        <f aca="false">IF(B1873="","",IFERROR(INDEX(Roster!$B$5:$B$154,MATCH(B1873,Roster!$A$5:$A$154,0)),"Not on roster"))</f>
        <v/>
      </c>
      <c r="G1873" s="28" t="str">
        <f aca="false">IF(OR(B1873="",C1873=""),"",F1873&amp;" | "&amp;C1873)</f>
        <v/>
      </c>
      <c r="H1873" s="27" t="str">
        <f aca="false">IF(G1873="","",IFERROR(INDEX(Levels!$C$5:$C$94,MATCH(G1873,Levels!$G$5:$G$94,0)),"Not this class's skill"))</f>
        <v/>
      </c>
    </row>
    <row r="1874" customFormat="false" ht="15" hidden="false" customHeight="false" outlineLevel="0" collapsed="false">
      <c r="A1874" s="23"/>
      <c r="B1874" s="22"/>
      <c r="C1874" s="22"/>
      <c r="D1874" s="22"/>
      <c r="E1874" s="22"/>
      <c r="F1874" s="27" t="str">
        <f aca="false">IF(B1874="","",IFERROR(INDEX(Roster!$B$5:$B$154,MATCH(B1874,Roster!$A$5:$A$154,0)),"Not on roster"))</f>
        <v/>
      </c>
      <c r="G1874" s="28" t="str">
        <f aca="false">IF(OR(B1874="",C1874=""),"",F1874&amp;" | "&amp;C1874)</f>
        <v/>
      </c>
      <c r="H1874" s="27" t="str">
        <f aca="false">IF(G1874="","",IFERROR(INDEX(Levels!$C$5:$C$94,MATCH(G1874,Levels!$G$5:$G$94,0)),"Not this class's skill"))</f>
        <v/>
      </c>
    </row>
    <row r="1875" customFormat="false" ht="15" hidden="false" customHeight="false" outlineLevel="0" collapsed="false">
      <c r="A1875" s="23"/>
      <c r="B1875" s="22"/>
      <c r="C1875" s="22"/>
      <c r="D1875" s="22"/>
      <c r="E1875" s="22"/>
      <c r="F1875" s="27" t="str">
        <f aca="false">IF(B1875="","",IFERROR(INDEX(Roster!$B$5:$B$154,MATCH(B1875,Roster!$A$5:$A$154,0)),"Not on roster"))</f>
        <v/>
      </c>
      <c r="G1875" s="28" t="str">
        <f aca="false">IF(OR(B1875="",C1875=""),"",F1875&amp;" | "&amp;C1875)</f>
        <v/>
      </c>
      <c r="H1875" s="27" t="str">
        <f aca="false">IF(G1875="","",IFERROR(INDEX(Levels!$C$5:$C$94,MATCH(G1875,Levels!$G$5:$G$94,0)),"Not this class's skill"))</f>
        <v/>
      </c>
    </row>
    <row r="1876" customFormat="false" ht="15" hidden="false" customHeight="false" outlineLevel="0" collapsed="false">
      <c r="A1876" s="23"/>
      <c r="B1876" s="22"/>
      <c r="C1876" s="22"/>
      <c r="D1876" s="22"/>
      <c r="E1876" s="22"/>
      <c r="F1876" s="27" t="str">
        <f aca="false">IF(B1876="","",IFERROR(INDEX(Roster!$B$5:$B$154,MATCH(B1876,Roster!$A$5:$A$154,0)),"Not on roster"))</f>
        <v/>
      </c>
      <c r="G1876" s="28" t="str">
        <f aca="false">IF(OR(B1876="",C1876=""),"",F1876&amp;" | "&amp;C1876)</f>
        <v/>
      </c>
      <c r="H1876" s="27" t="str">
        <f aca="false">IF(G1876="","",IFERROR(INDEX(Levels!$C$5:$C$94,MATCH(G1876,Levels!$G$5:$G$94,0)),"Not this class's skill"))</f>
        <v/>
      </c>
    </row>
    <row r="1877" customFormat="false" ht="15" hidden="false" customHeight="false" outlineLevel="0" collapsed="false">
      <c r="A1877" s="23"/>
      <c r="B1877" s="22"/>
      <c r="C1877" s="22"/>
      <c r="D1877" s="22"/>
      <c r="E1877" s="22"/>
      <c r="F1877" s="27" t="str">
        <f aca="false">IF(B1877="","",IFERROR(INDEX(Roster!$B$5:$B$154,MATCH(B1877,Roster!$A$5:$A$154,0)),"Not on roster"))</f>
        <v/>
      </c>
      <c r="G1877" s="28" t="str">
        <f aca="false">IF(OR(B1877="",C1877=""),"",F1877&amp;" | "&amp;C1877)</f>
        <v/>
      </c>
      <c r="H1877" s="27" t="str">
        <f aca="false">IF(G1877="","",IFERROR(INDEX(Levels!$C$5:$C$94,MATCH(G1877,Levels!$G$5:$G$94,0)),"Not this class's skill"))</f>
        <v/>
      </c>
    </row>
    <row r="1878" customFormat="false" ht="15" hidden="false" customHeight="false" outlineLevel="0" collapsed="false">
      <c r="A1878" s="23"/>
      <c r="B1878" s="22"/>
      <c r="C1878" s="22"/>
      <c r="D1878" s="22"/>
      <c r="E1878" s="22"/>
      <c r="F1878" s="27" t="str">
        <f aca="false">IF(B1878="","",IFERROR(INDEX(Roster!$B$5:$B$154,MATCH(B1878,Roster!$A$5:$A$154,0)),"Not on roster"))</f>
        <v/>
      </c>
      <c r="G1878" s="28" t="str">
        <f aca="false">IF(OR(B1878="",C1878=""),"",F1878&amp;" | "&amp;C1878)</f>
        <v/>
      </c>
      <c r="H1878" s="27" t="str">
        <f aca="false">IF(G1878="","",IFERROR(INDEX(Levels!$C$5:$C$94,MATCH(G1878,Levels!$G$5:$G$94,0)),"Not this class's skill"))</f>
        <v/>
      </c>
    </row>
    <row r="1879" customFormat="false" ht="15" hidden="false" customHeight="false" outlineLevel="0" collapsed="false">
      <c r="A1879" s="23"/>
      <c r="B1879" s="22"/>
      <c r="C1879" s="22"/>
      <c r="D1879" s="22"/>
      <c r="E1879" s="22"/>
      <c r="F1879" s="27" t="str">
        <f aca="false">IF(B1879="","",IFERROR(INDEX(Roster!$B$5:$B$154,MATCH(B1879,Roster!$A$5:$A$154,0)),"Not on roster"))</f>
        <v/>
      </c>
      <c r="G1879" s="28" t="str">
        <f aca="false">IF(OR(B1879="",C1879=""),"",F1879&amp;" | "&amp;C1879)</f>
        <v/>
      </c>
      <c r="H1879" s="27" t="str">
        <f aca="false">IF(G1879="","",IFERROR(INDEX(Levels!$C$5:$C$94,MATCH(G1879,Levels!$G$5:$G$94,0)),"Not this class's skill"))</f>
        <v/>
      </c>
    </row>
    <row r="1880" customFormat="false" ht="15" hidden="false" customHeight="false" outlineLevel="0" collapsed="false">
      <c r="A1880" s="23"/>
      <c r="B1880" s="22"/>
      <c r="C1880" s="22"/>
      <c r="D1880" s="22"/>
      <c r="E1880" s="22"/>
      <c r="F1880" s="27" t="str">
        <f aca="false">IF(B1880="","",IFERROR(INDEX(Roster!$B$5:$B$154,MATCH(B1880,Roster!$A$5:$A$154,0)),"Not on roster"))</f>
        <v/>
      </c>
      <c r="G1880" s="28" t="str">
        <f aca="false">IF(OR(B1880="",C1880=""),"",F1880&amp;" | "&amp;C1880)</f>
        <v/>
      </c>
      <c r="H1880" s="27" t="str">
        <f aca="false">IF(G1880="","",IFERROR(INDEX(Levels!$C$5:$C$94,MATCH(G1880,Levels!$G$5:$G$94,0)),"Not this class's skill"))</f>
        <v/>
      </c>
    </row>
    <row r="1881" customFormat="false" ht="15" hidden="false" customHeight="false" outlineLevel="0" collapsed="false">
      <c r="A1881" s="23"/>
      <c r="B1881" s="22"/>
      <c r="C1881" s="22"/>
      <c r="D1881" s="22"/>
      <c r="E1881" s="22"/>
      <c r="F1881" s="27" t="str">
        <f aca="false">IF(B1881="","",IFERROR(INDEX(Roster!$B$5:$B$154,MATCH(B1881,Roster!$A$5:$A$154,0)),"Not on roster"))</f>
        <v/>
      </c>
      <c r="G1881" s="28" t="str">
        <f aca="false">IF(OR(B1881="",C1881=""),"",F1881&amp;" | "&amp;C1881)</f>
        <v/>
      </c>
      <c r="H1881" s="27" t="str">
        <f aca="false">IF(G1881="","",IFERROR(INDEX(Levels!$C$5:$C$94,MATCH(G1881,Levels!$G$5:$G$94,0)),"Not this class's skill"))</f>
        <v/>
      </c>
    </row>
    <row r="1882" customFormat="false" ht="15" hidden="false" customHeight="false" outlineLevel="0" collapsed="false">
      <c r="A1882" s="23"/>
      <c r="B1882" s="22"/>
      <c r="C1882" s="22"/>
      <c r="D1882" s="22"/>
      <c r="E1882" s="22"/>
      <c r="F1882" s="27" t="str">
        <f aca="false">IF(B1882="","",IFERROR(INDEX(Roster!$B$5:$B$154,MATCH(B1882,Roster!$A$5:$A$154,0)),"Not on roster"))</f>
        <v/>
      </c>
      <c r="G1882" s="28" t="str">
        <f aca="false">IF(OR(B1882="",C1882=""),"",F1882&amp;" | "&amp;C1882)</f>
        <v/>
      </c>
      <c r="H1882" s="27" t="str">
        <f aca="false">IF(G1882="","",IFERROR(INDEX(Levels!$C$5:$C$94,MATCH(G1882,Levels!$G$5:$G$94,0)),"Not this class's skill"))</f>
        <v/>
      </c>
    </row>
    <row r="1883" customFormat="false" ht="15" hidden="false" customHeight="false" outlineLevel="0" collapsed="false">
      <c r="A1883" s="23"/>
      <c r="B1883" s="22"/>
      <c r="C1883" s="22"/>
      <c r="D1883" s="22"/>
      <c r="E1883" s="22"/>
      <c r="F1883" s="27" t="str">
        <f aca="false">IF(B1883="","",IFERROR(INDEX(Roster!$B$5:$B$154,MATCH(B1883,Roster!$A$5:$A$154,0)),"Not on roster"))</f>
        <v/>
      </c>
      <c r="G1883" s="28" t="str">
        <f aca="false">IF(OR(B1883="",C1883=""),"",F1883&amp;" | "&amp;C1883)</f>
        <v/>
      </c>
      <c r="H1883" s="27" t="str">
        <f aca="false">IF(G1883="","",IFERROR(INDEX(Levels!$C$5:$C$94,MATCH(G1883,Levels!$G$5:$G$94,0)),"Not this class's skill"))</f>
        <v/>
      </c>
    </row>
    <row r="1884" customFormat="false" ht="15" hidden="false" customHeight="false" outlineLevel="0" collapsed="false">
      <c r="A1884" s="23"/>
      <c r="B1884" s="22"/>
      <c r="C1884" s="22"/>
      <c r="D1884" s="22"/>
      <c r="E1884" s="22"/>
      <c r="F1884" s="27" t="str">
        <f aca="false">IF(B1884="","",IFERROR(INDEX(Roster!$B$5:$B$154,MATCH(B1884,Roster!$A$5:$A$154,0)),"Not on roster"))</f>
        <v/>
      </c>
      <c r="G1884" s="28" t="str">
        <f aca="false">IF(OR(B1884="",C1884=""),"",F1884&amp;" | "&amp;C1884)</f>
        <v/>
      </c>
      <c r="H1884" s="27" t="str">
        <f aca="false">IF(G1884="","",IFERROR(INDEX(Levels!$C$5:$C$94,MATCH(G1884,Levels!$G$5:$G$94,0)),"Not this class's skill"))</f>
        <v/>
      </c>
    </row>
    <row r="1885" customFormat="false" ht="15" hidden="false" customHeight="false" outlineLevel="0" collapsed="false">
      <c r="A1885" s="23"/>
      <c r="B1885" s="22"/>
      <c r="C1885" s="22"/>
      <c r="D1885" s="22"/>
      <c r="E1885" s="22"/>
      <c r="F1885" s="27" t="str">
        <f aca="false">IF(B1885="","",IFERROR(INDEX(Roster!$B$5:$B$154,MATCH(B1885,Roster!$A$5:$A$154,0)),"Not on roster"))</f>
        <v/>
      </c>
      <c r="G1885" s="28" t="str">
        <f aca="false">IF(OR(B1885="",C1885=""),"",F1885&amp;" | "&amp;C1885)</f>
        <v/>
      </c>
      <c r="H1885" s="27" t="str">
        <f aca="false">IF(G1885="","",IFERROR(INDEX(Levels!$C$5:$C$94,MATCH(G1885,Levels!$G$5:$G$94,0)),"Not this class's skill"))</f>
        <v/>
      </c>
    </row>
    <row r="1886" customFormat="false" ht="15" hidden="false" customHeight="false" outlineLevel="0" collapsed="false">
      <c r="A1886" s="23"/>
      <c r="B1886" s="22"/>
      <c r="C1886" s="22"/>
      <c r="D1886" s="22"/>
      <c r="E1886" s="22"/>
      <c r="F1886" s="27" t="str">
        <f aca="false">IF(B1886="","",IFERROR(INDEX(Roster!$B$5:$B$154,MATCH(B1886,Roster!$A$5:$A$154,0)),"Not on roster"))</f>
        <v/>
      </c>
      <c r="G1886" s="28" t="str">
        <f aca="false">IF(OR(B1886="",C1886=""),"",F1886&amp;" | "&amp;C1886)</f>
        <v/>
      </c>
      <c r="H1886" s="27" t="str">
        <f aca="false">IF(G1886="","",IFERROR(INDEX(Levels!$C$5:$C$94,MATCH(G1886,Levels!$G$5:$G$94,0)),"Not this class's skill"))</f>
        <v/>
      </c>
    </row>
    <row r="1887" customFormat="false" ht="15" hidden="false" customHeight="false" outlineLevel="0" collapsed="false">
      <c r="A1887" s="23"/>
      <c r="B1887" s="22"/>
      <c r="C1887" s="22"/>
      <c r="D1887" s="22"/>
      <c r="E1887" s="22"/>
      <c r="F1887" s="27" t="str">
        <f aca="false">IF(B1887="","",IFERROR(INDEX(Roster!$B$5:$B$154,MATCH(B1887,Roster!$A$5:$A$154,0)),"Not on roster"))</f>
        <v/>
      </c>
      <c r="G1887" s="28" t="str">
        <f aca="false">IF(OR(B1887="",C1887=""),"",F1887&amp;" | "&amp;C1887)</f>
        <v/>
      </c>
      <c r="H1887" s="27" t="str">
        <f aca="false">IF(G1887="","",IFERROR(INDEX(Levels!$C$5:$C$94,MATCH(G1887,Levels!$G$5:$G$94,0)),"Not this class's skill"))</f>
        <v/>
      </c>
    </row>
    <row r="1888" customFormat="false" ht="15" hidden="false" customHeight="false" outlineLevel="0" collapsed="false">
      <c r="A1888" s="23"/>
      <c r="B1888" s="22"/>
      <c r="C1888" s="22"/>
      <c r="D1888" s="22"/>
      <c r="E1888" s="22"/>
      <c r="F1888" s="27" t="str">
        <f aca="false">IF(B1888="","",IFERROR(INDEX(Roster!$B$5:$B$154,MATCH(B1888,Roster!$A$5:$A$154,0)),"Not on roster"))</f>
        <v/>
      </c>
      <c r="G1888" s="28" t="str">
        <f aca="false">IF(OR(B1888="",C1888=""),"",F1888&amp;" | "&amp;C1888)</f>
        <v/>
      </c>
      <c r="H1888" s="27" t="str">
        <f aca="false">IF(G1888="","",IFERROR(INDEX(Levels!$C$5:$C$94,MATCH(G1888,Levels!$G$5:$G$94,0)),"Not this class's skill"))</f>
        <v/>
      </c>
    </row>
    <row r="1889" customFormat="false" ht="15" hidden="false" customHeight="false" outlineLevel="0" collapsed="false">
      <c r="A1889" s="23"/>
      <c r="B1889" s="22"/>
      <c r="C1889" s="22"/>
      <c r="D1889" s="22"/>
      <c r="E1889" s="22"/>
      <c r="F1889" s="27" t="str">
        <f aca="false">IF(B1889="","",IFERROR(INDEX(Roster!$B$5:$B$154,MATCH(B1889,Roster!$A$5:$A$154,0)),"Not on roster"))</f>
        <v/>
      </c>
      <c r="G1889" s="28" t="str">
        <f aca="false">IF(OR(B1889="",C1889=""),"",F1889&amp;" | "&amp;C1889)</f>
        <v/>
      </c>
      <c r="H1889" s="27" t="str">
        <f aca="false">IF(G1889="","",IFERROR(INDEX(Levels!$C$5:$C$94,MATCH(G1889,Levels!$G$5:$G$94,0)),"Not this class's skill"))</f>
        <v/>
      </c>
    </row>
    <row r="1890" customFormat="false" ht="15" hidden="false" customHeight="false" outlineLevel="0" collapsed="false">
      <c r="A1890" s="23"/>
      <c r="B1890" s="22"/>
      <c r="C1890" s="22"/>
      <c r="D1890" s="22"/>
      <c r="E1890" s="22"/>
      <c r="F1890" s="27" t="str">
        <f aca="false">IF(B1890="","",IFERROR(INDEX(Roster!$B$5:$B$154,MATCH(B1890,Roster!$A$5:$A$154,0)),"Not on roster"))</f>
        <v/>
      </c>
      <c r="G1890" s="28" t="str">
        <f aca="false">IF(OR(B1890="",C1890=""),"",F1890&amp;" | "&amp;C1890)</f>
        <v/>
      </c>
      <c r="H1890" s="27" t="str">
        <f aca="false">IF(G1890="","",IFERROR(INDEX(Levels!$C$5:$C$94,MATCH(G1890,Levels!$G$5:$G$94,0)),"Not this class's skill"))</f>
        <v/>
      </c>
    </row>
    <row r="1891" customFormat="false" ht="15" hidden="false" customHeight="false" outlineLevel="0" collapsed="false">
      <c r="A1891" s="23"/>
      <c r="B1891" s="22"/>
      <c r="C1891" s="22"/>
      <c r="D1891" s="22"/>
      <c r="E1891" s="22"/>
      <c r="F1891" s="27" t="str">
        <f aca="false">IF(B1891="","",IFERROR(INDEX(Roster!$B$5:$B$154,MATCH(B1891,Roster!$A$5:$A$154,0)),"Not on roster"))</f>
        <v/>
      </c>
      <c r="G1891" s="28" t="str">
        <f aca="false">IF(OR(B1891="",C1891=""),"",F1891&amp;" | "&amp;C1891)</f>
        <v/>
      </c>
      <c r="H1891" s="27" t="str">
        <f aca="false">IF(G1891="","",IFERROR(INDEX(Levels!$C$5:$C$94,MATCH(G1891,Levels!$G$5:$G$94,0)),"Not this class's skill"))</f>
        <v/>
      </c>
    </row>
    <row r="1892" customFormat="false" ht="15" hidden="false" customHeight="false" outlineLevel="0" collapsed="false">
      <c r="A1892" s="23"/>
      <c r="B1892" s="22"/>
      <c r="C1892" s="22"/>
      <c r="D1892" s="22"/>
      <c r="E1892" s="22"/>
      <c r="F1892" s="27" t="str">
        <f aca="false">IF(B1892="","",IFERROR(INDEX(Roster!$B$5:$B$154,MATCH(B1892,Roster!$A$5:$A$154,0)),"Not on roster"))</f>
        <v/>
      </c>
      <c r="G1892" s="28" t="str">
        <f aca="false">IF(OR(B1892="",C1892=""),"",F1892&amp;" | "&amp;C1892)</f>
        <v/>
      </c>
      <c r="H1892" s="27" t="str">
        <f aca="false">IF(G1892="","",IFERROR(INDEX(Levels!$C$5:$C$94,MATCH(G1892,Levels!$G$5:$G$94,0)),"Not this class's skill"))</f>
        <v/>
      </c>
    </row>
    <row r="1893" customFormat="false" ht="15" hidden="false" customHeight="false" outlineLevel="0" collapsed="false">
      <c r="A1893" s="23"/>
      <c r="B1893" s="22"/>
      <c r="C1893" s="22"/>
      <c r="D1893" s="22"/>
      <c r="E1893" s="22"/>
      <c r="F1893" s="27" t="str">
        <f aca="false">IF(B1893="","",IFERROR(INDEX(Roster!$B$5:$B$154,MATCH(B1893,Roster!$A$5:$A$154,0)),"Not on roster"))</f>
        <v/>
      </c>
      <c r="G1893" s="28" t="str">
        <f aca="false">IF(OR(B1893="",C1893=""),"",F1893&amp;" | "&amp;C1893)</f>
        <v/>
      </c>
      <c r="H1893" s="27" t="str">
        <f aca="false">IF(G1893="","",IFERROR(INDEX(Levels!$C$5:$C$94,MATCH(G1893,Levels!$G$5:$G$94,0)),"Not this class's skill"))</f>
        <v/>
      </c>
    </row>
    <row r="1894" customFormat="false" ht="15" hidden="false" customHeight="false" outlineLevel="0" collapsed="false">
      <c r="A1894" s="23"/>
      <c r="B1894" s="22"/>
      <c r="C1894" s="22"/>
      <c r="D1894" s="22"/>
      <c r="E1894" s="22"/>
      <c r="F1894" s="27" t="str">
        <f aca="false">IF(B1894="","",IFERROR(INDEX(Roster!$B$5:$B$154,MATCH(B1894,Roster!$A$5:$A$154,0)),"Not on roster"))</f>
        <v/>
      </c>
      <c r="G1894" s="28" t="str">
        <f aca="false">IF(OR(B1894="",C1894=""),"",F1894&amp;" | "&amp;C1894)</f>
        <v/>
      </c>
      <c r="H1894" s="27" t="str">
        <f aca="false">IF(G1894="","",IFERROR(INDEX(Levels!$C$5:$C$94,MATCH(G1894,Levels!$G$5:$G$94,0)),"Not this class's skill"))</f>
        <v/>
      </c>
    </row>
    <row r="1895" customFormat="false" ht="15" hidden="false" customHeight="false" outlineLevel="0" collapsed="false">
      <c r="A1895" s="23"/>
      <c r="B1895" s="22"/>
      <c r="C1895" s="22"/>
      <c r="D1895" s="22"/>
      <c r="E1895" s="22"/>
      <c r="F1895" s="27" t="str">
        <f aca="false">IF(B1895="","",IFERROR(INDEX(Roster!$B$5:$B$154,MATCH(B1895,Roster!$A$5:$A$154,0)),"Not on roster"))</f>
        <v/>
      </c>
      <c r="G1895" s="28" t="str">
        <f aca="false">IF(OR(B1895="",C1895=""),"",F1895&amp;" | "&amp;C1895)</f>
        <v/>
      </c>
      <c r="H1895" s="27" t="str">
        <f aca="false">IF(G1895="","",IFERROR(INDEX(Levels!$C$5:$C$94,MATCH(G1895,Levels!$G$5:$G$94,0)),"Not this class's skill"))</f>
        <v/>
      </c>
    </row>
    <row r="1896" customFormat="false" ht="15" hidden="false" customHeight="false" outlineLevel="0" collapsed="false">
      <c r="A1896" s="23"/>
      <c r="B1896" s="22"/>
      <c r="C1896" s="22"/>
      <c r="D1896" s="22"/>
      <c r="E1896" s="22"/>
      <c r="F1896" s="27" t="str">
        <f aca="false">IF(B1896="","",IFERROR(INDEX(Roster!$B$5:$B$154,MATCH(B1896,Roster!$A$5:$A$154,0)),"Not on roster"))</f>
        <v/>
      </c>
      <c r="G1896" s="28" t="str">
        <f aca="false">IF(OR(B1896="",C1896=""),"",F1896&amp;" | "&amp;C1896)</f>
        <v/>
      </c>
      <c r="H1896" s="27" t="str">
        <f aca="false">IF(G1896="","",IFERROR(INDEX(Levels!$C$5:$C$94,MATCH(G1896,Levels!$G$5:$G$94,0)),"Not this class's skill"))</f>
        <v/>
      </c>
    </row>
    <row r="1897" customFormat="false" ht="15" hidden="false" customHeight="false" outlineLevel="0" collapsed="false">
      <c r="A1897" s="23"/>
      <c r="B1897" s="22"/>
      <c r="C1897" s="22"/>
      <c r="D1897" s="22"/>
      <c r="E1897" s="22"/>
      <c r="F1897" s="27" t="str">
        <f aca="false">IF(B1897="","",IFERROR(INDEX(Roster!$B$5:$B$154,MATCH(B1897,Roster!$A$5:$A$154,0)),"Not on roster"))</f>
        <v/>
      </c>
      <c r="G1897" s="28" t="str">
        <f aca="false">IF(OR(B1897="",C1897=""),"",F1897&amp;" | "&amp;C1897)</f>
        <v/>
      </c>
      <c r="H1897" s="27" t="str">
        <f aca="false">IF(G1897="","",IFERROR(INDEX(Levels!$C$5:$C$94,MATCH(G1897,Levels!$G$5:$G$94,0)),"Not this class's skill"))</f>
        <v/>
      </c>
    </row>
    <row r="1898" customFormat="false" ht="15" hidden="false" customHeight="false" outlineLevel="0" collapsed="false">
      <c r="A1898" s="23"/>
      <c r="B1898" s="22"/>
      <c r="C1898" s="22"/>
      <c r="D1898" s="22"/>
      <c r="E1898" s="22"/>
      <c r="F1898" s="27" t="str">
        <f aca="false">IF(B1898="","",IFERROR(INDEX(Roster!$B$5:$B$154,MATCH(B1898,Roster!$A$5:$A$154,0)),"Not on roster"))</f>
        <v/>
      </c>
      <c r="G1898" s="28" t="str">
        <f aca="false">IF(OR(B1898="",C1898=""),"",F1898&amp;" | "&amp;C1898)</f>
        <v/>
      </c>
      <c r="H1898" s="27" t="str">
        <f aca="false">IF(G1898="","",IFERROR(INDEX(Levels!$C$5:$C$94,MATCH(G1898,Levels!$G$5:$G$94,0)),"Not this class's skill"))</f>
        <v/>
      </c>
    </row>
    <row r="1899" customFormat="false" ht="15" hidden="false" customHeight="false" outlineLevel="0" collapsed="false">
      <c r="A1899" s="23"/>
      <c r="B1899" s="22"/>
      <c r="C1899" s="22"/>
      <c r="D1899" s="22"/>
      <c r="E1899" s="22"/>
      <c r="F1899" s="27" t="str">
        <f aca="false">IF(B1899="","",IFERROR(INDEX(Roster!$B$5:$B$154,MATCH(B1899,Roster!$A$5:$A$154,0)),"Not on roster"))</f>
        <v/>
      </c>
      <c r="G1899" s="28" t="str">
        <f aca="false">IF(OR(B1899="",C1899=""),"",F1899&amp;" | "&amp;C1899)</f>
        <v/>
      </c>
      <c r="H1899" s="27" t="str">
        <f aca="false">IF(G1899="","",IFERROR(INDEX(Levels!$C$5:$C$94,MATCH(G1899,Levels!$G$5:$G$94,0)),"Not this class's skill"))</f>
        <v/>
      </c>
    </row>
    <row r="1900" customFormat="false" ht="15" hidden="false" customHeight="false" outlineLevel="0" collapsed="false">
      <c r="A1900" s="23"/>
      <c r="B1900" s="22"/>
      <c r="C1900" s="22"/>
      <c r="D1900" s="22"/>
      <c r="E1900" s="22"/>
      <c r="F1900" s="27" t="str">
        <f aca="false">IF(B1900="","",IFERROR(INDEX(Roster!$B$5:$B$154,MATCH(B1900,Roster!$A$5:$A$154,0)),"Not on roster"))</f>
        <v/>
      </c>
      <c r="G1900" s="28" t="str">
        <f aca="false">IF(OR(B1900="",C1900=""),"",F1900&amp;" | "&amp;C1900)</f>
        <v/>
      </c>
      <c r="H1900" s="27" t="str">
        <f aca="false">IF(G1900="","",IFERROR(INDEX(Levels!$C$5:$C$94,MATCH(G1900,Levels!$G$5:$G$94,0)),"Not this class's skill"))</f>
        <v/>
      </c>
    </row>
    <row r="1901" customFormat="false" ht="15" hidden="false" customHeight="false" outlineLevel="0" collapsed="false">
      <c r="A1901" s="23"/>
      <c r="B1901" s="22"/>
      <c r="C1901" s="22"/>
      <c r="D1901" s="22"/>
      <c r="E1901" s="22"/>
      <c r="F1901" s="27" t="str">
        <f aca="false">IF(B1901="","",IFERROR(INDEX(Roster!$B$5:$B$154,MATCH(B1901,Roster!$A$5:$A$154,0)),"Not on roster"))</f>
        <v/>
      </c>
      <c r="G1901" s="28" t="str">
        <f aca="false">IF(OR(B1901="",C1901=""),"",F1901&amp;" | "&amp;C1901)</f>
        <v/>
      </c>
      <c r="H1901" s="27" t="str">
        <f aca="false">IF(G1901="","",IFERROR(INDEX(Levels!$C$5:$C$94,MATCH(G1901,Levels!$G$5:$G$94,0)),"Not this class's skill"))</f>
        <v/>
      </c>
    </row>
    <row r="1902" customFormat="false" ht="15" hidden="false" customHeight="false" outlineLevel="0" collapsed="false">
      <c r="A1902" s="23"/>
      <c r="B1902" s="22"/>
      <c r="C1902" s="22"/>
      <c r="D1902" s="22"/>
      <c r="E1902" s="22"/>
      <c r="F1902" s="27" t="str">
        <f aca="false">IF(B1902="","",IFERROR(INDEX(Roster!$B$5:$B$154,MATCH(B1902,Roster!$A$5:$A$154,0)),"Not on roster"))</f>
        <v/>
      </c>
      <c r="G1902" s="28" t="str">
        <f aca="false">IF(OR(B1902="",C1902=""),"",F1902&amp;" | "&amp;C1902)</f>
        <v/>
      </c>
      <c r="H1902" s="27" t="str">
        <f aca="false">IF(G1902="","",IFERROR(INDEX(Levels!$C$5:$C$94,MATCH(G1902,Levels!$G$5:$G$94,0)),"Not this class's skill"))</f>
        <v/>
      </c>
    </row>
    <row r="1903" customFormat="false" ht="15" hidden="false" customHeight="false" outlineLevel="0" collapsed="false">
      <c r="A1903" s="23"/>
      <c r="B1903" s="22"/>
      <c r="C1903" s="22"/>
      <c r="D1903" s="22"/>
      <c r="E1903" s="22"/>
      <c r="F1903" s="27" t="str">
        <f aca="false">IF(B1903="","",IFERROR(INDEX(Roster!$B$5:$B$154,MATCH(B1903,Roster!$A$5:$A$154,0)),"Not on roster"))</f>
        <v/>
      </c>
      <c r="G1903" s="28" t="str">
        <f aca="false">IF(OR(B1903="",C1903=""),"",F1903&amp;" | "&amp;C1903)</f>
        <v/>
      </c>
      <c r="H1903" s="27" t="str">
        <f aca="false">IF(G1903="","",IFERROR(INDEX(Levels!$C$5:$C$94,MATCH(G1903,Levels!$G$5:$G$94,0)),"Not this class's skill"))</f>
        <v/>
      </c>
    </row>
    <row r="1904" customFormat="false" ht="15" hidden="false" customHeight="false" outlineLevel="0" collapsed="false">
      <c r="A1904" s="23"/>
      <c r="B1904" s="22"/>
      <c r="C1904" s="22"/>
      <c r="D1904" s="22"/>
      <c r="E1904" s="22"/>
      <c r="F1904" s="27" t="str">
        <f aca="false">IF(B1904="","",IFERROR(INDEX(Roster!$B$5:$B$154,MATCH(B1904,Roster!$A$5:$A$154,0)),"Not on roster"))</f>
        <v/>
      </c>
      <c r="G1904" s="28" t="str">
        <f aca="false">IF(OR(B1904="",C1904=""),"",F1904&amp;" | "&amp;C1904)</f>
        <v/>
      </c>
      <c r="H1904" s="27" t="str">
        <f aca="false">IF(G1904="","",IFERROR(INDEX(Levels!$C$5:$C$94,MATCH(G1904,Levels!$G$5:$G$94,0)),"Not this class's skill"))</f>
        <v/>
      </c>
    </row>
    <row r="1905" customFormat="false" ht="15" hidden="false" customHeight="false" outlineLevel="0" collapsed="false">
      <c r="A1905" s="23"/>
      <c r="B1905" s="22"/>
      <c r="C1905" s="22"/>
      <c r="D1905" s="22"/>
      <c r="E1905" s="22"/>
      <c r="F1905" s="27" t="str">
        <f aca="false">IF(B1905="","",IFERROR(INDEX(Roster!$B$5:$B$154,MATCH(B1905,Roster!$A$5:$A$154,0)),"Not on roster"))</f>
        <v/>
      </c>
      <c r="G1905" s="28" t="str">
        <f aca="false">IF(OR(B1905="",C1905=""),"",F1905&amp;" | "&amp;C1905)</f>
        <v/>
      </c>
      <c r="H1905" s="27" t="str">
        <f aca="false">IF(G1905="","",IFERROR(INDEX(Levels!$C$5:$C$94,MATCH(G1905,Levels!$G$5:$G$94,0)),"Not this class's skill"))</f>
        <v/>
      </c>
    </row>
    <row r="1906" customFormat="false" ht="15" hidden="false" customHeight="false" outlineLevel="0" collapsed="false">
      <c r="A1906" s="23"/>
      <c r="B1906" s="22"/>
      <c r="C1906" s="22"/>
      <c r="D1906" s="22"/>
      <c r="E1906" s="22"/>
      <c r="F1906" s="27" t="str">
        <f aca="false">IF(B1906="","",IFERROR(INDEX(Roster!$B$5:$B$154,MATCH(B1906,Roster!$A$5:$A$154,0)),"Not on roster"))</f>
        <v/>
      </c>
      <c r="G1906" s="28" t="str">
        <f aca="false">IF(OR(B1906="",C1906=""),"",F1906&amp;" | "&amp;C1906)</f>
        <v/>
      </c>
      <c r="H1906" s="27" t="str">
        <f aca="false">IF(G1906="","",IFERROR(INDEX(Levels!$C$5:$C$94,MATCH(G1906,Levels!$G$5:$G$94,0)),"Not this class's skill"))</f>
        <v/>
      </c>
    </row>
    <row r="1907" customFormat="false" ht="15" hidden="false" customHeight="false" outlineLevel="0" collapsed="false">
      <c r="A1907" s="23"/>
      <c r="B1907" s="22"/>
      <c r="C1907" s="22"/>
      <c r="D1907" s="22"/>
      <c r="E1907" s="22"/>
      <c r="F1907" s="27" t="str">
        <f aca="false">IF(B1907="","",IFERROR(INDEX(Roster!$B$5:$B$154,MATCH(B1907,Roster!$A$5:$A$154,0)),"Not on roster"))</f>
        <v/>
      </c>
      <c r="G1907" s="28" t="str">
        <f aca="false">IF(OR(B1907="",C1907=""),"",F1907&amp;" | "&amp;C1907)</f>
        <v/>
      </c>
      <c r="H1907" s="27" t="str">
        <f aca="false">IF(G1907="","",IFERROR(INDEX(Levels!$C$5:$C$94,MATCH(G1907,Levels!$G$5:$G$94,0)),"Not this class's skill"))</f>
        <v/>
      </c>
    </row>
    <row r="1908" customFormat="false" ht="15" hidden="false" customHeight="false" outlineLevel="0" collapsed="false">
      <c r="A1908" s="23"/>
      <c r="B1908" s="22"/>
      <c r="C1908" s="22"/>
      <c r="D1908" s="22"/>
      <c r="E1908" s="22"/>
      <c r="F1908" s="27" t="str">
        <f aca="false">IF(B1908="","",IFERROR(INDEX(Roster!$B$5:$B$154,MATCH(B1908,Roster!$A$5:$A$154,0)),"Not on roster"))</f>
        <v/>
      </c>
      <c r="G1908" s="28" t="str">
        <f aca="false">IF(OR(B1908="",C1908=""),"",F1908&amp;" | "&amp;C1908)</f>
        <v/>
      </c>
      <c r="H1908" s="27" t="str">
        <f aca="false">IF(G1908="","",IFERROR(INDEX(Levels!$C$5:$C$94,MATCH(G1908,Levels!$G$5:$G$94,0)),"Not this class's skill"))</f>
        <v/>
      </c>
    </row>
    <row r="1909" customFormat="false" ht="15" hidden="false" customHeight="false" outlineLevel="0" collapsed="false">
      <c r="A1909" s="23"/>
      <c r="B1909" s="22"/>
      <c r="C1909" s="22"/>
      <c r="D1909" s="22"/>
      <c r="E1909" s="22"/>
      <c r="F1909" s="27" t="str">
        <f aca="false">IF(B1909="","",IFERROR(INDEX(Roster!$B$5:$B$154,MATCH(B1909,Roster!$A$5:$A$154,0)),"Not on roster"))</f>
        <v/>
      </c>
      <c r="G1909" s="28" t="str">
        <f aca="false">IF(OR(B1909="",C1909=""),"",F1909&amp;" | "&amp;C1909)</f>
        <v/>
      </c>
      <c r="H1909" s="27" t="str">
        <f aca="false">IF(G1909="","",IFERROR(INDEX(Levels!$C$5:$C$94,MATCH(G1909,Levels!$G$5:$G$94,0)),"Not this class's skill"))</f>
        <v/>
      </c>
    </row>
    <row r="1910" customFormat="false" ht="15" hidden="false" customHeight="false" outlineLevel="0" collapsed="false">
      <c r="A1910" s="23"/>
      <c r="B1910" s="22"/>
      <c r="C1910" s="22"/>
      <c r="D1910" s="22"/>
      <c r="E1910" s="22"/>
      <c r="F1910" s="27" t="str">
        <f aca="false">IF(B1910="","",IFERROR(INDEX(Roster!$B$5:$B$154,MATCH(B1910,Roster!$A$5:$A$154,0)),"Not on roster"))</f>
        <v/>
      </c>
      <c r="G1910" s="28" t="str">
        <f aca="false">IF(OR(B1910="",C1910=""),"",F1910&amp;" | "&amp;C1910)</f>
        <v/>
      </c>
      <c r="H1910" s="27" t="str">
        <f aca="false">IF(G1910="","",IFERROR(INDEX(Levels!$C$5:$C$94,MATCH(G1910,Levels!$G$5:$G$94,0)),"Not this class's skill"))</f>
        <v/>
      </c>
    </row>
    <row r="1911" customFormat="false" ht="15" hidden="false" customHeight="false" outlineLevel="0" collapsed="false">
      <c r="A1911" s="23"/>
      <c r="B1911" s="22"/>
      <c r="C1911" s="22"/>
      <c r="D1911" s="22"/>
      <c r="E1911" s="22"/>
      <c r="F1911" s="27" t="str">
        <f aca="false">IF(B1911="","",IFERROR(INDEX(Roster!$B$5:$B$154,MATCH(B1911,Roster!$A$5:$A$154,0)),"Not on roster"))</f>
        <v/>
      </c>
      <c r="G1911" s="28" t="str">
        <f aca="false">IF(OR(B1911="",C1911=""),"",F1911&amp;" | "&amp;C1911)</f>
        <v/>
      </c>
      <c r="H1911" s="27" t="str">
        <f aca="false">IF(G1911="","",IFERROR(INDEX(Levels!$C$5:$C$94,MATCH(G1911,Levels!$G$5:$G$94,0)),"Not this class's skill"))</f>
        <v/>
      </c>
    </row>
    <row r="1912" customFormat="false" ht="15" hidden="false" customHeight="false" outlineLevel="0" collapsed="false">
      <c r="A1912" s="23"/>
      <c r="B1912" s="22"/>
      <c r="C1912" s="22"/>
      <c r="D1912" s="22"/>
      <c r="E1912" s="22"/>
      <c r="F1912" s="27" t="str">
        <f aca="false">IF(B1912="","",IFERROR(INDEX(Roster!$B$5:$B$154,MATCH(B1912,Roster!$A$5:$A$154,0)),"Not on roster"))</f>
        <v/>
      </c>
      <c r="G1912" s="28" t="str">
        <f aca="false">IF(OR(B1912="",C1912=""),"",F1912&amp;" | "&amp;C1912)</f>
        <v/>
      </c>
      <c r="H1912" s="27" t="str">
        <f aca="false">IF(G1912="","",IFERROR(INDEX(Levels!$C$5:$C$94,MATCH(G1912,Levels!$G$5:$G$94,0)),"Not this class's skill"))</f>
        <v/>
      </c>
    </row>
    <row r="1913" customFormat="false" ht="15" hidden="false" customHeight="false" outlineLevel="0" collapsed="false">
      <c r="A1913" s="23"/>
      <c r="B1913" s="22"/>
      <c r="C1913" s="22"/>
      <c r="D1913" s="22"/>
      <c r="E1913" s="22"/>
      <c r="F1913" s="27" t="str">
        <f aca="false">IF(B1913="","",IFERROR(INDEX(Roster!$B$5:$B$154,MATCH(B1913,Roster!$A$5:$A$154,0)),"Not on roster"))</f>
        <v/>
      </c>
      <c r="G1913" s="28" t="str">
        <f aca="false">IF(OR(B1913="",C1913=""),"",F1913&amp;" | "&amp;C1913)</f>
        <v/>
      </c>
      <c r="H1913" s="27" t="str">
        <f aca="false">IF(G1913="","",IFERROR(INDEX(Levels!$C$5:$C$94,MATCH(G1913,Levels!$G$5:$G$94,0)),"Not this class's skill"))</f>
        <v/>
      </c>
    </row>
    <row r="1914" customFormat="false" ht="15" hidden="false" customHeight="false" outlineLevel="0" collapsed="false">
      <c r="A1914" s="23"/>
      <c r="B1914" s="22"/>
      <c r="C1914" s="22"/>
      <c r="D1914" s="22"/>
      <c r="E1914" s="22"/>
      <c r="F1914" s="27" t="str">
        <f aca="false">IF(B1914="","",IFERROR(INDEX(Roster!$B$5:$B$154,MATCH(B1914,Roster!$A$5:$A$154,0)),"Not on roster"))</f>
        <v/>
      </c>
      <c r="G1914" s="28" t="str">
        <f aca="false">IF(OR(B1914="",C1914=""),"",F1914&amp;" | "&amp;C1914)</f>
        <v/>
      </c>
      <c r="H1914" s="27" t="str">
        <f aca="false">IF(G1914="","",IFERROR(INDEX(Levels!$C$5:$C$94,MATCH(G1914,Levels!$G$5:$G$94,0)),"Not this class's skill"))</f>
        <v/>
      </c>
    </row>
    <row r="1915" customFormat="false" ht="15" hidden="false" customHeight="false" outlineLevel="0" collapsed="false">
      <c r="A1915" s="23"/>
      <c r="B1915" s="22"/>
      <c r="C1915" s="22"/>
      <c r="D1915" s="22"/>
      <c r="E1915" s="22"/>
      <c r="F1915" s="27" t="str">
        <f aca="false">IF(B1915="","",IFERROR(INDEX(Roster!$B$5:$B$154,MATCH(B1915,Roster!$A$5:$A$154,0)),"Not on roster"))</f>
        <v/>
      </c>
      <c r="G1915" s="28" t="str">
        <f aca="false">IF(OR(B1915="",C1915=""),"",F1915&amp;" | "&amp;C1915)</f>
        <v/>
      </c>
      <c r="H1915" s="27" t="str">
        <f aca="false">IF(G1915="","",IFERROR(INDEX(Levels!$C$5:$C$94,MATCH(G1915,Levels!$G$5:$G$94,0)),"Not this class's skill"))</f>
        <v/>
      </c>
    </row>
    <row r="1916" customFormat="false" ht="15" hidden="false" customHeight="false" outlineLevel="0" collapsed="false">
      <c r="A1916" s="23"/>
      <c r="B1916" s="22"/>
      <c r="C1916" s="22"/>
      <c r="D1916" s="22"/>
      <c r="E1916" s="22"/>
      <c r="F1916" s="27" t="str">
        <f aca="false">IF(B1916="","",IFERROR(INDEX(Roster!$B$5:$B$154,MATCH(B1916,Roster!$A$5:$A$154,0)),"Not on roster"))</f>
        <v/>
      </c>
      <c r="G1916" s="28" t="str">
        <f aca="false">IF(OR(B1916="",C1916=""),"",F1916&amp;" | "&amp;C1916)</f>
        <v/>
      </c>
      <c r="H1916" s="27" t="str">
        <f aca="false">IF(G1916="","",IFERROR(INDEX(Levels!$C$5:$C$94,MATCH(G1916,Levels!$G$5:$G$94,0)),"Not this class's skill"))</f>
        <v/>
      </c>
    </row>
    <row r="1917" customFormat="false" ht="15" hidden="false" customHeight="false" outlineLevel="0" collapsed="false">
      <c r="A1917" s="23"/>
      <c r="B1917" s="22"/>
      <c r="C1917" s="22"/>
      <c r="D1917" s="22"/>
      <c r="E1917" s="22"/>
      <c r="F1917" s="27" t="str">
        <f aca="false">IF(B1917="","",IFERROR(INDEX(Roster!$B$5:$B$154,MATCH(B1917,Roster!$A$5:$A$154,0)),"Not on roster"))</f>
        <v/>
      </c>
      <c r="G1917" s="28" t="str">
        <f aca="false">IF(OR(B1917="",C1917=""),"",F1917&amp;" | "&amp;C1917)</f>
        <v/>
      </c>
      <c r="H1917" s="27" t="str">
        <f aca="false">IF(G1917="","",IFERROR(INDEX(Levels!$C$5:$C$94,MATCH(G1917,Levels!$G$5:$G$94,0)),"Not this class's skill"))</f>
        <v/>
      </c>
    </row>
    <row r="1918" customFormat="false" ht="15" hidden="false" customHeight="false" outlineLevel="0" collapsed="false">
      <c r="A1918" s="23"/>
      <c r="B1918" s="22"/>
      <c r="C1918" s="22"/>
      <c r="D1918" s="22"/>
      <c r="E1918" s="22"/>
      <c r="F1918" s="27" t="str">
        <f aca="false">IF(B1918="","",IFERROR(INDEX(Roster!$B$5:$B$154,MATCH(B1918,Roster!$A$5:$A$154,0)),"Not on roster"))</f>
        <v/>
      </c>
      <c r="G1918" s="28" t="str">
        <f aca="false">IF(OR(B1918="",C1918=""),"",F1918&amp;" | "&amp;C1918)</f>
        <v/>
      </c>
      <c r="H1918" s="27" t="str">
        <f aca="false">IF(G1918="","",IFERROR(INDEX(Levels!$C$5:$C$94,MATCH(G1918,Levels!$G$5:$G$94,0)),"Not this class's skill"))</f>
        <v/>
      </c>
    </row>
    <row r="1919" customFormat="false" ht="15" hidden="false" customHeight="false" outlineLevel="0" collapsed="false">
      <c r="A1919" s="23"/>
      <c r="B1919" s="22"/>
      <c r="C1919" s="22"/>
      <c r="D1919" s="22"/>
      <c r="E1919" s="22"/>
      <c r="F1919" s="27" t="str">
        <f aca="false">IF(B1919="","",IFERROR(INDEX(Roster!$B$5:$B$154,MATCH(B1919,Roster!$A$5:$A$154,0)),"Not on roster"))</f>
        <v/>
      </c>
      <c r="G1919" s="28" t="str">
        <f aca="false">IF(OR(B1919="",C1919=""),"",F1919&amp;" | "&amp;C1919)</f>
        <v/>
      </c>
      <c r="H1919" s="27" t="str">
        <f aca="false">IF(G1919="","",IFERROR(INDEX(Levels!$C$5:$C$94,MATCH(G1919,Levels!$G$5:$G$94,0)),"Not this class's skill"))</f>
        <v/>
      </c>
    </row>
    <row r="1920" customFormat="false" ht="15" hidden="false" customHeight="false" outlineLevel="0" collapsed="false">
      <c r="A1920" s="23"/>
      <c r="B1920" s="22"/>
      <c r="C1920" s="22"/>
      <c r="D1920" s="22"/>
      <c r="E1920" s="22"/>
      <c r="F1920" s="27" t="str">
        <f aca="false">IF(B1920="","",IFERROR(INDEX(Roster!$B$5:$B$154,MATCH(B1920,Roster!$A$5:$A$154,0)),"Not on roster"))</f>
        <v/>
      </c>
      <c r="G1920" s="28" t="str">
        <f aca="false">IF(OR(B1920="",C1920=""),"",F1920&amp;" | "&amp;C1920)</f>
        <v/>
      </c>
      <c r="H1920" s="27" t="str">
        <f aca="false">IF(G1920="","",IFERROR(INDEX(Levels!$C$5:$C$94,MATCH(G1920,Levels!$G$5:$G$94,0)),"Not this class's skill"))</f>
        <v/>
      </c>
    </row>
    <row r="1921" customFormat="false" ht="15" hidden="false" customHeight="false" outlineLevel="0" collapsed="false">
      <c r="A1921" s="23"/>
      <c r="B1921" s="22"/>
      <c r="C1921" s="22"/>
      <c r="D1921" s="22"/>
      <c r="E1921" s="22"/>
      <c r="F1921" s="27" t="str">
        <f aca="false">IF(B1921="","",IFERROR(INDEX(Roster!$B$5:$B$154,MATCH(B1921,Roster!$A$5:$A$154,0)),"Not on roster"))</f>
        <v/>
      </c>
      <c r="G1921" s="28" t="str">
        <f aca="false">IF(OR(B1921="",C1921=""),"",F1921&amp;" | "&amp;C1921)</f>
        <v/>
      </c>
      <c r="H1921" s="27" t="str">
        <f aca="false">IF(G1921="","",IFERROR(INDEX(Levels!$C$5:$C$94,MATCH(G1921,Levels!$G$5:$G$94,0)),"Not this class's skill"))</f>
        <v/>
      </c>
    </row>
    <row r="1922" customFormat="false" ht="15" hidden="false" customHeight="false" outlineLevel="0" collapsed="false">
      <c r="A1922" s="23"/>
      <c r="B1922" s="22"/>
      <c r="C1922" s="22"/>
      <c r="D1922" s="22"/>
      <c r="E1922" s="22"/>
      <c r="F1922" s="27" t="str">
        <f aca="false">IF(B1922="","",IFERROR(INDEX(Roster!$B$5:$B$154,MATCH(B1922,Roster!$A$5:$A$154,0)),"Not on roster"))</f>
        <v/>
      </c>
      <c r="G1922" s="28" t="str">
        <f aca="false">IF(OR(B1922="",C1922=""),"",F1922&amp;" | "&amp;C1922)</f>
        <v/>
      </c>
      <c r="H1922" s="27" t="str">
        <f aca="false">IF(G1922="","",IFERROR(INDEX(Levels!$C$5:$C$94,MATCH(G1922,Levels!$G$5:$G$94,0)),"Not this class's skill"))</f>
        <v/>
      </c>
    </row>
    <row r="1923" customFormat="false" ht="15" hidden="false" customHeight="false" outlineLevel="0" collapsed="false">
      <c r="A1923" s="23"/>
      <c r="B1923" s="22"/>
      <c r="C1923" s="22"/>
      <c r="D1923" s="22"/>
      <c r="E1923" s="22"/>
      <c r="F1923" s="27" t="str">
        <f aca="false">IF(B1923="","",IFERROR(INDEX(Roster!$B$5:$B$154,MATCH(B1923,Roster!$A$5:$A$154,0)),"Not on roster"))</f>
        <v/>
      </c>
      <c r="G1923" s="28" t="str">
        <f aca="false">IF(OR(B1923="",C1923=""),"",F1923&amp;" | "&amp;C1923)</f>
        <v/>
      </c>
      <c r="H1923" s="27" t="str">
        <f aca="false">IF(G1923="","",IFERROR(INDEX(Levels!$C$5:$C$94,MATCH(G1923,Levels!$G$5:$G$94,0)),"Not this class's skill"))</f>
        <v/>
      </c>
    </row>
    <row r="1924" customFormat="false" ht="15" hidden="false" customHeight="false" outlineLevel="0" collapsed="false">
      <c r="A1924" s="23"/>
      <c r="B1924" s="22"/>
      <c r="C1924" s="22"/>
      <c r="D1924" s="22"/>
      <c r="E1924" s="22"/>
      <c r="F1924" s="27" t="str">
        <f aca="false">IF(B1924="","",IFERROR(INDEX(Roster!$B$5:$B$154,MATCH(B1924,Roster!$A$5:$A$154,0)),"Not on roster"))</f>
        <v/>
      </c>
      <c r="G1924" s="28" t="str">
        <f aca="false">IF(OR(B1924="",C1924=""),"",F1924&amp;" | "&amp;C1924)</f>
        <v/>
      </c>
      <c r="H1924" s="27" t="str">
        <f aca="false">IF(G1924="","",IFERROR(INDEX(Levels!$C$5:$C$94,MATCH(G1924,Levels!$G$5:$G$94,0)),"Not this class's skill"))</f>
        <v/>
      </c>
    </row>
    <row r="1925" customFormat="false" ht="15" hidden="false" customHeight="false" outlineLevel="0" collapsed="false">
      <c r="A1925" s="23"/>
      <c r="B1925" s="22"/>
      <c r="C1925" s="22"/>
      <c r="D1925" s="22"/>
      <c r="E1925" s="22"/>
      <c r="F1925" s="27" t="str">
        <f aca="false">IF(B1925="","",IFERROR(INDEX(Roster!$B$5:$B$154,MATCH(B1925,Roster!$A$5:$A$154,0)),"Not on roster"))</f>
        <v/>
      </c>
      <c r="G1925" s="28" t="str">
        <f aca="false">IF(OR(B1925="",C1925=""),"",F1925&amp;" | "&amp;C1925)</f>
        <v/>
      </c>
      <c r="H1925" s="27" t="str">
        <f aca="false">IF(G1925="","",IFERROR(INDEX(Levels!$C$5:$C$94,MATCH(G1925,Levels!$G$5:$G$94,0)),"Not this class's skill"))</f>
        <v/>
      </c>
    </row>
    <row r="1926" customFormat="false" ht="15" hidden="false" customHeight="false" outlineLevel="0" collapsed="false">
      <c r="A1926" s="23"/>
      <c r="B1926" s="22"/>
      <c r="C1926" s="22"/>
      <c r="D1926" s="22"/>
      <c r="E1926" s="22"/>
      <c r="F1926" s="27" t="str">
        <f aca="false">IF(B1926="","",IFERROR(INDEX(Roster!$B$5:$B$154,MATCH(B1926,Roster!$A$5:$A$154,0)),"Not on roster"))</f>
        <v/>
      </c>
      <c r="G1926" s="28" t="str">
        <f aca="false">IF(OR(B1926="",C1926=""),"",F1926&amp;" | "&amp;C1926)</f>
        <v/>
      </c>
      <c r="H1926" s="27" t="str">
        <f aca="false">IF(G1926="","",IFERROR(INDEX(Levels!$C$5:$C$94,MATCH(G1926,Levels!$G$5:$G$94,0)),"Not this class's skill"))</f>
        <v/>
      </c>
    </row>
    <row r="1927" customFormat="false" ht="15" hidden="false" customHeight="false" outlineLevel="0" collapsed="false">
      <c r="A1927" s="23"/>
      <c r="B1927" s="22"/>
      <c r="C1927" s="22"/>
      <c r="D1927" s="22"/>
      <c r="E1927" s="22"/>
      <c r="F1927" s="27" t="str">
        <f aca="false">IF(B1927="","",IFERROR(INDEX(Roster!$B$5:$B$154,MATCH(B1927,Roster!$A$5:$A$154,0)),"Not on roster"))</f>
        <v/>
      </c>
      <c r="G1927" s="28" t="str">
        <f aca="false">IF(OR(B1927="",C1927=""),"",F1927&amp;" | "&amp;C1927)</f>
        <v/>
      </c>
      <c r="H1927" s="27" t="str">
        <f aca="false">IF(G1927="","",IFERROR(INDEX(Levels!$C$5:$C$94,MATCH(G1927,Levels!$G$5:$G$94,0)),"Not this class's skill"))</f>
        <v/>
      </c>
    </row>
    <row r="1928" customFormat="false" ht="15" hidden="false" customHeight="false" outlineLevel="0" collapsed="false">
      <c r="A1928" s="23"/>
      <c r="B1928" s="22"/>
      <c r="C1928" s="22"/>
      <c r="D1928" s="22"/>
      <c r="E1928" s="22"/>
      <c r="F1928" s="27" t="str">
        <f aca="false">IF(B1928="","",IFERROR(INDEX(Roster!$B$5:$B$154,MATCH(B1928,Roster!$A$5:$A$154,0)),"Not on roster"))</f>
        <v/>
      </c>
      <c r="G1928" s="28" t="str">
        <f aca="false">IF(OR(B1928="",C1928=""),"",F1928&amp;" | "&amp;C1928)</f>
        <v/>
      </c>
      <c r="H1928" s="27" t="str">
        <f aca="false">IF(G1928="","",IFERROR(INDEX(Levels!$C$5:$C$94,MATCH(G1928,Levels!$G$5:$G$94,0)),"Not this class's skill"))</f>
        <v/>
      </c>
    </row>
    <row r="1929" customFormat="false" ht="15" hidden="false" customHeight="false" outlineLevel="0" collapsed="false">
      <c r="A1929" s="23"/>
      <c r="B1929" s="22"/>
      <c r="C1929" s="22"/>
      <c r="D1929" s="22"/>
      <c r="E1929" s="22"/>
      <c r="F1929" s="27" t="str">
        <f aca="false">IF(B1929="","",IFERROR(INDEX(Roster!$B$5:$B$154,MATCH(B1929,Roster!$A$5:$A$154,0)),"Not on roster"))</f>
        <v/>
      </c>
      <c r="G1929" s="28" t="str">
        <f aca="false">IF(OR(B1929="",C1929=""),"",F1929&amp;" | "&amp;C1929)</f>
        <v/>
      </c>
      <c r="H1929" s="27" t="str">
        <f aca="false">IF(G1929="","",IFERROR(INDEX(Levels!$C$5:$C$94,MATCH(G1929,Levels!$G$5:$G$94,0)),"Not this class's skill"))</f>
        <v/>
      </c>
    </row>
    <row r="1930" customFormat="false" ht="15" hidden="false" customHeight="false" outlineLevel="0" collapsed="false">
      <c r="A1930" s="23"/>
      <c r="B1930" s="22"/>
      <c r="C1930" s="22"/>
      <c r="D1930" s="22"/>
      <c r="E1930" s="22"/>
      <c r="F1930" s="27" t="str">
        <f aca="false">IF(B1930="","",IFERROR(INDEX(Roster!$B$5:$B$154,MATCH(B1930,Roster!$A$5:$A$154,0)),"Not on roster"))</f>
        <v/>
      </c>
      <c r="G1930" s="28" t="str">
        <f aca="false">IF(OR(B1930="",C1930=""),"",F1930&amp;" | "&amp;C1930)</f>
        <v/>
      </c>
      <c r="H1930" s="27" t="str">
        <f aca="false">IF(G1930="","",IFERROR(INDEX(Levels!$C$5:$C$94,MATCH(G1930,Levels!$G$5:$G$94,0)),"Not this class's skill"))</f>
        <v/>
      </c>
    </row>
    <row r="1931" customFormat="false" ht="15" hidden="false" customHeight="false" outlineLevel="0" collapsed="false">
      <c r="A1931" s="23"/>
      <c r="B1931" s="22"/>
      <c r="C1931" s="22"/>
      <c r="D1931" s="22"/>
      <c r="E1931" s="22"/>
      <c r="F1931" s="27" t="str">
        <f aca="false">IF(B1931="","",IFERROR(INDEX(Roster!$B$5:$B$154,MATCH(B1931,Roster!$A$5:$A$154,0)),"Not on roster"))</f>
        <v/>
      </c>
      <c r="G1931" s="28" t="str">
        <f aca="false">IF(OR(B1931="",C1931=""),"",F1931&amp;" | "&amp;C1931)</f>
        <v/>
      </c>
      <c r="H1931" s="27" t="str">
        <f aca="false">IF(G1931="","",IFERROR(INDEX(Levels!$C$5:$C$94,MATCH(G1931,Levels!$G$5:$G$94,0)),"Not this class's skill"))</f>
        <v/>
      </c>
    </row>
    <row r="1932" customFormat="false" ht="15" hidden="false" customHeight="false" outlineLevel="0" collapsed="false">
      <c r="A1932" s="23"/>
      <c r="B1932" s="22"/>
      <c r="C1932" s="22"/>
      <c r="D1932" s="22"/>
      <c r="E1932" s="22"/>
      <c r="F1932" s="27" t="str">
        <f aca="false">IF(B1932="","",IFERROR(INDEX(Roster!$B$5:$B$154,MATCH(B1932,Roster!$A$5:$A$154,0)),"Not on roster"))</f>
        <v/>
      </c>
      <c r="G1932" s="28" t="str">
        <f aca="false">IF(OR(B1932="",C1932=""),"",F1932&amp;" | "&amp;C1932)</f>
        <v/>
      </c>
      <c r="H1932" s="27" t="str">
        <f aca="false">IF(G1932="","",IFERROR(INDEX(Levels!$C$5:$C$94,MATCH(G1932,Levels!$G$5:$G$94,0)),"Not this class's skill"))</f>
        <v/>
      </c>
    </row>
    <row r="1933" customFormat="false" ht="15" hidden="false" customHeight="false" outlineLevel="0" collapsed="false">
      <c r="A1933" s="23"/>
      <c r="B1933" s="22"/>
      <c r="C1933" s="22"/>
      <c r="D1933" s="22"/>
      <c r="E1933" s="22"/>
      <c r="F1933" s="27" t="str">
        <f aca="false">IF(B1933="","",IFERROR(INDEX(Roster!$B$5:$B$154,MATCH(B1933,Roster!$A$5:$A$154,0)),"Not on roster"))</f>
        <v/>
      </c>
      <c r="G1933" s="28" t="str">
        <f aca="false">IF(OR(B1933="",C1933=""),"",F1933&amp;" | "&amp;C1933)</f>
        <v/>
      </c>
      <c r="H1933" s="27" t="str">
        <f aca="false">IF(G1933="","",IFERROR(INDEX(Levels!$C$5:$C$94,MATCH(G1933,Levels!$G$5:$G$94,0)),"Not this class's skill"))</f>
        <v/>
      </c>
    </row>
    <row r="1934" customFormat="false" ht="15" hidden="false" customHeight="false" outlineLevel="0" collapsed="false">
      <c r="A1934" s="23"/>
      <c r="B1934" s="22"/>
      <c r="C1934" s="22"/>
      <c r="D1934" s="22"/>
      <c r="E1934" s="22"/>
      <c r="F1934" s="27" t="str">
        <f aca="false">IF(B1934="","",IFERROR(INDEX(Roster!$B$5:$B$154,MATCH(B1934,Roster!$A$5:$A$154,0)),"Not on roster"))</f>
        <v/>
      </c>
      <c r="G1934" s="28" t="str">
        <f aca="false">IF(OR(B1934="",C1934=""),"",F1934&amp;" | "&amp;C1934)</f>
        <v/>
      </c>
      <c r="H1934" s="27" t="str">
        <f aca="false">IF(G1934="","",IFERROR(INDEX(Levels!$C$5:$C$94,MATCH(G1934,Levels!$G$5:$G$94,0)),"Not this class's skill"))</f>
        <v/>
      </c>
    </row>
    <row r="1935" customFormat="false" ht="15" hidden="false" customHeight="false" outlineLevel="0" collapsed="false">
      <c r="A1935" s="23"/>
      <c r="B1935" s="22"/>
      <c r="C1935" s="22"/>
      <c r="D1935" s="22"/>
      <c r="E1935" s="22"/>
      <c r="F1935" s="27" t="str">
        <f aca="false">IF(B1935="","",IFERROR(INDEX(Roster!$B$5:$B$154,MATCH(B1935,Roster!$A$5:$A$154,0)),"Not on roster"))</f>
        <v/>
      </c>
      <c r="G1935" s="28" t="str">
        <f aca="false">IF(OR(B1935="",C1935=""),"",F1935&amp;" | "&amp;C1935)</f>
        <v/>
      </c>
      <c r="H1935" s="27" t="str">
        <f aca="false">IF(G1935="","",IFERROR(INDEX(Levels!$C$5:$C$94,MATCH(G1935,Levels!$G$5:$G$94,0)),"Not this class's skill"))</f>
        <v/>
      </c>
    </row>
    <row r="1936" customFormat="false" ht="15" hidden="false" customHeight="false" outlineLevel="0" collapsed="false">
      <c r="A1936" s="23"/>
      <c r="B1936" s="22"/>
      <c r="C1936" s="22"/>
      <c r="D1936" s="22"/>
      <c r="E1936" s="22"/>
      <c r="F1936" s="27" t="str">
        <f aca="false">IF(B1936="","",IFERROR(INDEX(Roster!$B$5:$B$154,MATCH(B1936,Roster!$A$5:$A$154,0)),"Not on roster"))</f>
        <v/>
      </c>
      <c r="G1936" s="28" t="str">
        <f aca="false">IF(OR(B1936="",C1936=""),"",F1936&amp;" | "&amp;C1936)</f>
        <v/>
      </c>
      <c r="H1936" s="27" t="str">
        <f aca="false">IF(G1936="","",IFERROR(INDEX(Levels!$C$5:$C$94,MATCH(G1936,Levels!$G$5:$G$94,0)),"Not this class's skill"))</f>
        <v/>
      </c>
    </row>
    <row r="1937" customFormat="false" ht="15" hidden="false" customHeight="false" outlineLevel="0" collapsed="false">
      <c r="A1937" s="23"/>
      <c r="B1937" s="22"/>
      <c r="C1937" s="22"/>
      <c r="D1937" s="22"/>
      <c r="E1937" s="22"/>
      <c r="F1937" s="27" t="str">
        <f aca="false">IF(B1937="","",IFERROR(INDEX(Roster!$B$5:$B$154,MATCH(B1937,Roster!$A$5:$A$154,0)),"Not on roster"))</f>
        <v/>
      </c>
      <c r="G1937" s="28" t="str">
        <f aca="false">IF(OR(B1937="",C1937=""),"",F1937&amp;" | "&amp;C1937)</f>
        <v/>
      </c>
      <c r="H1937" s="27" t="str">
        <f aca="false">IF(G1937="","",IFERROR(INDEX(Levels!$C$5:$C$94,MATCH(G1937,Levels!$G$5:$G$94,0)),"Not this class's skill"))</f>
        <v/>
      </c>
    </row>
    <row r="1938" customFormat="false" ht="15" hidden="false" customHeight="false" outlineLevel="0" collapsed="false">
      <c r="A1938" s="23"/>
      <c r="B1938" s="22"/>
      <c r="C1938" s="22"/>
      <c r="D1938" s="22"/>
      <c r="E1938" s="22"/>
      <c r="F1938" s="27" t="str">
        <f aca="false">IF(B1938="","",IFERROR(INDEX(Roster!$B$5:$B$154,MATCH(B1938,Roster!$A$5:$A$154,0)),"Not on roster"))</f>
        <v/>
      </c>
      <c r="G1938" s="28" t="str">
        <f aca="false">IF(OR(B1938="",C1938=""),"",F1938&amp;" | "&amp;C1938)</f>
        <v/>
      </c>
      <c r="H1938" s="27" t="str">
        <f aca="false">IF(G1938="","",IFERROR(INDEX(Levels!$C$5:$C$94,MATCH(G1938,Levels!$G$5:$G$94,0)),"Not this class's skill"))</f>
        <v/>
      </c>
    </row>
    <row r="1939" customFormat="false" ht="15" hidden="false" customHeight="false" outlineLevel="0" collapsed="false">
      <c r="A1939" s="23"/>
      <c r="B1939" s="22"/>
      <c r="C1939" s="22"/>
      <c r="D1939" s="22"/>
      <c r="E1939" s="22"/>
      <c r="F1939" s="27" t="str">
        <f aca="false">IF(B1939="","",IFERROR(INDEX(Roster!$B$5:$B$154,MATCH(B1939,Roster!$A$5:$A$154,0)),"Not on roster"))</f>
        <v/>
      </c>
      <c r="G1939" s="28" t="str">
        <f aca="false">IF(OR(B1939="",C1939=""),"",F1939&amp;" | "&amp;C1939)</f>
        <v/>
      </c>
      <c r="H1939" s="27" t="str">
        <f aca="false">IF(G1939="","",IFERROR(INDEX(Levels!$C$5:$C$94,MATCH(G1939,Levels!$G$5:$G$94,0)),"Not this class's skill"))</f>
        <v/>
      </c>
    </row>
    <row r="1940" customFormat="false" ht="15" hidden="false" customHeight="false" outlineLevel="0" collapsed="false">
      <c r="A1940" s="23"/>
      <c r="B1940" s="22"/>
      <c r="C1940" s="22"/>
      <c r="D1940" s="22"/>
      <c r="E1940" s="22"/>
      <c r="F1940" s="27" t="str">
        <f aca="false">IF(B1940="","",IFERROR(INDEX(Roster!$B$5:$B$154,MATCH(B1940,Roster!$A$5:$A$154,0)),"Not on roster"))</f>
        <v/>
      </c>
      <c r="G1940" s="28" t="str">
        <f aca="false">IF(OR(B1940="",C1940=""),"",F1940&amp;" | "&amp;C1940)</f>
        <v/>
      </c>
      <c r="H1940" s="27" t="str">
        <f aca="false">IF(G1940="","",IFERROR(INDEX(Levels!$C$5:$C$94,MATCH(G1940,Levels!$G$5:$G$94,0)),"Not this class's skill"))</f>
        <v/>
      </c>
    </row>
    <row r="1941" customFormat="false" ht="15" hidden="false" customHeight="false" outlineLevel="0" collapsed="false">
      <c r="A1941" s="23"/>
      <c r="B1941" s="22"/>
      <c r="C1941" s="22"/>
      <c r="D1941" s="22"/>
      <c r="E1941" s="22"/>
      <c r="F1941" s="27" t="str">
        <f aca="false">IF(B1941="","",IFERROR(INDEX(Roster!$B$5:$B$154,MATCH(B1941,Roster!$A$5:$A$154,0)),"Not on roster"))</f>
        <v/>
      </c>
      <c r="G1941" s="28" t="str">
        <f aca="false">IF(OR(B1941="",C1941=""),"",F1941&amp;" | "&amp;C1941)</f>
        <v/>
      </c>
      <c r="H1941" s="27" t="str">
        <f aca="false">IF(G1941="","",IFERROR(INDEX(Levels!$C$5:$C$94,MATCH(G1941,Levels!$G$5:$G$94,0)),"Not this class's skill"))</f>
        <v/>
      </c>
    </row>
    <row r="1942" customFormat="false" ht="15" hidden="false" customHeight="false" outlineLevel="0" collapsed="false">
      <c r="A1942" s="23"/>
      <c r="B1942" s="22"/>
      <c r="C1942" s="22"/>
      <c r="D1942" s="22"/>
      <c r="E1942" s="22"/>
      <c r="F1942" s="27" t="str">
        <f aca="false">IF(B1942="","",IFERROR(INDEX(Roster!$B$5:$B$154,MATCH(B1942,Roster!$A$5:$A$154,0)),"Not on roster"))</f>
        <v/>
      </c>
      <c r="G1942" s="28" t="str">
        <f aca="false">IF(OR(B1942="",C1942=""),"",F1942&amp;" | "&amp;C1942)</f>
        <v/>
      </c>
      <c r="H1942" s="27" t="str">
        <f aca="false">IF(G1942="","",IFERROR(INDEX(Levels!$C$5:$C$94,MATCH(G1942,Levels!$G$5:$G$94,0)),"Not this class's skill"))</f>
        <v/>
      </c>
    </row>
    <row r="1943" customFormat="false" ht="15" hidden="false" customHeight="false" outlineLevel="0" collapsed="false">
      <c r="A1943" s="23"/>
      <c r="B1943" s="22"/>
      <c r="C1943" s="22"/>
      <c r="D1943" s="22"/>
      <c r="E1943" s="22"/>
      <c r="F1943" s="27" t="str">
        <f aca="false">IF(B1943="","",IFERROR(INDEX(Roster!$B$5:$B$154,MATCH(B1943,Roster!$A$5:$A$154,0)),"Not on roster"))</f>
        <v/>
      </c>
      <c r="G1943" s="28" t="str">
        <f aca="false">IF(OR(B1943="",C1943=""),"",F1943&amp;" | "&amp;C1943)</f>
        <v/>
      </c>
      <c r="H1943" s="27" t="str">
        <f aca="false">IF(G1943="","",IFERROR(INDEX(Levels!$C$5:$C$94,MATCH(G1943,Levels!$G$5:$G$94,0)),"Not this class's skill"))</f>
        <v/>
      </c>
    </row>
    <row r="1944" customFormat="false" ht="15" hidden="false" customHeight="false" outlineLevel="0" collapsed="false">
      <c r="A1944" s="23"/>
      <c r="B1944" s="22"/>
      <c r="C1944" s="22"/>
      <c r="D1944" s="22"/>
      <c r="E1944" s="22"/>
      <c r="F1944" s="27" t="str">
        <f aca="false">IF(B1944="","",IFERROR(INDEX(Roster!$B$5:$B$154,MATCH(B1944,Roster!$A$5:$A$154,0)),"Not on roster"))</f>
        <v/>
      </c>
      <c r="G1944" s="28" t="str">
        <f aca="false">IF(OR(B1944="",C1944=""),"",F1944&amp;" | "&amp;C1944)</f>
        <v/>
      </c>
      <c r="H1944" s="27" t="str">
        <f aca="false">IF(G1944="","",IFERROR(INDEX(Levels!$C$5:$C$94,MATCH(G1944,Levels!$G$5:$G$94,0)),"Not this class's skill"))</f>
        <v/>
      </c>
    </row>
    <row r="1945" customFormat="false" ht="15" hidden="false" customHeight="false" outlineLevel="0" collapsed="false">
      <c r="A1945" s="23"/>
      <c r="B1945" s="22"/>
      <c r="C1945" s="22"/>
      <c r="D1945" s="22"/>
      <c r="E1945" s="22"/>
      <c r="F1945" s="27" t="str">
        <f aca="false">IF(B1945="","",IFERROR(INDEX(Roster!$B$5:$B$154,MATCH(B1945,Roster!$A$5:$A$154,0)),"Not on roster"))</f>
        <v/>
      </c>
      <c r="G1945" s="28" t="str">
        <f aca="false">IF(OR(B1945="",C1945=""),"",F1945&amp;" | "&amp;C1945)</f>
        <v/>
      </c>
      <c r="H1945" s="27" t="str">
        <f aca="false">IF(G1945="","",IFERROR(INDEX(Levels!$C$5:$C$94,MATCH(G1945,Levels!$G$5:$G$94,0)),"Not this class's skill"))</f>
        <v/>
      </c>
    </row>
    <row r="1946" customFormat="false" ht="15" hidden="false" customHeight="false" outlineLevel="0" collapsed="false">
      <c r="A1946" s="23"/>
      <c r="B1946" s="22"/>
      <c r="C1946" s="22"/>
      <c r="D1946" s="22"/>
      <c r="E1946" s="22"/>
      <c r="F1946" s="27" t="str">
        <f aca="false">IF(B1946="","",IFERROR(INDEX(Roster!$B$5:$B$154,MATCH(B1946,Roster!$A$5:$A$154,0)),"Not on roster"))</f>
        <v/>
      </c>
      <c r="G1946" s="28" t="str">
        <f aca="false">IF(OR(B1946="",C1946=""),"",F1946&amp;" | "&amp;C1946)</f>
        <v/>
      </c>
      <c r="H1946" s="27" t="str">
        <f aca="false">IF(G1946="","",IFERROR(INDEX(Levels!$C$5:$C$94,MATCH(G1946,Levels!$G$5:$G$94,0)),"Not this class's skill"))</f>
        <v/>
      </c>
    </row>
    <row r="1947" customFormat="false" ht="15" hidden="false" customHeight="false" outlineLevel="0" collapsed="false">
      <c r="A1947" s="23"/>
      <c r="B1947" s="22"/>
      <c r="C1947" s="22"/>
      <c r="D1947" s="22"/>
      <c r="E1947" s="22"/>
      <c r="F1947" s="27" t="str">
        <f aca="false">IF(B1947="","",IFERROR(INDEX(Roster!$B$5:$B$154,MATCH(B1947,Roster!$A$5:$A$154,0)),"Not on roster"))</f>
        <v/>
      </c>
      <c r="G1947" s="28" t="str">
        <f aca="false">IF(OR(B1947="",C1947=""),"",F1947&amp;" | "&amp;C1947)</f>
        <v/>
      </c>
      <c r="H1947" s="27" t="str">
        <f aca="false">IF(G1947="","",IFERROR(INDEX(Levels!$C$5:$C$94,MATCH(G1947,Levels!$G$5:$G$94,0)),"Not this class's skill"))</f>
        <v/>
      </c>
    </row>
    <row r="1948" customFormat="false" ht="15" hidden="false" customHeight="false" outlineLevel="0" collapsed="false">
      <c r="A1948" s="23"/>
      <c r="B1948" s="22"/>
      <c r="C1948" s="22"/>
      <c r="D1948" s="22"/>
      <c r="E1948" s="22"/>
      <c r="F1948" s="27" t="str">
        <f aca="false">IF(B1948="","",IFERROR(INDEX(Roster!$B$5:$B$154,MATCH(B1948,Roster!$A$5:$A$154,0)),"Not on roster"))</f>
        <v/>
      </c>
      <c r="G1948" s="28" t="str">
        <f aca="false">IF(OR(B1948="",C1948=""),"",F1948&amp;" | "&amp;C1948)</f>
        <v/>
      </c>
      <c r="H1948" s="27" t="str">
        <f aca="false">IF(G1948="","",IFERROR(INDEX(Levels!$C$5:$C$94,MATCH(G1948,Levels!$G$5:$G$94,0)),"Not this class's skill"))</f>
        <v/>
      </c>
    </row>
    <row r="1949" customFormat="false" ht="15" hidden="false" customHeight="false" outlineLevel="0" collapsed="false">
      <c r="A1949" s="23"/>
      <c r="B1949" s="22"/>
      <c r="C1949" s="22"/>
      <c r="D1949" s="22"/>
      <c r="E1949" s="22"/>
      <c r="F1949" s="27" t="str">
        <f aca="false">IF(B1949="","",IFERROR(INDEX(Roster!$B$5:$B$154,MATCH(B1949,Roster!$A$5:$A$154,0)),"Not on roster"))</f>
        <v/>
      </c>
      <c r="G1949" s="28" t="str">
        <f aca="false">IF(OR(B1949="",C1949=""),"",F1949&amp;" | "&amp;C1949)</f>
        <v/>
      </c>
      <c r="H1949" s="27" t="str">
        <f aca="false">IF(G1949="","",IFERROR(INDEX(Levels!$C$5:$C$94,MATCH(G1949,Levels!$G$5:$G$94,0)),"Not this class's skill"))</f>
        <v/>
      </c>
    </row>
    <row r="1950" customFormat="false" ht="15" hidden="false" customHeight="false" outlineLevel="0" collapsed="false">
      <c r="A1950" s="23"/>
      <c r="B1950" s="22"/>
      <c r="C1950" s="22"/>
      <c r="D1950" s="22"/>
      <c r="E1950" s="22"/>
      <c r="F1950" s="27" t="str">
        <f aca="false">IF(B1950="","",IFERROR(INDEX(Roster!$B$5:$B$154,MATCH(B1950,Roster!$A$5:$A$154,0)),"Not on roster"))</f>
        <v/>
      </c>
      <c r="G1950" s="28" t="str">
        <f aca="false">IF(OR(B1950="",C1950=""),"",F1950&amp;" | "&amp;C1950)</f>
        <v/>
      </c>
      <c r="H1950" s="27" t="str">
        <f aca="false">IF(G1950="","",IFERROR(INDEX(Levels!$C$5:$C$94,MATCH(G1950,Levels!$G$5:$G$94,0)),"Not this class's skill"))</f>
        <v/>
      </c>
    </row>
    <row r="1951" customFormat="false" ht="15" hidden="false" customHeight="false" outlineLevel="0" collapsed="false">
      <c r="A1951" s="23"/>
      <c r="B1951" s="22"/>
      <c r="C1951" s="22"/>
      <c r="D1951" s="22"/>
      <c r="E1951" s="22"/>
      <c r="F1951" s="27" t="str">
        <f aca="false">IF(B1951="","",IFERROR(INDEX(Roster!$B$5:$B$154,MATCH(B1951,Roster!$A$5:$A$154,0)),"Not on roster"))</f>
        <v/>
      </c>
      <c r="G1951" s="28" t="str">
        <f aca="false">IF(OR(B1951="",C1951=""),"",F1951&amp;" | "&amp;C1951)</f>
        <v/>
      </c>
      <c r="H1951" s="27" t="str">
        <f aca="false">IF(G1951="","",IFERROR(INDEX(Levels!$C$5:$C$94,MATCH(G1951,Levels!$G$5:$G$94,0)),"Not this class's skill"))</f>
        <v/>
      </c>
    </row>
    <row r="1952" customFormat="false" ht="15" hidden="false" customHeight="false" outlineLevel="0" collapsed="false">
      <c r="A1952" s="23"/>
      <c r="B1952" s="22"/>
      <c r="C1952" s="22"/>
      <c r="D1952" s="22"/>
      <c r="E1952" s="22"/>
      <c r="F1952" s="27" t="str">
        <f aca="false">IF(B1952="","",IFERROR(INDEX(Roster!$B$5:$B$154,MATCH(B1952,Roster!$A$5:$A$154,0)),"Not on roster"))</f>
        <v/>
      </c>
      <c r="G1952" s="28" t="str">
        <f aca="false">IF(OR(B1952="",C1952=""),"",F1952&amp;" | "&amp;C1952)</f>
        <v/>
      </c>
      <c r="H1952" s="27" t="str">
        <f aca="false">IF(G1952="","",IFERROR(INDEX(Levels!$C$5:$C$94,MATCH(G1952,Levels!$G$5:$G$94,0)),"Not this class's skill"))</f>
        <v/>
      </c>
    </row>
    <row r="1953" customFormat="false" ht="15" hidden="false" customHeight="false" outlineLevel="0" collapsed="false">
      <c r="A1953" s="23"/>
      <c r="B1953" s="22"/>
      <c r="C1953" s="22"/>
      <c r="D1953" s="22"/>
      <c r="E1953" s="22"/>
      <c r="F1953" s="27" t="str">
        <f aca="false">IF(B1953="","",IFERROR(INDEX(Roster!$B$5:$B$154,MATCH(B1953,Roster!$A$5:$A$154,0)),"Not on roster"))</f>
        <v/>
      </c>
      <c r="G1953" s="28" t="str">
        <f aca="false">IF(OR(B1953="",C1953=""),"",F1953&amp;" | "&amp;C1953)</f>
        <v/>
      </c>
      <c r="H1953" s="27" t="str">
        <f aca="false">IF(G1953="","",IFERROR(INDEX(Levels!$C$5:$C$94,MATCH(G1953,Levels!$G$5:$G$94,0)),"Not this class's skill"))</f>
        <v/>
      </c>
    </row>
    <row r="1954" customFormat="false" ht="15" hidden="false" customHeight="false" outlineLevel="0" collapsed="false">
      <c r="A1954" s="23"/>
      <c r="B1954" s="22"/>
      <c r="C1954" s="22"/>
      <c r="D1954" s="22"/>
      <c r="E1954" s="22"/>
      <c r="F1954" s="27" t="str">
        <f aca="false">IF(B1954="","",IFERROR(INDEX(Roster!$B$5:$B$154,MATCH(B1954,Roster!$A$5:$A$154,0)),"Not on roster"))</f>
        <v/>
      </c>
      <c r="G1954" s="28" t="str">
        <f aca="false">IF(OR(B1954="",C1954=""),"",F1954&amp;" | "&amp;C1954)</f>
        <v/>
      </c>
      <c r="H1954" s="27" t="str">
        <f aca="false">IF(G1954="","",IFERROR(INDEX(Levels!$C$5:$C$94,MATCH(G1954,Levels!$G$5:$G$94,0)),"Not this class's skill"))</f>
        <v/>
      </c>
    </row>
    <row r="1955" customFormat="false" ht="15" hidden="false" customHeight="false" outlineLevel="0" collapsed="false">
      <c r="A1955" s="23"/>
      <c r="B1955" s="22"/>
      <c r="C1955" s="22"/>
      <c r="D1955" s="22"/>
      <c r="E1955" s="22"/>
      <c r="F1955" s="27" t="str">
        <f aca="false">IF(B1955="","",IFERROR(INDEX(Roster!$B$5:$B$154,MATCH(B1955,Roster!$A$5:$A$154,0)),"Not on roster"))</f>
        <v/>
      </c>
      <c r="G1955" s="28" t="str">
        <f aca="false">IF(OR(B1955="",C1955=""),"",F1955&amp;" | "&amp;C1955)</f>
        <v/>
      </c>
      <c r="H1955" s="27" t="str">
        <f aca="false">IF(G1955="","",IFERROR(INDEX(Levels!$C$5:$C$94,MATCH(G1955,Levels!$G$5:$G$94,0)),"Not this class's skill"))</f>
        <v/>
      </c>
    </row>
    <row r="1956" customFormat="false" ht="15" hidden="false" customHeight="false" outlineLevel="0" collapsed="false">
      <c r="A1956" s="23"/>
      <c r="B1956" s="22"/>
      <c r="C1956" s="22"/>
      <c r="D1956" s="22"/>
      <c r="E1956" s="22"/>
      <c r="F1956" s="27" t="str">
        <f aca="false">IF(B1956="","",IFERROR(INDEX(Roster!$B$5:$B$154,MATCH(B1956,Roster!$A$5:$A$154,0)),"Not on roster"))</f>
        <v/>
      </c>
      <c r="G1956" s="28" t="str">
        <f aca="false">IF(OR(B1956="",C1956=""),"",F1956&amp;" | "&amp;C1956)</f>
        <v/>
      </c>
      <c r="H1956" s="27" t="str">
        <f aca="false">IF(G1956="","",IFERROR(INDEX(Levels!$C$5:$C$94,MATCH(G1956,Levels!$G$5:$G$94,0)),"Not this class's skill"))</f>
        <v/>
      </c>
    </row>
    <row r="1957" customFormat="false" ht="15" hidden="false" customHeight="false" outlineLevel="0" collapsed="false">
      <c r="A1957" s="23"/>
      <c r="B1957" s="22"/>
      <c r="C1957" s="22"/>
      <c r="D1957" s="22"/>
      <c r="E1957" s="22"/>
      <c r="F1957" s="27" t="str">
        <f aca="false">IF(B1957="","",IFERROR(INDEX(Roster!$B$5:$B$154,MATCH(B1957,Roster!$A$5:$A$154,0)),"Not on roster"))</f>
        <v/>
      </c>
      <c r="G1957" s="28" t="str">
        <f aca="false">IF(OR(B1957="",C1957=""),"",F1957&amp;" | "&amp;C1957)</f>
        <v/>
      </c>
      <c r="H1957" s="27" t="str">
        <f aca="false">IF(G1957="","",IFERROR(INDEX(Levels!$C$5:$C$94,MATCH(G1957,Levels!$G$5:$G$94,0)),"Not this class's skill"))</f>
        <v/>
      </c>
    </row>
    <row r="1958" customFormat="false" ht="15" hidden="false" customHeight="false" outlineLevel="0" collapsed="false">
      <c r="A1958" s="23"/>
      <c r="B1958" s="22"/>
      <c r="C1958" s="22"/>
      <c r="D1958" s="22"/>
      <c r="E1958" s="22"/>
      <c r="F1958" s="27" t="str">
        <f aca="false">IF(B1958="","",IFERROR(INDEX(Roster!$B$5:$B$154,MATCH(B1958,Roster!$A$5:$A$154,0)),"Not on roster"))</f>
        <v/>
      </c>
      <c r="G1958" s="28" t="str">
        <f aca="false">IF(OR(B1958="",C1958=""),"",F1958&amp;" | "&amp;C1958)</f>
        <v/>
      </c>
      <c r="H1958" s="27" t="str">
        <f aca="false">IF(G1958="","",IFERROR(INDEX(Levels!$C$5:$C$94,MATCH(G1958,Levels!$G$5:$G$94,0)),"Not this class's skill"))</f>
        <v/>
      </c>
    </row>
    <row r="1959" customFormat="false" ht="15" hidden="false" customHeight="false" outlineLevel="0" collapsed="false">
      <c r="A1959" s="23"/>
      <c r="B1959" s="22"/>
      <c r="C1959" s="22"/>
      <c r="D1959" s="22"/>
      <c r="E1959" s="22"/>
      <c r="F1959" s="27" t="str">
        <f aca="false">IF(B1959="","",IFERROR(INDEX(Roster!$B$5:$B$154,MATCH(B1959,Roster!$A$5:$A$154,0)),"Not on roster"))</f>
        <v/>
      </c>
      <c r="G1959" s="28" t="str">
        <f aca="false">IF(OR(B1959="",C1959=""),"",F1959&amp;" | "&amp;C1959)</f>
        <v/>
      </c>
      <c r="H1959" s="27" t="str">
        <f aca="false">IF(G1959="","",IFERROR(INDEX(Levels!$C$5:$C$94,MATCH(G1959,Levels!$G$5:$G$94,0)),"Not this class's skill"))</f>
        <v/>
      </c>
    </row>
    <row r="1960" customFormat="false" ht="15" hidden="false" customHeight="false" outlineLevel="0" collapsed="false">
      <c r="A1960" s="23"/>
      <c r="B1960" s="22"/>
      <c r="C1960" s="22"/>
      <c r="D1960" s="22"/>
      <c r="E1960" s="22"/>
      <c r="F1960" s="27" t="str">
        <f aca="false">IF(B1960="","",IFERROR(INDEX(Roster!$B$5:$B$154,MATCH(B1960,Roster!$A$5:$A$154,0)),"Not on roster"))</f>
        <v/>
      </c>
      <c r="G1960" s="28" t="str">
        <f aca="false">IF(OR(B1960="",C1960=""),"",F1960&amp;" | "&amp;C1960)</f>
        <v/>
      </c>
      <c r="H1960" s="27" t="str">
        <f aca="false">IF(G1960="","",IFERROR(INDEX(Levels!$C$5:$C$94,MATCH(G1960,Levels!$G$5:$G$94,0)),"Not this class's skill"))</f>
        <v/>
      </c>
    </row>
    <row r="1961" customFormat="false" ht="15" hidden="false" customHeight="false" outlineLevel="0" collapsed="false">
      <c r="A1961" s="23"/>
      <c r="B1961" s="22"/>
      <c r="C1961" s="22"/>
      <c r="D1961" s="22"/>
      <c r="E1961" s="22"/>
      <c r="F1961" s="27" t="str">
        <f aca="false">IF(B1961="","",IFERROR(INDEX(Roster!$B$5:$B$154,MATCH(B1961,Roster!$A$5:$A$154,0)),"Not on roster"))</f>
        <v/>
      </c>
      <c r="G1961" s="28" t="str">
        <f aca="false">IF(OR(B1961="",C1961=""),"",F1961&amp;" | "&amp;C1961)</f>
        <v/>
      </c>
      <c r="H1961" s="27" t="str">
        <f aca="false">IF(G1961="","",IFERROR(INDEX(Levels!$C$5:$C$94,MATCH(G1961,Levels!$G$5:$G$94,0)),"Not this class's skill"))</f>
        <v/>
      </c>
    </row>
    <row r="1962" customFormat="false" ht="15" hidden="false" customHeight="false" outlineLevel="0" collapsed="false">
      <c r="A1962" s="23"/>
      <c r="B1962" s="22"/>
      <c r="C1962" s="22"/>
      <c r="D1962" s="22"/>
      <c r="E1962" s="22"/>
      <c r="F1962" s="27" t="str">
        <f aca="false">IF(B1962="","",IFERROR(INDEX(Roster!$B$5:$B$154,MATCH(B1962,Roster!$A$5:$A$154,0)),"Not on roster"))</f>
        <v/>
      </c>
      <c r="G1962" s="28" t="str">
        <f aca="false">IF(OR(B1962="",C1962=""),"",F1962&amp;" | "&amp;C1962)</f>
        <v/>
      </c>
      <c r="H1962" s="27" t="str">
        <f aca="false">IF(G1962="","",IFERROR(INDEX(Levels!$C$5:$C$94,MATCH(G1962,Levels!$G$5:$G$94,0)),"Not this class's skill"))</f>
        <v/>
      </c>
    </row>
    <row r="1963" customFormat="false" ht="15" hidden="false" customHeight="false" outlineLevel="0" collapsed="false">
      <c r="A1963" s="23"/>
      <c r="B1963" s="22"/>
      <c r="C1963" s="22"/>
      <c r="D1963" s="22"/>
      <c r="E1963" s="22"/>
      <c r="F1963" s="27" t="str">
        <f aca="false">IF(B1963="","",IFERROR(INDEX(Roster!$B$5:$B$154,MATCH(B1963,Roster!$A$5:$A$154,0)),"Not on roster"))</f>
        <v/>
      </c>
      <c r="G1963" s="28" t="str">
        <f aca="false">IF(OR(B1963="",C1963=""),"",F1963&amp;" | "&amp;C1963)</f>
        <v/>
      </c>
      <c r="H1963" s="27" t="str">
        <f aca="false">IF(G1963="","",IFERROR(INDEX(Levels!$C$5:$C$94,MATCH(G1963,Levels!$G$5:$G$94,0)),"Not this class's skill"))</f>
        <v/>
      </c>
    </row>
    <row r="1964" customFormat="false" ht="15" hidden="false" customHeight="false" outlineLevel="0" collapsed="false">
      <c r="A1964" s="23"/>
      <c r="B1964" s="22"/>
      <c r="C1964" s="22"/>
      <c r="D1964" s="22"/>
      <c r="E1964" s="22"/>
      <c r="F1964" s="27" t="str">
        <f aca="false">IF(B1964="","",IFERROR(INDEX(Roster!$B$5:$B$154,MATCH(B1964,Roster!$A$5:$A$154,0)),"Not on roster"))</f>
        <v/>
      </c>
      <c r="G1964" s="28" t="str">
        <f aca="false">IF(OR(B1964="",C1964=""),"",F1964&amp;" | "&amp;C1964)</f>
        <v/>
      </c>
      <c r="H1964" s="27" t="str">
        <f aca="false">IF(G1964="","",IFERROR(INDEX(Levels!$C$5:$C$94,MATCH(G1964,Levels!$G$5:$G$94,0)),"Not this class's skill"))</f>
        <v/>
      </c>
    </row>
    <row r="1965" customFormat="false" ht="15" hidden="false" customHeight="false" outlineLevel="0" collapsed="false">
      <c r="A1965" s="23"/>
      <c r="B1965" s="22"/>
      <c r="C1965" s="22"/>
      <c r="D1965" s="22"/>
      <c r="E1965" s="22"/>
      <c r="F1965" s="27" t="str">
        <f aca="false">IF(B1965="","",IFERROR(INDEX(Roster!$B$5:$B$154,MATCH(B1965,Roster!$A$5:$A$154,0)),"Not on roster"))</f>
        <v/>
      </c>
      <c r="G1965" s="28" t="str">
        <f aca="false">IF(OR(B1965="",C1965=""),"",F1965&amp;" | "&amp;C1965)</f>
        <v/>
      </c>
      <c r="H1965" s="27" t="str">
        <f aca="false">IF(G1965="","",IFERROR(INDEX(Levels!$C$5:$C$94,MATCH(G1965,Levels!$G$5:$G$94,0)),"Not this class's skill"))</f>
        <v/>
      </c>
    </row>
    <row r="1966" customFormat="false" ht="15" hidden="false" customHeight="false" outlineLevel="0" collapsed="false">
      <c r="A1966" s="23"/>
      <c r="B1966" s="22"/>
      <c r="C1966" s="22"/>
      <c r="D1966" s="22"/>
      <c r="E1966" s="22"/>
      <c r="F1966" s="27" t="str">
        <f aca="false">IF(B1966="","",IFERROR(INDEX(Roster!$B$5:$B$154,MATCH(B1966,Roster!$A$5:$A$154,0)),"Not on roster"))</f>
        <v/>
      </c>
      <c r="G1966" s="28" t="str">
        <f aca="false">IF(OR(B1966="",C1966=""),"",F1966&amp;" | "&amp;C1966)</f>
        <v/>
      </c>
      <c r="H1966" s="27" t="str">
        <f aca="false">IF(G1966="","",IFERROR(INDEX(Levels!$C$5:$C$94,MATCH(G1966,Levels!$G$5:$G$94,0)),"Not this class's skill"))</f>
        <v/>
      </c>
    </row>
    <row r="1967" customFormat="false" ht="15" hidden="false" customHeight="false" outlineLevel="0" collapsed="false">
      <c r="A1967" s="23"/>
      <c r="B1967" s="22"/>
      <c r="C1967" s="22"/>
      <c r="D1967" s="22"/>
      <c r="E1967" s="22"/>
      <c r="F1967" s="27" t="str">
        <f aca="false">IF(B1967="","",IFERROR(INDEX(Roster!$B$5:$B$154,MATCH(B1967,Roster!$A$5:$A$154,0)),"Not on roster"))</f>
        <v/>
      </c>
      <c r="G1967" s="28" t="str">
        <f aca="false">IF(OR(B1967="",C1967=""),"",F1967&amp;" | "&amp;C1967)</f>
        <v/>
      </c>
      <c r="H1967" s="27" t="str">
        <f aca="false">IF(G1967="","",IFERROR(INDEX(Levels!$C$5:$C$94,MATCH(G1967,Levels!$G$5:$G$94,0)),"Not this class's skill"))</f>
        <v/>
      </c>
    </row>
    <row r="1968" customFormat="false" ht="15" hidden="false" customHeight="false" outlineLevel="0" collapsed="false">
      <c r="A1968" s="23"/>
      <c r="B1968" s="22"/>
      <c r="C1968" s="22"/>
      <c r="D1968" s="22"/>
      <c r="E1968" s="22"/>
      <c r="F1968" s="27" t="str">
        <f aca="false">IF(B1968="","",IFERROR(INDEX(Roster!$B$5:$B$154,MATCH(B1968,Roster!$A$5:$A$154,0)),"Not on roster"))</f>
        <v/>
      </c>
      <c r="G1968" s="28" t="str">
        <f aca="false">IF(OR(B1968="",C1968=""),"",F1968&amp;" | "&amp;C1968)</f>
        <v/>
      </c>
      <c r="H1968" s="27" t="str">
        <f aca="false">IF(G1968="","",IFERROR(INDEX(Levels!$C$5:$C$94,MATCH(G1968,Levels!$G$5:$G$94,0)),"Not this class's skill"))</f>
        <v/>
      </c>
    </row>
    <row r="1969" customFormat="false" ht="15" hidden="false" customHeight="false" outlineLevel="0" collapsed="false">
      <c r="A1969" s="23"/>
      <c r="B1969" s="22"/>
      <c r="C1969" s="22"/>
      <c r="D1969" s="22"/>
      <c r="E1969" s="22"/>
      <c r="F1969" s="27" t="str">
        <f aca="false">IF(B1969="","",IFERROR(INDEX(Roster!$B$5:$B$154,MATCH(B1969,Roster!$A$5:$A$154,0)),"Not on roster"))</f>
        <v/>
      </c>
      <c r="G1969" s="28" t="str">
        <f aca="false">IF(OR(B1969="",C1969=""),"",F1969&amp;" | "&amp;C1969)</f>
        <v/>
      </c>
      <c r="H1969" s="27" t="str">
        <f aca="false">IF(G1969="","",IFERROR(INDEX(Levels!$C$5:$C$94,MATCH(G1969,Levels!$G$5:$G$94,0)),"Not this class's skill"))</f>
        <v/>
      </c>
    </row>
    <row r="1970" customFormat="false" ht="15" hidden="false" customHeight="false" outlineLevel="0" collapsed="false">
      <c r="A1970" s="23"/>
      <c r="B1970" s="22"/>
      <c r="C1970" s="22"/>
      <c r="D1970" s="22"/>
      <c r="E1970" s="22"/>
      <c r="F1970" s="27" t="str">
        <f aca="false">IF(B1970="","",IFERROR(INDEX(Roster!$B$5:$B$154,MATCH(B1970,Roster!$A$5:$A$154,0)),"Not on roster"))</f>
        <v/>
      </c>
      <c r="G1970" s="28" t="str">
        <f aca="false">IF(OR(B1970="",C1970=""),"",F1970&amp;" | "&amp;C1970)</f>
        <v/>
      </c>
      <c r="H1970" s="27" t="str">
        <f aca="false">IF(G1970="","",IFERROR(INDEX(Levels!$C$5:$C$94,MATCH(G1970,Levels!$G$5:$G$94,0)),"Not this class's skill"))</f>
        <v/>
      </c>
    </row>
    <row r="1971" customFormat="false" ht="15" hidden="false" customHeight="false" outlineLevel="0" collapsed="false">
      <c r="A1971" s="23"/>
      <c r="B1971" s="22"/>
      <c r="C1971" s="22"/>
      <c r="D1971" s="22"/>
      <c r="E1971" s="22"/>
      <c r="F1971" s="27" t="str">
        <f aca="false">IF(B1971="","",IFERROR(INDEX(Roster!$B$5:$B$154,MATCH(B1971,Roster!$A$5:$A$154,0)),"Not on roster"))</f>
        <v/>
      </c>
      <c r="G1971" s="28" t="str">
        <f aca="false">IF(OR(B1971="",C1971=""),"",F1971&amp;" | "&amp;C1971)</f>
        <v/>
      </c>
      <c r="H1971" s="27" t="str">
        <f aca="false">IF(G1971="","",IFERROR(INDEX(Levels!$C$5:$C$94,MATCH(G1971,Levels!$G$5:$G$94,0)),"Not this class's skill"))</f>
        <v/>
      </c>
    </row>
    <row r="1972" customFormat="false" ht="15" hidden="false" customHeight="false" outlineLevel="0" collapsed="false">
      <c r="A1972" s="23"/>
      <c r="B1972" s="22"/>
      <c r="C1972" s="22"/>
      <c r="D1972" s="22"/>
      <c r="E1972" s="22"/>
      <c r="F1972" s="27" t="str">
        <f aca="false">IF(B1972="","",IFERROR(INDEX(Roster!$B$5:$B$154,MATCH(B1972,Roster!$A$5:$A$154,0)),"Not on roster"))</f>
        <v/>
      </c>
      <c r="G1972" s="28" t="str">
        <f aca="false">IF(OR(B1972="",C1972=""),"",F1972&amp;" | "&amp;C1972)</f>
        <v/>
      </c>
      <c r="H1972" s="27" t="str">
        <f aca="false">IF(G1972="","",IFERROR(INDEX(Levels!$C$5:$C$94,MATCH(G1972,Levels!$G$5:$G$94,0)),"Not this class's skill"))</f>
        <v/>
      </c>
    </row>
    <row r="1973" customFormat="false" ht="15" hidden="false" customHeight="false" outlineLevel="0" collapsed="false">
      <c r="A1973" s="23"/>
      <c r="B1973" s="22"/>
      <c r="C1973" s="22"/>
      <c r="D1973" s="22"/>
      <c r="E1973" s="22"/>
      <c r="F1973" s="27" t="str">
        <f aca="false">IF(B1973="","",IFERROR(INDEX(Roster!$B$5:$B$154,MATCH(B1973,Roster!$A$5:$A$154,0)),"Not on roster"))</f>
        <v/>
      </c>
      <c r="G1973" s="28" t="str">
        <f aca="false">IF(OR(B1973="",C1973=""),"",F1973&amp;" | "&amp;C1973)</f>
        <v/>
      </c>
      <c r="H1973" s="27" t="str">
        <f aca="false">IF(G1973="","",IFERROR(INDEX(Levels!$C$5:$C$94,MATCH(G1973,Levels!$G$5:$G$94,0)),"Not this class's skill"))</f>
        <v/>
      </c>
    </row>
    <row r="1974" customFormat="false" ht="15" hidden="false" customHeight="false" outlineLevel="0" collapsed="false">
      <c r="A1974" s="23"/>
      <c r="B1974" s="22"/>
      <c r="C1974" s="22"/>
      <c r="D1974" s="22"/>
      <c r="E1974" s="22"/>
      <c r="F1974" s="27" t="str">
        <f aca="false">IF(B1974="","",IFERROR(INDEX(Roster!$B$5:$B$154,MATCH(B1974,Roster!$A$5:$A$154,0)),"Not on roster"))</f>
        <v/>
      </c>
      <c r="G1974" s="28" t="str">
        <f aca="false">IF(OR(B1974="",C1974=""),"",F1974&amp;" | "&amp;C1974)</f>
        <v/>
      </c>
      <c r="H1974" s="27" t="str">
        <f aca="false">IF(G1974="","",IFERROR(INDEX(Levels!$C$5:$C$94,MATCH(G1974,Levels!$G$5:$G$94,0)),"Not this class's skill"))</f>
        <v/>
      </c>
    </row>
    <row r="1975" customFormat="false" ht="15" hidden="false" customHeight="false" outlineLevel="0" collapsed="false">
      <c r="A1975" s="23"/>
      <c r="B1975" s="22"/>
      <c r="C1975" s="22"/>
      <c r="D1975" s="22"/>
      <c r="E1975" s="22"/>
      <c r="F1975" s="27" t="str">
        <f aca="false">IF(B1975="","",IFERROR(INDEX(Roster!$B$5:$B$154,MATCH(B1975,Roster!$A$5:$A$154,0)),"Not on roster"))</f>
        <v/>
      </c>
      <c r="G1975" s="28" t="str">
        <f aca="false">IF(OR(B1975="",C1975=""),"",F1975&amp;" | "&amp;C1975)</f>
        <v/>
      </c>
      <c r="H1975" s="27" t="str">
        <f aca="false">IF(G1975="","",IFERROR(INDEX(Levels!$C$5:$C$94,MATCH(G1975,Levels!$G$5:$G$94,0)),"Not this class's skill"))</f>
        <v/>
      </c>
    </row>
    <row r="1976" customFormat="false" ht="15" hidden="false" customHeight="false" outlineLevel="0" collapsed="false">
      <c r="A1976" s="23"/>
      <c r="B1976" s="22"/>
      <c r="C1976" s="22"/>
      <c r="D1976" s="22"/>
      <c r="E1976" s="22"/>
      <c r="F1976" s="27" t="str">
        <f aca="false">IF(B1976="","",IFERROR(INDEX(Roster!$B$5:$B$154,MATCH(B1976,Roster!$A$5:$A$154,0)),"Not on roster"))</f>
        <v/>
      </c>
      <c r="G1976" s="28" t="str">
        <f aca="false">IF(OR(B1976="",C1976=""),"",F1976&amp;" | "&amp;C1976)</f>
        <v/>
      </c>
      <c r="H1976" s="27" t="str">
        <f aca="false">IF(G1976="","",IFERROR(INDEX(Levels!$C$5:$C$94,MATCH(G1976,Levels!$G$5:$G$94,0)),"Not this class's skill"))</f>
        <v/>
      </c>
    </row>
    <row r="1977" customFormat="false" ht="15" hidden="false" customHeight="false" outlineLevel="0" collapsed="false">
      <c r="A1977" s="23"/>
      <c r="B1977" s="22"/>
      <c r="C1977" s="22"/>
      <c r="D1977" s="22"/>
      <c r="E1977" s="22"/>
      <c r="F1977" s="27" t="str">
        <f aca="false">IF(B1977="","",IFERROR(INDEX(Roster!$B$5:$B$154,MATCH(B1977,Roster!$A$5:$A$154,0)),"Not on roster"))</f>
        <v/>
      </c>
      <c r="G1977" s="28" t="str">
        <f aca="false">IF(OR(B1977="",C1977=""),"",F1977&amp;" | "&amp;C1977)</f>
        <v/>
      </c>
      <c r="H1977" s="27" t="str">
        <f aca="false">IF(G1977="","",IFERROR(INDEX(Levels!$C$5:$C$94,MATCH(G1977,Levels!$G$5:$G$94,0)),"Not this class's skill"))</f>
        <v/>
      </c>
    </row>
    <row r="1978" customFormat="false" ht="15" hidden="false" customHeight="false" outlineLevel="0" collapsed="false">
      <c r="A1978" s="23"/>
      <c r="B1978" s="22"/>
      <c r="C1978" s="22"/>
      <c r="D1978" s="22"/>
      <c r="E1978" s="22"/>
      <c r="F1978" s="27" t="str">
        <f aca="false">IF(B1978="","",IFERROR(INDEX(Roster!$B$5:$B$154,MATCH(B1978,Roster!$A$5:$A$154,0)),"Not on roster"))</f>
        <v/>
      </c>
      <c r="G1978" s="28" t="str">
        <f aca="false">IF(OR(B1978="",C1978=""),"",F1978&amp;" | "&amp;C1978)</f>
        <v/>
      </c>
      <c r="H1978" s="27" t="str">
        <f aca="false">IF(G1978="","",IFERROR(INDEX(Levels!$C$5:$C$94,MATCH(G1978,Levels!$G$5:$G$94,0)),"Not this class's skill"))</f>
        <v/>
      </c>
    </row>
    <row r="1979" customFormat="false" ht="15" hidden="false" customHeight="false" outlineLevel="0" collapsed="false">
      <c r="A1979" s="23"/>
      <c r="B1979" s="22"/>
      <c r="C1979" s="22"/>
      <c r="D1979" s="22"/>
      <c r="E1979" s="22"/>
      <c r="F1979" s="27" t="str">
        <f aca="false">IF(B1979="","",IFERROR(INDEX(Roster!$B$5:$B$154,MATCH(B1979,Roster!$A$5:$A$154,0)),"Not on roster"))</f>
        <v/>
      </c>
      <c r="G1979" s="28" t="str">
        <f aca="false">IF(OR(B1979="",C1979=""),"",F1979&amp;" | "&amp;C1979)</f>
        <v/>
      </c>
      <c r="H1979" s="27" t="str">
        <f aca="false">IF(G1979="","",IFERROR(INDEX(Levels!$C$5:$C$94,MATCH(G1979,Levels!$G$5:$G$94,0)),"Not this class's skill"))</f>
        <v/>
      </c>
    </row>
    <row r="1980" customFormat="false" ht="15" hidden="false" customHeight="false" outlineLevel="0" collapsed="false">
      <c r="A1980" s="23"/>
      <c r="B1980" s="22"/>
      <c r="C1980" s="22"/>
      <c r="D1980" s="22"/>
      <c r="E1980" s="22"/>
      <c r="F1980" s="27" t="str">
        <f aca="false">IF(B1980="","",IFERROR(INDEX(Roster!$B$5:$B$154,MATCH(B1980,Roster!$A$5:$A$154,0)),"Not on roster"))</f>
        <v/>
      </c>
      <c r="G1980" s="28" t="str">
        <f aca="false">IF(OR(B1980="",C1980=""),"",F1980&amp;" | "&amp;C1980)</f>
        <v/>
      </c>
      <c r="H1980" s="27" t="str">
        <f aca="false">IF(G1980="","",IFERROR(INDEX(Levels!$C$5:$C$94,MATCH(G1980,Levels!$G$5:$G$94,0)),"Not this class's skill"))</f>
        <v/>
      </c>
    </row>
    <row r="1981" customFormat="false" ht="15" hidden="false" customHeight="false" outlineLevel="0" collapsed="false">
      <c r="A1981" s="23"/>
      <c r="B1981" s="22"/>
      <c r="C1981" s="22"/>
      <c r="D1981" s="22"/>
      <c r="E1981" s="22"/>
      <c r="F1981" s="27" t="str">
        <f aca="false">IF(B1981="","",IFERROR(INDEX(Roster!$B$5:$B$154,MATCH(B1981,Roster!$A$5:$A$154,0)),"Not on roster"))</f>
        <v/>
      </c>
      <c r="G1981" s="28" t="str">
        <f aca="false">IF(OR(B1981="",C1981=""),"",F1981&amp;" | "&amp;C1981)</f>
        <v/>
      </c>
      <c r="H1981" s="27" t="str">
        <f aca="false">IF(G1981="","",IFERROR(INDEX(Levels!$C$5:$C$94,MATCH(G1981,Levels!$G$5:$G$94,0)),"Not this class's skill"))</f>
        <v/>
      </c>
    </row>
    <row r="1982" customFormat="false" ht="15" hidden="false" customHeight="false" outlineLevel="0" collapsed="false">
      <c r="A1982" s="23"/>
      <c r="B1982" s="22"/>
      <c r="C1982" s="22"/>
      <c r="D1982" s="22"/>
      <c r="E1982" s="22"/>
      <c r="F1982" s="27" t="str">
        <f aca="false">IF(B1982="","",IFERROR(INDEX(Roster!$B$5:$B$154,MATCH(B1982,Roster!$A$5:$A$154,0)),"Not on roster"))</f>
        <v/>
      </c>
      <c r="G1982" s="28" t="str">
        <f aca="false">IF(OR(B1982="",C1982=""),"",F1982&amp;" | "&amp;C1982)</f>
        <v/>
      </c>
      <c r="H1982" s="27" t="str">
        <f aca="false">IF(G1982="","",IFERROR(INDEX(Levels!$C$5:$C$94,MATCH(G1982,Levels!$G$5:$G$94,0)),"Not this class's skill"))</f>
        <v/>
      </c>
    </row>
    <row r="1983" customFormat="false" ht="15" hidden="false" customHeight="false" outlineLevel="0" collapsed="false">
      <c r="A1983" s="23"/>
      <c r="B1983" s="22"/>
      <c r="C1983" s="22"/>
      <c r="D1983" s="22"/>
      <c r="E1983" s="22"/>
      <c r="F1983" s="27" t="str">
        <f aca="false">IF(B1983="","",IFERROR(INDEX(Roster!$B$5:$B$154,MATCH(B1983,Roster!$A$5:$A$154,0)),"Not on roster"))</f>
        <v/>
      </c>
      <c r="G1983" s="28" t="str">
        <f aca="false">IF(OR(B1983="",C1983=""),"",F1983&amp;" | "&amp;C1983)</f>
        <v/>
      </c>
      <c r="H1983" s="27" t="str">
        <f aca="false">IF(G1983="","",IFERROR(INDEX(Levels!$C$5:$C$94,MATCH(G1983,Levels!$G$5:$G$94,0)),"Not this class's skill"))</f>
        <v/>
      </c>
    </row>
    <row r="1984" customFormat="false" ht="15" hidden="false" customHeight="false" outlineLevel="0" collapsed="false">
      <c r="A1984" s="23"/>
      <c r="B1984" s="22"/>
      <c r="C1984" s="22"/>
      <c r="D1984" s="22"/>
      <c r="E1984" s="22"/>
      <c r="F1984" s="27" t="str">
        <f aca="false">IF(B1984="","",IFERROR(INDEX(Roster!$B$5:$B$154,MATCH(B1984,Roster!$A$5:$A$154,0)),"Not on roster"))</f>
        <v/>
      </c>
      <c r="G1984" s="28" t="str">
        <f aca="false">IF(OR(B1984="",C1984=""),"",F1984&amp;" | "&amp;C1984)</f>
        <v/>
      </c>
      <c r="H1984" s="27" t="str">
        <f aca="false">IF(G1984="","",IFERROR(INDEX(Levels!$C$5:$C$94,MATCH(G1984,Levels!$G$5:$G$94,0)),"Not this class's skill"))</f>
        <v/>
      </c>
    </row>
    <row r="1985" customFormat="false" ht="15" hidden="false" customHeight="false" outlineLevel="0" collapsed="false">
      <c r="A1985" s="23"/>
      <c r="B1985" s="22"/>
      <c r="C1985" s="22"/>
      <c r="D1985" s="22"/>
      <c r="E1985" s="22"/>
      <c r="F1985" s="27" t="str">
        <f aca="false">IF(B1985="","",IFERROR(INDEX(Roster!$B$5:$B$154,MATCH(B1985,Roster!$A$5:$A$154,0)),"Not on roster"))</f>
        <v/>
      </c>
      <c r="G1985" s="28" t="str">
        <f aca="false">IF(OR(B1985="",C1985=""),"",F1985&amp;" | "&amp;C1985)</f>
        <v/>
      </c>
      <c r="H1985" s="27" t="str">
        <f aca="false">IF(G1985="","",IFERROR(INDEX(Levels!$C$5:$C$94,MATCH(G1985,Levels!$G$5:$G$94,0)),"Not this class's skill"))</f>
        <v/>
      </c>
    </row>
    <row r="1986" customFormat="false" ht="15" hidden="false" customHeight="false" outlineLevel="0" collapsed="false">
      <c r="A1986" s="23"/>
      <c r="B1986" s="22"/>
      <c r="C1986" s="22"/>
      <c r="D1986" s="22"/>
      <c r="E1986" s="22"/>
      <c r="F1986" s="27" t="str">
        <f aca="false">IF(B1986="","",IFERROR(INDEX(Roster!$B$5:$B$154,MATCH(B1986,Roster!$A$5:$A$154,0)),"Not on roster"))</f>
        <v/>
      </c>
      <c r="G1986" s="28" t="str">
        <f aca="false">IF(OR(B1986="",C1986=""),"",F1986&amp;" | "&amp;C1986)</f>
        <v/>
      </c>
      <c r="H1986" s="27" t="str">
        <f aca="false">IF(G1986="","",IFERROR(INDEX(Levels!$C$5:$C$94,MATCH(G1986,Levels!$G$5:$G$94,0)),"Not this class's skill"))</f>
        <v/>
      </c>
    </row>
    <row r="1987" customFormat="false" ht="15" hidden="false" customHeight="false" outlineLevel="0" collapsed="false">
      <c r="A1987" s="23"/>
      <c r="B1987" s="22"/>
      <c r="C1987" s="22"/>
      <c r="D1987" s="22"/>
      <c r="E1987" s="22"/>
      <c r="F1987" s="27" t="str">
        <f aca="false">IF(B1987="","",IFERROR(INDEX(Roster!$B$5:$B$154,MATCH(B1987,Roster!$A$5:$A$154,0)),"Not on roster"))</f>
        <v/>
      </c>
      <c r="G1987" s="28" t="str">
        <f aca="false">IF(OR(B1987="",C1987=""),"",F1987&amp;" | "&amp;C1987)</f>
        <v/>
      </c>
      <c r="H1987" s="27" t="str">
        <f aca="false">IF(G1987="","",IFERROR(INDEX(Levels!$C$5:$C$94,MATCH(G1987,Levels!$G$5:$G$94,0)),"Not this class's skill"))</f>
        <v/>
      </c>
    </row>
    <row r="1988" customFormat="false" ht="15" hidden="false" customHeight="false" outlineLevel="0" collapsed="false">
      <c r="A1988" s="23"/>
      <c r="B1988" s="22"/>
      <c r="C1988" s="22"/>
      <c r="D1988" s="22"/>
      <c r="E1988" s="22"/>
      <c r="F1988" s="27" t="str">
        <f aca="false">IF(B1988="","",IFERROR(INDEX(Roster!$B$5:$B$154,MATCH(B1988,Roster!$A$5:$A$154,0)),"Not on roster"))</f>
        <v/>
      </c>
      <c r="G1988" s="28" t="str">
        <f aca="false">IF(OR(B1988="",C1988=""),"",F1988&amp;" | "&amp;C1988)</f>
        <v/>
      </c>
      <c r="H1988" s="27" t="str">
        <f aca="false">IF(G1988="","",IFERROR(INDEX(Levels!$C$5:$C$94,MATCH(G1988,Levels!$G$5:$G$94,0)),"Not this class's skill"))</f>
        <v/>
      </c>
    </row>
    <row r="1989" customFormat="false" ht="15" hidden="false" customHeight="false" outlineLevel="0" collapsed="false">
      <c r="A1989" s="23"/>
      <c r="B1989" s="22"/>
      <c r="C1989" s="22"/>
      <c r="D1989" s="22"/>
      <c r="E1989" s="22"/>
      <c r="F1989" s="27" t="str">
        <f aca="false">IF(B1989="","",IFERROR(INDEX(Roster!$B$5:$B$154,MATCH(B1989,Roster!$A$5:$A$154,0)),"Not on roster"))</f>
        <v/>
      </c>
      <c r="G1989" s="28" t="str">
        <f aca="false">IF(OR(B1989="",C1989=""),"",F1989&amp;" | "&amp;C1989)</f>
        <v/>
      </c>
      <c r="H1989" s="27" t="str">
        <f aca="false">IF(G1989="","",IFERROR(INDEX(Levels!$C$5:$C$94,MATCH(G1989,Levels!$G$5:$G$94,0)),"Not this class's skill"))</f>
        <v/>
      </c>
    </row>
    <row r="1990" customFormat="false" ht="15" hidden="false" customHeight="false" outlineLevel="0" collapsed="false">
      <c r="A1990" s="23"/>
      <c r="B1990" s="22"/>
      <c r="C1990" s="22"/>
      <c r="D1990" s="22"/>
      <c r="E1990" s="22"/>
      <c r="F1990" s="27" t="str">
        <f aca="false">IF(B1990="","",IFERROR(INDEX(Roster!$B$5:$B$154,MATCH(B1990,Roster!$A$5:$A$154,0)),"Not on roster"))</f>
        <v/>
      </c>
      <c r="G1990" s="28" t="str">
        <f aca="false">IF(OR(B1990="",C1990=""),"",F1990&amp;" | "&amp;C1990)</f>
        <v/>
      </c>
      <c r="H1990" s="27" t="str">
        <f aca="false">IF(G1990="","",IFERROR(INDEX(Levels!$C$5:$C$94,MATCH(G1990,Levels!$G$5:$G$94,0)),"Not this class's skill"))</f>
        <v/>
      </c>
    </row>
    <row r="1991" customFormat="false" ht="15" hidden="false" customHeight="false" outlineLevel="0" collapsed="false">
      <c r="A1991" s="23"/>
      <c r="B1991" s="22"/>
      <c r="C1991" s="22"/>
      <c r="D1991" s="22"/>
      <c r="E1991" s="22"/>
      <c r="F1991" s="27" t="str">
        <f aca="false">IF(B1991="","",IFERROR(INDEX(Roster!$B$5:$B$154,MATCH(B1991,Roster!$A$5:$A$154,0)),"Not on roster"))</f>
        <v/>
      </c>
      <c r="G1991" s="28" t="str">
        <f aca="false">IF(OR(B1991="",C1991=""),"",F1991&amp;" | "&amp;C1991)</f>
        <v/>
      </c>
      <c r="H1991" s="27" t="str">
        <f aca="false">IF(G1991="","",IFERROR(INDEX(Levels!$C$5:$C$94,MATCH(G1991,Levels!$G$5:$G$94,0)),"Not this class's skill"))</f>
        <v/>
      </c>
    </row>
    <row r="1992" customFormat="false" ht="15" hidden="false" customHeight="false" outlineLevel="0" collapsed="false">
      <c r="A1992" s="23"/>
      <c r="B1992" s="22"/>
      <c r="C1992" s="22"/>
      <c r="D1992" s="22"/>
      <c r="E1992" s="22"/>
      <c r="F1992" s="27" t="str">
        <f aca="false">IF(B1992="","",IFERROR(INDEX(Roster!$B$5:$B$154,MATCH(B1992,Roster!$A$5:$A$154,0)),"Not on roster"))</f>
        <v/>
      </c>
      <c r="G1992" s="28" t="str">
        <f aca="false">IF(OR(B1992="",C1992=""),"",F1992&amp;" | "&amp;C1992)</f>
        <v/>
      </c>
      <c r="H1992" s="27" t="str">
        <f aca="false">IF(G1992="","",IFERROR(INDEX(Levels!$C$5:$C$94,MATCH(G1992,Levels!$G$5:$G$94,0)),"Not this class's skill"))</f>
        <v/>
      </c>
    </row>
    <row r="1993" customFormat="false" ht="15" hidden="false" customHeight="false" outlineLevel="0" collapsed="false">
      <c r="A1993" s="23"/>
      <c r="B1993" s="22"/>
      <c r="C1993" s="22"/>
      <c r="D1993" s="22"/>
      <c r="E1993" s="22"/>
      <c r="F1993" s="27" t="str">
        <f aca="false">IF(B1993="","",IFERROR(INDEX(Roster!$B$5:$B$154,MATCH(B1993,Roster!$A$5:$A$154,0)),"Not on roster"))</f>
        <v/>
      </c>
      <c r="G1993" s="28" t="str">
        <f aca="false">IF(OR(B1993="",C1993=""),"",F1993&amp;" | "&amp;C1993)</f>
        <v/>
      </c>
      <c r="H1993" s="27" t="str">
        <f aca="false">IF(G1993="","",IFERROR(INDEX(Levels!$C$5:$C$94,MATCH(G1993,Levels!$G$5:$G$94,0)),"Not this class's skill"))</f>
        <v/>
      </c>
    </row>
    <row r="1994" customFormat="false" ht="15" hidden="false" customHeight="false" outlineLevel="0" collapsed="false">
      <c r="A1994" s="23"/>
      <c r="B1994" s="22"/>
      <c r="C1994" s="22"/>
      <c r="D1994" s="22"/>
      <c r="E1994" s="22"/>
      <c r="F1994" s="27" t="str">
        <f aca="false">IF(B1994="","",IFERROR(INDEX(Roster!$B$5:$B$154,MATCH(B1994,Roster!$A$5:$A$154,0)),"Not on roster"))</f>
        <v/>
      </c>
      <c r="G1994" s="28" t="str">
        <f aca="false">IF(OR(B1994="",C1994=""),"",F1994&amp;" | "&amp;C1994)</f>
        <v/>
      </c>
      <c r="H1994" s="27" t="str">
        <f aca="false">IF(G1994="","",IFERROR(INDEX(Levels!$C$5:$C$94,MATCH(G1994,Levels!$G$5:$G$94,0)),"Not this class's skill"))</f>
        <v/>
      </c>
    </row>
    <row r="1995" customFormat="false" ht="15" hidden="false" customHeight="false" outlineLevel="0" collapsed="false">
      <c r="A1995" s="23"/>
      <c r="B1995" s="22"/>
      <c r="C1995" s="22"/>
      <c r="D1995" s="22"/>
      <c r="E1995" s="22"/>
      <c r="F1995" s="27" t="str">
        <f aca="false">IF(B1995="","",IFERROR(INDEX(Roster!$B$5:$B$154,MATCH(B1995,Roster!$A$5:$A$154,0)),"Not on roster"))</f>
        <v/>
      </c>
      <c r="G1995" s="28" t="str">
        <f aca="false">IF(OR(B1995="",C1995=""),"",F1995&amp;" | "&amp;C1995)</f>
        <v/>
      </c>
      <c r="H1995" s="27" t="str">
        <f aca="false">IF(G1995="","",IFERROR(INDEX(Levels!$C$5:$C$94,MATCH(G1995,Levels!$G$5:$G$94,0)),"Not this class's skill"))</f>
        <v/>
      </c>
    </row>
    <row r="1996" customFormat="false" ht="15" hidden="false" customHeight="false" outlineLevel="0" collapsed="false">
      <c r="A1996" s="23"/>
      <c r="B1996" s="22"/>
      <c r="C1996" s="22"/>
      <c r="D1996" s="22"/>
      <c r="E1996" s="22"/>
      <c r="F1996" s="27" t="str">
        <f aca="false">IF(B1996="","",IFERROR(INDEX(Roster!$B$5:$B$154,MATCH(B1996,Roster!$A$5:$A$154,0)),"Not on roster"))</f>
        <v/>
      </c>
      <c r="G1996" s="28" t="str">
        <f aca="false">IF(OR(B1996="",C1996=""),"",F1996&amp;" | "&amp;C1996)</f>
        <v/>
      </c>
      <c r="H1996" s="27" t="str">
        <f aca="false">IF(G1996="","",IFERROR(INDEX(Levels!$C$5:$C$94,MATCH(G1996,Levels!$G$5:$G$94,0)),"Not this class's skill"))</f>
        <v/>
      </c>
    </row>
    <row r="1997" customFormat="false" ht="15" hidden="false" customHeight="false" outlineLevel="0" collapsed="false">
      <c r="A1997" s="23"/>
      <c r="B1997" s="22"/>
      <c r="C1997" s="22"/>
      <c r="D1997" s="22"/>
      <c r="E1997" s="22"/>
      <c r="F1997" s="27" t="str">
        <f aca="false">IF(B1997="","",IFERROR(INDEX(Roster!$B$5:$B$154,MATCH(B1997,Roster!$A$5:$A$154,0)),"Not on roster"))</f>
        <v/>
      </c>
      <c r="G1997" s="28" t="str">
        <f aca="false">IF(OR(B1997="",C1997=""),"",F1997&amp;" | "&amp;C1997)</f>
        <v/>
      </c>
      <c r="H1997" s="27" t="str">
        <f aca="false">IF(G1997="","",IFERROR(INDEX(Levels!$C$5:$C$94,MATCH(G1997,Levels!$G$5:$G$94,0)),"Not this class's skill"))</f>
        <v/>
      </c>
    </row>
    <row r="1998" customFormat="false" ht="15" hidden="false" customHeight="false" outlineLevel="0" collapsed="false">
      <c r="A1998" s="23"/>
      <c r="B1998" s="22"/>
      <c r="C1998" s="22"/>
      <c r="D1998" s="22"/>
      <c r="E1998" s="22"/>
      <c r="F1998" s="27" t="str">
        <f aca="false">IF(B1998="","",IFERROR(INDEX(Roster!$B$5:$B$154,MATCH(B1998,Roster!$A$5:$A$154,0)),"Not on roster"))</f>
        <v/>
      </c>
      <c r="G1998" s="28" t="str">
        <f aca="false">IF(OR(B1998="",C1998=""),"",F1998&amp;" | "&amp;C1998)</f>
        <v/>
      </c>
      <c r="H1998" s="27" t="str">
        <f aca="false">IF(G1998="","",IFERROR(INDEX(Levels!$C$5:$C$94,MATCH(G1998,Levels!$G$5:$G$94,0)),"Not this class's skill"))</f>
        <v/>
      </c>
    </row>
    <row r="1999" customFormat="false" ht="15" hidden="false" customHeight="false" outlineLevel="0" collapsed="false">
      <c r="A1999" s="23"/>
      <c r="B1999" s="22"/>
      <c r="C1999" s="22"/>
      <c r="D1999" s="22"/>
      <c r="E1999" s="22"/>
      <c r="F1999" s="27" t="str">
        <f aca="false">IF(B1999="","",IFERROR(INDEX(Roster!$B$5:$B$154,MATCH(B1999,Roster!$A$5:$A$154,0)),"Not on roster"))</f>
        <v/>
      </c>
      <c r="G1999" s="28" t="str">
        <f aca="false">IF(OR(B1999="",C1999=""),"",F1999&amp;" | "&amp;C1999)</f>
        <v/>
      </c>
      <c r="H1999" s="27" t="str">
        <f aca="false">IF(G1999="","",IFERROR(INDEX(Levels!$C$5:$C$94,MATCH(G1999,Levels!$G$5:$G$94,0)),"Not this class's skill"))</f>
        <v/>
      </c>
    </row>
    <row r="2000" customFormat="false" ht="15" hidden="false" customHeight="false" outlineLevel="0" collapsed="false">
      <c r="A2000" s="23"/>
      <c r="B2000" s="22"/>
      <c r="C2000" s="22"/>
      <c r="D2000" s="22"/>
      <c r="E2000" s="22"/>
      <c r="F2000" s="27" t="str">
        <f aca="false">IF(B2000="","",IFERROR(INDEX(Roster!$B$5:$B$154,MATCH(B2000,Roster!$A$5:$A$154,0)),"Not on roster"))</f>
        <v/>
      </c>
      <c r="G2000" s="28" t="str">
        <f aca="false">IF(OR(B2000="",C2000=""),"",F2000&amp;" | "&amp;C2000)</f>
        <v/>
      </c>
      <c r="H2000" s="27" t="str">
        <f aca="false">IF(G2000="","",IFERROR(INDEX(Levels!$C$5:$C$94,MATCH(G2000,Levels!$G$5:$G$94,0)),"Not this class's skill"))</f>
        <v/>
      </c>
    </row>
    <row r="2001" customFormat="false" ht="15" hidden="false" customHeight="false" outlineLevel="0" collapsed="false">
      <c r="A2001" s="23"/>
      <c r="B2001" s="22"/>
      <c r="C2001" s="22"/>
      <c r="D2001" s="22"/>
      <c r="E2001" s="22"/>
      <c r="F2001" s="27" t="str">
        <f aca="false">IF(B2001="","",IFERROR(INDEX(Roster!$B$5:$B$154,MATCH(B2001,Roster!$A$5:$A$154,0)),"Not on roster"))</f>
        <v/>
      </c>
      <c r="G2001" s="28" t="str">
        <f aca="false">IF(OR(B2001="",C2001=""),"",F2001&amp;" | "&amp;C2001)</f>
        <v/>
      </c>
      <c r="H2001" s="27" t="str">
        <f aca="false">IF(G2001="","",IFERROR(INDEX(Levels!$C$5:$C$94,MATCH(G2001,Levels!$G$5:$G$94,0)),"Not this class's skill"))</f>
        <v/>
      </c>
    </row>
    <row r="2002" customFormat="false" ht="15" hidden="false" customHeight="false" outlineLevel="0" collapsed="false">
      <c r="A2002" s="23"/>
      <c r="B2002" s="22"/>
      <c r="C2002" s="22"/>
      <c r="D2002" s="22"/>
      <c r="E2002" s="22"/>
      <c r="F2002" s="27" t="str">
        <f aca="false">IF(B2002="","",IFERROR(INDEX(Roster!$B$5:$B$154,MATCH(B2002,Roster!$A$5:$A$154,0)),"Not on roster"))</f>
        <v/>
      </c>
      <c r="G2002" s="28" t="str">
        <f aca="false">IF(OR(B2002="",C2002=""),"",F2002&amp;" | "&amp;C2002)</f>
        <v/>
      </c>
      <c r="H2002" s="27" t="str">
        <f aca="false">IF(G2002="","",IFERROR(INDEX(Levels!$C$5:$C$94,MATCH(G2002,Levels!$G$5:$G$94,0)),"Not this class's skill"))</f>
        <v/>
      </c>
    </row>
    <row r="2003" customFormat="false" ht="15" hidden="false" customHeight="false" outlineLevel="0" collapsed="false">
      <c r="A2003" s="23"/>
      <c r="B2003" s="22"/>
      <c r="C2003" s="22"/>
      <c r="D2003" s="22"/>
      <c r="E2003" s="22"/>
      <c r="F2003" s="27" t="str">
        <f aca="false">IF(B2003="","",IFERROR(INDEX(Roster!$B$5:$B$154,MATCH(B2003,Roster!$A$5:$A$154,0)),"Not on roster"))</f>
        <v/>
      </c>
      <c r="G2003" s="28" t="str">
        <f aca="false">IF(OR(B2003="",C2003=""),"",F2003&amp;" | "&amp;C2003)</f>
        <v/>
      </c>
      <c r="H2003" s="27" t="str">
        <f aca="false">IF(G2003="","",IFERROR(INDEX(Levels!$C$5:$C$94,MATCH(G2003,Levels!$G$5:$G$94,0)),"Not this class's skill"))</f>
        <v/>
      </c>
    </row>
    <row r="2004" customFormat="false" ht="15" hidden="false" customHeight="false" outlineLevel="0" collapsed="false">
      <c r="A2004" s="23"/>
      <c r="B2004" s="22"/>
      <c r="C2004" s="22"/>
      <c r="D2004" s="22"/>
      <c r="E2004" s="22"/>
      <c r="F2004" s="27" t="str">
        <f aca="false">IF(B2004="","",IFERROR(INDEX(Roster!$B$5:$B$154,MATCH(B2004,Roster!$A$5:$A$154,0)),"Not on roster"))</f>
        <v/>
      </c>
      <c r="G2004" s="28" t="str">
        <f aca="false">IF(OR(B2004="",C2004=""),"",F2004&amp;" | "&amp;C2004)</f>
        <v/>
      </c>
      <c r="H2004" s="27" t="str">
        <f aca="false">IF(G2004="","",IFERROR(INDEX(Levels!$C$5:$C$94,MATCH(G2004,Levels!$G$5:$G$94,0)),"Not this class's skill"))</f>
        <v/>
      </c>
    </row>
    <row r="2005" customFormat="false" ht="15" hidden="false" customHeight="false" outlineLevel="0" collapsed="false">
      <c r="A2005" s="23"/>
      <c r="B2005" s="22"/>
      <c r="C2005" s="22"/>
      <c r="D2005" s="22"/>
      <c r="E2005" s="22"/>
      <c r="F2005" s="27" t="str">
        <f aca="false">IF(B2005="","",IFERROR(INDEX(Roster!$B$5:$B$154,MATCH(B2005,Roster!$A$5:$A$154,0)),"Not on roster"))</f>
        <v/>
      </c>
      <c r="G2005" s="28" t="str">
        <f aca="false">IF(OR(B2005="",C2005=""),"",F2005&amp;" | "&amp;C2005)</f>
        <v/>
      </c>
      <c r="H2005" s="27" t="str">
        <f aca="false">IF(G2005="","",IFERROR(INDEX(Levels!$C$5:$C$94,MATCH(G2005,Levels!$G$5:$G$94,0)),"Not this class's skill"))</f>
        <v/>
      </c>
    </row>
    <row r="2006" customFormat="false" ht="15" hidden="false" customHeight="false" outlineLevel="0" collapsed="false">
      <c r="A2006" s="23"/>
      <c r="B2006" s="22"/>
      <c r="C2006" s="22"/>
      <c r="D2006" s="22"/>
      <c r="E2006" s="22"/>
      <c r="F2006" s="27" t="str">
        <f aca="false">IF(B2006="","",IFERROR(INDEX(Roster!$B$5:$B$154,MATCH(B2006,Roster!$A$5:$A$154,0)),"Not on roster"))</f>
        <v/>
      </c>
      <c r="G2006" s="28" t="str">
        <f aca="false">IF(OR(B2006="",C2006=""),"",F2006&amp;" | "&amp;C2006)</f>
        <v/>
      </c>
      <c r="H2006" s="27" t="str">
        <f aca="false">IF(G2006="","",IFERROR(INDEX(Levels!$C$5:$C$94,MATCH(G2006,Levels!$G$5:$G$94,0)),"Not this class's skill"))</f>
        <v/>
      </c>
    </row>
    <row r="2007" customFormat="false" ht="15" hidden="false" customHeight="false" outlineLevel="0" collapsed="false">
      <c r="A2007" s="23"/>
      <c r="B2007" s="22"/>
      <c r="C2007" s="22"/>
      <c r="D2007" s="22"/>
      <c r="E2007" s="22"/>
      <c r="F2007" s="27" t="str">
        <f aca="false">IF(B2007="","",IFERROR(INDEX(Roster!$B$5:$B$154,MATCH(B2007,Roster!$A$5:$A$154,0)),"Not on roster"))</f>
        <v/>
      </c>
      <c r="G2007" s="28" t="str">
        <f aca="false">IF(OR(B2007="",C2007=""),"",F2007&amp;" | "&amp;C2007)</f>
        <v/>
      </c>
      <c r="H2007" s="27" t="str">
        <f aca="false">IF(G2007="","",IFERROR(INDEX(Levels!$C$5:$C$94,MATCH(G2007,Levels!$G$5:$G$94,0)),"Not this class's skill"))</f>
        <v/>
      </c>
    </row>
    <row r="2008" customFormat="false" ht="15" hidden="false" customHeight="false" outlineLevel="0" collapsed="false">
      <c r="A2008" s="23"/>
      <c r="B2008" s="22"/>
      <c r="C2008" s="22"/>
      <c r="D2008" s="22"/>
      <c r="E2008" s="22"/>
      <c r="F2008" s="27" t="str">
        <f aca="false">IF(B2008="","",IFERROR(INDEX(Roster!$B$5:$B$154,MATCH(B2008,Roster!$A$5:$A$154,0)),"Not on roster"))</f>
        <v/>
      </c>
      <c r="G2008" s="28" t="str">
        <f aca="false">IF(OR(B2008="",C2008=""),"",F2008&amp;" | "&amp;C2008)</f>
        <v/>
      </c>
      <c r="H2008" s="27" t="str">
        <f aca="false">IF(G2008="","",IFERROR(INDEX(Levels!$C$5:$C$94,MATCH(G2008,Levels!$G$5:$G$94,0)),"Not this class's skill"))</f>
        <v/>
      </c>
    </row>
    <row r="2009" customFormat="false" ht="15" hidden="false" customHeight="false" outlineLevel="0" collapsed="false">
      <c r="A2009" s="23"/>
      <c r="B2009" s="22"/>
      <c r="C2009" s="22"/>
      <c r="D2009" s="22"/>
      <c r="E2009" s="22"/>
      <c r="F2009" s="27" t="str">
        <f aca="false">IF(B2009="","",IFERROR(INDEX(Roster!$B$5:$B$154,MATCH(B2009,Roster!$A$5:$A$154,0)),"Not on roster"))</f>
        <v/>
      </c>
      <c r="G2009" s="28" t="str">
        <f aca="false">IF(OR(B2009="",C2009=""),"",F2009&amp;" | "&amp;C2009)</f>
        <v/>
      </c>
      <c r="H2009" s="27" t="str">
        <f aca="false">IF(G2009="","",IFERROR(INDEX(Levels!$C$5:$C$94,MATCH(G2009,Levels!$G$5:$G$94,0)),"Not this class's skill"))</f>
        <v/>
      </c>
    </row>
    <row r="2010" customFormat="false" ht="15" hidden="false" customHeight="false" outlineLevel="0" collapsed="false">
      <c r="A2010" s="23"/>
      <c r="B2010" s="22"/>
      <c r="C2010" s="22"/>
      <c r="D2010" s="22"/>
      <c r="E2010" s="22"/>
      <c r="F2010" s="27" t="str">
        <f aca="false">IF(B2010="","",IFERROR(INDEX(Roster!$B$5:$B$154,MATCH(B2010,Roster!$A$5:$A$154,0)),"Not on roster"))</f>
        <v/>
      </c>
      <c r="G2010" s="28" t="str">
        <f aca="false">IF(OR(B2010="",C2010=""),"",F2010&amp;" | "&amp;C2010)</f>
        <v/>
      </c>
      <c r="H2010" s="27" t="str">
        <f aca="false">IF(G2010="","",IFERROR(INDEX(Levels!$C$5:$C$94,MATCH(G2010,Levels!$G$5:$G$94,0)),"Not this class's skill"))</f>
        <v/>
      </c>
    </row>
    <row r="2011" customFormat="false" ht="15" hidden="false" customHeight="false" outlineLevel="0" collapsed="false">
      <c r="A2011" s="23"/>
      <c r="B2011" s="22"/>
      <c r="C2011" s="22"/>
      <c r="D2011" s="22"/>
      <c r="E2011" s="22"/>
      <c r="F2011" s="27" t="str">
        <f aca="false">IF(B2011="","",IFERROR(INDEX(Roster!$B$5:$B$154,MATCH(B2011,Roster!$A$5:$A$154,0)),"Not on roster"))</f>
        <v/>
      </c>
      <c r="G2011" s="28" t="str">
        <f aca="false">IF(OR(B2011="",C2011=""),"",F2011&amp;" | "&amp;C2011)</f>
        <v/>
      </c>
      <c r="H2011" s="27" t="str">
        <f aca="false">IF(G2011="","",IFERROR(INDEX(Levels!$C$5:$C$94,MATCH(G2011,Levels!$G$5:$G$94,0)),"Not this class's skill"))</f>
        <v/>
      </c>
    </row>
    <row r="2012" customFormat="false" ht="15" hidden="false" customHeight="false" outlineLevel="0" collapsed="false">
      <c r="A2012" s="23"/>
      <c r="B2012" s="22"/>
      <c r="C2012" s="22"/>
      <c r="D2012" s="22"/>
      <c r="E2012" s="22"/>
      <c r="F2012" s="27" t="str">
        <f aca="false">IF(B2012="","",IFERROR(INDEX(Roster!$B$5:$B$154,MATCH(B2012,Roster!$A$5:$A$154,0)),"Not on roster"))</f>
        <v/>
      </c>
      <c r="G2012" s="28" t="str">
        <f aca="false">IF(OR(B2012="",C2012=""),"",F2012&amp;" | "&amp;C2012)</f>
        <v/>
      </c>
      <c r="H2012" s="27" t="str">
        <f aca="false">IF(G2012="","",IFERROR(INDEX(Levels!$C$5:$C$94,MATCH(G2012,Levels!$G$5:$G$94,0)),"Not this class's skill"))</f>
        <v/>
      </c>
    </row>
    <row r="2013" customFormat="false" ht="15" hidden="false" customHeight="false" outlineLevel="0" collapsed="false">
      <c r="A2013" s="23"/>
      <c r="B2013" s="22"/>
      <c r="C2013" s="22"/>
      <c r="D2013" s="22"/>
      <c r="E2013" s="22"/>
      <c r="F2013" s="27" t="str">
        <f aca="false">IF(B2013="","",IFERROR(INDEX(Roster!$B$5:$B$154,MATCH(B2013,Roster!$A$5:$A$154,0)),"Not on roster"))</f>
        <v/>
      </c>
      <c r="G2013" s="28" t="str">
        <f aca="false">IF(OR(B2013="",C2013=""),"",F2013&amp;" | "&amp;C2013)</f>
        <v/>
      </c>
      <c r="H2013" s="27" t="str">
        <f aca="false">IF(G2013="","",IFERROR(INDEX(Levels!$C$5:$C$94,MATCH(G2013,Levels!$G$5:$G$94,0)),"Not this class's skill"))</f>
        <v/>
      </c>
    </row>
    <row r="2014" customFormat="false" ht="15" hidden="false" customHeight="false" outlineLevel="0" collapsed="false">
      <c r="A2014" s="23"/>
      <c r="B2014" s="22"/>
      <c r="C2014" s="22"/>
      <c r="D2014" s="22"/>
      <c r="E2014" s="22"/>
      <c r="F2014" s="27" t="str">
        <f aca="false">IF(B2014="","",IFERROR(INDEX(Roster!$B$5:$B$154,MATCH(B2014,Roster!$A$5:$A$154,0)),"Not on roster"))</f>
        <v/>
      </c>
      <c r="G2014" s="28" t="str">
        <f aca="false">IF(OR(B2014="",C2014=""),"",F2014&amp;" | "&amp;C2014)</f>
        <v/>
      </c>
      <c r="H2014" s="27" t="str">
        <f aca="false">IF(G2014="","",IFERROR(INDEX(Levels!$C$5:$C$94,MATCH(G2014,Levels!$G$5:$G$94,0)),"Not this class's skill"))</f>
        <v/>
      </c>
    </row>
    <row r="2015" customFormat="false" ht="15" hidden="false" customHeight="false" outlineLevel="0" collapsed="false">
      <c r="A2015" s="23"/>
      <c r="B2015" s="22"/>
      <c r="C2015" s="22"/>
      <c r="D2015" s="22"/>
      <c r="E2015" s="22"/>
      <c r="F2015" s="27" t="str">
        <f aca="false">IF(B2015="","",IFERROR(INDEX(Roster!$B$5:$B$154,MATCH(B2015,Roster!$A$5:$A$154,0)),"Not on roster"))</f>
        <v/>
      </c>
      <c r="G2015" s="28" t="str">
        <f aca="false">IF(OR(B2015="",C2015=""),"",F2015&amp;" | "&amp;C2015)</f>
        <v/>
      </c>
      <c r="H2015" s="27" t="str">
        <f aca="false">IF(G2015="","",IFERROR(INDEX(Levels!$C$5:$C$94,MATCH(G2015,Levels!$G$5:$G$94,0)),"Not this class's skill"))</f>
        <v/>
      </c>
    </row>
    <row r="2016" customFormat="false" ht="15" hidden="false" customHeight="false" outlineLevel="0" collapsed="false">
      <c r="A2016" s="23"/>
      <c r="B2016" s="22"/>
      <c r="C2016" s="22"/>
      <c r="D2016" s="22"/>
      <c r="E2016" s="22"/>
      <c r="F2016" s="27" t="str">
        <f aca="false">IF(B2016="","",IFERROR(INDEX(Roster!$B$5:$B$154,MATCH(B2016,Roster!$A$5:$A$154,0)),"Not on roster"))</f>
        <v/>
      </c>
      <c r="G2016" s="28" t="str">
        <f aca="false">IF(OR(B2016="",C2016=""),"",F2016&amp;" | "&amp;C2016)</f>
        <v/>
      </c>
      <c r="H2016" s="27" t="str">
        <f aca="false">IF(G2016="","",IFERROR(INDEX(Levels!$C$5:$C$94,MATCH(G2016,Levels!$G$5:$G$94,0)),"Not this class's skill"))</f>
        <v/>
      </c>
    </row>
    <row r="2017" customFormat="false" ht="15" hidden="false" customHeight="false" outlineLevel="0" collapsed="false">
      <c r="A2017" s="23"/>
      <c r="B2017" s="22"/>
      <c r="C2017" s="22"/>
      <c r="D2017" s="22"/>
      <c r="E2017" s="22"/>
      <c r="F2017" s="27" t="str">
        <f aca="false">IF(B2017="","",IFERROR(INDEX(Roster!$B$5:$B$154,MATCH(B2017,Roster!$A$5:$A$154,0)),"Not on roster"))</f>
        <v/>
      </c>
      <c r="G2017" s="28" t="str">
        <f aca="false">IF(OR(B2017="",C2017=""),"",F2017&amp;" | "&amp;C2017)</f>
        <v/>
      </c>
      <c r="H2017" s="27" t="str">
        <f aca="false">IF(G2017="","",IFERROR(INDEX(Levels!$C$5:$C$94,MATCH(G2017,Levels!$G$5:$G$94,0)),"Not this class's skill"))</f>
        <v/>
      </c>
    </row>
    <row r="2018" customFormat="false" ht="15" hidden="false" customHeight="false" outlineLevel="0" collapsed="false">
      <c r="A2018" s="23"/>
      <c r="B2018" s="22"/>
      <c r="C2018" s="22"/>
      <c r="D2018" s="22"/>
      <c r="E2018" s="22"/>
      <c r="F2018" s="27" t="str">
        <f aca="false">IF(B2018="","",IFERROR(INDEX(Roster!$B$5:$B$154,MATCH(B2018,Roster!$A$5:$A$154,0)),"Not on roster"))</f>
        <v/>
      </c>
      <c r="G2018" s="28" t="str">
        <f aca="false">IF(OR(B2018="",C2018=""),"",F2018&amp;" | "&amp;C2018)</f>
        <v/>
      </c>
      <c r="H2018" s="27" t="str">
        <f aca="false">IF(G2018="","",IFERROR(INDEX(Levels!$C$5:$C$94,MATCH(G2018,Levels!$G$5:$G$94,0)),"Not this class's skill"))</f>
        <v/>
      </c>
    </row>
    <row r="2019" customFormat="false" ht="15" hidden="false" customHeight="false" outlineLevel="0" collapsed="false">
      <c r="A2019" s="23"/>
      <c r="B2019" s="22"/>
      <c r="C2019" s="22"/>
      <c r="D2019" s="22"/>
      <c r="E2019" s="22"/>
      <c r="F2019" s="27" t="str">
        <f aca="false">IF(B2019="","",IFERROR(INDEX(Roster!$B$5:$B$154,MATCH(B2019,Roster!$A$5:$A$154,0)),"Not on roster"))</f>
        <v/>
      </c>
      <c r="G2019" s="28" t="str">
        <f aca="false">IF(OR(B2019="",C2019=""),"",F2019&amp;" | "&amp;C2019)</f>
        <v/>
      </c>
      <c r="H2019" s="27" t="str">
        <f aca="false">IF(G2019="","",IFERROR(INDEX(Levels!$C$5:$C$94,MATCH(G2019,Levels!$G$5:$G$94,0)),"Not this class's skill"))</f>
        <v/>
      </c>
    </row>
    <row r="2020" customFormat="false" ht="15" hidden="false" customHeight="false" outlineLevel="0" collapsed="false">
      <c r="A2020" s="23"/>
      <c r="B2020" s="22"/>
      <c r="C2020" s="22"/>
      <c r="D2020" s="22"/>
      <c r="E2020" s="22"/>
      <c r="F2020" s="27" t="str">
        <f aca="false">IF(B2020="","",IFERROR(INDEX(Roster!$B$5:$B$154,MATCH(B2020,Roster!$A$5:$A$154,0)),"Not on roster"))</f>
        <v/>
      </c>
      <c r="G2020" s="28" t="str">
        <f aca="false">IF(OR(B2020="",C2020=""),"",F2020&amp;" | "&amp;C2020)</f>
        <v/>
      </c>
      <c r="H2020" s="27" t="str">
        <f aca="false">IF(G2020="","",IFERROR(INDEX(Levels!$C$5:$C$94,MATCH(G2020,Levels!$G$5:$G$94,0)),"Not this class's skill"))</f>
        <v/>
      </c>
    </row>
    <row r="2021" customFormat="false" ht="15" hidden="false" customHeight="false" outlineLevel="0" collapsed="false">
      <c r="A2021" s="23"/>
      <c r="B2021" s="22"/>
      <c r="C2021" s="22"/>
      <c r="D2021" s="22"/>
      <c r="E2021" s="22"/>
      <c r="F2021" s="27" t="str">
        <f aca="false">IF(B2021="","",IFERROR(INDEX(Roster!$B$5:$B$154,MATCH(B2021,Roster!$A$5:$A$154,0)),"Not on roster"))</f>
        <v/>
      </c>
      <c r="G2021" s="28" t="str">
        <f aca="false">IF(OR(B2021="",C2021=""),"",F2021&amp;" | "&amp;C2021)</f>
        <v/>
      </c>
      <c r="H2021" s="27" t="str">
        <f aca="false">IF(G2021="","",IFERROR(INDEX(Levels!$C$5:$C$94,MATCH(G2021,Levels!$G$5:$G$94,0)),"Not this class's skill"))</f>
        <v/>
      </c>
    </row>
    <row r="2022" customFormat="false" ht="15" hidden="false" customHeight="false" outlineLevel="0" collapsed="false">
      <c r="A2022" s="23"/>
      <c r="B2022" s="22"/>
      <c r="C2022" s="22"/>
      <c r="D2022" s="22"/>
      <c r="E2022" s="22"/>
      <c r="F2022" s="27" t="str">
        <f aca="false">IF(B2022="","",IFERROR(INDEX(Roster!$B$5:$B$154,MATCH(B2022,Roster!$A$5:$A$154,0)),"Not on roster"))</f>
        <v/>
      </c>
      <c r="G2022" s="28" t="str">
        <f aca="false">IF(OR(B2022="",C2022=""),"",F2022&amp;" | "&amp;C2022)</f>
        <v/>
      </c>
      <c r="H2022" s="27" t="str">
        <f aca="false">IF(G2022="","",IFERROR(INDEX(Levels!$C$5:$C$94,MATCH(G2022,Levels!$G$5:$G$94,0)),"Not this class's skill"))</f>
        <v/>
      </c>
    </row>
    <row r="2023" customFormat="false" ht="15" hidden="false" customHeight="false" outlineLevel="0" collapsed="false">
      <c r="A2023" s="23"/>
      <c r="B2023" s="22"/>
      <c r="C2023" s="22"/>
      <c r="D2023" s="22"/>
      <c r="E2023" s="22"/>
      <c r="F2023" s="27" t="str">
        <f aca="false">IF(B2023="","",IFERROR(INDEX(Roster!$B$5:$B$154,MATCH(B2023,Roster!$A$5:$A$154,0)),"Not on roster"))</f>
        <v/>
      </c>
      <c r="G2023" s="28" t="str">
        <f aca="false">IF(OR(B2023="",C2023=""),"",F2023&amp;" | "&amp;C2023)</f>
        <v/>
      </c>
      <c r="H2023" s="27" t="str">
        <f aca="false">IF(G2023="","",IFERROR(INDEX(Levels!$C$5:$C$94,MATCH(G2023,Levels!$G$5:$G$94,0)),"Not this class's skill"))</f>
        <v/>
      </c>
    </row>
    <row r="2024" customFormat="false" ht="15" hidden="false" customHeight="false" outlineLevel="0" collapsed="false">
      <c r="A2024" s="23"/>
      <c r="B2024" s="22"/>
      <c r="C2024" s="22"/>
      <c r="D2024" s="22"/>
      <c r="E2024" s="22"/>
      <c r="F2024" s="27" t="str">
        <f aca="false">IF(B2024="","",IFERROR(INDEX(Roster!$B$5:$B$154,MATCH(B2024,Roster!$A$5:$A$154,0)),"Not on roster"))</f>
        <v/>
      </c>
      <c r="G2024" s="28" t="str">
        <f aca="false">IF(OR(B2024="",C2024=""),"",F2024&amp;" | "&amp;C2024)</f>
        <v/>
      </c>
      <c r="H2024" s="27" t="str">
        <f aca="false">IF(G2024="","",IFERROR(INDEX(Levels!$C$5:$C$94,MATCH(G2024,Levels!$G$5:$G$94,0)),"Not this class's skill"))</f>
        <v/>
      </c>
    </row>
    <row r="2025" customFormat="false" ht="15" hidden="false" customHeight="false" outlineLevel="0" collapsed="false">
      <c r="A2025" s="23"/>
      <c r="B2025" s="22"/>
      <c r="C2025" s="22"/>
      <c r="D2025" s="22"/>
      <c r="E2025" s="22"/>
      <c r="F2025" s="27" t="str">
        <f aca="false">IF(B2025="","",IFERROR(INDEX(Roster!$B$5:$B$154,MATCH(B2025,Roster!$A$5:$A$154,0)),"Not on roster"))</f>
        <v/>
      </c>
      <c r="G2025" s="28" t="str">
        <f aca="false">IF(OR(B2025="",C2025=""),"",F2025&amp;" | "&amp;C2025)</f>
        <v/>
      </c>
      <c r="H2025" s="27" t="str">
        <f aca="false">IF(G2025="","",IFERROR(INDEX(Levels!$C$5:$C$94,MATCH(G2025,Levels!$G$5:$G$94,0)),"Not this class's skill"))</f>
        <v/>
      </c>
    </row>
    <row r="2026" customFormat="false" ht="15" hidden="false" customHeight="false" outlineLevel="0" collapsed="false">
      <c r="A2026" s="23"/>
      <c r="B2026" s="22"/>
      <c r="C2026" s="22"/>
      <c r="D2026" s="22"/>
      <c r="E2026" s="22"/>
      <c r="F2026" s="27" t="str">
        <f aca="false">IF(B2026="","",IFERROR(INDEX(Roster!$B$5:$B$154,MATCH(B2026,Roster!$A$5:$A$154,0)),"Not on roster"))</f>
        <v/>
      </c>
      <c r="G2026" s="28" t="str">
        <f aca="false">IF(OR(B2026="",C2026=""),"",F2026&amp;" | "&amp;C2026)</f>
        <v/>
      </c>
      <c r="H2026" s="27" t="str">
        <f aca="false">IF(G2026="","",IFERROR(INDEX(Levels!$C$5:$C$94,MATCH(G2026,Levels!$G$5:$G$94,0)),"Not this class's skill"))</f>
        <v/>
      </c>
    </row>
    <row r="2027" customFormat="false" ht="15" hidden="false" customHeight="false" outlineLevel="0" collapsed="false">
      <c r="A2027" s="23"/>
      <c r="B2027" s="22"/>
      <c r="C2027" s="22"/>
      <c r="D2027" s="22"/>
      <c r="E2027" s="22"/>
      <c r="F2027" s="27" t="str">
        <f aca="false">IF(B2027="","",IFERROR(INDEX(Roster!$B$5:$B$154,MATCH(B2027,Roster!$A$5:$A$154,0)),"Not on roster"))</f>
        <v/>
      </c>
      <c r="G2027" s="28" t="str">
        <f aca="false">IF(OR(B2027="",C2027=""),"",F2027&amp;" | "&amp;C2027)</f>
        <v/>
      </c>
      <c r="H2027" s="27" t="str">
        <f aca="false">IF(G2027="","",IFERROR(INDEX(Levels!$C$5:$C$94,MATCH(G2027,Levels!$G$5:$G$94,0)),"Not this class's skill"))</f>
        <v/>
      </c>
    </row>
    <row r="2028" customFormat="false" ht="15" hidden="false" customHeight="false" outlineLevel="0" collapsed="false">
      <c r="A2028" s="23"/>
      <c r="B2028" s="22"/>
      <c r="C2028" s="22"/>
      <c r="D2028" s="22"/>
      <c r="E2028" s="22"/>
      <c r="F2028" s="27" t="str">
        <f aca="false">IF(B2028="","",IFERROR(INDEX(Roster!$B$5:$B$154,MATCH(B2028,Roster!$A$5:$A$154,0)),"Not on roster"))</f>
        <v/>
      </c>
      <c r="G2028" s="28" t="str">
        <f aca="false">IF(OR(B2028="",C2028=""),"",F2028&amp;" | "&amp;C2028)</f>
        <v/>
      </c>
      <c r="H2028" s="27" t="str">
        <f aca="false">IF(G2028="","",IFERROR(INDEX(Levels!$C$5:$C$94,MATCH(G2028,Levels!$G$5:$G$94,0)),"Not this class's skill"))</f>
        <v/>
      </c>
    </row>
    <row r="2029" customFormat="false" ht="15" hidden="false" customHeight="false" outlineLevel="0" collapsed="false">
      <c r="A2029" s="23"/>
      <c r="B2029" s="22"/>
      <c r="C2029" s="22"/>
      <c r="D2029" s="22"/>
      <c r="E2029" s="22"/>
      <c r="F2029" s="27" t="str">
        <f aca="false">IF(B2029="","",IFERROR(INDEX(Roster!$B$5:$B$154,MATCH(B2029,Roster!$A$5:$A$154,0)),"Not on roster"))</f>
        <v/>
      </c>
      <c r="G2029" s="28" t="str">
        <f aca="false">IF(OR(B2029="",C2029=""),"",F2029&amp;" | "&amp;C2029)</f>
        <v/>
      </c>
      <c r="H2029" s="27" t="str">
        <f aca="false">IF(G2029="","",IFERROR(INDEX(Levels!$C$5:$C$94,MATCH(G2029,Levels!$G$5:$G$94,0)),"Not this class's skill"))</f>
        <v/>
      </c>
    </row>
    <row r="2030" customFormat="false" ht="15" hidden="false" customHeight="false" outlineLevel="0" collapsed="false">
      <c r="A2030" s="23"/>
      <c r="B2030" s="22"/>
      <c r="C2030" s="22"/>
      <c r="D2030" s="22"/>
      <c r="E2030" s="22"/>
      <c r="F2030" s="27" t="str">
        <f aca="false">IF(B2030="","",IFERROR(INDEX(Roster!$B$5:$B$154,MATCH(B2030,Roster!$A$5:$A$154,0)),"Not on roster"))</f>
        <v/>
      </c>
      <c r="G2030" s="28" t="str">
        <f aca="false">IF(OR(B2030="",C2030=""),"",F2030&amp;" | "&amp;C2030)</f>
        <v/>
      </c>
      <c r="H2030" s="27" t="str">
        <f aca="false">IF(G2030="","",IFERROR(INDEX(Levels!$C$5:$C$94,MATCH(G2030,Levels!$G$5:$G$94,0)),"Not this class's skill"))</f>
        <v/>
      </c>
    </row>
    <row r="2031" customFormat="false" ht="15" hidden="false" customHeight="false" outlineLevel="0" collapsed="false">
      <c r="A2031" s="23"/>
      <c r="B2031" s="22"/>
      <c r="C2031" s="22"/>
      <c r="D2031" s="22"/>
      <c r="E2031" s="22"/>
      <c r="F2031" s="27" t="str">
        <f aca="false">IF(B2031="","",IFERROR(INDEX(Roster!$B$5:$B$154,MATCH(B2031,Roster!$A$5:$A$154,0)),"Not on roster"))</f>
        <v/>
      </c>
      <c r="G2031" s="28" t="str">
        <f aca="false">IF(OR(B2031="",C2031=""),"",F2031&amp;" | "&amp;C2031)</f>
        <v/>
      </c>
      <c r="H2031" s="27" t="str">
        <f aca="false">IF(G2031="","",IFERROR(INDEX(Levels!$C$5:$C$94,MATCH(G2031,Levels!$G$5:$G$94,0)),"Not this class's skill"))</f>
        <v/>
      </c>
    </row>
    <row r="2032" customFormat="false" ht="15" hidden="false" customHeight="false" outlineLevel="0" collapsed="false">
      <c r="A2032" s="23"/>
      <c r="B2032" s="22"/>
      <c r="C2032" s="22"/>
      <c r="D2032" s="22"/>
      <c r="E2032" s="22"/>
      <c r="F2032" s="27" t="str">
        <f aca="false">IF(B2032="","",IFERROR(INDEX(Roster!$B$5:$B$154,MATCH(B2032,Roster!$A$5:$A$154,0)),"Not on roster"))</f>
        <v/>
      </c>
      <c r="G2032" s="28" t="str">
        <f aca="false">IF(OR(B2032="",C2032=""),"",F2032&amp;" | "&amp;C2032)</f>
        <v/>
      </c>
      <c r="H2032" s="27" t="str">
        <f aca="false">IF(G2032="","",IFERROR(INDEX(Levels!$C$5:$C$94,MATCH(G2032,Levels!$G$5:$G$94,0)),"Not this class's skill"))</f>
        <v/>
      </c>
    </row>
    <row r="2033" customFormat="false" ht="15" hidden="false" customHeight="false" outlineLevel="0" collapsed="false">
      <c r="A2033" s="23"/>
      <c r="B2033" s="22"/>
      <c r="C2033" s="22"/>
      <c r="D2033" s="22"/>
      <c r="E2033" s="22"/>
      <c r="F2033" s="27" t="str">
        <f aca="false">IF(B2033="","",IFERROR(INDEX(Roster!$B$5:$B$154,MATCH(B2033,Roster!$A$5:$A$154,0)),"Not on roster"))</f>
        <v/>
      </c>
      <c r="G2033" s="28" t="str">
        <f aca="false">IF(OR(B2033="",C2033=""),"",F2033&amp;" | "&amp;C2033)</f>
        <v/>
      </c>
      <c r="H2033" s="27" t="str">
        <f aca="false">IF(G2033="","",IFERROR(INDEX(Levels!$C$5:$C$94,MATCH(G2033,Levels!$G$5:$G$94,0)),"Not this class's skill"))</f>
        <v/>
      </c>
    </row>
    <row r="2034" customFormat="false" ht="15" hidden="false" customHeight="false" outlineLevel="0" collapsed="false">
      <c r="A2034" s="23"/>
      <c r="B2034" s="22"/>
      <c r="C2034" s="22"/>
      <c r="D2034" s="22"/>
      <c r="E2034" s="22"/>
      <c r="F2034" s="27" t="str">
        <f aca="false">IF(B2034="","",IFERROR(INDEX(Roster!$B$5:$B$154,MATCH(B2034,Roster!$A$5:$A$154,0)),"Not on roster"))</f>
        <v/>
      </c>
      <c r="G2034" s="28" t="str">
        <f aca="false">IF(OR(B2034="",C2034=""),"",F2034&amp;" | "&amp;C2034)</f>
        <v/>
      </c>
      <c r="H2034" s="27" t="str">
        <f aca="false">IF(G2034="","",IFERROR(INDEX(Levels!$C$5:$C$94,MATCH(G2034,Levels!$G$5:$G$94,0)),"Not this class's skill"))</f>
        <v/>
      </c>
    </row>
    <row r="2035" customFormat="false" ht="15" hidden="false" customHeight="false" outlineLevel="0" collapsed="false">
      <c r="A2035" s="23"/>
      <c r="B2035" s="22"/>
      <c r="C2035" s="22"/>
      <c r="D2035" s="22"/>
      <c r="E2035" s="22"/>
      <c r="F2035" s="27" t="str">
        <f aca="false">IF(B2035="","",IFERROR(INDEX(Roster!$B$5:$B$154,MATCH(B2035,Roster!$A$5:$A$154,0)),"Not on roster"))</f>
        <v/>
      </c>
      <c r="G2035" s="28" t="str">
        <f aca="false">IF(OR(B2035="",C2035=""),"",F2035&amp;" | "&amp;C2035)</f>
        <v/>
      </c>
      <c r="H2035" s="27" t="str">
        <f aca="false">IF(G2035="","",IFERROR(INDEX(Levels!$C$5:$C$94,MATCH(G2035,Levels!$G$5:$G$94,0)),"Not this class's skill"))</f>
        <v/>
      </c>
    </row>
    <row r="2036" customFormat="false" ht="15" hidden="false" customHeight="false" outlineLevel="0" collapsed="false">
      <c r="A2036" s="23"/>
      <c r="B2036" s="22"/>
      <c r="C2036" s="22"/>
      <c r="D2036" s="22"/>
      <c r="E2036" s="22"/>
      <c r="F2036" s="27" t="str">
        <f aca="false">IF(B2036="","",IFERROR(INDEX(Roster!$B$5:$B$154,MATCH(B2036,Roster!$A$5:$A$154,0)),"Not on roster"))</f>
        <v/>
      </c>
      <c r="G2036" s="28" t="str">
        <f aca="false">IF(OR(B2036="",C2036=""),"",F2036&amp;" | "&amp;C2036)</f>
        <v/>
      </c>
      <c r="H2036" s="27" t="str">
        <f aca="false">IF(G2036="","",IFERROR(INDEX(Levels!$C$5:$C$94,MATCH(G2036,Levels!$G$5:$G$94,0)),"Not this class's skill"))</f>
        <v/>
      </c>
    </row>
    <row r="2037" customFormat="false" ht="15" hidden="false" customHeight="false" outlineLevel="0" collapsed="false">
      <c r="A2037" s="23"/>
      <c r="B2037" s="22"/>
      <c r="C2037" s="22"/>
      <c r="D2037" s="22"/>
      <c r="E2037" s="22"/>
      <c r="F2037" s="27" t="str">
        <f aca="false">IF(B2037="","",IFERROR(INDEX(Roster!$B$5:$B$154,MATCH(B2037,Roster!$A$5:$A$154,0)),"Not on roster"))</f>
        <v/>
      </c>
      <c r="G2037" s="28" t="str">
        <f aca="false">IF(OR(B2037="",C2037=""),"",F2037&amp;" | "&amp;C2037)</f>
        <v/>
      </c>
      <c r="H2037" s="27" t="str">
        <f aca="false">IF(G2037="","",IFERROR(INDEX(Levels!$C$5:$C$94,MATCH(G2037,Levels!$G$5:$G$94,0)),"Not this class's skill"))</f>
        <v/>
      </c>
    </row>
    <row r="2038" customFormat="false" ht="15" hidden="false" customHeight="false" outlineLevel="0" collapsed="false">
      <c r="A2038" s="23"/>
      <c r="B2038" s="22"/>
      <c r="C2038" s="22"/>
      <c r="D2038" s="22"/>
      <c r="E2038" s="22"/>
      <c r="F2038" s="27" t="str">
        <f aca="false">IF(B2038="","",IFERROR(INDEX(Roster!$B$5:$B$154,MATCH(B2038,Roster!$A$5:$A$154,0)),"Not on roster"))</f>
        <v/>
      </c>
      <c r="G2038" s="28" t="str">
        <f aca="false">IF(OR(B2038="",C2038=""),"",F2038&amp;" | "&amp;C2038)</f>
        <v/>
      </c>
      <c r="H2038" s="27" t="str">
        <f aca="false">IF(G2038="","",IFERROR(INDEX(Levels!$C$5:$C$94,MATCH(G2038,Levels!$G$5:$G$94,0)),"Not this class's skill"))</f>
        <v/>
      </c>
    </row>
    <row r="2039" customFormat="false" ht="15" hidden="false" customHeight="false" outlineLevel="0" collapsed="false">
      <c r="A2039" s="23"/>
      <c r="B2039" s="22"/>
      <c r="C2039" s="22"/>
      <c r="D2039" s="22"/>
      <c r="E2039" s="22"/>
      <c r="F2039" s="27" t="str">
        <f aca="false">IF(B2039="","",IFERROR(INDEX(Roster!$B$5:$B$154,MATCH(B2039,Roster!$A$5:$A$154,0)),"Not on roster"))</f>
        <v/>
      </c>
      <c r="G2039" s="28" t="str">
        <f aca="false">IF(OR(B2039="",C2039=""),"",F2039&amp;" | "&amp;C2039)</f>
        <v/>
      </c>
      <c r="H2039" s="27" t="str">
        <f aca="false">IF(G2039="","",IFERROR(INDEX(Levels!$C$5:$C$94,MATCH(G2039,Levels!$G$5:$G$94,0)),"Not this class's skill"))</f>
        <v/>
      </c>
    </row>
    <row r="2040" customFormat="false" ht="15" hidden="false" customHeight="false" outlineLevel="0" collapsed="false">
      <c r="A2040" s="23"/>
      <c r="B2040" s="22"/>
      <c r="C2040" s="22"/>
      <c r="D2040" s="22"/>
      <c r="E2040" s="22"/>
      <c r="F2040" s="27" t="str">
        <f aca="false">IF(B2040="","",IFERROR(INDEX(Roster!$B$5:$B$154,MATCH(B2040,Roster!$A$5:$A$154,0)),"Not on roster"))</f>
        <v/>
      </c>
      <c r="G2040" s="28" t="str">
        <f aca="false">IF(OR(B2040="",C2040=""),"",F2040&amp;" | "&amp;C2040)</f>
        <v/>
      </c>
      <c r="H2040" s="27" t="str">
        <f aca="false">IF(G2040="","",IFERROR(INDEX(Levels!$C$5:$C$94,MATCH(G2040,Levels!$G$5:$G$94,0)),"Not this class's skill"))</f>
        <v/>
      </c>
    </row>
    <row r="2041" customFormat="false" ht="15" hidden="false" customHeight="false" outlineLevel="0" collapsed="false">
      <c r="A2041" s="23"/>
      <c r="B2041" s="22"/>
      <c r="C2041" s="22"/>
      <c r="D2041" s="22"/>
      <c r="E2041" s="22"/>
      <c r="F2041" s="27" t="str">
        <f aca="false">IF(B2041="","",IFERROR(INDEX(Roster!$B$5:$B$154,MATCH(B2041,Roster!$A$5:$A$154,0)),"Not on roster"))</f>
        <v/>
      </c>
      <c r="G2041" s="28" t="str">
        <f aca="false">IF(OR(B2041="",C2041=""),"",F2041&amp;" | "&amp;C2041)</f>
        <v/>
      </c>
      <c r="H2041" s="27" t="str">
        <f aca="false">IF(G2041="","",IFERROR(INDEX(Levels!$C$5:$C$94,MATCH(G2041,Levels!$G$5:$G$94,0)),"Not this class's skill"))</f>
        <v/>
      </c>
    </row>
    <row r="2042" customFormat="false" ht="15" hidden="false" customHeight="false" outlineLevel="0" collapsed="false">
      <c r="A2042" s="23"/>
      <c r="B2042" s="22"/>
      <c r="C2042" s="22"/>
      <c r="D2042" s="22"/>
      <c r="E2042" s="22"/>
      <c r="F2042" s="27" t="str">
        <f aca="false">IF(B2042="","",IFERROR(INDEX(Roster!$B$5:$B$154,MATCH(B2042,Roster!$A$5:$A$154,0)),"Not on roster"))</f>
        <v/>
      </c>
      <c r="G2042" s="28" t="str">
        <f aca="false">IF(OR(B2042="",C2042=""),"",F2042&amp;" | "&amp;C2042)</f>
        <v/>
      </c>
      <c r="H2042" s="27" t="str">
        <f aca="false">IF(G2042="","",IFERROR(INDEX(Levels!$C$5:$C$94,MATCH(G2042,Levels!$G$5:$G$94,0)),"Not this class's skill"))</f>
        <v/>
      </c>
    </row>
    <row r="2043" customFormat="false" ht="15" hidden="false" customHeight="false" outlineLevel="0" collapsed="false">
      <c r="A2043" s="23"/>
      <c r="B2043" s="22"/>
      <c r="C2043" s="22"/>
      <c r="D2043" s="22"/>
      <c r="E2043" s="22"/>
      <c r="F2043" s="27" t="str">
        <f aca="false">IF(B2043="","",IFERROR(INDEX(Roster!$B$5:$B$154,MATCH(B2043,Roster!$A$5:$A$154,0)),"Not on roster"))</f>
        <v/>
      </c>
      <c r="G2043" s="28" t="str">
        <f aca="false">IF(OR(B2043="",C2043=""),"",F2043&amp;" | "&amp;C2043)</f>
        <v/>
      </c>
      <c r="H2043" s="27" t="str">
        <f aca="false">IF(G2043="","",IFERROR(INDEX(Levels!$C$5:$C$94,MATCH(G2043,Levels!$G$5:$G$94,0)),"Not this class's skill"))</f>
        <v/>
      </c>
    </row>
    <row r="2044" customFormat="false" ht="15" hidden="false" customHeight="false" outlineLevel="0" collapsed="false">
      <c r="A2044" s="23"/>
      <c r="B2044" s="22"/>
      <c r="C2044" s="22"/>
      <c r="D2044" s="22"/>
      <c r="E2044" s="22"/>
      <c r="F2044" s="27" t="str">
        <f aca="false">IF(B2044="","",IFERROR(INDEX(Roster!$B$5:$B$154,MATCH(B2044,Roster!$A$5:$A$154,0)),"Not on roster"))</f>
        <v/>
      </c>
      <c r="G2044" s="28" t="str">
        <f aca="false">IF(OR(B2044="",C2044=""),"",F2044&amp;" | "&amp;C2044)</f>
        <v/>
      </c>
      <c r="H2044" s="27" t="str">
        <f aca="false">IF(G2044="","",IFERROR(INDEX(Levels!$C$5:$C$94,MATCH(G2044,Levels!$G$5:$G$94,0)),"Not this class's skill"))</f>
        <v/>
      </c>
    </row>
    <row r="2045" customFormat="false" ht="15" hidden="false" customHeight="false" outlineLevel="0" collapsed="false">
      <c r="A2045" s="23"/>
      <c r="B2045" s="22"/>
      <c r="C2045" s="22"/>
      <c r="D2045" s="22"/>
      <c r="E2045" s="22"/>
      <c r="F2045" s="27" t="str">
        <f aca="false">IF(B2045="","",IFERROR(INDEX(Roster!$B$5:$B$154,MATCH(B2045,Roster!$A$5:$A$154,0)),"Not on roster"))</f>
        <v/>
      </c>
      <c r="G2045" s="28" t="str">
        <f aca="false">IF(OR(B2045="",C2045=""),"",F2045&amp;" | "&amp;C2045)</f>
        <v/>
      </c>
      <c r="H2045" s="27" t="str">
        <f aca="false">IF(G2045="","",IFERROR(INDEX(Levels!$C$5:$C$94,MATCH(G2045,Levels!$G$5:$G$94,0)),"Not this class's skill"))</f>
        <v/>
      </c>
    </row>
    <row r="2046" customFormat="false" ht="15" hidden="false" customHeight="false" outlineLevel="0" collapsed="false">
      <c r="A2046" s="23"/>
      <c r="B2046" s="22"/>
      <c r="C2046" s="22"/>
      <c r="D2046" s="22"/>
      <c r="E2046" s="22"/>
      <c r="F2046" s="27" t="str">
        <f aca="false">IF(B2046="","",IFERROR(INDEX(Roster!$B$5:$B$154,MATCH(B2046,Roster!$A$5:$A$154,0)),"Not on roster"))</f>
        <v/>
      </c>
      <c r="G2046" s="28" t="str">
        <f aca="false">IF(OR(B2046="",C2046=""),"",F2046&amp;" | "&amp;C2046)</f>
        <v/>
      </c>
      <c r="H2046" s="27" t="str">
        <f aca="false">IF(G2046="","",IFERROR(INDEX(Levels!$C$5:$C$94,MATCH(G2046,Levels!$G$5:$G$94,0)),"Not this class's skill"))</f>
        <v/>
      </c>
    </row>
    <row r="2047" customFormat="false" ht="15" hidden="false" customHeight="false" outlineLevel="0" collapsed="false">
      <c r="A2047" s="23"/>
      <c r="B2047" s="22"/>
      <c r="C2047" s="22"/>
      <c r="D2047" s="22"/>
      <c r="E2047" s="22"/>
      <c r="F2047" s="27" t="str">
        <f aca="false">IF(B2047="","",IFERROR(INDEX(Roster!$B$5:$B$154,MATCH(B2047,Roster!$A$5:$A$154,0)),"Not on roster"))</f>
        <v/>
      </c>
      <c r="G2047" s="28" t="str">
        <f aca="false">IF(OR(B2047="",C2047=""),"",F2047&amp;" | "&amp;C2047)</f>
        <v/>
      </c>
      <c r="H2047" s="27" t="str">
        <f aca="false">IF(G2047="","",IFERROR(INDEX(Levels!$C$5:$C$94,MATCH(G2047,Levels!$G$5:$G$94,0)),"Not this class's skill"))</f>
        <v/>
      </c>
    </row>
    <row r="2048" customFormat="false" ht="15" hidden="false" customHeight="false" outlineLevel="0" collapsed="false">
      <c r="A2048" s="23"/>
      <c r="B2048" s="22"/>
      <c r="C2048" s="22"/>
      <c r="D2048" s="22"/>
      <c r="E2048" s="22"/>
      <c r="F2048" s="27" t="str">
        <f aca="false">IF(B2048="","",IFERROR(INDEX(Roster!$B$5:$B$154,MATCH(B2048,Roster!$A$5:$A$154,0)),"Not on roster"))</f>
        <v/>
      </c>
      <c r="G2048" s="28" t="str">
        <f aca="false">IF(OR(B2048="",C2048=""),"",F2048&amp;" | "&amp;C2048)</f>
        <v/>
      </c>
      <c r="H2048" s="27" t="str">
        <f aca="false">IF(G2048="","",IFERROR(INDEX(Levels!$C$5:$C$94,MATCH(G2048,Levels!$G$5:$G$94,0)),"Not this class's skill"))</f>
        <v/>
      </c>
    </row>
    <row r="2049" customFormat="false" ht="15" hidden="false" customHeight="false" outlineLevel="0" collapsed="false">
      <c r="A2049" s="23"/>
      <c r="B2049" s="22"/>
      <c r="C2049" s="22"/>
      <c r="D2049" s="22"/>
      <c r="E2049" s="22"/>
      <c r="F2049" s="27" t="str">
        <f aca="false">IF(B2049="","",IFERROR(INDEX(Roster!$B$5:$B$154,MATCH(B2049,Roster!$A$5:$A$154,0)),"Not on roster"))</f>
        <v/>
      </c>
      <c r="G2049" s="28" t="str">
        <f aca="false">IF(OR(B2049="",C2049=""),"",F2049&amp;" | "&amp;C2049)</f>
        <v/>
      </c>
      <c r="H2049" s="27" t="str">
        <f aca="false">IF(G2049="","",IFERROR(INDEX(Levels!$C$5:$C$94,MATCH(G2049,Levels!$G$5:$G$94,0)),"Not this class's skill"))</f>
        <v/>
      </c>
    </row>
    <row r="2050" customFormat="false" ht="15" hidden="false" customHeight="false" outlineLevel="0" collapsed="false">
      <c r="A2050" s="23"/>
      <c r="B2050" s="22"/>
      <c r="C2050" s="22"/>
      <c r="D2050" s="22"/>
      <c r="E2050" s="22"/>
      <c r="F2050" s="27" t="str">
        <f aca="false">IF(B2050="","",IFERROR(INDEX(Roster!$B$5:$B$154,MATCH(B2050,Roster!$A$5:$A$154,0)),"Not on roster"))</f>
        <v/>
      </c>
      <c r="G2050" s="28" t="str">
        <f aca="false">IF(OR(B2050="",C2050=""),"",F2050&amp;" | "&amp;C2050)</f>
        <v/>
      </c>
      <c r="H2050" s="27" t="str">
        <f aca="false">IF(G2050="","",IFERROR(INDEX(Levels!$C$5:$C$94,MATCH(G2050,Levels!$G$5:$G$94,0)),"Not this class's skill"))</f>
        <v/>
      </c>
    </row>
    <row r="2051" customFormat="false" ht="15" hidden="false" customHeight="false" outlineLevel="0" collapsed="false">
      <c r="A2051" s="23"/>
      <c r="B2051" s="22"/>
      <c r="C2051" s="22"/>
      <c r="D2051" s="22"/>
      <c r="E2051" s="22"/>
      <c r="F2051" s="27" t="str">
        <f aca="false">IF(B2051="","",IFERROR(INDEX(Roster!$B$5:$B$154,MATCH(B2051,Roster!$A$5:$A$154,0)),"Not on roster"))</f>
        <v/>
      </c>
      <c r="G2051" s="28" t="str">
        <f aca="false">IF(OR(B2051="",C2051=""),"",F2051&amp;" | "&amp;C2051)</f>
        <v/>
      </c>
      <c r="H2051" s="27" t="str">
        <f aca="false">IF(G2051="","",IFERROR(INDEX(Levels!$C$5:$C$94,MATCH(G2051,Levels!$G$5:$G$94,0)),"Not this class's skill"))</f>
        <v/>
      </c>
    </row>
    <row r="2052" customFormat="false" ht="15" hidden="false" customHeight="false" outlineLevel="0" collapsed="false">
      <c r="A2052" s="23"/>
      <c r="B2052" s="22"/>
      <c r="C2052" s="22"/>
      <c r="D2052" s="22"/>
      <c r="E2052" s="22"/>
      <c r="F2052" s="27" t="str">
        <f aca="false">IF(B2052="","",IFERROR(INDEX(Roster!$B$5:$B$154,MATCH(B2052,Roster!$A$5:$A$154,0)),"Not on roster"))</f>
        <v/>
      </c>
      <c r="G2052" s="28" t="str">
        <f aca="false">IF(OR(B2052="",C2052=""),"",F2052&amp;" | "&amp;C2052)</f>
        <v/>
      </c>
      <c r="H2052" s="27" t="str">
        <f aca="false">IF(G2052="","",IFERROR(INDEX(Levels!$C$5:$C$94,MATCH(G2052,Levels!$G$5:$G$94,0)),"Not this class's skill"))</f>
        <v/>
      </c>
    </row>
    <row r="2053" customFormat="false" ht="15" hidden="false" customHeight="false" outlineLevel="0" collapsed="false">
      <c r="A2053" s="23"/>
      <c r="B2053" s="22"/>
      <c r="C2053" s="22"/>
      <c r="D2053" s="22"/>
      <c r="E2053" s="22"/>
      <c r="F2053" s="27" t="str">
        <f aca="false">IF(B2053="","",IFERROR(INDEX(Roster!$B$5:$B$154,MATCH(B2053,Roster!$A$5:$A$154,0)),"Not on roster"))</f>
        <v/>
      </c>
      <c r="G2053" s="28" t="str">
        <f aca="false">IF(OR(B2053="",C2053=""),"",F2053&amp;" | "&amp;C2053)</f>
        <v/>
      </c>
      <c r="H2053" s="27" t="str">
        <f aca="false">IF(G2053="","",IFERROR(INDEX(Levels!$C$5:$C$94,MATCH(G2053,Levels!$G$5:$G$94,0)),"Not this class's skill"))</f>
        <v/>
      </c>
    </row>
    <row r="2054" customFormat="false" ht="15" hidden="false" customHeight="false" outlineLevel="0" collapsed="false">
      <c r="A2054" s="23"/>
      <c r="B2054" s="22"/>
      <c r="C2054" s="22"/>
      <c r="D2054" s="22"/>
      <c r="E2054" s="22"/>
      <c r="F2054" s="27" t="str">
        <f aca="false">IF(B2054="","",IFERROR(INDEX(Roster!$B$5:$B$154,MATCH(B2054,Roster!$A$5:$A$154,0)),"Not on roster"))</f>
        <v/>
      </c>
      <c r="G2054" s="28" t="str">
        <f aca="false">IF(OR(B2054="",C2054=""),"",F2054&amp;" | "&amp;C2054)</f>
        <v/>
      </c>
      <c r="H2054" s="27" t="str">
        <f aca="false">IF(G2054="","",IFERROR(INDEX(Levels!$C$5:$C$94,MATCH(G2054,Levels!$G$5:$G$94,0)),"Not this class's skill"))</f>
        <v/>
      </c>
    </row>
    <row r="2055" customFormat="false" ht="15" hidden="false" customHeight="false" outlineLevel="0" collapsed="false">
      <c r="A2055" s="23"/>
      <c r="B2055" s="22"/>
      <c r="C2055" s="22"/>
      <c r="D2055" s="22"/>
      <c r="E2055" s="22"/>
      <c r="F2055" s="27" t="str">
        <f aca="false">IF(B2055="","",IFERROR(INDEX(Roster!$B$5:$B$154,MATCH(B2055,Roster!$A$5:$A$154,0)),"Not on roster"))</f>
        <v/>
      </c>
      <c r="G2055" s="28" t="str">
        <f aca="false">IF(OR(B2055="",C2055=""),"",F2055&amp;" | "&amp;C2055)</f>
        <v/>
      </c>
      <c r="H2055" s="27" t="str">
        <f aca="false">IF(G2055="","",IFERROR(INDEX(Levels!$C$5:$C$94,MATCH(G2055,Levels!$G$5:$G$94,0)),"Not this class's skill"))</f>
        <v/>
      </c>
    </row>
    <row r="2056" customFormat="false" ht="15" hidden="false" customHeight="false" outlineLevel="0" collapsed="false">
      <c r="A2056" s="23"/>
      <c r="B2056" s="22"/>
      <c r="C2056" s="22"/>
      <c r="D2056" s="22"/>
      <c r="E2056" s="22"/>
      <c r="F2056" s="27" t="str">
        <f aca="false">IF(B2056="","",IFERROR(INDEX(Roster!$B$5:$B$154,MATCH(B2056,Roster!$A$5:$A$154,0)),"Not on roster"))</f>
        <v/>
      </c>
      <c r="G2056" s="28" t="str">
        <f aca="false">IF(OR(B2056="",C2056=""),"",F2056&amp;" | "&amp;C2056)</f>
        <v/>
      </c>
      <c r="H2056" s="27" t="str">
        <f aca="false">IF(G2056="","",IFERROR(INDEX(Levels!$C$5:$C$94,MATCH(G2056,Levels!$G$5:$G$94,0)),"Not this class's skill"))</f>
        <v/>
      </c>
    </row>
    <row r="2057" customFormat="false" ht="15" hidden="false" customHeight="false" outlineLevel="0" collapsed="false">
      <c r="A2057" s="23"/>
      <c r="B2057" s="22"/>
      <c r="C2057" s="22"/>
      <c r="D2057" s="22"/>
      <c r="E2057" s="22"/>
      <c r="F2057" s="27" t="str">
        <f aca="false">IF(B2057="","",IFERROR(INDEX(Roster!$B$5:$B$154,MATCH(B2057,Roster!$A$5:$A$154,0)),"Not on roster"))</f>
        <v/>
      </c>
      <c r="G2057" s="28" t="str">
        <f aca="false">IF(OR(B2057="",C2057=""),"",F2057&amp;" | "&amp;C2057)</f>
        <v/>
      </c>
      <c r="H2057" s="27" t="str">
        <f aca="false">IF(G2057="","",IFERROR(INDEX(Levels!$C$5:$C$94,MATCH(G2057,Levels!$G$5:$G$94,0)),"Not this class's skill"))</f>
        <v/>
      </c>
    </row>
    <row r="2058" customFormat="false" ht="15" hidden="false" customHeight="false" outlineLevel="0" collapsed="false">
      <c r="A2058" s="23"/>
      <c r="B2058" s="22"/>
      <c r="C2058" s="22"/>
      <c r="D2058" s="22"/>
      <c r="E2058" s="22"/>
      <c r="F2058" s="27" t="str">
        <f aca="false">IF(B2058="","",IFERROR(INDEX(Roster!$B$5:$B$154,MATCH(B2058,Roster!$A$5:$A$154,0)),"Not on roster"))</f>
        <v/>
      </c>
      <c r="G2058" s="28" t="str">
        <f aca="false">IF(OR(B2058="",C2058=""),"",F2058&amp;" | "&amp;C2058)</f>
        <v/>
      </c>
      <c r="H2058" s="27" t="str">
        <f aca="false">IF(G2058="","",IFERROR(INDEX(Levels!$C$5:$C$94,MATCH(G2058,Levels!$G$5:$G$94,0)),"Not this class's skill"))</f>
        <v/>
      </c>
    </row>
    <row r="2059" customFormat="false" ht="15" hidden="false" customHeight="false" outlineLevel="0" collapsed="false">
      <c r="A2059" s="23"/>
      <c r="B2059" s="22"/>
      <c r="C2059" s="22"/>
      <c r="D2059" s="22"/>
      <c r="E2059" s="22"/>
      <c r="F2059" s="27" t="str">
        <f aca="false">IF(B2059="","",IFERROR(INDEX(Roster!$B$5:$B$154,MATCH(B2059,Roster!$A$5:$A$154,0)),"Not on roster"))</f>
        <v/>
      </c>
      <c r="G2059" s="28" t="str">
        <f aca="false">IF(OR(B2059="",C2059=""),"",F2059&amp;" | "&amp;C2059)</f>
        <v/>
      </c>
      <c r="H2059" s="27" t="str">
        <f aca="false">IF(G2059="","",IFERROR(INDEX(Levels!$C$5:$C$94,MATCH(G2059,Levels!$G$5:$G$94,0)),"Not this class's skill"))</f>
        <v/>
      </c>
    </row>
    <row r="2060" customFormat="false" ht="15" hidden="false" customHeight="false" outlineLevel="0" collapsed="false">
      <c r="A2060" s="23"/>
      <c r="B2060" s="22"/>
      <c r="C2060" s="22"/>
      <c r="D2060" s="22"/>
      <c r="E2060" s="22"/>
      <c r="F2060" s="27" t="str">
        <f aca="false">IF(B2060="","",IFERROR(INDEX(Roster!$B$5:$B$154,MATCH(B2060,Roster!$A$5:$A$154,0)),"Not on roster"))</f>
        <v/>
      </c>
      <c r="G2060" s="28" t="str">
        <f aca="false">IF(OR(B2060="",C2060=""),"",F2060&amp;" | "&amp;C2060)</f>
        <v/>
      </c>
      <c r="H2060" s="27" t="str">
        <f aca="false">IF(G2060="","",IFERROR(INDEX(Levels!$C$5:$C$94,MATCH(G2060,Levels!$G$5:$G$94,0)),"Not this class's skill"))</f>
        <v/>
      </c>
    </row>
    <row r="2061" customFormat="false" ht="15" hidden="false" customHeight="false" outlineLevel="0" collapsed="false">
      <c r="A2061" s="23"/>
      <c r="B2061" s="22"/>
      <c r="C2061" s="22"/>
      <c r="D2061" s="22"/>
      <c r="E2061" s="22"/>
      <c r="F2061" s="27" t="str">
        <f aca="false">IF(B2061="","",IFERROR(INDEX(Roster!$B$5:$B$154,MATCH(B2061,Roster!$A$5:$A$154,0)),"Not on roster"))</f>
        <v/>
      </c>
      <c r="G2061" s="28" t="str">
        <f aca="false">IF(OR(B2061="",C2061=""),"",F2061&amp;" | "&amp;C2061)</f>
        <v/>
      </c>
      <c r="H2061" s="27" t="str">
        <f aca="false">IF(G2061="","",IFERROR(INDEX(Levels!$C$5:$C$94,MATCH(G2061,Levels!$G$5:$G$94,0)),"Not this class's skill"))</f>
        <v/>
      </c>
    </row>
    <row r="2062" customFormat="false" ht="15" hidden="false" customHeight="false" outlineLevel="0" collapsed="false">
      <c r="A2062" s="23"/>
      <c r="B2062" s="22"/>
      <c r="C2062" s="22"/>
      <c r="D2062" s="22"/>
      <c r="E2062" s="22"/>
      <c r="F2062" s="27" t="str">
        <f aca="false">IF(B2062="","",IFERROR(INDEX(Roster!$B$5:$B$154,MATCH(B2062,Roster!$A$5:$A$154,0)),"Not on roster"))</f>
        <v/>
      </c>
      <c r="G2062" s="28" t="str">
        <f aca="false">IF(OR(B2062="",C2062=""),"",F2062&amp;" | "&amp;C2062)</f>
        <v/>
      </c>
      <c r="H2062" s="27" t="str">
        <f aca="false">IF(G2062="","",IFERROR(INDEX(Levels!$C$5:$C$94,MATCH(G2062,Levels!$G$5:$G$94,0)),"Not this class's skill"))</f>
        <v/>
      </c>
    </row>
    <row r="2063" customFormat="false" ht="15" hidden="false" customHeight="false" outlineLevel="0" collapsed="false">
      <c r="A2063" s="23"/>
      <c r="B2063" s="22"/>
      <c r="C2063" s="22"/>
      <c r="D2063" s="22"/>
      <c r="E2063" s="22"/>
      <c r="F2063" s="27" t="str">
        <f aca="false">IF(B2063="","",IFERROR(INDEX(Roster!$B$5:$B$154,MATCH(B2063,Roster!$A$5:$A$154,0)),"Not on roster"))</f>
        <v/>
      </c>
      <c r="G2063" s="28" t="str">
        <f aca="false">IF(OR(B2063="",C2063=""),"",F2063&amp;" | "&amp;C2063)</f>
        <v/>
      </c>
      <c r="H2063" s="27" t="str">
        <f aca="false">IF(G2063="","",IFERROR(INDEX(Levels!$C$5:$C$94,MATCH(G2063,Levels!$G$5:$G$94,0)),"Not this class's skill"))</f>
        <v/>
      </c>
    </row>
    <row r="2064" customFormat="false" ht="15" hidden="false" customHeight="false" outlineLevel="0" collapsed="false">
      <c r="A2064" s="23"/>
      <c r="B2064" s="22"/>
      <c r="C2064" s="22"/>
      <c r="D2064" s="22"/>
      <c r="E2064" s="22"/>
      <c r="F2064" s="27" t="str">
        <f aca="false">IF(B2064="","",IFERROR(INDEX(Roster!$B$5:$B$154,MATCH(B2064,Roster!$A$5:$A$154,0)),"Not on roster"))</f>
        <v/>
      </c>
      <c r="G2064" s="28" t="str">
        <f aca="false">IF(OR(B2064="",C2064=""),"",F2064&amp;" | "&amp;C2064)</f>
        <v/>
      </c>
      <c r="H2064" s="27" t="str">
        <f aca="false">IF(G2064="","",IFERROR(INDEX(Levels!$C$5:$C$94,MATCH(G2064,Levels!$G$5:$G$94,0)),"Not this class's skill"))</f>
        <v/>
      </c>
    </row>
    <row r="2065" customFormat="false" ht="15" hidden="false" customHeight="false" outlineLevel="0" collapsed="false">
      <c r="A2065" s="23"/>
      <c r="B2065" s="22"/>
      <c r="C2065" s="22"/>
      <c r="D2065" s="22"/>
      <c r="E2065" s="22"/>
      <c r="F2065" s="27" t="str">
        <f aca="false">IF(B2065="","",IFERROR(INDEX(Roster!$B$5:$B$154,MATCH(B2065,Roster!$A$5:$A$154,0)),"Not on roster"))</f>
        <v/>
      </c>
      <c r="G2065" s="28" t="str">
        <f aca="false">IF(OR(B2065="",C2065=""),"",F2065&amp;" | "&amp;C2065)</f>
        <v/>
      </c>
      <c r="H2065" s="27" t="str">
        <f aca="false">IF(G2065="","",IFERROR(INDEX(Levels!$C$5:$C$94,MATCH(G2065,Levels!$G$5:$G$94,0)),"Not this class's skill"))</f>
        <v/>
      </c>
    </row>
    <row r="2066" customFormat="false" ht="15" hidden="false" customHeight="false" outlineLevel="0" collapsed="false">
      <c r="A2066" s="23"/>
      <c r="B2066" s="22"/>
      <c r="C2066" s="22"/>
      <c r="D2066" s="22"/>
      <c r="E2066" s="22"/>
      <c r="F2066" s="27" t="str">
        <f aca="false">IF(B2066="","",IFERROR(INDEX(Roster!$B$5:$B$154,MATCH(B2066,Roster!$A$5:$A$154,0)),"Not on roster"))</f>
        <v/>
      </c>
      <c r="G2066" s="28" t="str">
        <f aca="false">IF(OR(B2066="",C2066=""),"",F2066&amp;" | "&amp;C2066)</f>
        <v/>
      </c>
      <c r="H2066" s="27" t="str">
        <f aca="false">IF(G2066="","",IFERROR(INDEX(Levels!$C$5:$C$94,MATCH(G2066,Levels!$G$5:$G$94,0)),"Not this class's skill"))</f>
        <v/>
      </c>
    </row>
    <row r="2067" customFormat="false" ht="15" hidden="false" customHeight="false" outlineLevel="0" collapsed="false">
      <c r="A2067" s="23"/>
      <c r="B2067" s="22"/>
      <c r="C2067" s="22"/>
      <c r="D2067" s="22"/>
      <c r="E2067" s="22"/>
      <c r="F2067" s="27" t="str">
        <f aca="false">IF(B2067="","",IFERROR(INDEX(Roster!$B$5:$B$154,MATCH(B2067,Roster!$A$5:$A$154,0)),"Not on roster"))</f>
        <v/>
      </c>
      <c r="G2067" s="28" t="str">
        <f aca="false">IF(OR(B2067="",C2067=""),"",F2067&amp;" | "&amp;C2067)</f>
        <v/>
      </c>
      <c r="H2067" s="27" t="str">
        <f aca="false">IF(G2067="","",IFERROR(INDEX(Levels!$C$5:$C$94,MATCH(G2067,Levels!$G$5:$G$94,0)),"Not this class's skill"))</f>
        <v/>
      </c>
    </row>
    <row r="2068" customFormat="false" ht="15" hidden="false" customHeight="false" outlineLevel="0" collapsed="false">
      <c r="A2068" s="23"/>
      <c r="B2068" s="22"/>
      <c r="C2068" s="22"/>
      <c r="D2068" s="22"/>
      <c r="E2068" s="22"/>
      <c r="F2068" s="27" t="str">
        <f aca="false">IF(B2068="","",IFERROR(INDEX(Roster!$B$5:$B$154,MATCH(B2068,Roster!$A$5:$A$154,0)),"Not on roster"))</f>
        <v/>
      </c>
      <c r="G2068" s="28" t="str">
        <f aca="false">IF(OR(B2068="",C2068=""),"",F2068&amp;" | "&amp;C2068)</f>
        <v/>
      </c>
      <c r="H2068" s="27" t="str">
        <f aca="false">IF(G2068="","",IFERROR(INDEX(Levels!$C$5:$C$94,MATCH(G2068,Levels!$G$5:$G$94,0)),"Not this class's skill"))</f>
        <v/>
      </c>
    </row>
    <row r="2069" customFormat="false" ht="15" hidden="false" customHeight="false" outlineLevel="0" collapsed="false">
      <c r="A2069" s="23"/>
      <c r="B2069" s="22"/>
      <c r="C2069" s="22"/>
      <c r="D2069" s="22"/>
      <c r="E2069" s="22"/>
      <c r="F2069" s="27" t="str">
        <f aca="false">IF(B2069="","",IFERROR(INDEX(Roster!$B$5:$B$154,MATCH(B2069,Roster!$A$5:$A$154,0)),"Not on roster"))</f>
        <v/>
      </c>
      <c r="G2069" s="28" t="str">
        <f aca="false">IF(OR(B2069="",C2069=""),"",F2069&amp;" | "&amp;C2069)</f>
        <v/>
      </c>
      <c r="H2069" s="27" t="str">
        <f aca="false">IF(G2069="","",IFERROR(INDEX(Levels!$C$5:$C$94,MATCH(G2069,Levels!$G$5:$G$94,0)),"Not this class's skill"))</f>
        <v/>
      </c>
    </row>
    <row r="2070" customFormat="false" ht="15" hidden="false" customHeight="false" outlineLevel="0" collapsed="false">
      <c r="A2070" s="23"/>
      <c r="B2070" s="22"/>
      <c r="C2070" s="22"/>
      <c r="D2070" s="22"/>
      <c r="E2070" s="22"/>
      <c r="F2070" s="27" t="str">
        <f aca="false">IF(B2070="","",IFERROR(INDEX(Roster!$B$5:$B$154,MATCH(B2070,Roster!$A$5:$A$154,0)),"Not on roster"))</f>
        <v/>
      </c>
      <c r="G2070" s="28" t="str">
        <f aca="false">IF(OR(B2070="",C2070=""),"",F2070&amp;" | "&amp;C2070)</f>
        <v/>
      </c>
      <c r="H2070" s="27" t="str">
        <f aca="false">IF(G2070="","",IFERROR(INDEX(Levels!$C$5:$C$94,MATCH(G2070,Levels!$G$5:$G$94,0)),"Not this class's skill"))</f>
        <v/>
      </c>
    </row>
    <row r="2071" customFormat="false" ht="15" hidden="false" customHeight="false" outlineLevel="0" collapsed="false">
      <c r="A2071" s="23"/>
      <c r="B2071" s="22"/>
      <c r="C2071" s="22"/>
      <c r="D2071" s="22"/>
      <c r="E2071" s="22"/>
      <c r="F2071" s="27" t="str">
        <f aca="false">IF(B2071="","",IFERROR(INDEX(Roster!$B$5:$B$154,MATCH(B2071,Roster!$A$5:$A$154,0)),"Not on roster"))</f>
        <v/>
      </c>
      <c r="G2071" s="28" t="str">
        <f aca="false">IF(OR(B2071="",C2071=""),"",F2071&amp;" | "&amp;C2071)</f>
        <v/>
      </c>
      <c r="H2071" s="27" t="str">
        <f aca="false">IF(G2071="","",IFERROR(INDEX(Levels!$C$5:$C$94,MATCH(G2071,Levels!$G$5:$G$94,0)),"Not this class's skill"))</f>
        <v/>
      </c>
    </row>
    <row r="2072" customFormat="false" ht="15" hidden="false" customHeight="false" outlineLevel="0" collapsed="false">
      <c r="A2072" s="23"/>
      <c r="B2072" s="22"/>
      <c r="C2072" s="22"/>
      <c r="D2072" s="22"/>
      <c r="E2072" s="22"/>
      <c r="F2072" s="27" t="str">
        <f aca="false">IF(B2072="","",IFERROR(INDEX(Roster!$B$5:$B$154,MATCH(B2072,Roster!$A$5:$A$154,0)),"Not on roster"))</f>
        <v/>
      </c>
      <c r="G2072" s="28" t="str">
        <f aca="false">IF(OR(B2072="",C2072=""),"",F2072&amp;" | "&amp;C2072)</f>
        <v/>
      </c>
      <c r="H2072" s="27" t="str">
        <f aca="false">IF(G2072="","",IFERROR(INDEX(Levels!$C$5:$C$94,MATCH(G2072,Levels!$G$5:$G$94,0)),"Not this class's skill"))</f>
        <v/>
      </c>
    </row>
    <row r="2073" customFormat="false" ht="15" hidden="false" customHeight="false" outlineLevel="0" collapsed="false">
      <c r="A2073" s="23"/>
      <c r="B2073" s="22"/>
      <c r="C2073" s="22"/>
      <c r="D2073" s="22"/>
      <c r="E2073" s="22"/>
      <c r="F2073" s="27" t="str">
        <f aca="false">IF(B2073="","",IFERROR(INDEX(Roster!$B$5:$B$154,MATCH(B2073,Roster!$A$5:$A$154,0)),"Not on roster"))</f>
        <v/>
      </c>
      <c r="G2073" s="28" t="str">
        <f aca="false">IF(OR(B2073="",C2073=""),"",F2073&amp;" | "&amp;C2073)</f>
        <v/>
      </c>
      <c r="H2073" s="27" t="str">
        <f aca="false">IF(G2073="","",IFERROR(INDEX(Levels!$C$5:$C$94,MATCH(G2073,Levels!$G$5:$G$94,0)),"Not this class's skill"))</f>
        <v/>
      </c>
    </row>
    <row r="2074" customFormat="false" ht="15" hidden="false" customHeight="false" outlineLevel="0" collapsed="false">
      <c r="A2074" s="23"/>
      <c r="B2074" s="22"/>
      <c r="C2074" s="22"/>
      <c r="D2074" s="22"/>
      <c r="E2074" s="22"/>
      <c r="F2074" s="27" t="str">
        <f aca="false">IF(B2074="","",IFERROR(INDEX(Roster!$B$5:$B$154,MATCH(B2074,Roster!$A$5:$A$154,0)),"Not on roster"))</f>
        <v/>
      </c>
      <c r="G2074" s="28" t="str">
        <f aca="false">IF(OR(B2074="",C2074=""),"",F2074&amp;" | "&amp;C2074)</f>
        <v/>
      </c>
      <c r="H2074" s="27" t="str">
        <f aca="false">IF(G2074="","",IFERROR(INDEX(Levels!$C$5:$C$94,MATCH(G2074,Levels!$G$5:$G$94,0)),"Not this class's skill"))</f>
        <v/>
      </c>
    </row>
    <row r="2075" customFormat="false" ht="15" hidden="false" customHeight="false" outlineLevel="0" collapsed="false">
      <c r="A2075" s="23"/>
      <c r="B2075" s="22"/>
      <c r="C2075" s="22"/>
      <c r="D2075" s="22"/>
      <c r="E2075" s="22"/>
      <c r="F2075" s="27" t="str">
        <f aca="false">IF(B2075="","",IFERROR(INDEX(Roster!$B$5:$B$154,MATCH(B2075,Roster!$A$5:$A$154,0)),"Not on roster"))</f>
        <v/>
      </c>
      <c r="G2075" s="28" t="str">
        <f aca="false">IF(OR(B2075="",C2075=""),"",F2075&amp;" | "&amp;C2075)</f>
        <v/>
      </c>
      <c r="H2075" s="27" t="str">
        <f aca="false">IF(G2075="","",IFERROR(INDEX(Levels!$C$5:$C$94,MATCH(G2075,Levels!$G$5:$G$94,0)),"Not this class's skill"))</f>
        <v/>
      </c>
    </row>
    <row r="2076" customFormat="false" ht="15" hidden="false" customHeight="false" outlineLevel="0" collapsed="false">
      <c r="A2076" s="23"/>
      <c r="B2076" s="22"/>
      <c r="C2076" s="22"/>
      <c r="D2076" s="22"/>
      <c r="E2076" s="22"/>
      <c r="F2076" s="27" t="str">
        <f aca="false">IF(B2076="","",IFERROR(INDEX(Roster!$B$5:$B$154,MATCH(B2076,Roster!$A$5:$A$154,0)),"Not on roster"))</f>
        <v/>
      </c>
      <c r="G2076" s="28" t="str">
        <f aca="false">IF(OR(B2076="",C2076=""),"",F2076&amp;" | "&amp;C2076)</f>
        <v/>
      </c>
      <c r="H2076" s="27" t="str">
        <f aca="false">IF(G2076="","",IFERROR(INDEX(Levels!$C$5:$C$94,MATCH(G2076,Levels!$G$5:$G$94,0)),"Not this class's skill"))</f>
        <v/>
      </c>
    </row>
    <row r="2077" customFormat="false" ht="15" hidden="false" customHeight="false" outlineLevel="0" collapsed="false">
      <c r="A2077" s="23"/>
      <c r="B2077" s="22"/>
      <c r="C2077" s="22"/>
      <c r="D2077" s="22"/>
      <c r="E2077" s="22"/>
      <c r="F2077" s="27" t="str">
        <f aca="false">IF(B2077="","",IFERROR(INDEX(Roster!$B$5:$B$154,MATCH(B2077,Roster!$A$5:$A$154,0)),"Not on roster"))</f>
        <v/>
      </c>
      <c r="G2077" s="28" t="str">
        <f aca="false">IF(OR(B2077="",C2077=""),"",F2077&amp;" | "&amp;C2077)</f>
        <v/>
      </c>
      <c r="H2077" s="27" t="str">
        <f aca="false">IF(G2077="","",IFERROR(INDEX(Levels!$C$5:$C$94,MATCH(G2077,Levels!$G$5:$G$94,0)),"Not this class's skill"))</f>
        <v/>
      </c>
    </row>
    <row r="2078" customFormat="false" ht="15" hidden="false" customHeight="false" outlineLevel="0" collapsed="false">
      <c r="A2078" s="23"/>
      <c r="B2078" s="22"/>
      <c r="C2078" s="22"/>
      <c r="D2078" s="22"/>
      <c r="E2078" s="22"/>
      <c r="F2078" s="27" t="str">
        <f aca="false">IF(B2078="","",IFERROR(INDEX(Roster!$B$5:$B$154,MATCH(B2078,Roster!$A$5:$A$154,0)),"Not on roster"))</f>
        <v/>
      </c>
      <c r="G2078" s="28" t="str">
        <f aca="false">IF(OR(B2078="",C2078=""),"",F2078&amp;" | "&amp;C2078)</f>
        <v/>
      </c>
      <c r="H2078" s="27" t="str">
        <f aca="false">IF(G2078="","",IFERROR(INDEX(Levels!$C$5:$C$94,MATCH(G2078,Levels!$G$5:$G$94,0)),"Not this class's skill"))</f>
        <v/>
      </c>
    </row>
    <row r="2079" customFormat="false" ht="15" hidden="false" customHeight="false" outlineLevel="0" collapsed="false">
      <c r="A2079" s="23"/>
      <c r="B2079" s="22"/>
      <c r="C2079" s="22"/>
      <c r="D2079" s="22"/>
      <c r="E2079" s="22"/>
      <c r="F2079" s="27" t="str">
        <f aca="false">IF(B2079="","",IFERROR(INDEX(Roster!$B$5:$B$154,MATCH(B2079,Roster!$A$5:$A$154,0)),"Not on roster"))</f>
        <v/>
      </c>
      <c r="G2079" s="28" t="str">
        <f aca="false">IF(OR(B2079="",C2079=""),"",F2079&amp;" | "&amp;C2079)</f>
        <v/>
      </c>
      <c r="H2079" s="27" t="str">
        <f aca="false">IF(G2079="","",IFERROR(INDEX(Levels!$C$5:$C$94,MATCH(G2079,Levels!$G$5:$G$94,0)),"Not this class's skill"))</f>
        <v/>
      </c>
    </row>
    <row r="2080" customFormat="false" ht="15" hidden="false" customHeight="false" outlineLevel="0" collapsed="false">
      <c r="A2080" s="23"/>
      <c r="B2080" s="22"/>
      <c r="C2080" s="22"/>
      <c r="D2080" s="22"/>
      <c r="E2080" s="22"/>
      <c r="F2080" s="27" t="str">
        <f aca="false">IF(B2080="","",IFERROR(INDEX(Roster!$B$5:$B$154,MATCH(B2080,Roster!$A$5:$A$154,0)),"Not on roster"))</f>
        <v/>
      </c>
      <c r="G2080" s="28" t="str">
        <f aca="false">IF(OR(B2080="",C2080=""),"",F2080&amp;" | "&amp;C2080)</f>
        <v/>
      </c>
      <c r="H2080" s="27" t="str">
        <f aca="false">IF(G2080="","",IFERROR(INDEX(Levels!$C$5:$C$94,MATCH(G2080,Levels!$G$5:$G$94,0)),"Not this class's skill"))</f>
        <v/>
      </c>
    </row>
    <row r="2081" customFormat="false" ht="15" hidden="false" customHeight="false" outlineLevel="0" collapsed="false">
      <c r="A2081" s="23"/>
      <c r="B2081" s="22"/>
      <c r="C2081" s="22"/>
      <c r="D2081" s="22"/>
      <c r="E2081" s="22"/>
      <c r="F2081" s="27" t="str">
        <f aca="false">IF(B2081="","",IFERROR(INDEX(Roster!$B$5:$B$154,MATCH(B2081,Roster!$A$5:$A$154,0)),"Not on roster"))</f>
        <v/>
      </c>
      <c r="G2081" s="28" t="str">
        <f aca="false">IF(OR(B2081="",C2081=""),"",F2081&amp;" | "&amp;C2081)</f>
        <v/>
      </c>
      <c r="H2081" s="27" t="str">
        <f aca="false">IF(G2081="","",IFERROR(INDEX(Levels!$C$5:$C$94,MATCH(G2081,Levels!$G$5:$G$94,0)),"Not this class's skill"))</f>
        <v/>
      </c>
    </row>
    <row r="2082" customFormat="false" ht="15" hidden="false" customHeight="false" outlineLevel="0" collapsed="false">
      <c r="A2082" s="23"/>
      <c r="B2082" s="22"/>
      <c r="C2082" s="22"/>
      <c r="D2082" s="22"/>
      <c r="E2082" s="22"/>
      <c r="F2082" s="27" t="str">
        <f aca="false">IF(B2082="","",IFERROR(INDEX(Roster!$B$5:$B$154,MATCH(B2082,Roster!$A$5:$A$154,0)),"Not on roster"))</f>
        <v/>
      </c>
      <c r="G2082" s="28" t="str">
        <f aca="false">IF(OR(B2082="",C2082=""),"",F2082&amp;" | "&amp;C2082)</f>
        <v/>
      </c>
      <c r="H2082" s="27" t="str">
        <f aca="false">IF(G2082="","",IFERROR(INDEX(Levels!$C$5:$C$94,MATCH(G2082,Levels!$G$5:$G$94,0)),"Not this class's skill"))</f>
        <v/>
      </c>
    </row>
    <row r="2083" customFormat="false" ht="15" hidden="false" customHeight="false" outlineLevel="0" collapsed="false">
      <c r="A2083" s="23"/>
      <c r="B2083" s="22"/>
      <c r="C2083" s="22"/>
      <c r="D2083" s="22"/>
      <c r="E2083" s="22"/>
      <c r="F2083" s="27" t="str">
        <f aca="false">IF(B2083="","",IFERROR(INDEX(Roster!$B$5:$B$154,MATCH(B2083,Roster!$A$5:$A$154,0)),"Not on roster"))</f>
        <v/>
      </c>
      <c r="G2083" s="28" t="str">
        <f aca="false">IF(OR(B2083="",C2083=""),"",F2083&amp;" | "&amp;C2083)</f>
        <v/>
      </c>
      <c r="H2083" s="27" t="str">
        <f aca="false">IF(G2083="","",IFERROR(INDEX(Levels!$C$5:$C$94,MATCH(G2083,Levels!$G$5:$G$94,0)),"Not this class's skill"))</f>
        <v/>
      </c>
    </row>
    <row r="2084" customFormat="false" ht="15" hidden="false" customHeight="false" outlineLevel="0" collapsed="false">
      <c r="A2084" s="23"/>
      <c r="B2084" s="22"/>
      <c r="C2084" s="22"/>
      <c r="D2084" s="22"/>
      <c r="E2084" s="22"/>
      <c r="F2084" s="27" t="str">
        <f aca="false">IF(B2084="","",IFERROR(INDEX(Roster!$B$5:$B$154,MATCH(B2084,Roster!$A$5:$A$154,0)),"Not on roster"))</f>
        <v/>
      </c>
      <c r="G2084" s="28" t="str">
        <f aca="false">IF(OR(B2084="",C2084=""),"",F2084&amp;" | "&amp;C2084)</f>
        <v/>
      </c>
      <c r="H2084" s="27" t="str">
        <f aca="false">IF(G2084="","",IFERROR(INDEX(Levels!$C$5:$C$94,MATCH(G2084,Levels!$G$5:$G$94,0)),"Not this class's skill"))</f>
        <v/>
      </c>
    </row>
    <row r="2085" customFormat="false" ht="15" hidden="false" customHeight="false" outlineLevel="0" collapsed="false">
      <c r="A2085" s="23"/>
      <c r="B2085" s="22"/>
      <c r="C2085" s="22"/>
      <c r="D2085" s="22"/>
      <c r="E2085" s="22"/>
      <c r="F2085" s="27" t="str">
        <f aca="false">IF(B2085="","",IFERROR(INDEX(Roster!$B$5:$B$154,MATCH(B2085,Roster!$A$5:$A$154,0)),"Not on roster"))</f>
        <v/>
      </c>
      <c r="G2085" s="28" t="str">
        <f aca="false">IF(OR(B2085="",C2085=""),"",F2085&amp;" | "&amp;C2085)</f>
        <v/>
      </c>
      <c r="H2085" s="27" t="str">
        <f aca="false">IF(G2085="","",IFERROR(INDEX(Levels!$C$5:$C$94,MATCH(G2085,Levels!$G$5:$G$94,0)),"Not this class's skill"))</f>
        <v/>
      </c>
    </row>
    <row r="2086" customFormat="false" ht="15" hidden="false" customHeight="false" outlineLevel="0" collapsed="false">
      <c r="A2086" s="23"/>
      <c r="B2086" s="22"/>
      <c r="C2086" s="22"/>
      <c r="D2086" s="22"/>
      <c r="E2086" s="22"/>
      <c r="F2086" s="27" t="str">
        <f aca="false">IF(B2086="","",IFERROR(INDEX(Roster!$B$5:$B$154,MATCH(B2086,Roster!$A$5:$A$154,0)),"Not on roster"))</f>
        <v/>
      </c>
      <c r="G2086" s="28" t="str">
        <f aca="false">IF(OR(B2086="",C2086=""),"",F2086&amp;" | "&amp;C2086)</f>
        <v/>
      </c>
      <c r="H2086" s="27" t="str">
        <f aca="false">IF(G2086="","",IFERROR(INDEX(Levels!$C$5:$C$94,MATCH(G2086,Levels!$G$5:$G$94,0)),"Not this class's skill"))</f>
        <v/>
      </c>
    </row>
    <row r="2087" customFormat="false" ht="15" hidden="false" customHeight="false" outlineLevel="0" collapsed="false">
      <c r="A2087" s="23"/>
      <c r="B2087" s="22"/>
      <c r="C2087" s="22"/>
      <c r="D2087" s="22"/>
      <c r="E2087" s="22"/>
      <c r="F2087" s="27" t="str">
        <f aca="false">IF(B2087="","",IFERROR(INDEX(Roster!$B$5:$B$154,MATCH(B2087,Roster!$A$5:$A$154,0)),"Not on roster"))</f>
        <v/>
      </c>
      <c r="G2087" s="28" t="str">
        <f aca="false">IF(OR(B2087="",C2087=""),"",F2087&amp;" | "&amp;C2087)</f>
        <v/>
      </c>
      <c r="H2087" s="27" t="str">
        <f aca="false">IF(G2087="","",IFERROR(INDEX(Levels!$C$5:$C$94,MATCH(G2087,Levels!$G$5:$G$94,0)),"Not this class's skill"))</f>
        <v/>
      </c>
    </row>
    <row r="2088" customFormat="false" ht="15" hidden="false" customHeight="false" outlineLevel="0" collapsed="false">
      <c r="A2088" s="23"/>
      <c r="B2088" s="22"/>
      <c r="C2088" s="22"/>
      <c r="D2088" s="22"/>
      <c r="E2088" s="22"/>
      <c r="F2088" s="27" t="str">
        <f aca="false">IF(B2088="","",IFERROR(INDEX(Roster!$B$5:$B$154,MATCH(B2088,Roster!$A$5:$A$154,0)),"Not on roster"))</f>
        <v/>
      </c>
      <c r="G2088" s="28" t="str">
        <f aca="false">IF(OR(B2088="",C2088=""),"",F2088&amp;" | "&amp;C2088)</f>
        <v/>
      </c>
      <c r="H2088" s="27" t="str">
        <f aca="false">IF(G2088="","",IFERROR(INDEX(Levels!$C$5:$C$94,MATCH(G2088,Levels!$G$5:$G$94,0)),"Not this class's skill"))</f>
        <v/>
      </c>
    </row>
    <row r="2089" customFormat="false" ht="15" hidden="false" customHeight="false" outlineLevel="0" collapsed="false">
      <c r="A2089" s="23"/>
      <c r="B2089" s="22"/>
      <c r="C2089" s="22"/>
      <c r="D2089" s="22"/>
      <c r="E2089" s="22"/>
      <c r="F2089" s="27" t="str">
        <f aca="false">IF(B2089="","",IFERROR(INDEX(Roster!$B$5:$B$154,MATCH(B2089,Roster!$A$5:$A$154,0)),"Not on roster"))</f>
        <v/>
      </c>
      <c r="G2089" s="28" t="str">
        <f aca="false">IF(OR(B2089="",C2089=""),"",F2089&amp;" | "&amp;C2089)</f>
        <v/>
      </c>
      <c r="H2089" s="27" t="str">
        <f aca="false">IF(G2089="","",IFERROR(INDEX(Levels!$C$5:$C$94,MATCH(G2089,Levels!$G$5:$G$94,0)),"Not this class's skill"))</f>
        <v/>
      </c>
    </row>
    <row r="2090" customFormat="false" ht="15" hidden="false" customHeight="false" outlineLevel="0" collapsed="false">
      <c r="A2090" s="23"/>
      <c r="B2090" s="22"/>
      <c r="C2090" s="22"/>
      <c r="D2090" s="22"/>
      <c r="E2090" s="22"/>
      <c r="F2090" s="27" t="str">
        <f aca="false">IF(B2090="","",IFERROR(INDEX(Roster!$B$5:$B$154,MATCH(B2090,Roster!$A$5:$A$154,0)),"Not on roster"))</f>
        <v/>
      </c>
      <c r="G2090" s="28" t="str">
        <f aca="false">IF(OR(B2090="",C2090=""),"",F2090&amp;" | "&amp;C2090)</f>
        <v/>
      </c>
      <c r="H2090" s="27" t="str">
        <f aca="false">IF(G2090="","",IFERROR(INDEX(Levels!$C$5:$C$94,MATCH(G2090,Levels!$G$5:$G$94,0)),"Not this class's skill"))</f>
        <v/>
      </c>
    </row>
    <row r="2091" customFormat="false" ht="15" hidden="false" customHeight="false" outlineLevel="0" collapsed="false">
      <c r="A2091" s="23"/>
      <c r="B2091" s="22"/>
      <c r="C2091" s="22"/>
      <c r="D2091" s="22"/>
      <c r="E2091" s="22"/>
      <c r="F2091" s="27" t="str">
        <f aca="false">IF(B2091="","",IFERROR(INDEX(Roster!$B$5:$B$154,MATCH(B2091,Roster!$A$5:$A$154,0)),"Not on roster"))</f>
        <v/>
      </c>
      <c r="G2091" s="28" t="str">
        <f aca="false">IF(OR(B2091="",C2091=""),"",F2091&amp;" | "&amp;C2091)</f>
        <v/>
      </c>
      <c r="H2091" s="27" t="str">
        <f aca="false">IF(G2091="","",IFERROR(INDEX(Levels!$C$5:$C$94,MATCH(G2091,Levels!$G$5:$G$94,0)),"Not this class's skill"))</f>
        <v/>
      </c>
    </row>
    <row r="2092" customFormat="false" ht="15" hidden="false" customHeight="false" outlineLevel="0" collapsed="false">
      <c r="A2092" s="23"/>
      <c r="B2092" s="22"/>
      <c r="C2092" s="22"/>
      <c r="D2092" s="22"/>
      <c r="E2092" s="22"/>
      <c r="F2092" s="27" t="str">
        <f aca="false">IF(B2092="","",IFERROR(INDEX(Roster!$B$5:$B$154,MATCH(B2092,Roster!$A$5:$A$154,0)),"Not on roster"))</f>
        <v/>
      </c>
      <c r="G2092" s="28" t="str">
        <f aca="false">IF(OR(B2092="",C2092=""),"",F2092&amp;" | "&amp;C2092)</f>
        <v/>
      </c>
      <c r="H2092" s="27" t="str">
        <f aca="false">IF(G2092="","",IFERROR(INDEX(Levels!$C$5:$C$94,MATCH(G2092,Levels!$G$5:$G$94,0)),"Not this class's skill"))</f>
        <v/>
      </c>
    </row>
    <row r="2093" customFormat="false" ht="15" hidden="false" customHeight="false" outlineLevel="0" collapsed="false">
      <c r="A2093" s="23"/>
      <c r="B2093" s="22"/>
      <c r="C2093" s="22"/>
      <c r="D2093" s="22"/>
      <c r="E2093" s="22"/>
      <c r="F2093" s="27" t="str">
        <f aca="false">IF(B2093="","",IFERROR(INDEX(Roster!$B$5:$B$154,MATCH(B2093,Roster!$A$5:$A$154,0)),"Not on roster"))</f>
        <v/>
      </c>
      <c r="G2093" s="28" t="str">
        <f aca="false">IF(OR(B2093="",C2093=""),"",F2093&amp;" | "&amp;C2093)</f>
        <v/>
      </c>
      <c r="H2093" s="27" t="str">
        <f aca="false">IF(G2093="","",IFERROR(INDEX(Levels!$C$5:$C$94,MATCH(G2093,Levels!$G$5:$G$94,0)),"Not this class's skill"))</f>
        <v/>
      </c>
    </row>
    <row r="2094" customFormat="false" ht="15" hidden="false" customHeight="false" outlineLevel="0" collapsed="false">
      <c r="A2094" s="23"/>
      <c r="B2094" s="22"/>
      <c r="C2094" s="22"/>
      <c r="D2094" s="22"/>
      <c r="E2094" s="22"/>
      <c r="F2094" s="27" t="str">
        <f aca="false">IF(B2094="","",IFERROR(INDEX(Roster!$B$5:$B$154,MATCH(B2094,Roster!$A$5:$A$154,0)),"Not on roster"))</f>
        <v/>
      </c>
      <c r="G2094" s="28" t="str">
        <f aca="false">IF(OR(B2094="",C2094=""),"",F2094&amp;" | "&amp;C2094)</f>
        <v/>
      </c>
      <c r="H2094" s="27" t="str">
        <f aca="false">IF(G2094="","",IFERROR(INDEX(Levels!$C$5:$C$94,MATCH(G2094,Levels!$G$5:$G$94,0)),"Not this class's skill"))</f>
        <v/>
      </c>
    </row>
    <row r="2095" customFormat="false" ht="15" hidden="false" customHeight="false" outlineLevel="0" collapsed="false">
      <c r="A2095" s="23"/>
      <c r="B2095" s="22"/>
      <c r="C2095" s="22"/>
      <c r="D2095" s="22"/>
      <c r="E2095" s="22"/>
      <c r="F2095" s="27" t="str">
        <f aca="false">IF(B2095="","",IFERROR(INDEX(Roster!$B$5:$B$154,MATCH(B2095,Roster!$A$5:$A$154,0)),"Not on roster"))</f>
        <v/>
      </c>
      <c r="G2095" s="28" t="str">
        <f aca="false">IF(OR(B2095="",C2095=""),"",F2095&amp;" | "&amp;C2095)</f>
        <v/>
      </c>
      <c r="H2095" s="27" t="str">
        <f aca="false">IF(G2095="","",IFERROR(INDEX(Levels!$C$5:$C$94,MATCH(G2095,Levels!$G$5:$G$94,0)),"Not this class's skill"))</f>
        <v/>
      </c>
    </row>
    <row r="2096" customFormat="false" ht="15" hidden="false" customHeight="false" outlineLevel="0" collapsed="false">
      <c r="A2096" s="23"/>
      <c r="B2096" s="22"/>
      <c r="C2096" s="22"/>
      <c r="D2096" s="22"/>
      <c r="E2096" s="22"/>
      <c r="F2096" s="27" t="str">
        <f aca="false">IF(B2096="","",IFERROR(INDEX(Roster!$B$5:$B$154,MATCH(B2096,Roster!$A$5:$A$154,0)),"Not on roster"))</f>
        <v/>
      </c>
      <c r="G2096" s="28" t="str">
        <f aca="false">IF(OR(B2096="",C2096=""),"",F2096&amp;" | "&amp;C2096)</f>
        <v/>
      </c>
      <c r="H2096" s="27" t="str">
        <f aca="false">IF(G2096="","",IFERROR(INDEX(Levels!$C$5:$C$94,MATCH(G2096,Levels!$G$5:$G$94,0)),"Not this class's skill"))</f>
        <v/>
      </c>
    </row>
    <row r="2097" customFormat="false" ht="15" hidden="false" customHeight="false" outlineLevel="0" collapsed="false">
      <c r="A2097" s="23"/>
      <c r="B2097" s="22"/>
      <c r="C2097" s="22"/>
      <c r="D2097" s="22"/>
      <c r="E2097" s="22"/>
      <c r="F2097" s="27" t="str">
        <f aca="false">IF(B2097="","",IFERROR(INDEX(Roster!$B$5:$B$154,MATCH(B2097,Roster!$A$5:$A$154,0)),"Not on roster"))</f>
        <v/>
      </c>
      <c r="G2097" s="28" t="str">
        <f aca="false">IF(OR(B2097="",C2097=""),"",F2097&amp;" | "&amp;C2097)</f>
        <v/>
      </c>
      <c r="H2097" s="27" t="str">
        <f aca="false">IF(G2097="","",IFERROR(INDEX(Levels!$C$5:$C$94,MATCH(G2097,Levels!$G$5:$G$94,0)),"Not this class's skill"))</f>
        <v/>
      </c>
    </row>
    <row r="2098" customFormat="false" ht="15" hidden="false" customHeight="false" outlineLevel="0" collapsed="false">
      <c r="A2098" s="23"/>
      <c r="B2098" s="22"/>
      <c r="C2098" s="22"/>
      <c r="D2098" s="22"/>
      <c r="E2098" s="22"/>
      <c r="F2098" s="27" t="str">
        <f aca="false">IF(B2098="","",IFERROR(INDEX(Roster!$B$5:$B$154,MATCH(B2098,Roster!$A$5:$A$154,0)),"Not on roster"))</f>
        <v/>
      </c>
      <c r="G2098" s="28" t="str">
        <f aca="false">IF(OR(B2098="",C2098=""),"",F2098&amp;" | "&amp;C2098)</f>
        <v/>
      </c>
      <c r="H2098" s="27" t="str">
        <f aca="false">IF(G2098="","",IFERROR(INDEX(Levels!$C$5:$C$94,MATCH(G2098,Levels!$G$5:$G$94,0)),"Not this class's skill"))</f>
        <v/>
      </c>
    </row>
    <row r="2099" customFormat="false" ht="15" hidden="false" customHeight="false" outlineLevel="0" collapsed="false">
      <c r="A2099" s="23"/>
      <c r="B2099" s="22"/>
      <c r="C2099" s="22"/>
      <c r="D2099" s="22"/>
      <c r="E2099" s="22"/>
      <c r="F2099" s="27" t="str">
        <f aca="false">IF(B2099="","",IFERROR(INDEX(Roster!$B$5:$B$154,MATCH(B2099,Roster!$A$5:$A$154,0)),"Not on roster"))</f>
        <v/>
      </c>
      <c r="G2099" s="28" t="str">
        <f aca="false">IF(OR(B2099="",C2099=""),"",F2099&amp;" | "&amp;C2099)</f>
        <v/>
      </c>
      <c r="H2099" s="27" t="str">
        <f aca="false">IF(G2099="","",IFERROR(INDEX(Levels!$C$5:$C$94,MATCH(G2099,Levels!$G$5:$G$94,0)),"Not this class's skill"))</f>
        <v/>
      </c>
    </row>
    <row r="2100" customFormat="false" ht="15" hidden="false" customHeight="false" outlineLevel="0" collapsed="false">
      <c r="A2100" s="23"/>
      <c r="B2100" s="22"/>
      <c r="C2100" s="22"/>
      <c r="D2100" s="22"/>
      <c r="E2100" s="22"/>
      <c r="F2100" s="27" t="str">
        <f aca="false">IF(B2100="","",IFERROR(INDEX(Roster!$B$5:$B$154,MATCH(B2100,Roster!$A$5:$A$154,0)),"Not on roster"))</f>
        <v/>
      </c>
      <c r="G2100" s="28" t="str">
        <f aca="false">IF(OR(B2100="",C2100=""),"",F2100&amp;" | "&amp;C2100)</f>
        <v/>
      </c>
      <c r="H2100" s="27" t="str">
        <f aca="false">IF(G2100="","",IFERROR(INDEX(Levels!$C$5:$C$94,MATCH(G2100,Levels!$G$5:$G$94,0)),"Not this class's skill"))</f>
        <v/>
      </c>
    </row>
    <row r="2101" customFormat="false" ht="15" hidden="false" customHeight="false" outlineLevel="0" collapsed="false">
      <c r="A2101" s="23"/>
      <c r="B2101" s="22"/>
      <c r="C2101" s="22"/>
      <c r="D2101" s="22"/>
      <c r="E2101" s="22"/>
      <c r="F2101" s="27" t="str">
        <f aca="false">IF(B2101="","",IFERROR(INDEX(Roster!$B$5:$B$154,MATCH(B2101,Roster!$A$5:$A$154,0)),"Not on roster"))</f>
        <v/>
      </c>
      <c r="G2101" s="28" t="str">
        <f aca="false">IF(OR(B2101="",C2101=""),"",F2101&amp;" | "&amp;C2101)</f>
        <v/>
      </c>
      <c r="H2101" s="27" t="str">
        <f aca="false">IF(G2101="","",IFERROR(INDEX(Levels!$C$5:$C$94,MATCH(G2101,Levels!$G$5:$G$94,0)),"Not this class's skill"))</f>
        <v/>
      </c>
    </row>
    <row r="2102" customFormat="false" ht="15" hidden="false" customHeight="false" outlineLevel="0" collapsed="false">
      <c r="A2102" s="23"/>
      <c r="B2102" s="22"/>
      <c r="C2102" s="22"/>
      <c r="D2102" s="22"/>
      <c r="E2102" s="22"/>
      <c r="F2102" s="27" t="str">
        <f aca="false">IF(B2102="","",IFERROR(INDEX(Roster!$B$5:$B$154,MATCH(B2102,Roster!$A$5:$A$154,0)),"Not on roster"))</f>
        <v/>
      </c>
      <c r="G2102" s="28" t="str">
        <f aca="false">IF(OR(B2102="",C2102=""),"",F2102&amp;" | "&amp;C2102)</f>
        <v/>
      </c>
      <c r="H2102" s="27" t="str">
        <f aca="false">IF(G2102="","",IFERROR(INDEX(Levels!$C$5:$C$94,MATCH(G2102,Levels!$G$5:$G$94,0)),"Not this class's skill"))</f>
        <v/>
      </c>
    </row>
    <row r="2103" customFormat="false" ht="15" hidden="false" customHeight="false" outlineLevel="0" collapsed="false">
      <c r="A2103" s="23"/>
      <c r="B2103" s="22"/>
      <c r="C2103" s="22"/>
      <c r="D2103" s="22"/>
      <c r="E2103" s="22"/>
      <c r="F2103" s="27" t="str">
        <f aca="false">IF(B2103="","",IFERROR(INDEX(Roster!$B$5:$B$154,MATCH(B2103,Roster!$A$5:$A$154,0)),"Not on roster"))</f>
        <v/>
      </c>
      <c r="G2103" s="28" t="str">
        <f aca="false">IF(OR(B2103="",C2103=""),"",F2103&amp;" | "&amp;C2103)</f>
        <v/>
      </c>
      <c r="H2103" s="27" t="str">
        <f aca="false">IF(G2103="","",IFERROR(INDEX(Levels!$C$5:$C$94,MATCH(G2103,Levels!$G$5:$G$94,0)),"Not this class's skill"))</f>
        <v/>
      </c>
    </row>
    <row r="2104" customFormat="false" ht="15" hidden="false" customHeight="false" outlineLevel="0" collapsed="false">
      <c r="A2104" s="23"/>
      <c r="B2104" s="22"/>
      <c r="C2104" s="22"/>
      <c r="D2104" s="22"/>
      <c r="E2104" s="22"/>
      <c r="F2104" s="27" t="str">
        <f aca="false">IF(B2104="","",IFERROR(INDEX(Roster!$B$5:$B$154,MATCH(B2104,Roster!$A$5:$A$154,0)),"Not on roster"))</f>
        <v/>
      </c>
      <c r="G2104" s="28" t="str">
        <f aca="false">IF(OR(B2104="",C2104=""),"",F2104&amp;" | "&amp;C2104)</f>
        <v/>
      </c>
      <c r="H2104" s="27" t="str">
        <f aca="false">IF(G2104="","",IFERROR(INDEX(Levels!$C$5:$C$94,MATCH(G2104,Levels!$G$5:$G$94,0)),"Not this class's skill"))</f>
        <v/>
      </c>
    </row>
    <row r="2105" customFormat="false" ht="15" hidden="false" customHeight="false" outlineLevel="0" collapsed="false">
      <c r="A2105" s="23"/>
      <c r="B2105" s="22"/>
      <c r="C2105" s="22"/>
      <c r="D2105" s="22"/>
      <c r="E2105" s="22"/>
      <c r="F2105" s="27" t="str">
        <f aca="false">IF(B2105="","",IFERROR(INDEX(Roster!$B$5:$B$154,MATCH(B2105,Roster!$A$5:$A$154,0)),"Not on roster"))</f>
        <v/>
      </c>
      <c r="G2105" s="28" t="str">
        <f aca="false">IF(OR(B2105="",C2105=""),"",F2105&amp;" | "&amp;C2105)</f>
        <v/>
      </c>
      <c r="H2105" s="27" t="str">
        <f aca="false">IF(G2105="","",IFERROR(INDEX(Levels!$C$5:$C$94,MATCH(G2105,Levels!$G$5:$G$94,0)),"Not this class's skill"))</f>
        <v/>
      </c>
    </row>
    <row r="2106" customFormat="false" ht="15" hidden="false" customHeight="false" outlineLevel="0" collapsed="false">
      <c r="A2106" s="23"/>
      <c r="B2106" s="22"/>
      <c r="C2106" s="22"/>
      <c r="D2106" s="22"/>
      <c r="E2106" s="22"/>
      <c r="F2106" s="27" t="str">
        <f aca="false">IF(B2106="","",IFERROR(INDEX(Roster!$B$5:$B$154,MATCH(B2106,Roster!$A$5:$A$154,0)),"Not on roster"))</f>
        <v/>
      </c>
      <c r="G2106" s="28" t="str">
        <f aca="false">IF(OR(B2106="",C2106=""),"",F2106&amp;" | "&amp;C2106)</f>
        <v/>
      </c>
      <c r="H2106" s="27" t="str">
        <f aca="false">IF(G2106="","",IFERROR(INDEX(Levels!$C$5:$C$94,MATCH(G2106,Levels!$G$5:$G$94,0)),"Not this class's skill"))</f>
        <v/>
      </c>
    </row>
    <row r="2107" customFormat="false" ht="15" hidden="false" customHeight="false" outlineLevel="0" collapsed="false">
      <c r="A2107" s="23"/>
      <c r="B2107" s="22"/>
      <c r="C2107" s="22"/>
      <c r="D2107" s="22"/>
      <c r="E2107" s="22"/>
      <c r="F2107" s="27" t="str">
        <f aca="false">IF(B2107="","",IFERROR(INDEX(Roster!$B$5:$B$154,MATCH(B2107,Roster!$A$5:$A$154,0)),"Not on roster"))</f>
        <v/>
      </c>
      <c r="G2107" s="28" t="str">
        <f aca="false">IF(OR(B2107="",C2107=""),"",F2107&amp;" | "&amp;C2107)</f>
        <v/>
      </c>
      <c r="H2107" s="27" t="str">
        <f aca="false">IF(G2107="","",IFERROR(INDEX(Levels!$C$5:$C$94,MATCH(G2107,Levels!$G$5:$G$94,0)),"Not this class's skill"))</f>
        <v/>
      </c>
    </row>
    <row r="2108" customFormat="false" ht="15" hidden="false" customHeight="false" outlineLevel="0" collapsed="false">
      <c r="A2108" s="23"/>
      <c r="B2108" s="22"/>
      <c r="C2108" s="22"/>
      <c r="D2108" s="22"/>
      <c r="E2108" s="22"/>
      <c r="F2108" s="27" t="str">
        <f aca="false">IF(B2108="","",IFERROR(INDEX(Roster!$B$5:$B$154,MATCH(B2108,Roster!$A$5:$A$154,0)),"Not on roster"))</f>
        <v/>
      </c>
      <c r="G2108" s="28" t="str">
        <f aca="false">IF(OR(B2108="",C2108=""),"",F2108&amp;" | "&amp;C2108)</f>
        <v/>
      </c>
      <c r="H2108" s="27" t="str">
        <f aca="false">IF(G2108="","",IFERROR(INDEX(Levels!$C$5:$C$94,MATCH(G2108,Levels!$G$5:$G$94,0)),"Not this class's skill"))</f>
        <v/>
      </c>
    </row>
    <row r="2109" customFormat="false" ht="15" hidden="false" customHeight="false" outlineLevel="0" collapsed="false">
      <c r="A2109" s="23"/>
      <c r="B2109" s="22"/>
      <c r="C2109" s="22"/>
      <c r="D2109" s="22"/>
      <c r="E2109" s="22"/>
      <c r="F2109" s="27" t="str">
        <f aca="false">IF(B2109="","",IFERROR(INDEX(Roster!$B$5:$B$154,MATCH(B2109,Roster!$A$5:$A$154,0)),"Not on roster"))</f>
        <v/>
      </c>
      <c r="G2109" s="28" t="str">
        <f aca="false">IF(OR(B2109="",C2109=""),"",F2109&amp;" | "&amp;C2109)</f>
        <v/>
      </c>
      <c r="H2109" s="27" t="str">
        <f aca="false">IF(G2109="","",IFERROR(INDEX(Levels!$C$5:$C$94,MATCH(G2109,Levels!$G$5:$G$94,0)),"Not this class's skill"))</f>
        <v/>
      </c>
    </row>
    <row r="2110" customFormat="false" ht="15" hidden="false" customHeight="false" outlineLevel="0" collapsed="false">
      <c r="A2110" s="23"/>
      <c r="B2110" s="22"/>
      <c r="C2110" s="22"/>
      <c r="D2110" s="22"/>
      <c r="E2110" s="22"/>
      <c r="F2110" s="27" t="str">
        <f aca="false">IF(B2110="","",IFERROR(INDEX(Roster!$B$5:$B$154,MATCH(B2110,Roster!$A$5:$A$154,0)),"Not on roster"))</f>
        <v/>
      </c>
      <c r="G2110" s="28" t="str">
        <f aca="false">IF(OR(B2110="",C2110=""),"",F2110&amp;" | "&amp;C2110)</f>
        <v/>
      </c>
      <c r="H2110" s="27" t="str">
        <f aca="false">IF(G2110="","",IFERROR(INDEX(Levels!$C$5:$C$94,MATCH(G2110,Levels!$G$5:$G$94,0)),"Not this class's skill"))</f>
        <v/>
      </c>
    </row>
    <row r="2111" customFormat="false" ht="15" hidden="false" customHeight="false" outlineLevel="0" collapsed="false">
      <c r="A2111" s="23"/>
      <c r="B2111" s="22"/>
      <c r="C2111" s="22"/>
      <c r="D2111" s="22"/>
      <c r="E2111" s="22"/>
      <c r="F2111" s="27" t="str">
        <f aca="false">IF(B2111="","",IFERROR(INDEX(Roster!$B$5:$B$154,MATCH(B2111,Roster!$A$5:$A$154,0)),"Not on roster"))</f>
        <v/>
      </c>
      <c r="G2111" s="28" t="str">
        <f aca="false">IF(OR(B2111="",C2111=""),"",F2111&amp;" | "&amp;C2111)</f>
        <v/>
      </c>
      <c r="H2111" s="27" t="str">
        <f aca="false">IF(G2111="","",IFERROR(INDEX(Levels!$C$5:$C$94,MATCH(G2111,Levels!$G$5:$G$94,0)),"Not this class's skill"))</f>
        <v/>
      </c>
    </row>
    <row r="2112" customFormat="false" ht="15" hidden="false" customHeight="false" outlineLevel="0" collapsed="false">
      <c r="A2112" s="23"/>
      <c r="B2112" s="22"/>
      <c r="C2112" s="22"/>
      <c r="D2112" s="22"/>
      <c r="E2112" s="22"/>
      <c r="F2112" s="27" t="str">
        <f aca="false">IF(B2112="","",IFERROR(INDEX(Roster!$B$5:$B$154,MATCH(B2112,Roster!$A$5:$A$154,0)),"Not on roster"))</f>
        <v/>
      </c>
      <c r="G2112" s="28" t="str">
        <f aca="false">IF(OR(B2112="",C2112=""),"",F2112&amp;" | "&amp;C2112)</f>
        <v/>
      </c>
      <c r="H2112" s="27" t="str">
        <f aca="false">IF(G2112="","",IFERROR(INDEX(Levels!$C$5:$C$94,MATCH(G2112,Levels!$G$5:$G$94,0)),"Not this class's skill"))</f>
        <v/>
      </c>
    </row>
    <row r="2113" customFormat="false" ht="15" hidden="false" customHeight="false" outlineLevel="0" collapsed="false">
      <c r="A2113" s="23"/>
      <c r="B2113" s="22"/>
      <c r="C2113" s="22"/>
      <c r="D2113" s="22"/>
      <c r="E2113" s="22"/>
      <c r="F2113" s="27" t="str">
        <f aca="false">IF(B2113="","",IFERROR(INDEX(Roster!$B$5:$B$154,MATCH(B2113,Roster!$A$5:$A$154,0)),"Not on roster"))</f>
        <v/>
      </c>
      <c r="G2113" s="28" t="str">
        <f aca="false">IF(OR(B2113="",C2113=""),"",F2113&amp;" | "&amp;C2113)</f>
        <v/>
      </c>
      <c r="H2113" s="27" t="str">
        <f aca="false">IF(G2113="","",IFERROR(INDEX(Levels!$C$5:$C$94,MATCH(G2113,Levels!$G$5:$G$94,0)),"Not this class's skill"))</f>
        <v/>
      </c>
    </row>
    <row r="2114" customFormat="false" ht="15" hidden="false" customHeight="false" outlineLevel="0" collapsed="false">
      <c r="A2114" s="23"/>
      <c r="B2114" s="22"/>
      <c r="C2114" s="22"/>
      <c r="D2114" s="22"/>
      <c r="E2114" s="22"/>
      <c r="F2114" s="27" t="str">
        <f aca="false">IF(B2114="","",IFERROR(INDEX(Roster!$B$5:$B$154,MATCH(B2114,Roster!$A$5:$A$154,0)),"Not on roster"))</f>
        <v/>
      </c>
      <c r="G2114" s="28" t="str">
        <f aca="false">IF(OR(B2114="",C2114=""),"",F2114&amp;" | "&amp;C2114)</f>
        <v/>
      </c>
      <c r="H2114" s="27" t="str">
        <f aca="false">IF(G2114="","",IFERROR(INDEX(Levels!$C$5:$C$94,MATCH(G2114,Levels!$G$5:$G$94,0)),"Not this class's skill"))</f>
        <v/>
      </c>
    </row>
    <row r="2115" customFormat="false" ht="15" hidden="false" customHeight="false" outlineLevel="0" collapsed="false">
      <c r="A2115" s="23"/>
      <c r="B2115" s="22"/>
      <c r="C2115" s="22"/>
      <c r="D2115" s="22"/>
      <c r="E2115" s="22"/>
      <c r="F2115" s="27" t="str">
        <f aca="false">IF(B2115="","",IFERROR(INDEX(Roster!$B$5:$B$154,MATCH(B2115,Roster!$A$5:$A$154,0)),"Not on roster"))</f>
        <v/>
      </c>
      <c r="G2115" s="28" t="str">
        <f aca="false">IF(OR(B2115="",C2115=""),"",F2115&amp;" | "&amp;C2115)</f>
        <v/>
      </c>
      <c r="H2115" s="27" t="str">
        <f aca="false">IF(G2115="","",IFERROR(INDEX(Levels!$C$5:$C$94,MATCH(G2115,Levels!$G$5:$G$94,0)),"Not this class's skill"))</f>
        <v/>
      </c>
    </row>
    <row r="2116" customFormat="false" ht="15" hidden="false" customHeight="false" outlineLevel="0" collapsed="false">
      <c r="A2116" s="23"/>
      <c r="B2116" s="22"/>
      <c r="C2116" s="22"/>
      <c r="D2116" s="22"/>
      <c r="E2116" s="22"/>
      <c r="F2116" s="27" t="str">
        <f aca="false">IF(B2116="","",IFERROR(INDEX(Roster!$B$5:$B$154,MATCH(B2116,Roster!$A$5:$A$154,0)),"Not on roster"))</f>
        <v/>
      </c>
      <c r="G2116" s="28" t="str">
        <f aca="false">IF(OR(B2116="",C2116=""),"",F2116&amp;" | "&amp;C2116)</f>
        <v/>
      </c>
      <c r="H2116" s="27" t="str">
        <f aca="false">IF(G2116="","",IFERROR(INDEX(Levels!$C$5:$C$94,MATCH(G2116,Levels!$G$5:$G$94,0)),"Not this class's skill"))</f>
        <v/>
      </c>
    </row>
    <row r="2117" customFormat="false" ht="15" hidden="false" customHeight="false" outlineLevel="0" collapsed="false">
      <c r="A2117" s="23"/>
      <c r="B2117" s="22"/>
      <c r="C2117" s="22"/>
      <c r="D2117" s="22"/>
      <c r="E2117" s="22"/>
      <c r="F2117" s="27" t="str">
        <f aca="false">IF(B2117="","",IFERROR(INDEX(Roster!$B$5:$B$154,MATCH(B2117,Roster!$A$5:$A$154,0)),"Not on roster"))</f>
        <v/>
      </c>
      <c r="G2117" s="28" t="str">
        <f aca="false">IF(OR(B2117="",C2117=""),"",F2117&amp;" | "&amp;C2117)</f>
        <v/>
      </c>
      <c r="H2117" s="27" t="str">
        <f aca="false">IF(G2117="","",IFERROR(INDEX(Levels!$C$5:$C$94,MATCH(G2117,Levels!$G$5:$G$94,0)),"Not this class's skill"))</f>
        <v/>
      </c>
    </row>
    <row r="2118" customFormat="false" ht="15" hidden="false" customHeight="false" outlineLevel="0" collapsed="false">
      <c r="A2118" s="23"/>
      <c r="B2118" s="22"/>
      <c r="C2118" s="22"/>
      <c r="D2118" s="22"/>
      <c r="E2118" s="22"/>
      <c r="F2118" s="27" t="str">
        <f aca="false">IF(B2118="","",IFERROR(INDEX(Roster!$B$5:$B$154,MATCH(B2118,Roster!$A$5:$A$154,0)),"Not on roster"))</f>
        <v/>
      </c>
      <c r="G2118" s="28" t="str">
        <f aca="false">IF(OR(B2118="",C2118=""),"",F2118&amp;" | "&amp;C2118)</f>
        <v/>
      </c>
      <c r="H2118" s="27" t="str">
        <f aca="false">IF(G2118="","",IFERROR(INDEX(Levels!$C$5:$C$94,MATCH(G2118,Levels!$G$5:$G$94,0)),"Not this class's skill"))</f>
        <v/>
      </c>
    </row>
    <row r="2119" customFormat="false" ht="15" hidden="false" customHeight="false" outlineLevel="0" collapsed="false">
      <c r="A2119" s="23"/>
      <c r="B2119" s="22"/>
      <c r="C2119" s="22"/>
      <c r="D2119" s="22"/>
      <c r="E2119" s="22"/>
      <c r="F2119" s="27" t="str">
        <f aca="false">IF(B2119="","",IFERROR(INDEX(Roster!$B$5:$B$154,MATCH(B2119,Roster!$A$5:$A$154,0)),"Not on roster"))</f>
        <v/>
      </c>
      <c r="G2119" s="28" t="str">
        <f aca="false">IF(OR(B2119="",C2119=""),"",F2119&amp;" | "&amp;C2119)</f>
        <v/>
      </c>
      <c r="H2119" s="27" t="str">
        <f aca="false">IF(G2119="","",IFERROR(INDEX(Levels!$C$5:$C$94,MATCH(G2119,Levels!$G$5:$G$94,0)),"Not this class's skill"))</f>
        <v/>
      </c>
    </row>
    <row r="2120" customFormat="false" ht="15" hidden="false" customHeight="false" outlineLevel="0" collapsed="false">
      <c r="A2120" s="23"/>
      <c r="B2120" s="22"/>
      <c r="C2120" s="22"/>
      <c r="D2120" s="22"/>
      <c r="E2120" s="22"/>
      <c r="F2120" s="27" t="str">
        <f aca="false">IF(B2120="","",IFERROR(INDEX(Roster!$B$5:$B$154,MATCH(B2120,Roster!$A$5:$A$154,0)),"Not on roster"))</f>
        <v/>
      </c>
      <c r="G2120" s="28" t="str">
        <f aca="false">IF(OR(B2120="",C2120=""),"",F2120&amp;" | "&amp;C2120)</f>
        <v/>
      </c>
      <c r="H2120" s="27" t="str">
        <f aca="false">IF(G2120="","",IFERROR(INDEX(Levels!$C$5:$C$94,MATCH(G2120,Levels!$G$5:$G$94,0)),"Not this class's skill"))</f>
        <v/>
      </c>
    </row>
    <row r="2121" customFormat="false" ht="15" hidden="false" customHeight="false" outlineLevel="0" collapsed="false">
      <c r="A2121" s="23"/>
      <c r="B2121" s="22"/>
      <c r="C2121" s="22"/>
      <c r="D2121" s="22"/>
      <c r="E2121" s="22"/>
      <c r="F2121" s="27" t="str">
        <f aca="false">IF(B2121="","",IFERROR(INDEX(Roster!$B$5:$B$154,MATCH(B2121,Roster!$A$5:$A$154,0)),"Not on roster"))</f>
        <v/>
      </c>
      <c r="G2121" s="28" t="str">
        <f aca="false">IF(OR(B2121="",C2121=""),"",F2121&amp;" | "&amp;C2121)</f>
        <v/>
      </c>
      <c r="H2121" s="27" t="str">
        <f aca="false">IF(G2121="","",IFERROR(INDEX(Levels!$C$5:$C$94,MATCH(G2121,Levels!$G$5:$G$94,0)),"Not this class's skill"))</f>
        <v/>
      </c>
    </row>
    <row r="2122" customFormat="false" ht="15" hidden="false" customHeight="false" outlineLevel="0" collapsed="false">
      <c r="A2122" s="23"/>
      <c r="B2122" s="22"/>
      <c r="C2122" s="22"/>
      <c r="D2122" s="22"/>
      <c r="E2122" s="22"/>
      <c r="F2122" s="27" t="str">
        <f aca="false">IF(B2122="","",IFERROR(INDEX(Roster!$B$5:$B$154,MATCH(B2122,Roster!$A$5:$A$154,0)),"Not on roster"))</f>
        <v/>
      </c>
      <c r="G2122" s="28" t="str">
        <f aca="false">IF(OR(B2122="",C2122=""),"",F2122&amp;" | "&amp;C2122)</f>
        <v/>
      </c>
      <c r="H2122" s="27" t="str">
        <f aca="false">IF(G2122="","",IFERROR(INDEX(Levels!$C$5:$C$94,MATCH(G2122,Levels!$G$5:$G$94,0)),"Not this class's skill"))</f>
        <v/>
      </c>
    </row>
    <row r="2123" customFormat="false" ht="15" hidden="false" customHeight="false" outlineLevel="0" collapsed="false">
      <c r="A2123" s="23"/>
      <c r="B2123" s="22"/>
      <c r="C2123" s="22"/>
      <c r="D2123" s="22"/>
      <c r="E2123" s="22"/>
      <c r="F2123" s="27" t="str">
        <f aca="false">IF(B2123="","",IFERROR(INDEX(Roster!$B$5:$B$154,MATCH(B2123,Roster!$A$5:$A$154,0)),"Not on roster"))</f>
        <v/>
      </c>
      <c r="G2123" s="28" t="str">
        <f aca="false">IF(OR(B2123="",C2123=""),"",F2123&amp;" | "&amp;C2123)</f>
        <v/>
      </c>
      <c r="H2123" s="27" t="str">
        <f aca="false">IF(G2123="","",IFERROR(INDEX(Levels!$C$5:$C$94,MATCH(G2123,Levels!$G$5:$G$94,0)),"Not this class's skill"))</f>
        <v/>
      </c>
    </row>
    <row r="2124" customFormat="false" ht="15" hidden="false" customHeight="false" outlineLevel="0" collapsed="false">
      <c r="A2124" s="23"/>
      <c r="B2124" s="22"/>
      <c r="C2124" s="22"/>
      <c r="D2124" s="22"/>
      <c r="E2124" s="22"/>
      <c r="F2124" s="27" t="str">
        <f aca="false">IF(B2124="","",IFERROR(INDEX(Roster!$B$5:$B$154,MATCH(B2124,Roster!$A$5:$A$154,0)),"Not on roster"))</f>
        <v/>
      </c>
      <c r="G2124" s="28" t="str">
        <f aca="false">IF(OR(B2124="",C2124=""),"",F2124&amp;" | "&amp;C2124)</f>
        <v/>
      </c>
      <c r="H2124" s="27" t="str">
        <f aca="false">IF(G2124="","",IFERROR(INDEX(Levels!$C$5:$C$94,MATCH(G2124,Levels!$G$5:$G$94,0)),"Not this class's skill"))</f>
        <v/>
      </c>
    </row>
    <row r="2125" customFormat="false" ht="15" hidden="false" customHeight="false" outlineLevel="0" collapsed="false">
      <c r="A2125" s="23"/>
      <c r="B2125" s="22"/>
      <c r="C2125" s="22"/>
      <c r="D2125" s="22"/>
      <c r="E2125" s="22"/>
      <c r="F2125" s="27" t="str">
        <f aca="false">IF(B2125="","",IFERROR(INDEX(Roster!$B$5:$B$154,MATCH(B2125,Roster!$A$5:$A$154,0)),"Not on roster"))</f>
        <v/>
      </c>
      <c r="G2125" s="28" t="str">
        <f aca="false">IF(OR(B2125="",C2125=""),"",F2125&amp;" | "&amp;C2125)</f>
        <v/>
      </c>
      <c r="H2125" s="27" t="str">
        <f aca="false">IF(G2125="","",IFERROR(INDEX(Levels!$C$5:$C$94,MATCH(G2125,Levels!$G$5:$G$94,0)),"Not this class's skill"))</f>
        <v/>
      </c>
    </row>
    <row r="2126" customFormat="false" ht="15" hidden="false" customHeight="false" outlineLevel="0" collapsed="false">
      <c r="A2126" s="23"/>
      <c r="B2126" s="22"/>
      <c r="C2126" s="22"/>
      <c r="D2126" s="22"/>
      <c r="E2126" s="22"/>
      <c r="F2126" s="27" t="str">
        <f aca="false">IF(B2126="","",IFERROR(INDEX(Roster!$B$5:$B$154,MATCH(B2126,Roster!$A$5:$A$154,0)),"Not on roster"))</f>
        <v/>
      </c>
      <c r="G2126" s="28" t="str">
        <f aca="false">IF(OR(B2126="",C2126=""),"",F2126&amp;" | "&amp;C2126)</f>
        <v/>
      </c>
      <c r="H2126" s="27" t="str">
        <f aca="false">IF(G2126="","",IFERROR(INDEX(Levels!$C$5:$C$94,MATCH(G2126,Levels!$G$5:$G$94,0)),"Not this class's skill"))</f>
        <v/>
      </c>
    </row>
    <row r="2127" customFormat="false" ht="15" hidden="false" customHeight="false" outlineLevel="0" collapsed="false">
      <c r="A2127" s="23"/>
      <c r="B2127" s="22"/>
      <c r="C2127" s="22"/>
      <c r="D2127" s="22"/>
      <c r="E2127" s="22"/>
      <c r="F2127" s="27" t="str">
        <f aca="false">IF(B2127="","",IFERROR(INDEX(Roster!$B$5:$B$154,MATCH(B2127,Roster!$A$5:$A$154,0)),"Not on roster"))</f>
        <v/>
      </c>
      <c r="G2127" s="28" t="str">
        <f aca="false">IF(OR(B2127="",C2127=""),"",F2127&amp;" | "&amp;C2127)</f>
        <v/>
      </c>
      <c r="H2127" s="27" t="str">
        <f aca="false">IF(G2127="","",IFERROR(INDEX(Levels!$C$5:$C$94,MATCH(G2127,Levels!$G$5:$G$94,0)),"Not this class's skill"))</f>
        <v/>
      </c>
    </row>
    <row r="2128" customFormat="false" ht="15" hidden="false" customHeight="false" outlineLevel="0" collapsed="false">
      <c r="A2128" s="23"/>
      <c r="B2128" s="22"/>
      <c r="C2128" s="22"/>
      <c r="D2128" s="22"/>
      <c r="E2128" s="22"/>
      <c r="F2128" s="27" t="str">
        <f aca="false">IF(B2128="","",IFERROR(INDEX(Roster!$B$5:$B$154,MATCH(B2128,Roster!$A$5:$A$154,0)),"Not on roster"))</f>
        <v/>
      </c>
      <c r="G2128" s="28" t="str">
        <f aca="false">IF(OR(B2128="",C2128=""),"",F2128&amp;" | "&amp;C2128)</f>
        <v/>
      </c>
      <c r="H2128" s="27" t="str">
        <f aca="false">IF(G2128="","",IFERROR(INDEX(Levels!$C$5:$C$94,MATCH(G2128,Levels!$G$5:$G$94,0)),"Not this class's skill"))</f>
        <v/>
      </c>
    </row>
    <row r="2129" customFormat="false" ht="15" hidden="false" customHeight="false" outlineLevel="0" collapsed="false">
      <c r="A2129" s="23"/>
      <c r="B2129" s="22"/>
      <c r="C2129" s="22"/>
      <c r="D2129" s="22"/>
      <c r="E2129" s="22"/>
      <c r="F2129" s="27" t="str">
        <f aca="false">IF(B2129="","",IFERROR(INDEX(Roster!$B$5:$B$154,MATCH(B2129,Roster!$A$5:$A$154,0)),"Not on roster"))</f>
        <v/>
      </c>
      <c r="G2129" s="28" t="str">
        <f aca="false">IF(OR(B2129="",C2129=""),"",F2129&amp;" | "&amp;C2129)</f>
        <v/>
      </c>
      <c r="H2129" s="27" t="str">
        <f aca="false">IF(G2129="","",IFERROR(INDEX(Levels!$C$5:$C$94,MATCH(G2129,Levels!$G$5:$G$94,0)),"Not this class's skill"))</f>
        <v/>
      </c>
    </row>
    <row r="2130" customFormat="false" ht="15" hidden="false" customHeight="false" outlineLevel="0" collapsed="false">
      <c r="A2130" s="23"/>
      <c r="B2130" s="22"/>
      <c r="C2130" s="22"/>
      <c r="D2130" s="22"/>
      <c r="E2130" s="22"/>
      <c r="F2130" s="27" t="str">
        <f aca="false">IF(B2130="","",IFERROR(INDEX(Roster!$B$5:$B$154,MATCH(B2130,Roster!$A$5:$A$154,0)),"Not on roster"))</f>
        <v/>
      </c>
      <c r="G2130" s="28" t="str">
        <f aca="false">IF(OR(B2130="",C2130=""),"",F2130&amp;" | "&amp;C2130)</f>
        <v/>
      </c>
      <c r="H2130" s="27" t="str">
        <f aca="false">IF(G2130="","",IFERROR(INDEX(Levels!$C$5:$C$94,MATCH(G2130,Levels!$G$5:$G$94,0)),"Not this class's skill"))</f>
        <v/>
      </c>
    </row>
    <row r="2131" customFormat="false" ht="15" hidden="false" customHeight="false" outlineLevel="0" collapsed="false">
      <c r="A2131" s="23"/>
      <c r="B2131" s="22"/>
      <c r="C2131" s="22"/>
      <c r="D2131" s="22"/>
      <c r="E2131" s="22"/>
      <c r="F2131" s="27" t="str">
        <f aca="false">IF(B2131="","",IFERROR(INDEX(Roster!$B$5:$B$154,MATCH(B2131,Roster!$A$5:$A$154,0)),"Not on roster"))</f>
        <v/>
      </c>
      <c r="G2131" s="28" t="str">
        <f aca="false">IF(OR(B2131="",C2131=""),"",F2131&amp;" | "&amp;C2131)</f>
        <v/>
      </c>
      <c r="H2131" s="27" t="str">
        <f aca="false">IF(G2131="","",IFERROR(INDEX(Levels!$C$5:$C$94,MATCH(G2131,Levels!$G$5:$G$94,0)),"Not this class's skill"))</f>
        <v/>
      </c>
    </row>
    <row r="2132" customFormat="false" ht="15" hidden="false" customHeight="false" outlineLevel="0" collapsed="false">
      <c r="A2132" s="23"/>
      <c r="B2132" s="22"/>
      <c r="C2132" s="22"/>
      <c r="D2132" s="22"/>
      <c r="E2132" s="22"/>
      <c r="F2132" s="27" t="str">
        <f aca="false">IF(B2132="","",IFERROR(INDEX(Roster!$B$5:$B$154,MATCH(B2132,Roster!$A$5:$A$154,0)),"Not on roster"))</f>
        <v/>
      </c>
      <c r="G2132" s="28" t="str">
        <f aca="false">IF(OR(B2132="",C2132=""),"",F2132&amp;" | "&amp;C2132)</f>
        <v/>
      </c>
      <c r="H2132" s="27" t="str">
        <f aca="false">IF(G2132="","",IFERROR(INDEX(Levels!$C$5:$C$94,MATCH(G2132,Levels!$G$5:$G$94,0)),"Not this class's skill"))</f>
        <v/>
      </c>
    </row>
    <row r="2133" customFormat="false" ht="15" hidden="false" customHeight="false" outlineLevel="0" collapsed="false">
      <c r="A2133" s="23"/>
      <c r="B2133" s="22"/>
      <c r="C2133" s="22"/>
      <c r="D2133" s="22"/>
      <c r="E2133" s="22"/>
      <c r="F2133" s="27" t="str">
        <f aca="false">IF(B2133="","",IFERROR(INDEX(Roster!$B$5:$B$154,MATCH(B2133,Roster!$A$5:$A$154,0)),"Not on roster"))</f>
        <v/>
      </c>
      <c r="G2133" s="28" t="str">
        <f aca="false">IF(OR(B2133="",C2133=""),"",F2133&amp;" | "&amp;C2133)</f>
        <v/>
      </c>
      <c r="H2133" s="27" t="str">
        <f aca="false">IF(G2133="","",IFERROR(INDEX(Levels!$C$5:$C$94,MATCH(G2133,Levels!$G$5:$G$94,0)),"Not this class's skill"))</f>
        <v/>
      </c>
    </row>
    <row r="2134" customFormat="false" ht="15" hidden="false" customHeight="false" outlineLevel="0" collapsed="false">
      <c r="A2134" s="23"/>
      <c r="B2134" s="22"/>
      <c r="C2134" s="22"/>
      <c r="D2134" s="22"/>
      <c r="E2134" s="22"/>
      <c r="F2134" s="27" t="str">
        <f aca="false">IF(B2134="","",IFERROR(INDEX(Roster!$B$5:$B$154,MATCH(B2134,Roster!$A$5:$A$154,0)),"Not on roster"))</f>
        <v/>
      </c>
      <c r="G2134" s="28" t="str">
        <f aca="false">IF(OR(B2134="",C2134=""),"",F2134&amp;" | "&amp;C2134)</f>
        <v/>
      </c>
      <c r="H2134" s="27" t="str">
        <f aca="false">IF(G2134="","",IFERROR(INDEX(Levels!$C$5:$C$94,MATCH(G2134,Levels!$G$5:$G$94,0)),"Not this class's skill"))</f>
        <v/>
      </c>
    </row>
    <row r="2135" customFormat="false" ht="15" hidden="false" customHeight="false" outlineLevel="0" collapsed="false">
      <c r="A2135" s="23"/>
      <c r="B2135" s="22"/>
      <c r="C2135" s="22"/>
      <c r="D2135" s="22"/>
      <c r="E2135" s="22"/>
      <c r="F2135" s="27" t="str">
        <f aca="false">IF(B2135="","",IFERROR(INDEX(Roster!$B$5:$B$154,MATCH(B2135,Roster!$A$5:$A$154,0)),"Not on roster"))</f>
        <v/>
      </c>
      <c r="G2135" s="28" t="str">
        <f aca="false">IF(OR(B2135="",C2135=""),"",F2135&amp;" | "&amp;C2135)</f>
        <v/>
      </c>
      <c r="H2135" s="27" t="str">
        <f aca="false">IF(G2135="","",IFERROR(INDEX(Levels!$C$5:$C$94,MATCH(G2135,Levels!$G$5:$G$94,0)),"Not this class's skill"))</f>
        <v/>
      </c>
    </row>
    <row r="2136" customFormat="false" ht="15" hidden="false" customHeight="false" outlineLevel="0" collapsed="false">
      <c r="A2136" s="23"/>
      <c r="B2136" s="22"/>
      <c r="C2136" s="22"/>
      <c r="D2136" s="22"/>
      <c r="E2136" s="22"/>
      <c r="F2136" s="27" t="str">
        <f aca="false">IF(B2136="","",IFERROR(INDEX(Roster!$B$5:$B$154,MATCH(B2136,Roster!$A$5:$A$154,0)),"Not on roster"))</f>
        <v/>
      </c>
      <c r="G2136" s="28" t="str">
        <f aca="false">IF(OR(B2136="",C2136=""),"",F2136&amp;" | "&amp;C2136)</f>
        <v/>
      </c>
      <c r="H2136" s="27" t="str">
        <f aca="false">IF(G2136="","",IFERROR(INDEX(Levels!$C$5:$C$94,MATCH(G2136,Levels!$G$5:$G$94,0)),"Not this class's skill"))</f>
        <v/>
      </c>
    </row>
    <row r="2137" customFormat="false" ht="15" hidden="false" customHeight="false" outlineLevel="0" collapsed="false">
      <c r="A2137" s="23"/>
      <c r="B2137" s="22"/>
      <c r="C2137" s="22"/>
      <c r="D2137" s="22"/>
      <c r="E2137" s="22"/>
      <c r="F2137" s="27" t="str">
        <f aca="false">IF(B2137="","",IFERROR(INDEX(Roster!$B$5:$B$154,MATCH(B2137,Roster!$A$5:$A$154,0)),"Not on roster"))</f>
        <v/>
      </c>
      <c r="G2137" s="28" t="str">
        <f aca="false">IF(OR(B2137="",C2137=""),"",F2137&amp;" | "&amp;C2137)</f>
        <v/>
      </c>
      <c r="H2137" s="27" t="str">
        <f aca="false">IF(G2137="","",IFERROR(INDEX(Levels!$C$5:$C$94,MATCH(G2137,Levels!$G$5:$G$94,0)),"Not this class's skill"))</f>
        <v/>
      </c>
    </row>
    <row r="2138" customFormat="false" ht="15" hidden="false" customHeight="false" outlineLevel="0" collapsed="false">
      <c r="A2138" s="23"/>
      <c r="B2138" s="22"/>
      <c r="C2138" s="22"/>
      <c r="D2138" s="22"/>
      <c r="E2138" s="22"/>
      <c r="F2138" s="27" t="str">
        <f aca="false">IF(B2138="","",IFERROR(INDEX(Roster!$B$5:$B$154,MATCH(B2138,Roster!$A$5:$A$154,0)),"Not on roster"))</f>
        <v/>
      </c>
      <c r="G2138" s="28" t="str">
        <f aca="false">IF(OR(B2138="",C2138=""),"",F2138&amp;" | "&amp;C2138)</f>
        <v/>
      </c>
      <c r="H2138" s="27" t="str">
        <f aca="false">IF(G2138="","",IFERROR(INDEX(Levels!$C$5:$C$94,MATCH(G2138,Levels!$G$5:$G$94,0)),"Not this class's skill"))</f>
        <v/>
      </c>
    </row>
    <row r="2139" customFormat="false" ht="15" hidden="false" customHeight="false" outlineLevel="0" collapsed="false">
      <c r="A2139" s="23"/>
      <c r="B2139" s="22"/>
      <c r="C2139" s="22"/>
      <c r="D2139" s="22"/>
      <c r="E2139" s="22"/>
      <c r="F2139" s="27" t="str">
        <f aca="false">IF(B2139="","",IFERROR(INDEX(Roster!$B$5:$B$154,MATCH(B2139,Roster!$A$5:$A$154,0)),"Not on roster"))</f>
        <v/>
      </c>
      <c r="G2139" s="28" t="str">
        <f aca="false">IF(OR(B2139="",C2139=""),"",F2139&amp;" | "&amp;C2139)</f>
        <v/>
      </c>
      <c r="H2139" s="27" t="str">
        <f aca="false">IF(G2139="","",IFERROR(INDEX(Levels!$C$5:$C$94,MATCH(G2139,Levels!$G$5:$G$94,0)),"Not this class's skill"))</f>
        <v/>
      </c>
    </row>
    <row r="2140" customFormat="false" ht="15" hidden="false" customHeight="false" outlineLevel="0" collapsed="false">
      <c r="A2140" s="23"/>
      <c r="B2140" s="22"/>
      <c r="C2140" s="22"/>
      <c r="D2140" s="22"/>
      <c r="E2140" s="22"/>
      <c r="F2140" s="27" t="str">
        <f aca="false">IF(B2140="","",IFERROR(INDEX(Roster!$B$5:$B$154,MATCH(B2140,Roster!$A$5:$A$154,0)),"Not on roster"))</f>
        <v/>
      </c>
      <c r="G2140" s="28" t="str">
        <f aca="false">IF(OR(B2140="",C2140=""),"",F2140&amp;" | "&amp;C2140)</f>
        <v/>
      </c>
      <c r="H2140" s="27" t="str">
        <f aca="false">IF(G2140="","",IFERROR(INDEX(Levels!$C$5:$C$94,MATCH(G2140,Levels!$G$5:$G$94,0)),"Not this class's skill"))</f>
        <v/>
      </c>
    </row>
    <row r="2141" customFormat="false" ht="15" hidden="false" customHeight="false" outlineLevel="0" collapsed="false">
      <c r="A2141" s="23"/>
      <c r="B2141" s="22"/>
      <c r="C2141" s="22"/>
      <c r="D2141" s="22"/>
      <c r="E2141" s="22"/>
      <c r="F2141" s="27" t="str">
        <f aca="false">IF(B2141="","",IFERROR(INDEX(Roster!$B$5:$B$154,MATCH(B2141,Roster!$A$5:$A$154,0)),"Not on roster"))</f>
        <v/>
      </c>
      <c r="G2141" s="28" t="str">
        <f aca="false">IF(OR(B2141="",C2141=""),"",F2141&amp;" | "&amp;C2141)</f>
        <v/>
      </c>
      <c r="H2141" s="27" t="str">
        <f aca="false">IF(G2141="","",IFERROR(INDEX(Levels!$C$5:$C$94,MATCH(G2141,Levels!$G$5:$G$94,0)),"Not this class's skill"))</f>
        <v/>
      </c>
    </row>
    <row r="2142" customFormat="false" ht="15" hidden="false" customHeight="false" outlineLevel="0" collapsed="false">
      <c r="A2142" s="23"/>
      <c r="B2142" s="22"/>
      <c r="C2142" s="22"/>
      <c r="D2142" s="22"/>
      <c r="E2142" s="22"/>
      <c r="F2142" s="27" t="str">
        <f aca="false">IF(B2142="","",IFERROR(INDEX(Roster!$B$5:$B$154,MATCH(B2142,Roster!$A$5:$A$154,0)),"Not on roster"))</f>
        <v/>
      </c>
      <c r="G2142" s="28" t="str">
        <f aca="false">IF(OR(B2142="",C2142=""),"",F2142&amp;" | "&amp;C2142)</f>
        <v/>
      </c>
      <c r="H2142" s="27" t="str">
        <f aca="false">IF(G2142="","",IFERROR(INDEX(Levels!$C$5:$C$94,MATCH(G2142,Levels!$G$5:$G$94,0)),"Not this class's skill"))</f>
        <v/>
      </c>
    </row>
    <row r="2143" customFormat="false" ht="15" hidden="false" customHeight="false" outlineLevel="0" collapsed="false">
      <c r="A2143" s="23"/>
      <c r="B2143" s="22"/>
      <c r="C2143" s="22"/>
      <c r="D2143" s="22"/>
      <c r="E2143" s="22"/>
      <c r="F2143" s="27" t="str">
        <f aca="false">IF(B2143="","",IFERROR(INDEX(Roster!$B$5:$B$154,MATCH(B2143,Roster!$A$5:$A$154,0)),"Not on roster"))</f>
        <v/>
      </c>
      <c r="G2143" s="28" t="str">
        <f aca="false">IF(OR(B2143="",C2143=""),"",F2143&amp;" | "&amp;C2143)</f>
        <v/>
      </c>
      <c r="H2143" s="27" t="str">
        <f aca="false">IF(G2143="","",IFERROR(INDEX(Levels!$C$5:$C$94,MATCH(G2143,Levels!$G$5:$G$94,0)),"Not this class's skill"))</f>
        <v/>
      </c>
    </row>
    <row r="2144" customFormat="false" ht="15" hidden="false" customHeight="false" outlineLevel="0" collapsed="false">
      <c r="A2144" s="23"/>
      <c r="B2144" s="22"/>
      <c r="C2144" s="22"/>
      <c r="D2144" s="22"/>
      <c r="E2144" s="22"/>
      <c r="F2144" s="27" t="str">
        <f aca="false">IF(B2144="","",IFERROR(INDEX(Roster!$B$5:$B$154,MATCH(B2144,Roster!$A$5:$A$154,0)),"Not on roster"))</f>
        <v/>
      </c>
      <c r="G2144" s="28" t="str">
        <f aca="false">IF(OR(B2144="",C2144=""),"",F2144&amp;" | "&amp;C2144)</f>
        <v/>
      </c>
      <c r="H2144" s="27" t="str">
        <f aca="false">IF(G2144="","",IFERROR(INDEX(Levels!$C$5:$C$94,MATCH(G2144,Levels!$G$5:$G$94,0)),"Not this class's skill"))</f>
        <v/>
      </c>
    </row>
    <row r="2145" customFormat="false" ht="15" hidden="false" customHeight="false" outlineLevel="0" collapsed="false">
      <c r="A2145" s="23"/>
      <c r="B2145" s="22"/>
      <c r="C2145" s="22"/>
      <c r="D2145" s="22"/>
      <c r="E2145" s="22"/>
      <c r="F2145" s="27" t="str">
        <f aca="false">IF(B2145="","",IFERROR(INDEX(Roster!$B$5:$B$154,MATCH(B2145,Roster!$A$5:$A$154,0)),"Not on roster"))</f>
        <v/>
      </c>
      <c r="G2145" s="28" t="str">
        <f aca="false">IF(OR(B2145="",C2145=""),"",F2145&amp;" | "&amp;C2145)</f>
        <v/>
      </c>
      <c r="H2145" s="27" t="str">
        <f aca="false">IF(G2145="","",IFERROR(INDEX(Levels!$C$5:$C$94,MATCH(G2145,Levels!$G$5:$G$94,0)),"Not this class's skill"))</f>
        <v/>
      </c>
    </row>
    <row r="2146" customFormat="false" ht="15" hidden="false" customHeight="false" outlineLevel="0" collapsed="false">
      <c r="A2146" s="23"/>
      <c r="B2146" s="22"/>
      <c r="C2146" s="22"/>
      <c r="D2146" s="22"/>
      <c r="E2146" s="22"/>
      <c r="F2146" s="27" t="str">
        <f aca="false">IF(B2146="","",IFERROR(INDEX(Roster!$B$5:$B$154,MATCH(B2146,Roster!$A$5:$A$154,0)),"Not on roster"))</f>
        <v/>
      </c>
      <c r="G2146" s="28" t="str">
        <f aca="false">IF(OR(B2146="",C2146=""),"",F2146&amp;" | "&amp;C2146)</f>
        <v/>
      </c>
      <c r="H2146" s="27" t="str">
        <f aca="false">IF(G2146="","",IFERROR(INDEX(Levels!$C$5:$C$94,MATCH(G2146,Levels!$G$5:$G$94,0)),"Not this class's skill"))</f>
        <v/>
      </c>
    </row>
    <row r="2147" customFormat="false" ht="15" hidden="false" customHeight="false" outlineLevel="0" collapsed="false">
      <c r="A2147" s="23"/>
      <c r="B2147" s="22"/>
      <c r="C2147" s="22"/>
      <c r="D2147" s="22"/>
      <c r="E2147" s="22"/>
      <c r="F2147" s="27" t="str">
        <f aca="false">IF(B2147="","",IFERROR(INDEX(Roster!$B$5:$B$154,MATCH(B2147,Roster!$A$5:$A$154,0)),"Not on roster"))</f>
        <v/>
      </c>
      <c r="G2147" s="28" t="str">
        <f aca="false">IF(OR(B2147="",C2147=""),"",F2147&amp;" | "&amp;C2147)</f>
        <v/>
      </c>
      <c r="H2147" s="27" t="str">
        <f aca="false">IF(G2147="","",IFERROR(INDEX(Levels!$C$5:$C$94,MATCH(G2147,Levels!$G$5:$G$94,0)),"Not this class's skill"))</f>
        <v/>
      </c>
    </row>
    <row r="2148" customFormat="false" ht="15" hidden="false" customHeight="false" outlineLevel="0" collapsed="false">
      <c r="A2148" s="23"/>
      <c r="B2148" s="22"/>
      <c r="C2148" s="22"/>
      <c r="D2148" s="22"/>
      <c r="E2148" s="22"/>
      <c r="F2148" s="27" t="str">
        <f aca="false">IF(B2148="","",IFERROR(INDEX(Roster!$B$5:$B$154,MATCH(B2148,Roster!$A$5:$A$154,0)),"Not on roster"))</f>
        <v/>
      </c>
      <c r="G2148" s="28" t="str">
        <f aca="false">IF(OR(B2148="",C2148=""),"",F2148&amp;" | "&amp;C2148)</f>
        <v/>
      </c>
      <c r="H2148" s="27" t="str">
        <f aca="false">IF(G2148="","",IFERROR(INDEX(Levels!$C$5:$C$94,MATCH(G2148,Levels!$G$5:$G$94,0)),"Not this class's skill"))</f>
        <v/>
      </c>
    </row>
    <row r="2149" customFormat="false" ht="15" hidden="false" customHeight="false" outlineLevel="0" collapsed="false">
      <c r="A2149" s="23"/>
      <c r="B2149" s="22"/>
      <c r="C2149" s="22"/>
      <c r="D2149" s="22"/>
      <c r="E2149" s="22"/>
      <c r="F2149" s="27" t="str">
        <f aca="false">IF(B2149="","",IFERROR(INDEX(Roster!$B$5:$B$154,MATCH(B2149,Roster!$A$5:$A$154,0)),"Not on roster"))</f>
        <v/>
      </c>
      <c r="G2149" s="28" t="str">
        <f aca="false">IF(OR(B2149="",C2149=""),"",F2149&amp;" | "&amp;C2149)</f>
        <v/>
      </c>
      <c r="H2149" s="27" t="str">
        <f aca="false">IF(G2149="","",IFERROR(INDEX(Levels!$C$5:$C$94,MATCH(G2149,Levels!$G$5:$G$94,0)),"Not this class's skill"))</f>
        <v/>
      </c>
    </row>
    <row r="2150" customFormat="false" ht="15" hidden="false" customHeight="false" outlineLevel="0" collapsed="false">
      <c r="A2150" s="23"/>
      <c r="B2150" s="22"/>
      <c r="C2150" s="22"/>
      <c r="D2150" s="22"/>
      <c r="E2150" s="22"/>
      <c r="F2150" s="27" t="str">
        <f aca="false">IF(B2150="","",IFERROR(INDEX(Roster!$B$5:$B$154,MATCH(B2150,Roster!$A$5:$A$154,0)),"Not on roster"))</f>
        <v/>
      </c>
      <c r="G2150" s="28" t="str">
        <f aca="false">IF(OR(B2150="",C2150=""),"",F2150&amp;" | "&amp;C2150)</f>
        <v/>
      </c>
      <c r="H2150" s="27" t="str">
        <f aca="false">IF(G2150="","",IFERROR(INDEX(Levels!$C$5:$C$94,MATCH(G2150,Levels!$G$5:$G$94,0)),"Not this class's skill"))</f>
        <v/>
      </c>
    </row>
    <row r="2151" customFormat="false" ht="15" hidden="false" customHeight="false" outlineLevel="0" collapsed="false">
      <c r="A2151" s="23"/>
      <c r="B2151" s="22"/>
      <c r="C2151" s="22"/>
      <c r="D2151" s="22"/>
      <c r="E2151" s="22"/>
      <c r="F2151" s="27" t="str">
        <f aca="false">IF(B2151="","",IFERROR(INDEX(Roster!$B$5:$B$154,MATCH(B2151,Roster!$A$5:$A$154,0)),"Not on roster"))</f>
        <v/>
      </c>
      <c r="G2151" s="28" t="str">
        <f aca="false">IF(OR(B2151="",C2151=""),"",F2151&amp;" | "&amp;C2151)</f>
        <v/>
      </c>
      <c r="H2151" s="27" t="str">
        <f aca="false">IF(G2151="","",IFERROR(INDEX(Levels!$C$5:$C$94,MATCH(G2151,Levels!$G$5:$G$94,0)),"Not this class's skill"))</f>
        <v/>
      </c>
    </row>
    <row r="2152" customFormat="false" ht="15" hidden="false" customHeight="false" outlineLevel="0" collapsed="false">
      <c r="A2152" s="23"/>
      <c r="B2152" s="22"/>
      <c r="C2152" s="22"/>
      <c r="D2152" s="22"/>
      <c r="E2152" s="22"/>
      <c r="F2152" s="27" t="str">
        <f aca="false">IF(B2152="","",IFERROR(INDEX(Roster!$B$5:$B$154,MATCH(B2152,Roster!$A$5:$A$154,0)),"Not on roster"))</f>
        <v/>
      </c>
      <c r="G2152" s="28" t="str">
        <f aca="false">IF(OR(B2152="",C2152=""),"",F2152&amp;" | "&amp;C2152)</f>
        <v/>
      </c>
      <c r="H2152" s="27" t="str">
        <f aca="false">IF(G2152="","",IFERROR(INDEX(Levels!$C$5:$C$94,MATCH(G2152,Levels!$G$5:$G$94,0)),"Not this class's skill"))</f>
        <v/>
      </c>
    </row>
    <row r="2153" customFormat="false" ht="15" hidden="false" customHeight="false" outlineLevel="0" collapsed="false">
      <c r="A2153" s="23"/>
      <c r="B2153" s="22"/>
      <c r="C2153" s="22"/>
      <c r="D2153" s="22"/>
      <c r="E2153" s="22"/>
      <c r="F2153" s="27" t="str">
        <f aca="false">IF(B2153="","",IFERROR(INDEX(Roster!$B$5:$B$154,MATCH(B2153,Roster!$A$5:$A$154,0)),"Not on roster"))</f>
        <v/>
      </c>
      <c r="G2153" s="28" t="str">
        <f aca="false">IF(OR(B2153="",C2153=""),"",F2153&amp;" | "&amp;C2153)</f>
        <v/>
      </c>
      <c r="H2153" s="27" t="str">
        <f aca="false">IF(G2153="","",IFERROR(INDEX(Levels!$C$5:$C$94,MATCH(G2153,Levels!$G$5:$G$94,0)),"Not this class's skill"))</f>
        <v/>
      </c>
    </row>
    <row r="2154" customFormat="false" ht="15" hidden="false" customHeight="false" outlineLevel="0" collapsed="false">
      <c r="A2154" s="23"/>
      <c r="B2154" s="22"/>
      <c r="C2154" s="22"/>
      <c r="D2154" s="22"/>
      <c r="E2154" s="22"/>
      <c r="F2154" s="27" t="str">
        <f aca="false">IF(B2154="","",IFERROR(INDEX(Roster!$B$5:$B$154,MATCH(B2154,Roster!$A$5:$A$154,0)),"Not on roster"))</f>
        <v/>
      </c>
      <c r="G2154" s="28" t="str">
        <f aca="false">IF(OR(B2154="",C2154=""),"",F2154&amp;" | "&amp;C2154)</f>
        <v/>
      </c>
      <c r="H2154" s="27" t="str">
        <f aca="false">IF(G2154="","",IFERROR(INDEX(Levels!$C$5:$C$94,MATCH(G2154,Levels!$G$5:$G$94,0)),"Not this class's skill"))</f>
        <v/>
      </c>
    </row>
    <row r="2155" customFormat="false" ht="15" hidden="false" customHeight="false" outlineLevel="0" collapsed="false">
      <c r="A2155" s="23"/>
      <c r="B2155" s="22"/>
      <c r="C2155" s="22"/>
      <c r="D2155" s="22"/>
      <c r="E2155" s="22"/>
      <c r="F2155" s="27" t="str">
        <f aca="false">IF(B2155="","",IFERROR(INDEX(Roster!$B$5:$B$154,MATCH(B2155,Roster!$A$5:$A$154,0)),"Not on roster"))</f>
        <v/>
      </c>
      <c r="G2155" s="28" t="str">
        <f aca="false">IF(OR(B2155="",C2155=""),"",F2155&amp;" | "&amp;C2155)</f>
        <v/>
      </c>
      <c r="H2155" s="27" t="str">
        <f aca="false">IF(G2155="","",IFERROR(INDEX(Levels!$C$5:$C$94,MATCH(G2155,Levels!$G$5:$G$94,0)),"Not this class's skill"))</f>
        <v/>
      </c>
    </row>
    <row r="2156" customFormat="false" ht="15" hidden="false" customHeight="false" outlineLevel="0" collapsed="false">
      <c r="A2156" s="23"/>
      <c r="B2156" s="22"/>
      <c r="C2156" s="22"/>
      <c r="D2156" s="22"/>
      <c r="E2156" s="22"/>
      <c r="F2156" s="27" t="str">
        <f aca="false">IF(B2156="","",IFERROR(INDEX(Roster!$B$5:$B$154,MATCH(B2156,Roster!$A$5:$A$154,0)),"Not on roster"))</f>
        <v/>
      </c>
      <c r="G2156" s="28" t="str">
        <f aca="false">IF(OR(B2156="",C2156=""),"",F2156&amp;" | "&amp;C2156)</f>
        <v/>
      </c>
      <c r="H2156" s="27" t="str">
        <f aca="false">IF(G2156="","",IFERROR(INDEX(Levels!$C$5:$C$94,MATCH(G2156,Levels!$G$5:$G$94,0)),"Not this class's skill"))</f>
        <v/>
      </c>
    </row>
    <row r="2157" customFormat="false" ht="15" hidden="false" customHeight="false" outlineLevel="0" collapsed="false">
      <c r="A2157" s="23"/>
      <c r="B2157" s="22"/>
      <c r="C2157" s="22"/>
      <c r="D2157" s="22"/>
      <c r="E2157" s="22"/>
      <c r="F2157" s="27" t="str">
        <f aca="false">IF(B2157="","",IFERROR(INDEX(Roster!$B$5:$B$154,MATCH(B2157,Roster!$A$5:$A$154,0)),"Not on roster"))</f>
        <v/>
      </c>
      <c r="G2157" s="28" t="str">
        <f aca="false">IF(OR(B2157="",C2157=""),"",F2157&amp;" | "&amp;C2157)</f>
        <v/>
      </c>
      <c r="H2157" s="27" t="str">
        <f aca="false">IF(G2157="","",IFERROR(INDEX(Levels!$C$5:$C$94,MATCH(G2157,Levels!$G$5:$G$94,0)),"Not this class's skill"))</f>
        <v/>
      </c>
    </row>
    <row r="2158" customFormat="false" ht="15" hidden="false" customHeight="false" outlineLevel="0" collapsed="false">
      <c r="A2158" s="23"/>
      <c r="B2158" s="22"/>
      <c r="C2158" s="22"/>
      <c r="D2158" s="22"/>
      <c r="E2158" s="22"/>
      <c r="F2158" s="27" t="str">
        <f aca="false">IF(B2158="","",IFERROR(INDEX(Roster!$B$5:$B$154,MATCH(B2158,Roster!$A$5:$A$154,0)),"Not on roster"))</f>
        <v/>
      </c>
      <c r="G2158" s="28" t="str">
        <f aca="false">IF(OR(B2158="",C2158=""),"",F2158&amp;" | "&amp;C2158)</f>
        <v/>
      </c>
      <c r="H2158" s="27" t="str">
        <f aca="false">IF(G2158="","",IFERROR(INDEX(Levels!$C$5:$C$94,MATCH(G2158,Levels!$G$5:$G$94,0)),"Not this class's skill"))</f>
        <v/>
      </c>
    </row>
    <row r="2159" customFormat="false" ht="15" hidden="false" customHeight="false" outlineLevel="0" collapsed="false">
      <c r="A2159" s="23"/>
      <c r="B2159" s="22"/>
      <c r="C2159" s="22"/>
      <c r="D2159" s="22"/>
      <c r="E2159" s="22"/>
      <c r="F2159" s="27" t="str">
        <f aca="false">IF(B2159="","",IFERROR(INDEX(Roster!$B$5:$B$154,MATCH(B2159,Roster!$A$5:$A$154,0)),"Not on roster"))</f>
        <v/>
      </c>
      <c r="G2159" s="28" t="str">
        <f aca="false">IF(OR(B2159="",C2159=""),"",F2159&amp;" | "&amp;C2159)</f>
        <v/>
      </c>
      <c r="H2159" s="27" t="str">
        <f aca="false">IF(G2159="","",IFERROR(INDEX(Levels!$C$5:$C$94,MATCH(G2159,Levels!$G$5:$G$94,0)),"Not this class's skill"))</f>
        <v/>
      </c>
    </row>
    <row r="2160" customFormat="false" ht="15" hidden="false" customHeight="false" outlineLevel="0" collapsed="false">
      <c r="A2160" s="23"/>
      <c r="B2160" s="22"/>
      <c r="C2160" s="22"/>
      <c r="D2160" s="22"/>
      <c r="E2160" s="22"/>
      <c r="F2160" s="27" t="str">
        <f aca="false">IF(B2160="","",IFERROR(INDEX(Roster!$B$5:$B$154,MATCH(B2160,Roster!$A$5:$A$154,0)),"Not on roster"))</f>
        <v/>
      </c>
      <c r="G2160" s="28" t="str">
        <f aca="false">IF(OR(B2160="",C2160=""),"",F2160&amp;" | "&amp;C2160)</f>
        <v/>
      </c>
      <c r="H2160" s="27" t="str">
        <f aca="false">IF(G2160="","",IFERROR(INDEX(Levels!$C$5:$C$94,MATCH(G2160,Levels!$G$5:$G$94,0)),"Not this class's skill"))</f>
        <v/>
      </c>
    </row>
    <row r="2161" customFormat="false" ht="15" hidden="false" customHeight="false" outlineLevel="0" collapsed="false">
      <c r="A2161" s="23"/>
      <c r="B2161" s="22"/>
      <c r="C2161" s="22"/>
      <c r="D2161" s="22"/>
      <c r="E2161" s="22"/>
      <c r="F2161" s="27" t="str">
        <f aca="false">IF(B2161="","",IFERROR(INDEX(Roster!$B$5:$B$154,MATCH(B2161,Roster!$A$5:$A$154,0)),"Not on roster"))</f>
        <v/>
      </c>
      <c r="G2161" s="28" t="str">
        <f aca="false">IF(OR(B2161="",C2161=""),"",F2161&amp;" | "&amp;C2161)</f>
        <v/>
      </c>
      <c r="H2161" s="27" t="str">
        <f aca="false">IF(G2161="","",IFERROR(INDEX(Levels!$C$5:$C$94,MATCH(G2161,Levels!$G$5:$G$94,0)),"Not this class's skill"))</f>
        <v/>
      </c>
    </row>
    <row r="2162" customFormat="false" ht="15" hidden="false" customHeight="false" outlineLevel="0" collapsed="false">
      <c r="A2162" s="23"/>
      <c r="B2162" s="22"/>
      <c r="C2162" s="22"/>
      <c r="D2162" s="22"/>
      <c r="E2162" s="22"/>
      <c r="F2162" s="27" t="str">
        <f aca="false">IF(B2162="","",IFERROR(INDEX(Roster!$B$5:$B$154,MATCH(B2162,Roster!$A$5:$A$154,0)),"Not on roster"))</f>
        <v/>
      </c>
      <c r="G2162" s="28" t="str">
        <f aca="false">IF(OR(B2162="",C2162=""),"",F2162&amp;" | "&amp;C2162)</f>
        <v/>
      </c>
      <c r="H2162" s="27" t="str">
        <f aca="false">IF(G2162="","",IFERROR(INDEX(Levels!$C$5:$C$94,MATCH(G2162,Levels!$G$5:$G$94,0)),"Not this class's skill"))</f>
        <v/>
      </c>
    </row>
    <row r="2163" customFormat="false" ht="15" hidden="false" customHeight="false" outlineLevel="0" collapsed="false">
      <c r="A2163" s="23"/>
      <c r="B2163" s="22"/>
      <c r="C2163" s="22"/>
      <c r="D2163" s="22"/>
      <c r="E2163" s="22"/>
      <c r="F2163" s="27" t="str">
        <f aca="false">IF(B2163="","",IFERROR(INDEX(Roster!$B$5:$B$154,MATCH(B2163,Roster!$A$5:$A$154,0)),"Not on roster"))</f>
        <v/>
      </c>
      <c r="G2163" s="28" t="str">
        <f aca="false">IF(OR(B2163="",C2163=""),"",F2163&amp;" | "&amp;C2163)</f>
        <v/>
      </c>
      <c r="H2163" s="27" t="str">
        <f aca="false">IF(G2163="","",IFERROR(INDEX(Levels!$C$5:$C$94,MATCH(G2163,Levels!$G$5:$G$94,0)),"Not this class's skill"))</f>
        <v/>
      </c>
    </row>
    <row r="2164" customFormat="false" ht="15" hidden="false" customHeight="false" outlineLevel="0" collapsed="false">
      <c r="A2164" s="23"/>
      <c r="B2164" s="22"/>
      <c r="C2164" s="22"/>
      <c r="D2164" s="22"/>
      <c r="E2164" s="22"/>
      <c r="F2164" s="27" t="str">
        <f aca="false">IF(B2164="","",IFERROR(INDEX(Roster!$B$5:$B$154,MATCH(B2164,Roster!$A$5:$A$154,0)),"Not on roster"))</f>
        <v/>
      </c>
      <c r="G2164" s="28" t="str">
        <f aca="false">IF(OR(B2164="",C2164=""),"",F2164&amp;" | "&amp;C2164)</f>
        <v/>
      </c>
      <c r="H2164" s="27" t="str">
        <f aca="false">IF(G2164="","",IFERROR(INDEX(Levels!$C$5:$C$94,MATCH(G2164,Levels!$G$5:$G$94,0)),"Not this class's skill"))</f>
        <v/>
      </c>
    </row>
    <row r="2165" customFormat="false" ht="15" hidden="false" customHeight="false" outlineLevel="0" collapsed="false">
      <c r="A2165" s="23"/>
      <c r="B2165" s="22"/>
      <c r="C2165" s="22"/>
      <c r="D2165" s="22"/>
      <c r="E2165" s="22"/>
      <c r="F2165" s="27" t="str">
        <f aca="false">IF(B2165="","",IFERROR(INDEX(Roster!$B$5:$B$154,MATCH(B2165,Roster!$A$5:$A$154,0)),"Not on roster"))</f>
        <v/>
      </c>
      <c r="G2165" s="28" t="str">
        <f aca="false">IF(OR(B2165="",C2165=""),"",F2165&amp;" | "&amp;C2165)</f>
        <v/>
      </c>
      <c r="H2165" s="27" t="str">
        <f aca="false">IF(G2165="","",IFERROR(INDEX(Levels!$C$5:$C$94,MATCH(G2165,Levels!$G$5:$G$94,0)),"Not this class's skill"))</f>
        <v/>
      </c>
    </row>
    <row r="2166" customFormat="false" ht="15" hidden="false" customHeight="false" outlineLevel="0" collapsed="false">
      <c r="A2166" s="23"/>
      <c r="B2166" s="22"/>
      <c r="C2166" s="22"/>
      <c r="D2166" s="22"/>
      <c r="E2166" s="22"/>
      <c r="F2166" s="27" t="str">
        <f aca="false">IF(B2166="","",IFERROR(INDEX(Roster!$B$5:$B$154,MATCH(B2166,Roster!$A$5:$A$154,0)),"Not on roster"))</f>
        <v/>
      </c>
      <c r="G2166" s="28" t="str">
        <f aca="false">IF(OR(B2166="",C2166=""),"",F2166&amp;" | "&amp;C2166)</f>
        <v/>
      </c>
      <c r="H2166" s="27" t="str">
        <f aca="false">IF(G2166="","",IFERROR(INDEX(Levels!$C$5:$C$94,MATCH(G2166,Levels!$G$5:$G$94,0)),"Not this class's skill"))</f>
        <v/>
      </c>
    </row>
    <row r="2167" customFormat="false" ht="15" hidden="false" customHeight="false" outlineLevel="0" collapsed="false">
      <c r="A2167" s="23"/>
      <c r="B2167" s="22"/>
      <c r="C2167" s="22"/>
      <c r="D2167" s="22"/>
      <c r="E2167" s="22"/>
      <c r="F2167" s="27" t="str">
        <f aca="false">IF(B2167="","",IFERROR(INDEX(Roster!$B$5:$B$154,MATCH(B2167,Roster!$A$5:$A$154,0)),"Not on roster"))</f>
        <v/>
      </c>
      <c r="G2167" s="28" t="str">
        <f aca="false">IF(OR(B2167="",C2167=""),"",F2167&amp;" | "&amp;C2167)</f>
        <v/>
      </c>
      <c r="H2167" s="27" t="str">
        <f aca="false">IF(G2167="","",IFERROR(INDEX(Levels!$C$5:$C$94,MATCH(G2167,Levels!$G$5:$G$94,0)),"Not this class's skill"))</f>
        <v/>
      </c>
    </row>
    <row r="2168" customFormat="false" ht="15" hidden="false" customHeight="false" outlineLevel="0" collapsed="false">
      <c r="A2168" s="23"/>
      <c r="B2168" s="22"/>
      <c r="C2168" s="22"/>
      <c r="D2168" s="22"/>
      <c r="E2168" s="22"/>
      <c r="F2168" s="27" t="str">
        <f aca="false">IF(B2168="","",IFERROR(INDEX(Roster!$B$5:$B$154,MATCH(B2168,Roster!$A$5:$A$154,0)),"Not on roster"))</f>
        <v/>
      </c>
      <c r="G2168" s="28" t="str">
        <f aca="false">IF(OR(B2168="",C2168=""),"",F2168&amp;" | "&amp;C2168)</f>
        <v/>
      </c>
      <c r="H2168" s="27" t="str">
        <f aca="false">IF(G2168="","",IFERROR(INDEX(Levels!$C$5:$C$94,MATCH(G2168,Levels!$G$5:$G$94,0)),"Not this class's skill"))</f>
        <v/>
      </c>
    </row>
    <row r="2169" customFormat="false" ht="15" hidden="false" customHeight="false" outlineLevel="0" collapsed="false">
      <c r="A2169" s="23"/>
      <c r="B2169" s="22"/>
      <c r="C2169" s="22"/>
      <c r="D2169" s="22"/>
      <c r="E2169" s="22"/>
      <c r="F2169" s="27" t="str">
        <f aca="false">IF(B2169="","",IFERROR(INDEX(Roster!$B$5:$B$154,MATCH(B2169,Roster!$A$5:$A$154,0)),"Not on roster"))</f>
        <v/>
      </c>
      <c r="G2169" s="28" t="str">
        <f aca="false">IF(OR(B2169="",C2169=""),"",F2169&amp;" | "&amp;C2169)</f>
        <v/>
      </c>
      <c r="H2169" s="27" t="str">
        <f aca="false">IF(G2169="","",IFERROR(INDEX(Levels!$C$5:$C$94,MATCH(G2169,Levels!$G$5:$G$94,0)),"Not this class's skill"))</f>
        <v/>
      </c>
    </row>
    <row r="2170" customFormat="false" ht="15" hidden="false" customHeight="false" outlineLevel="0" collapsed="false">
      <c r="A2170" s="23"/>
      <c r="B2170" s="22"/>
      <c r="C2170" s="22"/>
      <c r="D2170" s="22"/>
      <c r="E2170" s="22"/>
      <c r="F2170" s="27" t="str">
        <f aca="false">IF(B2170="","",IFERROR(INDEX(Roster!$B$5:$B$154,MATCH(B2170,Roster!$A$5:$A$154,0)),"Not on roster"))</f>
        <v/>
      </c>
      <c r="G2170" s="28" t="str">
        <f aca="false">IF(OR(B2170="",C2170=""),"",F2170&amp;" | "&amp;C2170)</f>
        <v/>
      </c>
      <c r="H2170" s="27" t="str">
        <f aca="false">IF(G2170="","",IFERROR(INDEX(Levels!$C$5:$C$94,MATCH(G2170,Levels!$G$5:$G$94,0)),"Not this class's skill"))</f>
        <v/>
      </c>
    </row>
    <row r="2171" customFormat="false" ht="15" hidden="false" customHeight="false" outlineLevel="0" collapsed="false">
      <c r="A2171" s="23"/>
      <c r="B2171" s="22"/>
      <c r="C2171" s="22"/>
      <c r="D2171" s="22"/>
      <c r="E2171" s="22"/>
      <c r="F2171" s="27" t="str">
        <f aca="false">IF(B2171="","",IFERROR(INDEX(Roster!$B$5:$B$154,MATCH(B2171,Roster!$A$5:$A$154,0)),"Not on roster"))</f>
        <v/>
      </c>
      <c r="G2171" s="28" t="str">
        <f aca="false">IF(OR(B2171="",C2171=""),"",F2171&amp;" | "&amp;C2171)</f>
        <v/>
      </c>
      <c r="H2171" s="27" t="str">
        <f aca="false">IF(G2171="","",IFERROR(INDEX(Levels!$C$5:$C$94,MATCH(G2171,Levels!$G$5:$G$94,0)),"Not this class's skill"))</f>
        <v/>
      </c>
    </row>
    <row r="2172" customFormat="false" ht="15" hidden="false" customHeight="false" outlineLevel="0" collapsed="false">
      <c r="A2172" s="23"/>
      <c r="B2172" s="22"/>
      <c r="C2172" s="22"/>
      <c r="D2172" s="22"/>
      <c r="E2172" s="22"/>
      <c r="F2172" s="27" t="str">
        <f aca="false">IF(B2172="","",IFERROR(INDEX(Roster!$B$5:$B$154,MATCH(B2172,Roster!$A$5:$A$154,0)),"Not on roster"))</f>
        <v/>
      </c>
      <c r="G2172" s="28" t="str">
        <f aca="false">IF(OR(B2172="",C2172=""),"",F2172&amp;" | "&amp;C2172)</f>
        <v/>
      </c>
      <c r="H2172" s="27" t="str">
        <f aca="false">IF(G2172="","",IFERROR(INDEX(Levels!$C$5:$C$94,MATCH(G2172,Levels!$G$5:$G$94,0)),"Not this class's skill"))</f>
        <v/>
      </c>
    </row>
    <row r="2173" customFormat="false" ht="15" hidden="false" customHeight="false" outlineLevel="0" collapsed="false">
      <c r="A2173" s="23"/>
      <c r="B2173" s="22"/>
      <c r="C2173" s="22"/>
      <c r="D2173" s="22"/>
      <c r="E2173" s="22"/>
      <c r="F2173" s="27" t="str">
        <f aca="false">IF(B2173="","",IFERROR(INDEX(Roster!$B$5:$B$154,MATCH(B2173,Roster!$A$5:$A$154,0)),"Not on roster"))</f>
        <v/>
      </c>
      <c r="G2173" s="28" t="str">
        <f aca="false">IF(OR(B2173="",C2173=""),"",F2173&amp;" | "&amp;C2173)</f>
        <v/>
      </c>
      <c r="H2173" s="27" t="str">
        <f aca="false">IF(G2173="","",IFERROR(INDEX(Levels!$C$5:$C$94,MATCH(G2173,Levels!$G$5:$G$94,0)),"Not this class's skill"))</f>
        <v/>
      </c>
    </row>
    <row r="2174" customFormat="false" ht="15" hidden="false" customHeight="false" outlineLevel="0" collapsed="false">
      <c r="A2174" s="23"/>
      <c r="B2174" s="22"/>
      <c r="C2174" s="22"/>
      <c r="D2174" s="22"/>
      <c r="E2174" s="22"/>
      <c r="F2174" s="27" t="str">
        <f aca="false">IF(B2174="","",IFERROR(INDEX(Roster!$B$5:$B$154,MATCH(B2174,Roster!$A$5:$A$154,0)),"Not on roster"))</f>
        <v/>
      </c>
      <c r="G2174" s="28" t="str">
        <f aca="false">IF(OR(B2174="",C2174=""),"",F2174&amp;" | "&amp;C2174)</f>
        <v/>
      </c>
      <c r="H2174" s="27" t="str">
        <f aca="false">IF(G2174="","",IFERROR(INDEX(Levels!$C$5:$C$94,MATCH(G2174,Levels!$G$5:$G$94,0)),"Not this class's skill"))</f>
        <v/>
      </c>
    </row>
    <row r="2175" customFormat="false" ht="15" hidden="false" customHeight="false" outlineLevel="0" collapsed="false">
      <c r="A2175" s="23"/>
      <c r="B2175" s="22"/>
      <c r="C2175" s="22"/>
      <c r="D2175" s="22"/>
      <c r="E2175" s="22"/>
      <c r="F2175" s="27" t="str">
        <f aca="false">IF(B2175="","",IFERROR(INDEX(Roster!$B$5:$B$154,MATCH(B2175,Roster!$A$5:$A$154,0)),"Not on roster"))</f>
        <v/>
      </c>
      <c r="G2175" s="28" t="str">
        <f aca="false">IF(OR(B2175="",C2175=""),"",F2175&amp;" | "&amp;C2175)</f>
        <v/>
      </c>
      <c r="H2175" s="27" t="str">
        <f aca="false">IF(G2175="","",IFERROR(INDEX(Levels!$C$5:$C$94,MATCH(G2175,Levels!$G$5:$G$94,0)),"Not this class's skill"))</f>
        <v/>
      </c>
    </row>
    <row r="2176" customFormat="false" ht="15" hidden="false" customHeight="false" outlineLevel="0" collapsed="false">
      <c r="A2176" s="23"/>
      <c r="B2176" s="22"/>
      <c r="C2176" s="22"/>
      <c r="D2176" s="22"/>
      <c r="E2176" s="22"/>
      <c r="F2176" s="27" t="str">
        <f aca="false">IF(B2176="","",IFERROR(INDEX(Roster!$B$5:$B$154,MATCH(B2176,Roster!$A$5:$A$154,0)),"Not on roster"))</f>
        <v/>
      </c>
      <c r="G2176" s="28" t="str">
        <f aca="false">IF(OR(B2176="",C2176=""),"",F2176&amp;" | "&amp;C2176)</f>
        <v/>
      </c>
      <c r="H2176" s="27" t="str">
        <f aca="false">IF(G2176="","",IFERROR(INDEX(Levels!$C$5:$C$94,MATCH(G2176,Levels!$G$5:$G$94,0)),"Not this class's skill"))</f>
        <v/>
      </c>
    </row>
    <row r="2177" customFormat="false" ht="15" hidden="false" customHeight="false" outlineLevel="0" collapsed="false">
      <c r="A2177" s="23"/>
      <c r="B2177" s="22"/>
      <c r="C2177" s="22"/>
      <c r="D2177" s="22"/>
      <c r="E2177" s="22"/>
      <c r="F2177" s="27" t="str">
        <f aca="false">IF(B2177="","",IFERROR(INDEX(Roster!$B$5:$B$154,MATCH(B2177,Roster!$A$5:$A$154,0)),"Not on roster"))</f>
        <v/>
      </c>
      <c r="G2177" s="28" t="str">
        <f aca="false">IF(OR(B2177="",C2177=""),"",F2177&amp;" | "&amp;C2177)</f>
        <v/>
      </c>
      <c r="H2177" s="27" t="str">
        <f aca="false">IF(G2177="","",IFERROR(INDEX(Levels!$C$5:$C$94,MATCH(G2177,Levels!$G$5:$G$94,0)),"Not this class's skill"))</f>
        <v/>
      </c>
    </row>
    <row r="2178" customFormat="false" ht="15" hidden="false" customHeight="false" outlineLevel="0" collapsed="false">
      <c r="A2178" s="23"/>
      <c r="B2178" s="22"/>
      <c r="C2178" s="22"/>
      <c r="D2178" s="22"/>
      <c r="E2178" s="22"/>
      <c r="F2178" s="27" t="str">
        <f aca="false">IF(B2178="","",IFERROR(INDEX(Roster!$B$5:$B$154,MATCH(B2178,Roster!$A$5:$A$154,0)),"Not on roster"))</f>
        <v/>
      </c>
      <c r="G2178" s="28" t="str">
        <f aca="false">IF(OR(B2178="",C2178=""),"",F2178&amp;" | "&amp;C2178)</f>
        <v/>
      </c>
      <c r="H2178" s="27" t="str">
        <f aca="false">IF(G2178="","",IFERROR(INDEX(Levels!$C$5:$C$94,MATCH(G2178,Levels!$G$5:$G$94,0)),"Not this class's skill"))</f>
        <v/>
      </c>
    </row>
    <row r="2179" customFormat="false" ht="15" hidden="false" customHeight="false" outlineLevel="0" collapsed="false">
      <c r="A2179" s="23"/>
      <c r="B2179" s="22"/>
      <c r="C2179" s="22"/>
      <c r="D2179" s="22"/>
      <c r="E2179" s="22"/>
      <c r="F2179" s="27" t="str">
        <f aca="false">IF(B2179="","",IFERROR(INDEX(Roster!$B$5:$B$154,MATCH(B2179,Roster!$A$5:$A$154,0)),"Not on roster"))</f>
        <v/>
      </c>
      <c r="G2179" s="28" t="str">
        <f aca="false">IF(OR(B2179="",C2179=""),"",F2179&amp;" | "&amp;C2179)</f>
        <v/>
      </c>
      <c r="H2179" s="27" t="str">
        <f aca="false">IF(G2179="","",IFERROR(INDEX(Levels!$C$5:$C$94,MATCH(G2179,Levels!$G$5:$G$94,0)),"Not this class's skill"))</f>
        <v/>
      </c>
    </row>
    <row r="2180" customFormat="false" ht="15" hidden="false" customHeight="false" outlineLevel="0" collapsed="false">
      <c r="A2180" s="23"/>
      <c r="B2180" s="22"/>
      <c r="C2180" s="22"/>
      <c r="D2180" s="22"/>
      <c r="E2180" s="22"/>
      <c r="F2180" s="27" t="str">
        <f aca="false">IF(B2180="","",IFERROR(INDEX(Roster!$B$5:$B$154,MATCH(B2180,Roster!$A$5:$A$154,0)),"Not on roster"))</f>
        <v/>
      </c>
      <c r="G2180" s="28" t="str">
        <f aca="false">IF(OR(B2180="",C2180=""),"",F2180&amp;" | "&amp;C2180)</f>
        <v/>
      </c>
      <c r="H2180" s="27" t="str">
        <f aca="false">IF(G2180="","",IFERROR(INDEX(Levels!$C$5:$C$94,MATCH(G2180,Levels!$G$5:$G$94,0)),"Not this class's skill"))</f>
        <v/>
      </c>
    </row>
    <row r="2181" customFormat="false" ht="15" hidden="false" customHeight="false" outlineLevel="0" collapsed="false">
      <c r="A2181" s="23"/>
      <c r="B2181" s="22"/>
      <c r="C2181" s="22"/>
      <c r="D2181" s="22"/>
      <c r="E2181" s="22"/>
      <c r="F2181" s="27" t="str">
        <f aca="false">IF(B2181="","",IFERROR(INDEX(Roster!$B$5:$B$154,MATCH(B2181,Roster!$A$5:$A$154,0)),"Not on roster"))</f>
        <v/>
      </c>
      <c r="G2181" s="28" t="str">
        <f aca="false">IF(OR(B2181="",C2181=""),"",F2181&amp;" | "&amp;C2181)</f>
        <v/>
      </c>
      <c r="H2181" s="27" t="str">
        <f aca="false">IF(G2181="","",IFERROR(INDEX(Levels!$C$5:$C$94,MATCH(G2181,Levels!$G$5:$G$94,0)),"Not this class's skill"))</f>
        <v/>
      </c>
    </row>
    <row r="2182" customFormat="false" ht="15" hidden="false" customHeight="false" outlineLevel="0" collapsed="false">
      <c r="A2182" s="23"/>
      <c r="B2182" s="22"/>
      <c r="C2182" s="22"/>
      <c r="D2182" s="22"/>
      <c r="E2182" s="22"/>
      <c r="F2182" s="27" t="str">
        <f aca="false">IF(B2182="","",IFERROR(INDEX(Roster!$B$5:$B$154,MATCH(B2182,Roster!$A$5:$A$154,0)),"Not on roster"))</f>
        <v/>
      </c>
      <c r="G2182" s="28" t="str">
        <f aca="false">IF(OR(B2182="",C2182=""),"",F2182&amp;" | "&amp;C2182)</f>
        <v/>
      </c>
      <c r="H2182" s="27" t="str">
        <f aca="false">IF(G2182="","",IFERROR(INDEX(Levels!$C$5:$C$94,MATCH(G2182,Levels!$G$5:$G$94,0)),"Not this class's skill"))</f>
        <v/>
      </c>
    </row>
    <row r="2183" customFormat="false" ht="15" hidden="false" customHeight="false" outlineLevel="0" collapsed="false">
      <c r="A2183" s="23"/>
      <c r="B2183" s="22"/>
      <c r="C2183" s="22"/>
      <c r="D2183" s="22"/>
      <c r="E2183" s="22"/>
      <c r="F2183" s="27" t="str">
        <f aca="false">IF(B2183="","",IFERROR(INDEX(Roster!$B$5:$B$154,MATCH(B2183,Roster!$A$5:$A$154,0)),"Not on roster"))</f>
        <v/>
      </c>
      <c r="G2183" s="28" t="str">
        <f aca="false">IF(OR(B2183="",C2183=""),"",F2183&amp;" | "&amp;C2183)</f>
        <v/>
      </c>
      <c r="H2183" s="27" t="str">
        <f aca="false">IF(G2183="","",IFERROR(INDEX(Levels!$C$5:$C$94,MATCH(G2183,Levels!$G$5:$G$94,0)),"Not this class's skill"))</f>
        <v/>
      </c>
    </row>
    <row r="2184" customFormat="false" ht="15" hidden="false" customHeight="false" outlineLevel="0" collapsed="false">
      <c r="A2184" s="23"/>
      <c r="B2184" s="22"/>
      <c r="C2184" s="22"/>
      <c r="D2184" s="22"/>
      <c r="E2184" s="22"/>
      <c r="F2184" s="27" t="str">
        <f aca="false">IF(B2184="","",IFERROR(INDEX(Roster!$B$5:$B$154,MATCH(B2184,Roster!$A$5:$A$154,0)),"Not on roster"))</f>
        <v/>
      </c>
      <c r="G2184" s="28" t="str">
        <f aca="false">IF(OR(B2184="",C2184=""),"",F2184&amp;" | "&amp;C2184)</f>
        <v/>
      </c>
      <c r="H2184" s="27" t="str">
        <f aca="false">IF(G2184="","",IFERROR(INDEX(Levels!$C$5:$C$94,MATCH(G2184,Levels!$G$5:$G$94,0)),"Not this class's skill"))</f>
        <v/>
      </c>
    </row>
    <row r="2185" customFormat="false" ht="15" hidden="false" customHeight="false" outlineLevel="0" collapsed="false">
      <c r="A2185" s="23"/>
      <c r="B2185" s="22"/>
      <c r="C2185" s="22"/>
      <c r="D2185" s="22"/>
      <c r="E2185" s="22"/>
      <c r="F2185" s="27" t="str">
        <f aca="false">IF(B2185="","",IFERROR(INDEX(Roster!$B$5:$B$154,MATCH(B2185,Roster!$A$5:$A$154,0)),"Not on roster"))</f>
        <v/>
      </c>
      <c r="G2185" s="28" t="str">
        <f aca="false">IF(OR(B2185="",C2185=""),"",F2185&amp;" | "&amp;C2185)</f>
        <v/>
      </c>
      <c r="H2185" s="27" t="str">
        <f aca="false">IF(G2185="","",IFERROR(INDEX(Levels!$C$5:$C$94,MATCH(G2185,Levels!$G$5:$G$94,0)),"Not this class's skill"))</f>
        <v/>
      </c>
    </row>
    <row r="2186" customFormat="false" ht="15" hidden="false" customHeight="false" outlineLevel="0" collapsed="false">
      <c r="A2186" s="23"/>
      <c r="B2186" s="22"/>
      <c r="C2186" s="22"/>
      <c r="D2186" s="22"/>
      <c r="E2186" s="22"/>
      <c r="F2186" s="27" t="str">
        <f aca="false">IF(B2186="","",IFERROR(INDEX(Roster!$B$5:$B$154,MATCH(B2186,Roster!$A$5:$A$154,0)),"Not on roster"))</f>
        <v/>
      </c>
      <c r="G2186" s="28" t="str">
        <f aca="false">IF(OR(B2186="",C2186=""),"",F2186&amp;" | "&amp;C2186)</f>
        <v/>
      </c>
      <c r="H2186" s="27" t="str">
        <f aca="false">IF(G2186="","",IFERROR(INDEX(Levels!$C$5:$C$94,MATCH(G2186,Levels!$G$5:$G$94,0)),"Not this class's skill"))</f>
        <v/>
      </c>
    </row>
    <row r="2187" customFormat="false" ht="15" hidden="false" customHeight="false" outlineLevel="0" collapsed="false">
      <c r="A2187" s="23"/>
      <c r="B2187" s="22"/>
      <c r="C2187" s="22"/>
      <c r="D2187" s="22"/>
      <c r="E2187" s="22"/>
      <c r="F2187" s="27" t="str">
        <f aca="false">IF(B2187="","",IFERROR(INDEX(Roster!$B$5:$B$154,MATCH(B2187,Roster!$A$5:$A$154,0)),"Not on roster"))</f>
        <v/>
      </c>
      <c r="G2187" s="28" t="str">
        <f aca="false">IF(OR(B2187="",C2187=""),"",F2187&amp;" | "&amp;C2187)</f>
        <v/>
      </c>
      <c r="H2187" s="27" t="str">
        <f aca="false">IF(G2187="","",IFERROR(INDEX(Levels!$C$5:$C$94,MATCH(G2187,Levels!$G$5:$G$94,0)),"Not this class's skill"))</f>
        <v/>
      </c>
    </row>
    <row r="2188" customFormat="false" ht="15" hidden="false" customHeight="false" outlineLevel="0" collapsed="false">
      <c r="A2188" s="23"/>
      <c r="B2188" s="22"/>
      <c r="C2188" s="22"/>
      <c r="D2188" s="22"/>
      <c r="E2188" s="22"/>
      <c r="F2188" s="27" t="str">
        <f aca="false">IF(B2188="","",IFERROR(INDEX(Roster!$B$5:$B$154,MATCH(B2188,Roster!$A$5:$A$154,0)),"Not on roster"))</f>
        <v/>
      </c>
      <c r="G2188" s="28" t="str">
        <f aca="false">IF(OR(B2188="",C2188=""),"",F2188&amp;" | "&amp;C2188)</f>
        <v/>
      </c>
      <c r="H2188" s="27" t="str">
        <f aca="false">IF(G2188="","",IFERROR(INDEX(Levels!$C$5:$C$94,MATCH(G2188,Levels!$G$5:$G$94,0)),"Not this class's skill"))</f>
        <v/>
      </c>
    </row>
    <row r="2189" customFormat="false" ht="15" hidden="false" customHeight="false" outlineLevel="0" collapsed="false">
      <c r="A2189" s="23"/>
      <c r="B2189" s="22"/>
      <c r="C2189" s="22"/>
      <c r="D2189" s="22"/>
      <c r="E2189" s="22"/>
      <c r="F2189" s="27" t="str">
        <f aca="false">IF(B2189="","",IFERROR(INDEX(Roster!$B$5:$B$154,MATCH(B2189,Roster!$A$5:$A$154,0)),"Not on roster"))</f>
        <v/>
      </c>
      <c r="G2189" s="28" t="str">
        <f aca="false">IF(OR(B2189="",C2189=""),"",F2189&amp;" | "&amp;C2189)</f>
        <v/>
      </c>
      <c r="H2189" s="27" t="str">
        <f aca="false">IF(G2189="","",IFERROR(INDEX(Levels!$C$5:$C$94,MATCH(G2189,Levels!$G$5:$G$94,0)),"Not this class's skill"))</f>
        <v/>
      </c>
    </row>
    <row r="2190" customFormat="false" ht="15" hidden="false" customHeight="false" outlineLevel="0" collapsed="false">
      <c r="A2190" s="23"/>
      <c r="B2190" s="22"/>
      <c r="C2190" s="22"/>
      <c r="D2190" s="22"/>
      <c r="E2190" s="22"/>
      <c r="F2190" s="27" t="str">
        <f aca="false">IF(B2190="","",IFERROR(INDEX(Roster!$B$5:$B$154,MATCH(B2190,Roster!$A$5:$A$154,0)),"Not on roster"))</f>
        <v/>
      </c>
      <c r="G2190" s="28" t="str">
        <f aca="false">IF(OR(B2190="",C2190=""),"",F2190&amp;" | "&amp;C2190)</f>
        <v/>
      </c>
      <c r="H2190" s="27" t="str">
        <f aca="false">IF(G2190="","",IFERROR(INDEX(Levels!$C$5:$C$94,MATCH(G2190,Levels!$G$5:$G$94,0)),"Not this class's skill"))</f>
        <v/>
      </c>
    </row>
    <row r="2191" customFormat="false" ht="15" hidden="false" customHeight="false" outlineLevel="0" collapsed="false">
      <c r="A2191" s="23"/>
      <c r="B2191" s="22"/>
      <c r="C2191" s="22"/>
      <c r="D2191" s="22"/>
      <c r="E2191" s="22"/>
      <c r="F2191" s="27" t="str">
        <f aca="false">IF(B2191="","",IFERROR(INDEX(Roster!$B$5:$B$154,MATCH(B2191,Roster!$A$5:$A$154,0)),"Not on roster"))</f>
        <v/>
      </c>
      <c r="G2191" s="28" t="str">
        <f aca="false">IF(OR(B2191="",C2191=""),"",F2191&amp;" | "&amp;C2191)</f>
        <v/>
      </c>
      <c r="H2191" s="27" t="str">
        <f aca="false">IF(G2191="","",IFERROR(INDEX(Levels!$C$5:$C$94,MATCH(G2191,Levels!$G$5:$G$94,0)),"Not this class's skill"))</f>
        <v/>
      </c>
    </row>
    <row r="2192" customFormat="false" ht="15" hidden="false" customHeight="false" outlineLevel="0" collapsed="false">
      <c r="A2192" s="23"/>
      <c r="B2192" s="22"/>
      <c r="C2192" s="22"/>
      <c r="D2192" s="22"/>
      <c r="E2192" s="22"/>
      <c r="F2192" s="27" t="str">
        <f aca="false">IF(B2192="","",IFERROR(INDEX(Roster!$B$5:$B$154,MATCH(B2192,Roster!$A$5:$A$154,0)),"Not on roster"))</f>
        <v/>
      </c>
      <c r="G2192" s="28" t="str">
        <f aca="false">IF(OR(B2192="",C2192=""),"",F2192&amp;" | "&amp;C2192)</f>
        <v/>
      </c>
      <c r="H2192" s="27" t="str">
        <f aca="false">IF(G2192="","",IFERROR(INDEX(Levels!$C$5:$C$94,MATCH(G2192,Levels!$G$5:$G$94,0)),"Not this class's skill"))</f>
        <v/>
      </c>
    </row>
    <row r="2193" customFormat="false" ht="15" hidden="false" customHeight="false" outlineLevel="0" collapsed="false">
      <c r="A2193" s="23"/>
      <c r="B2193" s="22"/>
      <c r="C2193" s="22"/>
      <c r="D2193" s="22"/>
      <c r="E2193" s="22"/>
      <c r="F2193" s="27" t="str">
        <f aca="false">IF(B2193="","",IFERROR(INDEX(Roster!$B$5:$B$154,MATCH(B2193,Roster!$A$5:$A$154,0)),"Not on roster"))</f>
        <v/>
      </c>
      <c r="G2193" s="28" t="str">
        <f aca="false">IF(OR(B2193="",C2193=""),"",F2193&amp;" | "&amp;C2193)</f>
        <v/>
      </c>
      <c r="H2193" s="27" t="str">
        <f aca="false">IF(G2193="","",IFERROR(INDEX(Levels!$C$5:$C$94,MATCH(G2193,Levels!$G$5:$G$94,0)),"Not this class's skill"))</f>
        <v/>
      </c>
    </row>
    <row r="2194" customFormat="false" ht="15" hidden="false" customHeight="false" outlineLevel="0" collapsed="false">
      <c r="A2194" s="23"/>
      <c r="B2194" s="22"/>
      <c r="C2194" s="22"/>
      <c r="D2194" s="22"/>
      <c r="E2194" s="22"/>
      <c r="F2194" s="27" t="str">
        <f aca="false">IF(B2194="","",IFERROR(INDEX(Roster!$B$5:$B$154,MATCH(B2194,Roster!$A$5:$A$154,0)),"Not on roster"))</f>
        <v/>
      </c>
      <c r="G2194" s="28" t="str">
        <f aca="false">IF(OR(B2194="",C2194=""),"",F2194&amp;" | "&amp;C2194)</f>
        <v/>
      </c>
      <c r="H2194" s="27" t="str">
        <f aca="false">IF(G2194="","",IFERROR(INDEX(Levels!$C$5:$C$94,MATCH(G2194,Levels!$G$5:$G$94,0)),"Not this class's skill"))</f>
        <v/>
      </c>
    </row>
    <row r="2195" customFormat="false" ht="15" hidden="false" customHeight="false" outlineLevel="0" collapsed="false">
      <c r="A2195" s="23"/>
      <c r="B2195" s="22"/>
      <c r="C2195" s="22"/>
      <c r="D2195" s="22"/>
      <c r="E2195" s="22"/>
      <c r="F2195" s="27" t="str">
        <f aca="false">IF(B2195="","",IFERROR(INDEX(Roster!$B$5:$B$154,MATCH(B2195,Roster!$A$5:$A$154,0)),"Not on roster"))</f>
        <v/>
      </c>
      <c r="G2195" s="28" t="str">
        <f aca="false">IF(OR(B2195="",C2195=""),"",F2195&amp;" | "&amp;C2195)</f>
        <v/>
      </c>
      <c r="H2195" s="27" t="str">
        <f aca="false">IF(G2195="","",IFERROR(INDEX(Levels!$C$5:$C$94,MATCH(G2195,Levels!$G$5:$G$94,0)),"Not this class's skill"))</f>
        <v/>
      </c>
    </row>
    <row r="2196" customFormat="false" ht="15" hidden="false" customHeight="false" outlineLevel="0" collapsed="false">
      <c r="A2196" s="23"/>
      <c r="B2196" s="22"/>
      <c r="C2196" s="22"/>
      <c r="D2196" s="22"/>
      <c r="E2196" s="22"/>
      <c r="F2196" s="27" t="str">
        <f aca="false">IF(B2196="","",IFERROR(INDEX(Roster!$B$5:$B$154,MATCH(B2196,Roster!$A$5:$A$154,0)),"Not on roster"))</f>
        <v/>
      </c>
      <c r="G2196" s="28" t="str">
        <f aca="false">IF(OR(B2196="",C2196=""),"",F2196&amp;" | "&amp;C2196)</f>
        <v/>
      </c>
      <c r="H2196" s="27" t="str">
        <f aca="false">IF(G2196="","",IFERROR(INDEX(Levels!$C$5:$C$94,MATCH(G2196,Levels!$G$5:$G$94,0)),"Not this class's skill"))</f>
        <v/>
      </c>
    </row>
    <row r="2197" customFormat="false" ht="15" hidden="false" customHeight="false" outlineLevel="0" collapsed="false">
      <c r="A2197" s="23"/>
      <c r="B2197" s="22"/>
      <c r="C2197" s="22"/>
      <c r="D2197" s="22"/>
      <c r="E2197" s="22"/>
      <c r="F2197" s="27" t="str">
        <f aca="false">IF(B2197="","",IFERROR(INDEX(Roster!$B$5:$B$154,MATCH(B2197,Roster!$A$5:$A$154,0)),"Not on roster"))</f>
        <v/>
      </c>
      <c r="G2197" s="28" t="str">
        <f aca="false">IF(OR(B2197="",C2197=""),"",F2197&amp;" | "&amp;C2197)</f>
        <v/>
      </c>
      <c r="H2197" s="27" t="str">
        <f aca="false">IF(G2197="","",IFERROR(INDEX(Levels!$C$5:$C$94,MATCH(G2197,Levels!$G$5:$G$94,0)),"Not this class's skill"))</f>
        <v/>
      </c>
    </row>
    <row r="2198" customFormat="false" ht="15" hidden="false" customHeight="false" outlineLevel="0" collapsed="false">
      <c r="A2198" s="23"/>
      <c r="B2198" s="22"/>
      <c r="C2198" s="22"/>
      <c r="D2198" s="22"/>
      <c r="E2198" s="22"/>
      <c r="F2198" s="27" t="str">
        <f aca="false">IF(B2198="","",IFERROR(INDEX(Roster!$B$5:$B$154,MATCH(B2198,Roster!$A$5:$A$154,0)),"Not on roster"))</f>
        <v/>
      </c>
      <c r="G2198" s="28" t="str">
        <f aca="false">IF(OR(B2198="",C2198=""),"",F2198&amp;" | "&amp;C2198)</f>
        <v/>
      </c>
      <c r="H2198" s="27" t="str">
        <f aca="false">IF(G2198="","",IFERROR(INDEX(Levels!$C$5:$C$94,MATCH(G2198,Levels!$G$5:$G$94,0)),"Not this class's skill"))</f>
        <v/>
      </c>
    </row>
    <row r="2199" customFormat="false" ht="15" hidden="false" customHeight="false" outlineLevel="0" collapsed="false">
      <c r="A2199" s="23"/>
      <c r="B2199" s="22"/>
      <c r="C2199" s="22"/>
      <c r="D2199" s="22"/>
      <c r="E2199" s="22"/>
      <c r="F2199" s="27" t="str">
        <f aca="false">IF(B2199="","",IFERROR(INDEX(Roster!$B$5:$B$154,MATCH(B2199,Roster!$A$5:$A$154,0)),"Not on roster"))</f>
        <v/>
      </c>
      <c r="G2199" s="28" t="str">
        <f aca="false">IF(OR(B2199="",C2199=""),"",F2199&amp;" | "&amp;C2199)</f>
        <v/>
      </c>
      <c r="H2199" s="27" t="str">
        <f aca="false">IF(G2199="","",IFERROR(INDEX(Levels!$C$5:$C$94,MATCH(G2199,Levels!$G$5:$G$94,0)),"Not this class's skill"))</f>
        <v/>
      </c>
    </row>
    <row r="2200" customFormat="false" ht="15" hidden="false" customHeight="false" outlineLevel="0" collapsed="false">
      <c r="A2200" s="23"/>
      <c r="B2200" s="22"/>
      <c r="C2200" s="22"/>
      <c r="D2200" s="22"/>
      <c r="E2200" s="22"/>
      <c r="F2200" s="27" t="str">
        <f aca="false">IF(B2200="","",IFERROR(INDEX(Roster!$B$5:$B$154,MATCH(B2200,Roster!$A$5:$A$154,0)),"Not on roster"))</f>
        <v/>
      </c>
      <c r="G2200" s="28" t="str">
        <f aca="false">IF(OR(B2200="",C2200=""),"",F2200&amp;" | "&amp;C2200)</f>
        <v/>
      </c>
      <c r="H2200" s="27" t="str">
        <f aca="false">IF(G2200="","",IFERROR(INDEX(Levels!$C$5:$C$94,MATCH(G2200,Levels!$G$5:$G$94,0)),"Not this class's skill"))</f>
        <v/>
      </c>
    </row>
    <row r="2201" customFormat="false" ht="15" hidden="false" customHeight="false" outlineLevel="0" collapsed="false">
      <c r="A2201" s="23"/>
      <c r="B2201" s="22"/>
      <c r="C2201" s="22"/>
      <c r="D2201" s="22"/>
      <c r="E2201" s="22"/>
      <c r="F2201" s="27" t="str">
        <f aca="false">IF(B2201="","",IFERROR(INDEX(Roster!$B$5:$B$154,MATCH(B2201,Roster!$A$5:$A$154,0)),"Not on roster"))</f>
        <v/>
      </c>
      <c r="G2201" s="28" t="str">
        <f aca="false">IF(OR(B2201="",C2201=""),"",F2201&amp;" | "&amp;C2201)</f>
        <v/>
      </c>
      <c r="H2201" s="27" t="str">
        <f aca="false">IF(G2201="","",IFERROR(INDEX(Levels!$C$5:$C$94,MATCH(G2201,Levels!$G$5:$G$94,0)),"Not this class's skill"))</f>
        <v/>
      </c>
    </row>
    <row r="2202" customFormat="false" ht="15" hidden="false" customHeight="false" outlineLevel="0" collapsed="false">
      <c r="A2202" s="23"/>
      <c r="B2202" s="22"/>
      <c r="C2202" s="22"/>
      <c r="D2202" s="22"/>
      <c r="E2202" s="22"/>
      <c r="F2202" s="27" t="str">
        <f aca="false">IF(B2202="","",IFERROR(INDEX(Roster!$B$5:$B$154,MATCH(B2202,Roster!$A$5:$A$154,0)),"Not on roster"))</f>
        <v/>
      </c>
      <c r="G2202" s="28" t="str">
        <f aca="false">IF(OR(B2202="",C2202=""),"",F2202&amp;" | "&amp;C2202)</f>
        <v/>
      </c>
      <c r="H2202" s="27" t="str">
        <f aca="false">IF(G2202="","",IFERROR(INDEX(Levels!$C$5:$C$94,MATCH(G2202,Levels!$G$5:$G$94,0)),"Not this class's skill"))</f>
        <v/>
      </c>
    </row>
    <row r="2203" customFormat="false" ht="15" hidden="false" customHeight="false" outlineLevel="0" collapsed="false">
      <c r="A2203" s="23"/>
      <c r="B2203" s="22"/>
      <c r="C2203" s="22"/>
      <c r="D2203" s="22"/>
      <c r="E2203" s="22"/>
      <c r="F2203" s="27" t="str">
        <f aca="false">IF(B2203="","",IFERROR(INDEX(Roster!$B$5:$B$154,MATCH(B2203,Roster!$A$5:$A$154,0)),"Not on roster"))</f>
        <v/>
      </c>
      <c r="G2203" s="28" t="str">
        <f aca="false">IF(OR(B2203="",C2203=""),"",F2203&amp;" | "&amp;C2203)</f>
        <v/>
      </c>
      <c r="H2203" s="27" t="str">
        <f aca="false">IF(G2203="","",IFERROR(INDEX(Levels!$C$5:$C$94,MATCH(G2203,Levels!$G$5:$G$94,0)),"Not this class's skill"))</f>
        <v/>
      </c>
    </row>
    <row r="2204" customFormat="false" ht="15" hidden="false" customHeight="false" outlineLevel="0" collapsed="false">
      <c r="A2204" s="23"/>
      <c r="B2204" s="22"/>
      <c r="C2204" s="22"/>
      <c r="D2204" s="22"/>
      <c r="E2204" s="22"/>
      <c r="F2204" s="27" t="str">
        <f aca="false">IF(B2204="","",IFERROR(INDEX(Roster!$B$5:$B$154,MATCH(B2204,Roster!$A$5:$A$154,0)),"Not on roster"))</f>
        <v/>
      </c>
      <c r="G2204" s="28" t="str">
        <f aca="false">IF(OR(B2204="",C2204=""),"",F2204&amp;" | "&amp;C2204)</f>
        <v/>
      </c>
      <c r="H2204" s="27" t="str">
        <f aca="false">IF(G2204="","",IFERROR(INDEX(Levels!$C$5:$C$94,MATCH(G2204,Levels!$G$5:$G$94,0)),"Not this class's skill"))</f>
        <v/>
      </c>
    </row>
    <row r="2205" customFormat="false" ht="15" hidden="false" customHeight="false" outlineLevel="0" collapsed="false">
      <c r="A2205" s="23"/>
      <c r="B2205" s="22"/>
      <c r="C2205" s="22"/>
      <c r="D2205" s="22"/>
      <c r="E2205" s="22"/>
      <c r="F2205" s="27" t="str">
        <f aca="false">IF(B2205="","",IFERROR(INDEX(Roster!$B$5:$B$154,MATCH(B2205,Roster!$A$5:$A$154,0)),"Not on roster"))</f>
        <v/>
      </c>
      <c r="G2205" s="28" t="str">
        <f aca="false">IF(OR(B2205="",C2205=""),"",F2205&amp;" | "&amp;C2205)</f>
        <v/>
      </c>
      <c r="H2205" s="27" t="str">
        <f aca="false">IF(G2205="","",IFERROR(INDEX(Levels!$C$5:$C$94,MATCH(G2205,Levels!$G$5:$G$94,0)),"Not this class's skill"))</f>
        <v/>
      </c>
    </row>
    <row r="2206" customFormat="false" ht="15" hidden="false" customHeight="false" outlineLevel="0" collapsed="false">
      <c r="A2206" s="23"/>
      <c r="B2206" s="22"/>
      <c r="C2206" s="22"/>
      <c r="D2206" s="22"/>
      <c r="E2206" s="22"/>
      <c r="F2206" s="27" t="str">
        <f aca="false">IF(B2206="","",IFERROR(INDEX(Roster!$B$5:$B$154,MATCH(B2206,Roster!$A$5:$A$154,0)),"Not on roster"))</f>
        <v/>
      </c>
      <c r="G2206" s="28" t="str">
        <f aca="false">IF(OR(B2206="",C2206=""),"",F2206&amp;" | "&amp;C2206)</f>
        <v/>
      </c>
      <c r="H2206" s="27" t="str">
        <f aca="false">IF(G2206="","",IFERROR(INDEX(Levels!$C$5:$C$94,MATCH(G2206,Levels!$G$5:$G$94,0)),"Not this class's skill"))</f>
        <v/>
      </c>
    </row>
    <row r="2207" customFormat="false" ht="15" hidden="false" customHeight="false" outlineLevel="0" collapsed="false">
      <c r="A2207" s="23"/>
      <c r="B2207" s="22"/>
      <c r="C2207" s="22"/>
      <c r="D2207" s="22"/>
      <c r="E2207" s="22"/>
      <c r="F2207" s="27" t="str">
        <f aca="false">IF(B2207="","",IFERROR(INDEX(Roster!$B$5:$B$154,MATCH(B2207,Roster!$A$5:$A$154,0)),"Not on roster"))</f>
        <v/>
      </c>
      <c r="G2207" s="28" t="str">
        <f aca="false">IF(OR(B2207="",C2207=""),"",F2207&amp;" | "&amp;C2207)</f>
        <v/>
      </c>
      <c r="H2207" s="27" t="str">
        <f aca="false">IF(G2207="","",IFERROR(INDEX(Levels!$C$5:$C$94,MATCH(G2207,Levels!$G$5:$G$94,0)),"Not this class's skill"))</f>
        <v/>
      </c>
    </row>
    <row r="2208" customFormat="false" ht="15" hidden="false" customHeight="false" outlineLevel="0" collapsed="false">
      <c r="A2208" s="23"/>
      <c r="B2208" s="22"/>
      <c r="C2208" s="22"/>
      <c r="D2208" s="22"/>
      <c r="E2208" s="22"/>
      <c r="F2208" s="27" t="str">
        <f aca="false">IF(B2208="","",IFERROR(INDEX(Roster!$B$5:$B$154,MATCH(B2208,Roster!$A$5:$A$154,0)),"Not on roster"))</f>
        <v/>
      </c>
      <c r="G2208" s="28" t="str">
        <f aca="false">IF(OR(B2208="",C2208=""),"",F2208&amp;" | "&amp;C2208)</f>
        <v/>
      </c>
      <c r="H2208" s="27" t="str">
        <f aca="false">IF(G2208="","",IFERROR(INDEX(Levels!$C$5:$C$94,MATCH(G2208,Levels!$G$5:$G$94,0)),"Not this class's skill"))</f>
        <v/>
      </c>
    </row>
    <row r="2209" customFormat="false" ht="15" hidden="false" customHeight="false" outlineLevel="0" collapsed="false">
      <c r="A2209" s="23"/>
      <c r="B2209" s="22"/>
      <c r="C2209" s="22"/>
      <c r="D2209" s="22"/>
      <c r="E2209" s="22"/>
      <c r="F2209" s="27" t="str">
        <f aca="false">IF(B2209="","",IFERROR(INDEX(Roster!$B$5:$B$154,MATCH(B2209,Roster!$A$5:$A$154,0)),"Not on roster"))</f>
        <v/>
      </c>
      <c r="G2209" s="28" t="str">
        <f aca="false">IF(OR(B2209="",C2209=""),"",F2209&amp;" | "&amp;C2209)</f>
        <v/>
      </c>
      <c r="H2209" s="27" t="str">
        <f aca="false">IF(G2209="","",IFERROR(INDEX(Levels!$C$5:$C$94,MATCH(G2209,Levels!$G$5:$G$94,0)),"Not this class's skill"))</f>
        <v/>
      </c>
    </row>
    <row r="2210" customFormat="false" ht="15" hidden="false" customHeight="false" outlineLevel="0" collapsed="false">
      <c r="A2210" s="23"/>
      <c r="B2210" s="22"/>
      <c r="C2210" s="22"/>
      <c r="D2210" s="22"/>
      <c r="E2210" s="22"/>
      <c r="F2210" s="27" t="str">
        <f aca="false">IF(B2210="","",IFERROR(INDEX(Roster!$B$5:$B$154,MATCH(B2210,Roster!$A$5:$A$154,0)),"Not on roster"))</f>
        <v/>
      </c>
      <c r="G2210" s="28" t="str">
        <f aca="false">IF(OR(B2210="",C2210=""),"",F2210&amp;" | "&amp;C2210)</f>
        <v/>
      </c>
      <c r="H2210" s="27" t="str">
        <f aca="false">IF(G2210="","",IFERROR(INDEX(Levels!$C$5:$C$94,MATCH(G2210,Levels!$G$5:$G$94,0)),"Not this class's skill"))</f>
        <v/>
      </c>
    </row>
    <row r="2211" customFormat="false" ht="15" hidden="false" customHeight="false" outlineLevel="0" collapsed="false">
      <c r="A2211" s="23"/>
      <c r="B2211" s="22"/>
      <c r="C2211" s="22"/>
      <c r="D2211" s="22"/>
      <c r="E2211" s="22"/>
      <c r="F2211" s="27" t="str">
        <f aca="false">IF(B2211="","",IFERROR(INDEX(Roster!$B$5:$B$154,MATCH(B2211,Roster!$A$5:$A$154,0)),"Not on roster"))</f>
        <v/>
      </c>
      <c r="G2211" s="28" t="str">
        <f aca="false">IF(OR(B2211="",C2211=""),"",F2211&amp;" | "&amp;C2211)</f>
        <v/>
      </c>
      <c r="H2211" s="27" t="str">
        <f aca="false">IF(G2211="","",IFERROR(INDEX(Levels!$C$5:$C$94,MATCH(G2211,Levels!$G$5:$G$94,0)),"Not this class's skill"))</f>
        <v/>
      </c>
    </row>
    <row r="2212" customFormat="false" ht="15" hidden="false" customHeight="false" outlineLevel="0" collapsed="false">
      <c r="A2212" s="23"/>
      <c r="B2212" s="22"/>
      <c r="C2212" s="22"/>
      <c r="D2212" s="22"/>
      <c r="E2212" s="22"/>
      <c r="F2212" s="27" t="str">
        <f aca="false">IF(B2212="","",IFERROR(INDEX(Roster!$B$5:$B$154,MATCH(B2212,Roster!$A$5:$A$154,0)),"Not on roster"))</f>
        <v/>
      </c>
      <c r="G2212" s="28" t="str">
        <f aca="false">IF(OR(B2212="",C2212=""),"",F2212&amp;" | "&amp;C2212)</f>
        <v/>
      </c>
      <c r="H2212" s="27" t="str">
        <f aca="false">IF(G2212="","",IFERROR(INDEX(Levels!$C$5:$C$94,MATCH(G2212,Levels!$G$5:$G$94,0)),"Not this class's skill"))</f>
        <v/>
      </c>
    </row>
    <row r="2213" customFormat="false" ht="15" hidden="false" customHeight="false" outlineLevel="0" collapsed="false">
      <c r="A2213" s="23"/>
      <c r="B2213" s="22"/>
      <c r="C2213" s="22"/>
      <c r="D2213" s="22"/>
      <c r="E2213" s="22"/>
      <c r="F2213" s="27" t="str">
        <f aca="false">IF(B2213="","",IFERROR(INDEX(Roster!$B$5:$B$154,MATCH(B2213,Roster!$A$5:$A$154,0)),"Not on roster"))</f>
        <v/>
      </c>
      <c r="G2213" s="28" t="str">
        <f aca="false">IF(OR(B2213="",C2213=""),"",F2213&amp;" | "&amp;C2213)</f>
        <v/>
      </c>
      <c r="H2213" s="27" t="str">
        <f aca="false">IF(G2213="","",IFERROR(INDEX(Levels!$C$5:$C$94,MATCH(G2213,Levels!$G$5:$G$94,0)),"Not this class's skill"))</f>
        <v/>
      </c>
    </row>
    <row r="2214" customFormat="false" ht="15" hidden="false" customHeight="false" outlineLevel="0" collapsed="false">
      <c r="A2214" s="23"/>
      <c r="B2214" s="22"/>
      <c r="C2214" s="22"/>
      <c r="D2214" s="22"/>
      <c r="E2214" s="22"/>
      <c r="F2214" s="27" t="str">
        <f aca="false">IF(B2214="","",IFERROR(INDEX(Roster!$B$5:$B$154,MATCH(B2214,Roster!$A$5:$A$154,0)),"Not on roster"))</f>
        <v/>
      </c>
      <c r="G2214" s="28" t="str">
        <f aca="false">IF(OR(B2214="",C2214=""),"",F2214&amp;" | "&amp;C2214)</f>
        <v/>
      </c>
      <c r="H2214" s="27" t="str">
        <f aca="false">IF(G2214="","",IFERROR(INDEX(Levels!$C$5:$C$94,MATCH(G2214,Levels!$G$5:$G$94,0)),"Not this class's skill"))</f>
        <v/>
      </c>
    </row>
    <row r="2215" customFormat="false" ht="15" hidden="false" customHeight="false" outlineLevel="0" collapsed="false">
      <c r="A2215" s="23"/>
      <c r="B2215" s="22"/>
      <c r="C2215" s="22"/>
      <c r="D2215" s="22"/>
      <c r="E2215" s="22"/>
      <c r="F2215" s="27" t="str">
        <f aca="false">IF(B2215="","",IFERROR(INDEX(Roster!$B$5:$B$154,MATCH(B2215,Roster!$A$5:$A$154,0)),"Not on roster"))</f>
        <v/>
      </c>
      <c r="G2215" s="28" t="str">
        <f aca="false">IF(OR(B2215="",C2215=""),"",F2215&amp;" | "&amp;C2215)</f>
        <v/>
      </c>
      <c r="H2215" s="27" t="str">
        <f aca="false">IF(G2215="","",IFERROR(INDEX(Levels!$C$5:$C$94,MATCH(G2215,Levels!$G$5:$G$94,0)),"Not this class's skill"))</f>
        <v/>
      </c>
    </row>
    <row r="2216" customFormat="false" ht="15" hidden="false" customHeight="false" outlineLevel="0" collapsed="false">
      <c r="A2216" s="23"/>
      <c r="B2216" s="22"/>
      <c r="C2216" s="22"/>
      <c r="D2216" s="22"/>
      <c r="E2216" s="22"/>
      <c r="F2216" s="27" t="str">
        <f aca="false">IF(B2216="","",IFERROR(INDEX(Roster!$B$5:$B$154,MATCH(B2216,Roster!$A$5:$A$154,0)),"Not on roster"))</f>
        <v/>
      </c>
      <c r="G2216" s="28" t="str">
        <f aca="false">IF(OR(B2216="",C2216=""),"",F2216&amp;" | "&amp;C2216)</f>
        <v/>
      </c>
      <c r="H2216" s="27" t="str">
        <f aca="false">IF(G2216="","",IFERROR(INDEX(Levels!$C$5:$C$94,MATCH(G2216,Levels!$G$5:$G$94,0)),"Not this class's skill"))</f>
        <v/>
      </c>
    </row>
    <row r="2217" customFormat="false" ht="15" hidden="false" customHeight="false" outlineLevel="0" collapsed="false">
      <c r="A2217" s="23"/>
      <c r="B2217" s="22"/>
      <c r="C2217" s="22"/>
      <c r="D2217" s="22"/>
      <c r="E2217" s="22"/>
      <c r="F2217" s="27" t="str">
        <f aca="false">IF(B2217="","",IFERROR(INDEX(Roster!$B$5:$B$154,MATCH(B2217,Roster!$A$5:$A$154,0)),"Not on roster"))</f>
        <v/>
      </c>
      <c r="G2217" s="28" t="str">
        <f aca="false">IF(OR(B2217="",C2217=""),"",F2217&amp;" | "&amp;C2217)</f>
        <v/>
      </c>
      <c r="H2217" s="27" t="str">
        <f aca="false">IF(G2217="","",IFERROR(INDEX(Levels!$C$5:$C$94,MATCH(G2217,Levels!$G$5:$G$94,0)),"Not this class's skill"))</f>
        <v/>
      </c>
    </row>
    <row r="2218" customFormat="false" ht="15" hidden="false" customHeight="false" outlineLevel="0" collapsed="false">
      <c r="A2218" s="23"/>
      <c r="B2218" s="22"/>
      <c r="C2218" s="22"/>
      <c r="D2218" s="22"/>
      <c r="E2218" s="22"/>
      <c r="F2218" s="27" t="str">
        <f aca="false">IF(B2218="","",IFERROR(INDEX(Roster!$B$5:$B$154,MATCH(B2218,Roster!$A$5:$A$154,0)),"Not on roster"))</f>
        <v/>
      </c>
      <c r="G2218" s="28" t="str">
        <f aca="false">IF(OR(B2218="",C2218=""),"",F2218&amp;" | "&amp;C2218)</f>
        <v/>
      </c>
      <c r="H2218" s="27" t="str">
        <f aca="false">IF(G2218="","",IFERROR(INDEX(Levels!$C$5:$C$94,MATCH(G2218,Levels!$G$5:$G$94,0)),"Not this class's skill"))</f>
        <v/>
      </c>
    </row>
    <row r="2219" customFormat="false" ht="15" hidden="false" customHeight="false" outlineLevel="0" collapsed="false">
      <c r="A2219" s="23"/>
      <c r="B2219" s="22"/>
      <c r="C2219" s="22"/>
      <c r="D2219" s="22"/>
      <c r="E2219" s="22"/>
      <c r="F2219" s="27" t="str">
        <f aca="false">IF(B2219="","",IFERROR(INDEX(Roster!$B$5:$B$154,MATCH(B2219,Roster!$A$5:$A$154,0)),"Not on roster"))</f>
        <v/>
      </c>
      <c r="G2219" s="28" t="str">
        <f aca="false">IF(OR(B2219="",C2219=""),"",F2219&amp;" | "&amp;C2219)</f>
        <v/>
      </c>
      <c r="H2219" s="27" t="str">
        <f aca="false">IF(G2219="","",IFERROR(INDEX(Levels!$C$5:$C$94,MATCH(G2219,Levels!$G$5:$G$94,0)),"Not this class's skill"))</f>
        <v/>
      </c>
    </row>
    <row r="2220" customFormat="false" ht="15" hidden="false" customHeight="false" outlineLevel="0" collapsed="false">
      <c r="A2220" s="23"/>
      <c r="B2220" s="22"/>
      <c r="C2220" s="22"/>
      <c r="D2220" s="22"/>
      <c r="E2220" s="22"/>
      <c r="F2220" s="27" t="str">
        <f aca="false">IF(B2220="","",IFERROR(INDEX(Roster!$B$5:$B$154,MATCH(B2220,Roster!$A$5:$A$154,0)),"Not on roster"))</f>
        <v/>
      </c>
      <c r="G2220" s="28" t="str">
        <f aca="false">IF(OR(B2220="",C2220=""),"",F2220&amp;" | "&amp;C2220)</f>
        <v/>
      </c>
      <c r="H2220" s="27" t="str">
        <f aca="false">IF(G2220="","",IFERROR(INDEX(Levels!$C$5:$C$94,MATCH(G2220,Levels!$G$5:$G$94,0)),"Not this class's skill"))</f>
        <v/>
      </c>
    </row>
    <row r="2221" customFormat="false" ht="15" hidden="false" customHeight="false" outlineLevel="0" collapsed="false">
      <c r="A2221" s="23"/>
      <c r="B2221" s="22"/>
      <c r="C2221" s="22"/>
      <c r="D2221" s="22"/>
      <c r="E2221" s="22"/>
      <c r="F2221" s="27" t="str">
        <f aca="false">IF(B2221="","",IFERROR(INDEX(Roster!$B$5:$B$154,MATCH(B2221,Roster!$A$5:$A$154,0)),"Not on roster"))</f>
        <v/>
      </c>
      <c r="G2221" s="28" t="str">
        <f aca="false">IF(OR(B2221="",C2221=""),"",F2221&amp;" | "&amp;C2221)</f>
        <v/>
      </c>
      <c r="H2221" s="27" t="str">
        <f aca="false">IF(G2221="","",IFERROR(INDEX(Levels!$C$5:$C$94,MATCH(G2221,Levels!$G$5:$G$94,0)),"Not this class's skill"))</f>
        <v/>
      </c>
    </row>
    <row r="2222" customFormat="false" ht="15" hidden="false" customHeight="false" outlineLevel="0" collapsed="false">
      <c r="A2222" s="23"/>
      <c r="B2222" s="22"/>
      <c r="C2222" s="22"/>
      <c r="D2222" s="22"/>
      <c r="E2222" s="22"/>
      <c r="F2222" s="27" t="str">
        <f aca="false">IF(B2222="","",IFERROR(INDEX(Roster!$B$5:$B$154,MATCH(B2222,Roster!$A$5:$A$154,0)),"Not on roster"))</f>
        <v/>
      </c>
      <c r="G2222" s="28" t="str">
        <f aca="false">IF(OR(B2222="",C2222=""),"",F2222&amp;" | "&amp;C2222)</f>
        <v/>
      </c>
      <c r="H2222" s="27" t="str">
        <f aca="false">IF(G2222="","",IFERROR(INDEX(Levels!$C$5:$C$94,MATCH(G2222,Levels!$G$5:$G$94,0)),"Not this class's skill"))</f>
        <v/>
      </c>
    </row>
    <row r="2223" customFormat="false" ht="15" hidden="false" customHeight="false" outlineLevel="0" collapsed="false">
      <c r="A2223" s="23"/>
      <c r="B2223" s="22"/>
      <c r="C2223" s="22"/>
      <c r="D2223" s="22"/>
      <c r="E2223" s="22"/>
      <c r="F2223" s="27" t="str">
        <f aca="false">IF(B2223="","",IFERROR(INDEX(Roster!$B$5:$B$154,MATCH(B2223,Roster!$A$5:$A$154,0)),"Not on roster"))</f>
        <v/>
      </c>
      <c r="G2223" s="28" t="str">
        <f aca="false">IF(OR(B2223="",C2223=""),"",F2223&amp;" | "&amp;C2223)</f>
        <v/>
      </c>
      <c r="H2223" s="27" t="str">
        <f aca="false">IF(G2223="","",IFERROR(INDEX(Levels!$C$5:$C$94,MATCH(G2223,Levels!$G$5:$G$94,0)),"Not this class's skill"))</f>
        <v/>
      </c>
    </row>
    <row r="2224" customFormat="false" ht="15" hidden="false" customHeight="false" outlineLevel="0" collapsed="false">
      <c r="A2224" s="23"/>
      <c r="B2224" s="22"/>
      <c r="C2224" s="22"/>
      <c r="D2224" s="22"/>
      <c r="E2224" s="22"/>
      <c r="F2224" s="27" t="str">
        <f aca="false">IF(B2224="","",IFERROR(INDEX(Roster!$B$5:$B$154,MATCH(B2224,Roster!$A$5:$A$154,0)),"Not on roster"))</f>
        <v/>
      </c>
      <c r="G2224" s="28" t="str">
        <f aca="false">IF(OR(B2224="",C2224=""),"",F2224&amp;" | "&amp;C2224)</f>
        <v/>
      </c>
      <c r="H2224" s="27" t="str">
        <f aca="false">IF(G2224="","",IFERROR(INDEX(Levels!$C$5:$C$94,MATCH(G2224,Levels!$G$5:$G$94,0)),"Not this class's skill"))</f>
        <v/>
      </c>
    </row>
    <row r="2225" customFormat="false" ht="15" hidden="false" customHeight="false" outlineLevel="0" collapsed="false">
      <c r="A2225" s="23"/>
      <c r="B2225" s="22"/>
      <c r="C2225" s="22"/>
      <c r="D2225" s="22"/>
      <c r="E2225" s="22"/>
      <c r="F2225" s="27" t="str">
        <f aca="false">IF(B2225="","",IFERROR(INDEX(Roster!$B$5:$B$154,MATCH(B2225,Roster!$A$5:$A$154,0)),"Not on roster"))</f>
        <v/>
      </c>
      <c r="G2225" s="28" t="str">
        <f aca="false">IF(OR(B2225="",C2225=""),"",F2225&amp;" | "&amp;C2225)</f>
        <v/>
      </c>
      <c r="H2225" s="27" t="str">
        <f aca="false">IF(G2225="","",IFERROR(INDEX(Levels!$C$5:$C$94,MATCH(G2225,Levels!$G$5:$G$94,0)),"Not this class's skill"))</f>
        <v/>
      </c>
    </row>
    <row r="2226" customFormat="false" ht="15" hidden="false" customHeight="false" outlineLevel="0" collapsed="false">
      <c r="A2226" s="23"/>
      <c r="B2226" s="22"/>
      <c r="C2226" s="22"/>
      <c r="D2226" s="22"/>
      <c r="E2226" s="22"/>
      <c r="F2226" s="27" t="str">
        <f aca="false">IF(B2226="","",IFERROR(INDEX(Roster!$B$5:$B$154,MATCH(B2226,Roster!$A$5:$A$154,0)),"Not on roster"))</f>
        <v/>
      </c>
      <c r="G2226" s="28" t="str">
        <f aca="false">IF(OR(B2226="",C2226=""),"",F2226&amp;" | "&amp;C2226)</f>
        <v/>
      </c>
      <c r="H2226" s="27" t="str">
        <f aca="false">IF(G2226="","",IFERROR(INDEX(Levels!$C$5:$C$94,MATCH(G2226,Levels!$G$5:$G$94,0)),"Not this class's skill"))</f>
        <v/>
      </c>
    </row>
    <row r="2227" customFormat="false" ht="15" hidden="false" customHeight="false" outlineLevel="0" collapsed="false">
      <c r="A2227" s="23"/>
      <c r="B2227" s="22"/>
      <c r="C2227" s="22"/>
      <c r="D2227" s="22"/>
      <c r="E2227" s="22"/>
      <c r="F2227" s="27" t="str">
        <f aca="false">IF(B2227="","",IFERROR(INDEX(Roster!$B$5:$B$154,MATCH(B2227,Roster!$A$5:$A$154,0)),"Not on roster"))</f>
        <v/>
      </c>
      <c r="G2227" s="28" t="str">
        <f aca="false">IF(OR(B2227="",C2227=""),"",F2227&amp;" | "&amp;C2227)</f>
        <v/>
      </c>
      <c r="H2227" s="27" t="str">
        <f aca="false">IF(G2227="","",IFERROR(INDEX(Levels!$C$5:$C$94,MATCH(G2227,Levels!$G$5:$G$94,0)),"Not this class's skill"))</f>
        <v/>
      </c>
    </row>
    <row r="2228" customFormat="false" ht="15" hidden="false" customHeight="false" outlineLevel="0" collapsed="false">
      <c r="A2228" s="23"/>
      <c r="B2228" s="22"/>
      <c r="C2228" s="22"/>
      <c r="D2228" s="22"/>
      <c r="E2228" s="22"/>
      <c r="F2228" s="27" t="str">
        <f aca="false">IF(B2228="","",IFERROR(INDEX(Roster!$B$5:$B$154,MATCH(B2228,Roster!$A$5:$A$154,0)),"Not on roster"))</f>
        <v/>
      </c>
      <c r="G2228" s="28" t="str">
        <f aca="false">IF(OR(B2228="",C2228=""),"",F2228&amp;" | "&amp;C2228)</f>
        <v/>
      </c>
      <c r="H2228" s="27" t="str">
        <f aca="false">IF(G2228="","",IFERROR(INDEX(Levels!$C$5:$C$94,MATCH(G2228,Levels!$G$5:$G$94,0)),"Not this class's skill"))</f>
        <v/>
      </c>
    </row>
    <row r="2229" customFormat="false" ht="15" hidden="false" customHeight="false" outlineLevel="0" collapsed="false">
      <c r="A2229" s="23"/>
      <c r="B2229" s="22"/>
      <c r="C2229" s="22"/>
      <c r="D2229" s="22"/>
      <c r="E2229" s="22"/>
      <c r="F2229" s="27" t="str">
        <f aca="false">IF(B2229="","",IFERROR(INDEX(Roster!$B$5:$B$154,MATCH(B2229,Roster!$A$5:$A$154,0)),"Not on roster"))</f>
        <v/>
      </c>
      <c r="G2229" s="28" t="str">
        <f aca="false">IF(OR(B2229="",C2229=""),"",F2229&amp;" | "&amp;C2229)</f>
        <v/>
      </c>
      <c r="H2229" s="27" t="str">
        <f aca="false">IF(G2229="","",IFERROR(INDEX(Levels!$C$5:$C$94,MATCH(G2229,Levels!$G$5:$G$94,0)),"Not this class's skill"))</f>
        <v/>
      </c>
    </row>
    <row r="2230" customFormat="false" ht="15" hidden="false" customHeight="false" outlineLevel="0" collapsed="false">
      <c r="A2230" s="23"/>
      <c r="B2230" s="22"/>
      <c r="C2230" s="22"/>
      <c r="D2230" s="22"/>
      <c r="E2230" s="22"/>
      <c r="F2230" s="27" t="str">
        <f aca="false">IF(B2230="","",IFERROR(INDEX(Roster!$B$5:$B$154,MATCH(B2230,Roster!$A$5:$A$154,0)),"Not on roster"))</f>
        <v/>
      </c>
      <c r="G2230" s="28" t="str">
        <f aca="false">IF(OR(B2230="",C2230=""),"",F2230&amp;" | "&amp;C2230)</f>
        <v/>
      </c>
      <c r="H2230" s="27" t="str">
        <f aca="false">IF(G2230="","",IFERROR(INDEX(Levels!$C$5:$C$94,MATCH(G2230,Levels!$G$5:$G$94,0)),"Not this class's skill"))</f>
        <v/>
      </c>
    </row>
    <row r="2231" customFormat="false" ht="15" hidden="false" customHeight="false" outlineLevel="0" collapsed="false">
      <c r="A2231" s="23"/>
      <c r="B2231" s="22"/>
      <c r="C2231" s="22"/>
      <c r="D2231" s="22"/>
      <c r="E2231" s="22"/>
      <c r="F2231" s="27" t="str">
        <f aca="false">IF(B2231="","",IFERROR(INDEX(Roster!$B$5:$B$154,MATCH(B2231,Roster!$A$5:$A$154,0)),"Not on roster"))</f>
        <v/>
      </c>
      <c r="G2231" s="28" t="str">
        <f aca="false">IF(OR(B2231="",C2231=""),"",F2231&amp;" | "&amp;C2231)</f>
        <v/>
      </c>
      <c r="H2231" s="27" t="str">
        <f aca="false">IF(G2231="","",IFERROR(INDEX(Levels!$C$5:$C$94,MATCH(G2231,Levels!$G$5:$G$94,0)),"Not this class's skill"))</f>
        <v/>
      </c>
    </row>
    <row r="2232" customFormat="false" ht="15" hidden="false" customHeight="false" outlineLevel="0" collapsed="false">
      <c r="A2232" s="23"/>
      <c r="B2232" s="22"/>
      <c r="C2232" s="22"/>
      <c r="D2232" s="22"/>
      <c r="E2232" s="22"/>
      <c r="F2232" s="27" t="str">
        <f aca="false">IF(B2232="","",IFERROR(INDEX(Roster!$B$5:$B$154,MATCH(B2232,Roster!$A$5:$A$154,0)),"Not on roster"))</f>
        <v/>
      </c>
      <c r="G2232" s="28" t="str">
        <f aca="false">IF(OR(B2232="",C2232=""),"",F2232&amp;" | "&amp;C2232)</f>
        <v/>
      </c>
      <c r="H2232" s="27" t="str">
        <f aca="false">IF(G2232="","",IFERROR(INDEX(Levels!$C$5:$C$94,MATCH(G2232,Levels!$G$5:$G$94,0)),"Not this class's skill"))</f>
        <v/>
      </c>
    </row>
    <row r="2233" customFormat="false" ht="15" hidden="false" customHeight="false" outlineLevel="0" collapsed="false">
      <c r="A2233" s="23"/>
      <c r="B2233" s="22"/>
      <c r="C2233" s="22"/>
      <c r="D2233" s="22"/>
      <c r="E2233" s="22"/>
      <c r="F2233" s="27" t="str">
        <f aca="false">IF(B2233="","",IFERROR(INDEX(Roster!$B$5:$B$154,MATCH(B2233,Roster!$A$5:$A$154,0)),"Not on roster"))</f>
        <v/>
      </c>
      <c r="G2233" s="28" t="str">
        <f aca="false">IF(OR(B2233="",C2233=""),"",F2233&amp;" | "&amp;C2233)</f>
        <v/>
      </c>
      <c r="H2233" s="27" t="str">
        <f aca="false">IF(G2233="","",IFERROR(INDEX(Levels!$C$5:$C$94,MATCH(G2233,Levels!$G$5:$G$94,0)),"Not this class's skill"))</f>
        <v/>
      </c>
    </row>
    <row r="2234" customFormat="false" ht="15" hidden="false" customHeight="false" outlineLevel="0" collapsed="false">
      <c r="A2234" s="23"/>
      <c r="B2234" s="22"/>
      <c r="C2234" s="22"/>
      <c r="D2234" s="22"/>
      <c r="E2234" s="22"/>
      <c r="F2234" s="27" t="str">
        <f aca="false">IF(B2234="","",IFERROR(INDEX(Roster!$B$5:$B$154,MATCH(B2234,Roster!$A$5:$A$154,0)),"Not on roster"))</f>
        <v/>
      </c>
      <c r="G2234" s="28" t="str">
        <f aca="false">IF(OR(B2234="",C2234=""),"",F2234&amp;" | "&amp;C2234)</f>
        <v/>
      </c>
      <c r="H2234" s="27" t="str">
        <f aca="false">IF(G2234="","",IFERROR(INDEX(Levels!$C$5:$C$94,MATCH(G2234,Levels!$G$5:$G$94,0)),"Not this class's skill"))</f>
        <v/>
      </c>
    </row>
    <row r="2235" customFormat="false" ht="15" hidden="false" customHeight="false" outlineLevel="0" collapsed="false">
      <c r="A2235" s="23"/>
      <c r="B2235" s="22"/>
      <c r="C2235" s="22"/>
      <c r="D2235" s="22"/>
      <c r="E2235" s="22"/>
      <c r="F2235" s="27" t="str">
        <f aca="false">IF(B2235="","",IFERROR(INDEX(Roster!$B$5:$B$154,MATCH(B2235,Roster!$A$5:$A$154,0)),"Not on roster"))</f>
        <v/>
      </c>
      <c r="G2235" s="28" t="str">
        <f aca="false">IF(OR(B2235="",C2235=""),"",F2235&amp;" | "&amp;C2235)</f>
        <v/>
      </c>
      <c r="H2235" s="27" t="str">
        <f aca="false">IF(G2235="","",IFERROR(INDEX(Levels!$C$5:$C$94,MATCH(G2235,Levels!$G$5:$G$94,0)),"Not this class's skill"))</f>
        <v/>
      </c>
    </row>
    <row r="2236" customFormat="false" ht="15" hidden="false" customHeight="false" outlineLevel="0" collapsed="false">
      <c r="A2236" s="23"/>
      <c r="B2236" s="22"/>
      <c r="C2236" s="22"/>
      <c r="D2236" s="22"/>
      <c r="E2236" s="22"/>
      <c r="F2236" s="27" t="str">
        <f aca="false">IF(B2236="","",IFERROR(INDEX(Roster!$B$5:$B$154,MATCH(B2236,Roster!$A$5:$A$154,0)),"Not on roster"))</f>
        <v/>
      </c>
      <c r="G2236" s="28" t="str">
        <f aca="false">IF(OR(B2236="",C2236=""),"",F2236&amp;" | "&amp;C2236)</f>
        <v/>
      </c>
      <c r="H2236" s="27" t="str">
        <f aca="false">IF(G2236="","",IFERROR(INDEX(Levels!$C$5:$C$94,MATCH(G2236,Levels!$G$5:$G$94,0)),"Not this class's skill"))</f>
        <v/>
      </c>
    </row>
    <row r="2237" customFormat="false" ht="15" hidden="false" customHeight="false" outlineLevel="0" collapsed="false">
      <c r="A2237" s="23"/>
      <c r="B2237" s="22"/>
      <c r="C2237" s="22"/>
      <c r="D2237" s="22"/>
      <c r="E2237" s="22"/>
      <c r="F2237" s="27" t="str">
        <f aca="false">IF(B2237="","",IFERROR(INDEX(Roster!$B$5:$B$154,MATCH(B2237,Roster!$A$5:$A$154,0)),"Not on roster"))</f>
        <v/>
      </c>
      <c r="G2237" s="28" t="str">
        <f aca="false">IF(OR(B2237="",C2237=""),"",F2237&amp;" | "&amp;C2237)</f>
        <v/>
      </c>
      <c r="H2237" s="27" t="str">
        <f aca="false">IF(G2237="","",IFERROR(INDEX(Levels!$C$5:$C$94,MATCH(G2237,Levels!$G$5:$G$94,0)),"Not this class's skill"))</f>
        <v/>
      </c>
    </row>
    <row r="2238" customFormat="false" ht="15" hidden="false" customHeight="false" outlineLevel="0" collapsed="false">
      <c r="A2238" s="23"/>
      <c r="B2238" s="22"/>
      <c r="C2238" s="22"/>
      <c r="D2238" s="22"/>
      <c r="E2238" s="22"/>
      <c r="F2238" s="27" t="str">
        <f aca="false">IF(B2238="","",IFERROR(INDEX(Roster!$B$5:$B$154,MATCH(B2238,Roster!$A$5:$A$154,0)),"Not on roster"))</f>
        <v/>
      </c>
      <c r="G2238" s="28" t="str">
        <f aca="false">IF(OR(B2238="",C2238=""),"",F2238&amp;" | "&amp;C2238)</f>
        <v/>
      </c>
      <c r="H2238" s="27" t="str">
        <f aca="false">IF(G2238="","",IFERROR(INDEX(Levels!$C$5:$C$94,MATCH(G2238,Levels!$G$5:$G$94,0)),"Not this class's skill"))</f>
        <v/>
      </c>
    </row>
    <row r="2239" customFormat="false" ht="15" hidden="false" customHeight="false" outlineLevel="0" collapsed="false">
      <c r="A2239" s="23"/>
      <c r="B2239" s="22"/>
      <c r="C2239" s="22"/>
      <c r="D2239" s="22"/>
      <c r="E2239" s="22"/>
      <c r="F2239" s="27" t="str">
        <f aca="false">IF(B2239="","",IFERROR(INDEX(Roster!$B$5:$B$154,MATCH(B2239,Roster!$A$5:$A$154,0)),"Not on roster"))</f>
        <v/>
      </c>
      <c r="G2239" s="28" t="str">
        <f aca="false">IF(OR(B2239="",C2239=""),"",F2239&amp;" | "&amp;C2239)</f>
        <v/>
      </c>
      <c r="H2239" s="27" t="str">
        <f aca="false">IF(G2239="","",IFERROR(INDEX(Levels!$C$5:$C$94,MATCH(G2239,Levels!$G$5:$G$94,0)),"Not this class's skill"))</f>
        <v/>
      </c>
    </row>
    <row r="2240" customFormat="false" ht="15" hidden="false" customHeight="false" outlineLevel="0" collapsed="false">
      <c r="A2240" s="23"/>
      <c r="B2240" s="22"/>
      <c r="C2240" s="22"/>
      <c r="D2240" s="22"/>
      <c r="E2240" s="22"/>
      <c r="F2240" s="27" t="str">
        <f aca="false">IF(B2240="","",IFERROR(INDEX(Roster!$B$5:$B$154,MATCH(B2240,Roster!$A$5:$A$154,0)),"Not on roster"))</f>
        <v/>
      </c>
      <c r="G2240" s="28" t="str">
        <f aca="false">IF(OR(B2240="",C2240=""),"",F2240&amp;" | "&amp;C2240)</f>
        <v/>
      </c>
      <c r="H2240" s="27" t="str">
        <f aca="false">IF(G2240="","",IFERROR(INDEX(Levels!$C$5:$C$94,MATCH(G2240,Levels!$G$5:$G$94,0)),"Not this class's skill"))</f>
        <v/>
      </c>
    </row>
    <row r="2241" customFormat="false" ht="15" hidden="false" customHeight="false" outlineLevel="0" collapsed="false">
      <c r="A2241" s="23"/>
      <c r="B2241" s="22"/>
      <c r="C2241" s="22"/>
      <c r="D2241" s="22"/>
      <c r="E2241" s="22"/>
      <c r="F2241" s="27" t="str">
        <f aca="false">IF(B2241="","",IFERROR(INDEX(Roster!$B$5:$B$154,MATCH(B2241,Roster!$A$5:$A$154,0)),"Not on roster"))</f>
        <v/>
      </c>
      <c r="G2241" s="28" t="str">
        <f aca="false">IF(OR(B2241="",C2241=""),"",F2241&amp;" | "&amp;C2241)</f>
        <v/>
      </c>
      <c r="H2241" s="27" t="str">
        <f aca="false">IF(G2241="","",IFERROR(INDEX(Levels!$C$5:$C$94,MATCH(G2241,Levels!$G$5:$G$94,0)),"Not this class's skill"))</f>
        <v/>
      </c>
    </row>
    <row r="2242" customFormat="false" ht="15" hidden="false" customHeight="false" outlineLevel="0" collapsed="false">
      <c r="A2242" s="23"/>
      <c r="B2242" s="22"/>
      <c r="C2242" s="22"/>
      <c r="D2242" s="22"/>
      <c r="E2242" s="22"/>
      <c r="F2242" s="27" t="str">
        <f aca="false">IF(B2242="","",IFERROR(INDEX(Roster!$B$5:$B$154,MATCH(B2242,Roster!$A$5:$A$154,0)),"Not on roster"))</f>
        <v/>
      </c>
      <c r="G2242" s="28" t="str">
        <f aca="false">IF(OR(B2242="",C2242=""),"",F2242&amp;" | "&amp;C2242)</f>
        <v/>
      </c>
      <c r="H2242" s="27" t="str">
        <f aca="false">IF(G2242="","",IFERROR(INDEX(Levels!$C$5:$C$94,MATCH(G2242,Levels!$G$5:$G$94,0)),"Not this class's skill"))</f>
        <v/>
      </c>
    </row>
    <row r="2243" customFormat="false" ht="15" hidden="false" customHeight="false" outlineLevel="0" collapsed="false">
      <c r="A2243" s="23"/>
      <c r="B2243" s="22"/>
      <c r="C2243" s="22"/>
      <c r="D2243" s="22"/>
      <c r="E2243" s="22"/>
      <c r="F2243" s="27" t="str">
        <f aca="false">IF(B2243="","",IFERROR(INDEX(Roster!$B$5:$B$154,MATCH(B2243,Roster!$A$5:$A$154,0)),"Not on roster"))</f>
        <v/>
      </c>
      <c r="G2243" s="28" t="str">
        <f aca="false">IF(OR(B2243="",C2243=""),"",F2243&amp;" | "&amp;C2243)</f>
        <v/>
      </c>
      <c r="H2243" s="27" t="str">
        <f aca="false">IF(G2243="","",IFERROR(INDEX(Levels!$C$5:$C$94,MATCH(G2243,Levels!$G$5:$G$94,0)),"Not this class's skill"))</f>
        <v/>
      </c>
    </row>
    <row r="2244" customFormat="false" ht="15" hidden="false" customHeight="false" outlineLevel="0" collapsed="false">
      <c r="A2244" s="23"/>
      <c r="B2244" s="22"/>
      <c r="C2244" s="22"/>
      <c r="D2244" s="22"/>
      <c r="E2244" s="22"/>
      <c r="F2244" s="27" t="str">
        <f aca="false">IF(B2244="","",IFERROR(INDEX(Roster!$B$5:$B$154,MATCH(B2244,Roster!$A$5:$A$154,0)),"Not on roster"))</f>
        <v/>
      </c>
      <c r="G2244" s="28" t="str">
        <f aca="false">IF(OR(B2244="",C2244=""),"",F2244&amp;" | "&amp;C2244)</f>
        <v/>
      </c>
      <c r="H2244" s="27" t="str">
        <f aca="false">IF(G2244="","",IFERROR(INDEX(Levels!$C$5:$C$94,MATCH(G2244,Levels!$G$5:$G$94,0)),"Not this class's skill"))</f>
        <v/>
      </c>
    </row>
    <row r="2245" customFormat="false" ht="15" hidden="false" customHeight="false" outlineLevel="0" collapsed="false">
      <c r="A2245" s="23"/>
      <c r="B2245" s="22"/>
      <c r="C2245" s="22"/>
      <c r="D2245" s="22"/>
      <c r="E2245" s="22"/>
      <c r="F2245" s="27" t="str">
        <f aca="false">IF(B2245="","",IFERROR(INDEX(Roster!$B$5:$B$154,MATCH(B2245,Roster!$A$5:$A$154,0)),"Not on roster"))</f>
        <v/>
      </c>
      <c r="G2245" s="28" t="str">
        <f aca="false">IF(OR(B2245="",C2245=""),"",F2245&amp;" | "&amp;C2245)</f>
        <v/>
      </c>
      <c r="H2245" s="27" t="str">
        <f aca="false">IF(G2245="","",IFERROR(INDEX(Levels!$C$5:$C$94,MATCH(G2245,Levels!$G$5:$G$94,0)),"Not this class's skill"))</f>
        <v/>
      </c>
    </row>
    <row r="2246" customFormat="false" ht="15" hidden="false" customHeight="false" outlineLevel="0" collapsed="false">
      <c r="A2246" s="23"/>
      <c r="B2246" s="22"/>
      <c r="C2246" s="22"/>
      <c r="D2246" s="22"/>
      <c r="E2246" s="22"/>
      <c r="F2246" s="27" t="str">
        <f aca="false">IF(B2246="","",IFERROR(INDEX(Roster!$B$5:$B$154,MATCH(B2246,Roster!$A$5:$A$154,0)),"Not on roster"))</f>
        <v/>
      </c>
      <c r="G2246" s="28" t="str">
        <f aca="false">IF(OR(B2246="",C2246=""),"",F2246&amp;" | "&amp;C2246)</f>
        <v/>
      </c>
      <c r="H2246" s="27" t="str">
        <f aca="false">IF(G2246="","",IFERROR(INDEX(Levels!$C$5:$C$94,MATCH(G2246,Levels!$G$5:$G$94,0)),"Not this class's skill"))</f>
        <v/>
      </c>
    </row>
    <row r="2247" customFormat="false" ht="15" hidden="false" customHeight="false" outlineLevel="0" collapsed="false">
      <c r="A2247" s="23"/>
      <c r="B2247" s="22"/>
      <c r="C2247" s="22"/>
      <c r="D2247" s="22"/>
      <c r="E2247" s="22"/>
      <c r="F2247" s="27" t="str">
        <f aca="false">IF(B2247="","",IFERROR(INDEX(Roster!$B$5:$B$154,MATCH(B2247,Roster!$A$5:$A$154,0)),"Not on roster"))</f>
        <v/>
      </c>
      <c r="G2247" s="28" t="str">
        <f aca="false">IF(OR(B2247="",C2247=""),"",F2247&amp;" | "&amp;C2247)</f>
        <v/>
      </c>
      <c r="H2247" s="27" t="str">
        <f aca="false">IF(G2247="","",IFERROR(INDEX(Levels!$C$5:$C$94,MATCH(G2247,Levels!$G$5:$G$94,0)),"Not this class's skill"))</f>
        <v/>
      </c>
    </row>
    <row r="2248" customFormat="false" ht="15" hidden="false" customHeight="false" outlineLevel="0" collapsed="false">
      <c r="A2248" s="23"/>
      <c r="B2248" s="22"/>
      <c r="C2248" s="22"/>
      <c r="D2248" s="22"/>
      <c r="E2248" s="22"/>
      <c r="F2248" s="27" t="str">
        <f aca="false">IF(B2248="","",IFERROR(INDEX(Roster!$B$5:$B$154,MATCH(B2248,Roster!$A$5:$A$154,0)),"Not on roster"))</f>
        <v/>
      </c>
      <c r="G2248" s="28" t="str">
        <f aca="false">IF(OR(B2248="",C2248=""),"",F2248&amp;" | "&amp;C2248)</f>
        <v/>
      </c>
      <c r="H2248" s="27" t="str">
        <f aca="false">IF(G2248="","",IFERROR(INDEX(Levels!$C$5:$C$94,MATCH(G2248,Levels!$G$5:$G$94,0)),"Not this class's skill"))</f>
        <v/>
      </c>
    </row>
    <row r="2249" customFormat="false" ht="15" hidden="false" customHeight="false" outlineLevel="0" collapsed="false">
      <c r="A2249" s="23"/>
      <c r="B2249" s="22"/>
      <c r="C2249" s="22"/>
      <c r="D2249" s="22"/>
      <c r="E2249" s="22"/>
      <c r="F2249" s="27" t="str">
        <f aca="false">IF(B2249="","",IFERROR(INDEX(Roster!$B$5:$B$154,MATCH(B2249,Roster!$A$5:$A$154,0)),"Not on roster"))</f>
        <v/>
      </c>
      <c r="G2249" s="28" t="str">
        <f aca="false">IF(OR(B2249="",C2249=""),"",F2249&amp;" | "&amp;C2249)</f>
        <v/>
      </c>
      <c r="H2249" s="27" t="str">
        <f aca="false">IF(G2249="","",IFERROR(INDEX(Levels!$C$5:$C$94,MATCH(G2249,Levels!$G$5:$G$94,0)),"Not this class's skill"))</f>
        <v/>
      </c>
    </row>
    <row r="2250" customFormat="false" ht="15" hidden="false" customHeight="false" outlineLevel="0" collapsed="false">
      <c r="A2250" s="23"/>
      <c r="B2250" s="22"/>
      <c r="C2250" s="22"/>
      <c r="D2250" s="22"/>
      <c r="E2250" s="22"/>
      <c r="F2250" s="27" t="str">
        <f aca="false">IF(B2250="","",IFERROR(INDEX(Roster!$B$5:$B$154,MATCH(B2250,Roster!$A$5:$A$154,0)),"Not on roster"))</f>
        <v/>
      </c>
      <c r="G2250" s="28" t="str">
        <f aca="false">IF(OR(B2250="",C2250=""),"",F2250&amp;" | "&amp;C2250)</f>
        <v/>
      </c>
      <c r="H2250" s="27" t="str">
        <f aca="false">IF(G2250="","",IFERROR(INDEX(Levels!$C$5:$C$94,MATCH(G2250,Levels!$G$5:$G$94,0)),"Not this class's skill"))</f>
        <v/>
      </c>
    </row>
    <row r="2251" customFormat="false" ht="15" hidden="false" customHeight="false" outlineLevel="0" collapsed="false">
      <c r="A2251" s="23"/>
      <c r="B2251" s="22"/>
      <c r="C2251" s="22"/>
      <c r="D2251" s="22"/>
      <c r="E2251" s="22"/>
      <c r="F2251" s="27" t="str">
        <f aca="false">IF(B2251="","",IFERROR(INDEX(Roster!$B$5:$B$154,MATCH(B2251,Roster!$A$5:$A$154,0)),"Not on roster"))</f>
        <v/>
      </c>
      <c r="G2251" s="28" t="str">
        <f aca="false">IF(OR(B2251="",C2251=""),"",F2251&amp;" | "&amp;C2251)</f>
        <v/>
      </c>
      <c r="H2251" s="27" t="str">
        <f aca="false">IF(G2251="","",IFERROR(INDEX(Levels!$C$5:$C$94,MATCH(G2251,Levels!$G$5:$G$94,0)),"Not this class's skill"))</f>
        <v/>
      </c>
    </row>
    <row r="2252" customFormat="false" ht="15" hidden="false" customHeight="false" outlineLevel="0" collapsed="false">
      <c r="A2252" s="23"/>
      <c r="B2252" s="22"/>
      <c r="C2252" s="22"/>
      <c r="D2252" s="22"/>
      <c r="E2252" s="22"/>
      <c r="F2252" s="27" t="str">
        <f aca="false">IF(B2252="","",IFERROR(INDEX(Roster!$B$5:$B$154,MATCH(B2252,Roster!$A$5:$A$154,0)),"Not on roster"))</f>
        <v/>
      </c>
      <c r="G2252" s="28" t="str">
        <f aca="false">IF(OR(B2252="",C2252=""),"",F2252&amp;" | "&amp;C2252)</f>
        <v/>
      </c>
      <c r="H2252" s="27" t="str">
        <f aca="false">IF(G2252="","",IFERROR(INDEX(Levels!$C$5:$C$94,MATCH(G2252,Levels!$G$5:$G$94,0)),"Not this class's skill"))</f>
        <v/>
      </c>
    </row>
    <row r="2253" customFormat="false" ht="15" hidden="false" customHeight="false" outlineLevel="0" collapsed="false">
      <c r="A2253" s="23"/>
      <c r="B2253" s="22"/>
      <c r="C2253" s="22"/>
      <c r="D2253" s="22"/>
      <c r="E2253" s="22"/>
      <c r="F2253" s="27" t="str">
        <f aca="false">IF(B2253="","",IFERROR(INDEX(Roster!$B$5:$B$154,MATCH(B2253,Roster!$A$5:$A$154,0)),"Not on roster"))</f>
        <v/>
      </c>
      <c r="G2253" s="28" t="str">
        <f aca="false">IF(OR(B2253="",C2253=""),"",F2253&amp;" | "&amp;C2253)</f>
        <v/>
      </c>
      <c r="H2253" s="27" t="str">
        <f aca="false">IF(G2253="","",IFERROR(INDEX(Levels!$C$5:$C$94,MATCH(G2253,Levels!$G$5:$G$94,0)),"Not this class's skill"))</f>
        <v/>
      </c>
    </row>
    <row r="2254" customFormat="false" ht="15" hidden="false" customHeight="false" outlineLevel="0" collapsed="false">
      <c r="A2254" s="23"/>
      <c r="B2254" s="22"/>
      <c r="C2254" s="22"/>
      <c r="D2254" s="22"/>
      <c r="E2254" s="22"/>
      <c r="F2254" s="27" t="str">
        <f aca="false">IF(B2254="","",IFERROR(INDEX(Roster!$B$5:$B$154,MATCH(B2254,Roster!$A$5:$A$154,0)),"Not on roster"))</f>
        <v/>
      </c>
      <c r="G2254" s="28" t="str">
        <f aca="false">IF(OR(B2254="",C2254=""),"",F2254&amp;" | "&amp;C2254)</f>
        <v/>
      </c>
      <c r="H2254" s="27" t="str">
        <f aca="false">IF(G2254="","",IFERROR(INDEX(Levels!$C$5:$C$94,MATCH(G2254,Levels!$G$5:$G$94,0)),"Not this class's skill"))</f>
        <v/>
      </c>
    </row>
    <row r="2255" customFormat="false" ht="15" hidden="false" customHeight="false" outlineLevel="0" collapsed="false">
      <c r="A2255" s="23"/>
      <c r="B2255" s="22"/>
      <c r="C2255" s="22"/>
      <c r="D2255" s="22"/>
      <c r="E2255" s="22"/>
      <c r="F2255" s="27" t="str">
        <f aca="false">IF(B2255="","",IFERROR(INDEX(Roster!$B$5:$B$154,MATCH(B2255,Roster!$A$5:$A$154,0)),"Not on roster"))</f>
        <v/>
      </c>
      <c r="G2255" s="28" t="str">
        <f aca="false">IF(OR(B2255="",C2255=""),"",F2255&amp;" | "&amp;C2255)</f>
        <v/>
      </c>
      <c r="H2255" s="27" t="str">
        <f aca="false">IF(G2255="","",IFERROR(INDEX(Levels!$C$5:$C$94,MATCH(G2255,Levels!$G$5:$G$94,0)),"Not this class's skill"))</f>
        <v/>
      </c>
    </row>
    <row r="2256" customFormat="false" ht="15" hidden="false" customHeight="false" outlineLevel="0" collapsed="false">
      <c r="A2256" s="23"/>
      <c r="B2256" s="22"/>
      <c r="C2256" s="22"/>
      <c r="D2256" s="22"/>
      <c r="E2256" s="22"/>
      <c r="F2256" s="27" t="str">
        <f aca="false">IF(B2256="","",IFERROR(INDEX(Roster!$B$5:$B$154,MATCH(B2256,Roster!$A$5:$A$154,0)),"Not on roster"))</f>
        <v/>
      </c>
      <c r="G2256" s="28" t="str">
        <f aca="false">IF(OR(B2256="",C2256=""),"",F2256&amp;" | "&amp;C2256)</f>
        <v/>
      </c>
      <c r="H2256" s="27" t="str">
        <f aca="false">IF(G2256="","",IFERROR(INDEX(Levels!$C$5:$C$94,MATCH(G2256,Levels!$G$5:$G$94,0)),"Not this class's skill"))</f>
        <v/>
      </c>
    </row>
    <row r="2257" customFormat="false" ht="15" hidden="false" customHeight="false" outlineLevel="0" collapsed="false">
      <c r="A2257" s="23"/>
      <c r="B2257" s="22"/>
      <c r="C2257" s="22"/>
      <c r="D2257" s="22"/>
      <c r="E2257" s="22"/>
      <c r="F2257" s="27" t="str">
        <f aca="false">IF(B2257="","",IFERROR(INDEX(Roster!$B$5:$B$154,MATCH(B2257,Roster!$A$5:$A$154,0)),"Not on roster"))</f>
        <v/>
      </c>
      <c r="G2257" s="28" t="str">
        <f aca="false">IF(OR(B2257="",C2257=""),"",F2257&amp;" | "&amp;C2257)</f>
        <v/>
      </c>
      <c r="H2257" s="27" t="str">
        <f aca="false">IF(G2257="","",IFERROR(INDEX(Levels!$C$5:$C$94,MATCH(G2257,Levels!$G$5:$G$94,0)),"Not this class's skill"))</f>
        <v/>
      </c>
    </row>
    <row r="2258" customFormat="false" ht="15" hidden="false" customHeight="false" outlineLevel="0" collapsed="false">
      <c r="A2258" s="23"/>
      <c r="B2258" s="22"/>
      <c r="C2258" s="22"/>
      <c r="D2258" s="22"/>
      <c r="E2258" s="22"/>
      <c r="F2258" s="27" t="str">
        <f aca="false">IF(B2258="","",IFERROR(INDEX(Roster!$B$5:$B$154,MATCH(B2258,Roster!$A$5:$A$154,0)),"Not on roster"))</f>
        <v/>
      </c>
      <c r="G2258" s="28" t="str">
        <f aca="false">IF(OR(B2258="",C2258=""),"",F2258&amp;" | "&amp;C2258)</f>
        <v/>
      </c>
      <c r="H2258" s="27" t="str">
        <f aca="false">IF(G2258="","",IFERROR(INDEX(Levels!$C$5:$C$94,MATCH(G2258,Levels!$G$5:$G$94,0)),"Not this class's skill"))</f>
        <v/>
      </c>
    </row>
    <row r="2259" customFormat="false" ht="15" hidden="false" customHeight="false" outlineLevel="0" collapsed="false">
      <c r="A2259" s="23"/>
      <c r="B2259" s="22"/>
      <c r="C2259" s="22"/>
      <c r="D2259" s="22"/>
      <c r="E2259" s="22"/>
      <c r="F2259" s="27" t="str">
        <f aca="false">IF(B2259="","",IFERROR(INDEX(Roster!$B$5:$B$154,MATCH(B2259,Roster!$A$5:$A$154,0)),"Not on roster"))</f>
        <v/>
      </c>
      <c r="G2259" s="28" t="str">
        <f aca="false">IF(OR(B2259="",C2259=""),"",F2259&amp;" | "&amp;C2259)</f>
        <v/>
      </c>
      <c r="H2259" s="27" t="str">
        <f aca="false">IF(G2259="","",IFERROR(INDEX(Levels!$C$5:$C$94,MATCH(G2259,Levels!$G$5:$G$94,0)),"Not this class's skill"))</f>
        <v/>
      </c>
    </row>
    <row r="2260" customFormat="false" ht="15" hidden="false" customHeight="false" outlineLevel="0" collapsed="false">
      <c r="A2260" s="23"/>
      <c r="B2260" s="22"/>
      <c r="C2260" s="22"/>
      <c r="D2260" s="22"/>
      <c r="E2260" s="22"/>
      <c r="F2260" s="27" t="str">
        <f aca="false">IF(B2260="","",IFERROR(INDEX(Roster!$B$5:$B$154,MATCH(B2260,Roster!$A$5:$A$154,0)),"Not on roster"))</f>
        <v/>
      </c>
      <c r="G2260" s="28" t="str">
        <f aca="false">IF(OR(B2260="",C2260=""),"",F2260&amp;" | "&amp;C2260)</f>
        <v/>
      </c>
      <c r="H2260" s="27" t="str">
        <f aca="false">IF(G2260="","",IFERROR(INDEX(Levels!$C$5:$C$94,MATCH(G2260,Levels!$G$5:$G$94,0)),"Not this class's skill"))</f>
        <v/>
      </c>
    </row>
    <row r="2261" customFormat="false" ht="15" hidden="false" customHeight="false" outlineLevel="0" collapsed="false">
      <c r="A2261" s="23"/>
      <c r="B2261" s="22"/>
      <c r="C2261" s="22"/>
      <c r="D2261" s="22"/>
      <c r="E2261" s="22"/>
      <c r="F2261" s="27" t="str">
        <f aca="false">IF(B2261="","",IFERROR(INDEX(Roster!$B$5:$B$154,MATCH(B2261,Roster!$A$5:$A$154,0)),"Not on roster"))</f>
        <v/>
      </c>
      <c r="G2261" s="28" t="str">
        <f aca="false">IF(OR(B2261="",C2261=""),"",F2261&amp;" | "&amp;C2261)</f>
        <v/>
      </c>
      <c r="H2261" s="27" t="str">
        <f aca="false">IF(G2261="","",IFERROR(INDEX(Levels!$C$5:$C$94,MATCH(G2261,Levels!$G$5:$G$94,0)),"Not this class's skill"))</f>
        <v/>
      </c>
    </row>
    <row r="2262" customFormat="false" ht="15" hidden="false" customHeight="false" outlineLevel="0" collapsed="false">
      <c r="A2262" s="23"/>
      <c r="B2262" s="22"/>
      <c r="C2262" s="22"/>
      <c r="D2262" s="22"/>
      <c r="E2262" s="22"/>
      <c r="F2262" s="27" t="str">
        <f aca="false">IF(B2262="","",IFERROR(INDEX(Roster!$B$5:$B$154,MATCH(B2262,Roster!$A$5:$A$154,0)),"Not on roster"))</f>
        <v/>
      </c>
      <c r="G2262" s="28" t="str">
        <f aca="false">IF(OR(B2262="",C2262=""),"",F2262&amp;" | "&amp;C2262)</f>
        <v/>
      </c>
      <c r="H2262" s="27" t="str">
        <f aca="false">IF(G2262="","",IFERROR(INDEX(Levels!$C$5:$C$94,MATCH(G2262,Levels!$G$5:$G$94,0)),"Not this class's skill"))</f>
        <v/>
      </c>
    </row>
    <row r="2263" customFormat="false" ht="15" hidden="false" customHeight="false" outlineLevel="0" collapsed="false">
      <c r="A2263" s="23"/>
      <c r="B2263" s="22"/>
      <c r="C2263" s="22"/>
      <c r="D2263" s="22"/>
      <c r="E2263" s="22"/>
      <c r="F2263" s="27" t="str">
        <f aca="false">IF(B2263="","",IFERROR(INDEX(Roster!$B$5:$B$154,MATCH(B2263,Roster!$A$5:$A$154,0)),"Not on roster"))</f>
        <v/>
      </c>
      <c r="G2263" s="28" t="str">
        <f aca="false">IF(OR(B2263="",C2263=""),"",F2263&amp;" | "&amp;C2263)</f>
        <v/>
      </c>
      <c r="H2263" s="27" t="str">
        <f aca="false">IF(G2263="","",IFERROR(INDEX(Levels!$C$5:$C$94,MATCH(G2263,Levels!$G$5:$G$94,0)),"Not this class's skill"))</f>
        <v/>
      </c>
    </row>
    <row r="2264" customFormat="false" ht="15" hidden="false" customHeight="false" outlineLevel="0" collapsed="false">
      <c r="A2264" s="23"/>
      <c r="B2264" s="22"/>
      <c r="C2264" s="22"/>
      <c r="D2264" s="22"/>
      <c r="E2264" s="22"/>
      <c r="F2264" s="27" t="str">
        <f aca="false">IF(B2264="","",IFERROR(INDEX(Roster!$B$5:$B$154,MATCH(B2264,Roster!$A$5:$A$154,0)),"Not on roster"))</f>
        <v/>
      </c>
      <c r="G2264" s="28" t="str">
        <f aca="false">IF(OR(B2264="",C2264=""),"",F2264&amp;" | "&amp;C2264)</f>
        <v/>
      </c>
      <c r="H2264" s="27" t="str">
        <f aca="false">IF(G2264="","",IFERROR(INDEX(Levels!$C$5:$C$94,MATCH(G2264,Levels!$G$5:$G$94,0)),"Not this class's skill"))</f>
        <v/>
      </c>
    </row>
    <row r="2265" customFormat="false" ht="15" hidden="false" customHeight="false" outlineLevel="0" collapsed="false">
      <c r="A2265" s="23"/>
      <c r="B2265" s="22"/>
      <c r="C2265" s="22"/>
      <c r="D2265" s="22"/>
      <c r="E2265" s="22"/>
      <c r="F2265" s="27" t="str">
        <f aca="false">IF(B2265="","",IFERROR(INDEX(Roster!$B$5:$B$154,MATCH(B2265,Roster!$A$5:$A$154,0)),"Not on roster"))</f>
        <v/>
      </c>
      <c r="G2265" s="28" t="str">
        <f aca="false">IF(OR(B2265="",C2265=""),"",F2265&amp;" | "&amp;C2265)</f>
        <v/>
      </c>
      <c r="H2265" s="27" t="str">
        <f aca="false">IF(G2265="","",IFERROR(INDEX(Levels!$C$5:$C$94,MATCH(G2265,Levels!$G$5:$G$94,0)),"Not this class's skill"))</f>
        <v/>
      </c>
    </row>
    <row r="2266" customFormat="false" ht="15" hidden="false" customHeight="false" outlineLevel="0" collapsed="false">
      <c r="A2266" s="23"/>
      <c r="B2266" s="22"/>
      <c r="C2266" s="22"/>
      <c r="D2266" s="22"/>
      <c r="E2266" s="22"/>
      <c r="F2266" s="27" t="str">
        <f aca="false">IF(B2266="","",IFERROR(INDEX(Roster!$B$5:$B$154,MATCH(B2266,Roster!$A$5:$A$154,0)),"Not on roster"))</f>
        <v/>
      </c>
      <c r="G2266" s="28" t="str">
        <f aca="false">IF(OR(B2266="",C2266=""),"",F2266&amp;" | "&amp;C2266)</f>
        <v/>
      </c>
      <c r="H2266" s="27" t="str">
        <f aca="false">IF(G2266="","",IFERROR(INDEX(Levels!$C$5:$C$94,MATCH(G2266,Levels!$G$5:$G$94,0)),"Not this class's skill"))</f>
        <v/>
      </c>
    </row>
    <row r="2267" customFormat="false" ht="15" hidden="false" customHeight="false" outlineLevel="0" collapsed="false">
      <c r="A2267" s="23"/>
      <c r="B2267" s="22"/>
      <c r="C2267" s="22"/>
      <c r="D2267" s="22"/>
      <c r="E2267" s="22"/>
      <c r="F2267" s="27" t="str">
        <f aca="false">IF(B2267="","",IFERROR(INDEX(Roster!$B$5:$B$154,MATCH(B2267,Roster!$A$5:$A$154,0)),"Not on roster"))</f>
        <v/>
      </c>
      <c r="G2267" s="28" t="str">
        <f aca="false">IF(OR(B2267="",C2267=""),"",F2267&amp;" | "&amp;C2267)</f>
        <v/>
      </c>
      <c r="H2267" s="27" t="str">
        <f aca="false">IF(G2267="","",IFERROR(INDEX(Levels!$C$5:$C$94,MATCH(G2267,Levels!$G$5:$G$94,0)),"Not this class's skill"))</f>
        <v/>
      </c>
    </row>
    <row r="2268" customFormat="false" ht="15" hidden="false" customHeight="false" outlineLevel="0" collapsed="false">
      <c r="A2268" s="23"/>
      <c r="B2268" s="22"/>
      <c r="C2268" s="22"/>
      <c r="D2268" s="22"/>
      <c r="E2268" s="22"/>
      <c r="F2268" s="27" t="str">
        <f aca="false">IF(B2268="","",IFERROR(INDEX(Roster!$B$5:$B$154,MATCH(B2268,Roster!$A$5:$A$154,0)),"Not on roster"))</f>
        <v/>
      </c>
      <c r="G2268" s="28" t="str">
        <f aca="false">IF(OR(B2268="",C2268=""),"",F2268&amp;" | "&amp;C2268)</f>
        <v/>
      </c>
      <c r="H2268" s="27" t="str">
        <f aca="false">IF(G2268="","",IFERROR(INDEX(Levels!$C$5:$C$94,MATCH(G2268,Levels!$G$5:$G$94,0)),"Not this class's skill"))</f>
        <v/>
      </c>
    </row>
    <row r="2269" customFormat="false" ht="15" hidden="false" customHeight="false" outlineLevel="0" collapsed="false">
      <c r="A2269" s="23"/>
      <c r="B2269" s="22"/>
      <c r="C2269" s="22"/>
      <c r="D2269" s="22"/>
      <c r="E2269" s="22"/>
      <c r="F2269" s="27" t="str">
        <f aca="false">IF(B2269="","",IFERROR(INDEX(Roster!$B$5:$B$154,MATCH(B2269,Roster!$A$5:$A$154,0)),"Not on roster"))</f>
        <v/>
      </c>
      <c r="G2269" s="28" t="str">
        <f aca="false">IF(OR(B2269="",C2269=""),"",F2269&amp;" | "&amp;C2269)</f>
        <v/>
      </c>
      <c r="H2269" s="27" t="str">
        <f aca="false">IF(G2269="","",IFERROR(INDEX(Levels!$C$5:$C$94,MATCH(G2269,Levels!$G$5:$G$94,0)),"Not this class's skill"))</f>
        <v/>
      </c>
    </row>
    <row r="2270" customFormat="false" ht="15" hidden="false" customHeight="false" outlineLevel="0" collapsed="false">
      <c r="A2270" s="23"/>
      <c r="B2270" s="22"/>
      <c r="C2270" s="22"/>
      <c r="D2270" s="22"/>
      <c r="E2270" s="22"/>
      <c r="F2270" s="27" t="str">
        <f aca="false">IF(B2270="","",IFERROR(INDEX(Roster!$B$5:$B$154,MATCH(B2270,Roster!$A$5:$A$154,0)),"Not on roster"))</f>
        <v/>
      </c>
      <c r="G2270" s="28" t="str">
        <f aca="false">IF(OR(B2270="",C2270=""),"",F2270&amp;" | "&amp;C2270)</f>
        <v/>
      </c>
      <c r="H2270" s="27" t="str">
        <f aca="false">IF(G2270="","",IFERROR(INDEX(Levels!$C$5:$C$94,MATCH(G2270,Levels!$G$5:$G$94,0)),"Not this class's skill"))</f>
        <v/>
      </c>
    </row>
    <row r="2271" customFormat="false" ht="15" hidden="false" customHeight="false" outlineLevel="0" collapsed="false">
      <c r="A2271" s="23"/>
      <c r="B2271" s="22"/>
      <c r="C2271" s="22"/>
      <c r="D2271" s="22"/>
      <c r="E2271" s="22"/>
      <c r="F2271" s="27" t="str">
        <f aca="false">IF(B2271="","",IFERROR(INDEX(Roster!$B$5:$B$154,MATCH(B2271,Roster!$A$5:$A$154,0)),"Not on roster"))</f>
        <v/>
      </c>
      <c r="G2271" s="28" t="str">
        <f aca="false">IF(OR(B2271="",C2271=""),"",F2271&amp;" | "&amp;C2271)</f>
        <v/>
      </c>
      <c r="H2271" s="27" t="str">
        <f aca="false">IF(G2271="","",IFERROR(INDEX(Levels!$C$5:$C$94,MATCH(G2271,Levels!$G$5:$G$94,0)),"Not this class's skill"))</f>
        <v/>
      </c>
    </row>
    <row r="2272" customFormat="false" ht="15" hidden="false" customHeight="false" outlineLevel="0" collapsed="false">
      <c r="A2272" s="23"/>
      <c r="B2272" s="22"/>
      <c r="C2272" s="22"/>
      <c r="D2272" s="22"/>
      <c r="E2272" s="22"/>
      <c r="F2272" s="27" t="str">
        <f aca="false">IF(B2272="","",IFERROR(INDEX(Roster!$B$5:$B$154,MATCH(B2272,Roster!$A$5:$A$154,0)),"Not on roster"))</f>
        <v/>
      </c>
      <c r="G2272" s="28" t="str">
        <f aca="false">IF(OR(B2272="",C2272=""),"",F2272&amp;" | "&amp;C2272)</f>
        <v/>
      </c>
      <c r="H2272" s="27" t="str">
        <f aca="false">IF(G2272="","",IFERROR(INDEX(Levels!$C$5:$C$94,MATCH(G2272,Levels!$G$5:$G$94,0)),"Not this class's skill"))</f>
        <v/>
      </c>
    </row>
    <row r="2273" customFormat="false" ht="15" hidden="false" customHeight="false" outlineLevel="0" collapsed="false">
      <c r="A2273" s="23"/>
      <c r="B2273" s="22"/>
      <c r="C2273" s="22"/>
      <c r="D2273" s="22"/>
      <c r="E2273" s="22"/>
      <c r="F2273" s="27" t="str">
        <f aca="false">IF(B2273="","",IFERROR(INDEX(Roster!$B$5:$B$154,MATCH(B2273,Roster!$A$5:$A$154,0)),"Not on roster"))</f>
        <v/>
      </c>
      <c r="G2273" s="28" t="str">
        <f aca="false">IF(OR(B2273="",C2273=""),"",F2273&amp;" | "&amp;C2273)</f>
        <v/>
      </c>
      <c r="H2273" s="27" t="str">
        <f aca="false">IF(G2273="","",IFERROR(INDEX(Levels!$C$5:$C$94,MATCH(G2273,Levels!$G$5:$G$94,0)),"Not this class's skill"))</f>
        <v/>
      </c>
    </row>
    <row r="2274" customFormat="false" ht="15" hidden="false" customHeight="false" outlineLevel="0" collapsed="false">
      <c r="A2274" s="23"/>
      <c r="B2274" s="22"/>
      <c r="C2274" s="22"/>
      <c r="D2274" s="22"/>
      <c r="E2274" s="22"/>
      <c r="F2274" s="27" t="str">
        <f aca="false">IF(B2274="","",IFERROR(INDEX(Roster!$B$5:$B$154,MATCH(B2274,Roster!$A$5:$A$154,0)),"Not on roster"))</f>
        <v/>
      </c>
      <c r="G2274" s="28" t="str">
        <f aca="false">IF(OR(B2274="",C2274=""),"",F2274&amp;" | "&amp;C2274)</f>
        <v/>
      </c>
      <c r="H2274" s="27" t="str">
        <f aca="false">IF(G2274="","",IFERROR(INDEX(Levels!$C$5:$C$94,MATCH(G2274,Levels!$G$5:$G$94,0)),"Not this class's skill"))</f>
        <v/>
      </c>
    </row>
    <row r="2275" customFormat="false" ht="15" hidden="false" customHeight="false" outlineLevel="0" collapsed="false">
      <c r="A2275" s="23"/>
      <c r="B2275" s="22"/>
      <c r="C2275" s="22"/>
      <c r="D2275" s="22"/>
      <c r="E2275" s="22"/>
      <c r="F2275" s="27" t="str">
        <f aca="false">IF(B2275="","",IFERROR(INDEX(Roster!$B$5:$B$154,MATCH(B2275,Roster!$A$5:$A$154,0)),"Not on roster"))</f>
        <v/>
      </c>
      <c r="G2275" s="28" t="str">
        <f aca="false">IF(OR(B2275="",C2275=""),"",F2275&amp;" | "&amp;C2275)</f>
        <v/>
      </c>
      <c r="H2275" s="27" t="str">
        <f aca="false">IF(G2275="","",IFERROR(INDEX(Levels!$C$5:$C$94,MATCH(G2275,Levels!$G$5:$G$94,0)),"Not this class's skill"))</f>
        <v/>
      </c>
    </row>
    <row r="2276" customFormat="false" ht="15" hidden="false" customHeight="false" outlineLevel="0" collapsed="false">
      <c r="A2276" s="23"/>
      <c r="B2276" s="22"/>
      <c r="C2276" s="22"/>
      <c r="D2276" s="22"/>
      <c r="E2276" s="22"/>
      <c r="F2276" s="27" t="str">
        <f aca="false">IF(B2276="","",IFERROR(INDEX(Roster!$B$5:$B$154,MATCH(B2276,Roster!$A$5:$A$154,0)),"Not on roster"))</f>
        <v/>
      </c>
      <c r="G2276" s="28" t="str">
        <f aca="false">IF(OR(B2276="",C2276=""),"",F2276&amp;" | "&amp;C2276)</f>
        <v/>
      </c>
      <c r="H2276" s="27" t="str">
        <f aca="false">IF(G2276="","",IFERROR(INDEX(Levels!$C$5:$C$94,MATCH(G2276,Levels!$G$5:$G$94,0)),"Not this class's skill"))</f>
        <v/>
      </c>
    </row>
    <row r="2277" customFormat="false" ht="15" hidden="false" customHeight="false" outlineLevel="0" collapsed="false">
      <c r="A2277" s="23"/>
      <c r="B2277" s="22"/>
      <c r="C2277" s="22"/>
      <c r="D2277" s="22"/>
      <c r="E2277" s="22"/>
      <c r="F2277" s="27" t="str">
        <f aca="false">IF(B2277="","",IFERROR(INDEX(Roster!$B$5:$B$154,MATCH(B2277,Roster!$A$5:$A$154,0)),"Not on roster"))</f>
        <v/>
      </c>
      <c r="G2277" s="28" t="str">
        <f aca="false">IF(OR(B2277="",C2277=""),"",F2277&amp;" | "&amp;C2277)</f>
        <v/>
      </c>
      <c r="H2277" s="27" t="str">
        <f aca="false">IF(G2277="","",IFERROR(INDEX(Levels!$C$5:$C$94,MATCH(G2277,Levels!$G$5:$G$94,0)),"Not this class's skill"))</f>
        <v/>
      </c>
    </row>
    <row r="2278" customFormat="false" ht="15" hidden="false" customHeight="false" outlineLevel="0" collapsed="false">
      <c r="A2278" s="23"/>
      <c r="B2278" s="22"/>
      <c r="C2278" s="22"/>
      <c r="D2278" s="22"/>
      <c r="E2278" s="22"/>
      <c r="F2278" s="27" t="str">
        <f aca="false">IF(B2278="","",IFERROR(INDEX(Roster!$B$5:$B$154,MATCH(B2278,Roster!$A$5:$A$154,0)),"Not on roster"))</f>
        <v/>
      </c>
      <c r="G2278" s="28" t="str">
        <f aca="false">IF(OR(B2278="",C2278=""),"",F2278&amp;" | "&amp;C2278)</f>
        <v/>
      </c>
      <c r="H2278" s="27" t="str">
        <f aca="false">IF(G2278="","",IFERROR(INDEX(Levels!$C$5:$C$94,MATCH(G2278,Levels!$G$5:$G$94,0)),"Not this class's skill"))</f>
        <v/>
      </c>
    </row>
    <row r="2279" customFormat="false" ht="15" hidden="false" customHeight="false" outlineLevel="0" collapsed="false">
      <c r="A2279" s="23"/>
      <c r="B2279" s="22"/>
      <c r="C2279" s="22"/>
      <c r="D2279" s="22"/>
      <c r="E2279" s="22"/>
      <c r="F2279" s="27" t="str">
        <f aca="false">IF(B2279="","",IFERROR(INDEX(Roster!$B$5:$B$154,MATCH(B2279,Roster!$A$5:$A$154,0)),"Not on roster"))</f>
        <v/>
      </c>
      <c r="G2279" s="28" t="str">
        <f aca="false">IF(OR(B2279="",C2279=""),"",F2279&amp;" | "&amp;C2279)</f>
        <v/>
      </c>
      <c r="H2279" s="27" t="str">
        <f aca="false">IF(G2279="","",IFERROR(INDEX(Levels!$C$5:$C$94,MATCH(G2279,Levels!$G$5:$G$94,0)),"Not this class's skill"))</f>
        <v/>
      </c>
    </row>
    <row r="2280" customFormat="false" ht="15" hidden="false" customHeight="false" outlineLevel="0" collapsed="false">
      <c r="A2280" s="23"/>
      <c r="B2280" s="22"/>
      <c r="C2280" s="22"/>
      <c r="D2280" s="22"/>
      <c r="E2280" s="22"/>
      <c r="F2280" s="27" t="str">
        <f aca="false">IF(B2280="","",IFERROR(INDEX(Roster!$B$5:$B$154,MATCH(B2280,Roster!$A$5:$A$154,0)),"Not on roster"))</f>
        <v/>
      </c>
      <c r="G2280" s="28" t="str">
        <f aca="false">IF(OR(B2280="",C2280=""),"",F2280&amp;" | "&amp;C2280)</f>
        <v/>
      </c>
      <c r="H2280" s="27" t="str">
        <f aca="false">IF(G2280="","",IFERROR(INDEX(Levels!$C$5:$C$94,MATCH(G2280,Levels!$G$5:$G$94,0)),"Not this class's skill"))</f>
        <v/>
      </c>
    </row>
    <row r="2281" customFormat="false" ht="15" hidden="false" customHeight="false" outlineLevel="0" collapsed="false">
      <c r="A2281" s="23"/>
      <c r="B2281" s="22"/>
      <c r="C2281" s="22"/>
      <c r="D2281" s="22"/>
      <c r="E2281" s="22"/>
      <c r="F2281" s="27" t="str">
        <f aca="false">IF(B2281="","",IFERROR(INDEX(Roster!$B$5:$B$154,MATCH(B2281,Roster!$A$5:$A$154,0)),"Not on roster"))</f>
        <v/>
      </c>
      <c r="G2281" s="28" t="str">
        <f aca="false">IF(OR(B2281="",C2281=""),"",F2281&amp;" | "&amp;C2281)</f>
        <v/>
      </c>
      <c r="H2281" s="27" t="str">
        <f aca="false">IF(G2281="","",IFERROR(INDEX(Levels!$C$5:$C$94,MATCH(G2281,Levels!$G$5:$G$94,0)),"Not this class's skill"))</f>
        <v/>
      </c>
    </row>
    <row r="2282" customFormat="false" ht="15" hidden="false" customHeight="false" outlineLevel="0" collapsed="false">
      <c r="A2282" s="23"/>
      <c r="B2282" s="22"/>
      <c r="C2282" s="22"/>
      <c r="D2282" s="22"/>
      <c r="E2282" s="22"/>
      <c r="F2282" s="27" t="str">
        <f aca="false">IF(B2282="","",IFERROR(INDEX(Roster!$B$5:$B$154,MATCH(B2282,Roster!$A$5:$A$154,0)),"Not on roster"))</f>
        <v/>
      </c>
      <c r="G2282" s="28" t="str">
        <f aca="false">IF(OR(B2282="",C2282=""),"",F2282&amp;" | "&amp;C2282)</f>
        <v/>
      </c>
      <c r="H2282" s="27" t="str">
        <f aca="false">IF(G2282="","",IFERROR(INDEX(Levels!$C$5:$C$94,MATCH(G2282,Levels!$G$5:$G$94,0)),"Not this class's skill"))</f>
        <v/>
      </c>
    </row>
    <row r="2283" customFormat="false" ht="15" hidden="false" customHeight="false" outlineLevel="0" collapsed="false">
      <c r="A2283" s="23"/>
      <c r="B2283" s="22"/>
      <c r="C2283" s="22"/>
      <c r="D2283" s="22"/>
      <c r="E2283" s="22"/>
      <c r="F2283" s="27" t="str">
        <f aca="false">IF(B2283="","",IFERROR(INDEX(Roster!$B$5:$B$154,MATCH(B2283,Roster!$A$5:$A$154,0)),"Not on roster"))</f>
        <v/>
      </c>
      <c r="G2283" s="28" t="str">
        <f aca="false">IF(OR(B2283="",C2283=""),"",F2283&amp;" | "&amp;C2283)</f>
        <v/>
      </c>
      <c r="H2283" s="27" t="str">
        <f aca="false">IF(G2283="","",IFERROR(INDEX(Levels!$C$5:$C$94,MATCH(G2283,Levels!$G$5:$G$94,0)),"Not this class's skill"))</f>
        <v/>
      </c>
    </row>
    <row r="2284" customFormat="false" ht="15" hidden="false" customHeight="false" outlineLevel="0" collapsed="false">
      <c r="A2284" s="23"/>
      <c r="B2284" s="22"/>
      <c r="C2284" s="22"/>
      <c r="D2284" s="22"/>
      <c r="E2284" s="22"/>
      <c r="F2284" s="27" t="str">
        <f aca="false">IF(B2284="","",IFERROR(INDEX(Roster!$B$5:$B$154,MATCH(B2284,Roster!$A$5:$A$154,0)),"Not on roster"))</f>
        <v/>
      </c>
      <c r="G2284" s="28" t="str">
        <f aca="false">IF(OR(B2284="",C2284=""),"",F2284&amp;" | "&amp;C2284)</f>
        <v/>
      </c>
      <c r="H2284" s="27" t="str">
        <f aca="false">IF(G2284="","",IFERROR(INDEX(Levels!$C$5:$C$94,MATCH(G2284,Levels!$G$5:$G$94,0)),"Not this class's skill"))</f>
        <v/>
      </c>
    </row>
    <row r="2285" customFormat="false" ht="15" hidden="false" customHeight="false" outlineLevel="0" collapsed="false">
      <c r="A2285" s="23"/>
      <c r="B2285" s="22"/>
      <c r="C2285" s="22"/>
      <c r="D2285" s="22"/>
      <c r="E2285" s="22"/>
      <c r="F2285" s="27" t="str">
        <f aca="false">IF(B2285="","",IFERROR(INDEX(Roster!$B$5:$B$154,MATCH(B2285,Roster!$A$5:$A$154,0)),"Not on roster"))</f>
        <v/>
      </c>
      <c r="G2285" s="28" t="str">
        <f aca="false">IF(OR(B2285="",C2285=""),"",F2285&amp;" | "&amp;C2285)</f>
        <v/>
      </c>
      <c r="H2285" s="27" t="str">
        <f aca="false">IF(G2285="","",IFERROR(INDEX(Levels!$C$5:$C$94,MATCH(G2285,Levels!$G$5:$G$94,0)),"Not this class's skill"))</f>
        <v/>
      </c>
    </row>
    <row r="2286" customFormat="false" ht="15" hidden="false" customHeight="false" outlineLevel="0" collapsed="false">
      <c r="A2286" s="23"/>
      <c r="B2286" s="22"/>
      <c r="C2286" s="22"/>
      <c r="D2286" s="22"/>
      <c r="E2286" s="22"/>
      <c r="F2286" s="27" t="str">
        <f aca="false">IF(B2286="","",IFERROR(INDEX(Roster!$B$5:$B$154,MATCH(B2286,Roster!$A$5:$A$154,0)),"Not on roster"))</f>
        <v/>
      </c>
      <c r="G2286" s="28" t="str">
        <f aca="false">IF(OR(B2286="",C2286=""),"",F2286&amp;" | "&amp;C2286)</f>
        <v/>
      </c>
      <c r="H2286" s="27" t="str">
        <f aca="false">IF(G2286="","",IFERROR(INDEX(Levels!$C$5:$C$94,MATCH(G2286,Levels!$G$5:$G$94,0)),"Not this class's skill"))</f>
        <v/>
      </c>
    </row>
    <row r="2287" customFormat="false" ht="15" hidden="false" customHeight="false" outlineLevel="0" collapsed="false">
      <c r="A2287" s="23"/>
      <c r="B2287" s="22"/>
      <c r="C2287" s="22"/>
      <c r="D2287" s="22"/>
      <c r="E2287" s="22"/>
      <c r="F2287" s="27" t="str">
        <f aca="false">IF(B2287="","",IFERROR(INDEX(Roster!$B$5:$B$154,MATCH(B2287,Roster!$A$5:$A$154,0)),"Not on roster"))</f>
        <v/>
      </c>
      <c r="G2287" s="28" t="str">
        <f aca="false">IF(OR(B2287="",C2287=""),"",F2287&amp;" | "&amp;C2287)</f>
        <v/>
      </c>
      <c r="H2287" s="27" t="str">
        <f aca="false">IF(G2287="","",IFERROR(INDEX(Levels!$C$5:$C$94,MATCH(G2287,Levels!$G$5:$G$94,0)),"Not this class's skill"))</f>
        <v/>
      </c>
    </row>
    <row r="2288" customFormat="false" ht="15" hidden="false" customHeight="false" outlineLevel="0" collapsed="false">
      <c r="A2288" s="23"/>
      <c r="B2288" s="22"/>
      <c r="C2288" s="22"/>
      <c r="D2288" s="22"/>
      <c r="E2288" s="22"/>
      <c r="F2288" s="27" t="str">
        <f aca="false">IF(B2288="","",IFERROR(INDEX(Roster!$B$5:$B$154,MATCH(B2288,Roster!$A$5:$A$154,0)),"Not on roster"))</f>
        <v/>
      </c>
      <c r="G2288" s="28" t="str">
        <f aca="false">IF(OR(B2288="",C2288=""),"",F2288&amp;" | "&amp;C2288)</f>
        <v/>
      </c>
      <c r="H2288" s="27" t="str">
        <f aca="false">IF(G2288="","",IFERROR(INDEX(Levels!$C$5:$C$94,MATCH(G2288,Levels!$G$5:$G$94,0)),"Not this class's skill"))</f>
        <v/>
      </c>
    </row>
    <row r="2289" customFormat="false" ht="15" hidden="false" customHeight="false" outlineLevel="0" collapsed="false">
      <c r="A2289" s="23"/>
      <c r="B2289" s="22"/>
      <c r="C2289" s="22"/>
      <c r="D2289" s="22"/>
      <c r="E2289" s="22"/>
      <c r="F2289" s="27" t="str">
        <f aca="false">IF(B2289="","",IFERROR(INDEX(Roster!$B$5:$B$154,MATCH(B2289,Roster!$A$5:$A$154,0)),"Not on roster"))</f>
        <v/>
      </c>
      <c r="G2289" s="28" t="str">
        <f aca="false">IF(OR(B2289="",C2289=""),"",F2289&amp;" | "&amp;C2289)</f>
        <v/>
      </c>
      <c r="H2289" s="27" t="str">
        <f aca="false">IF(G2289="","",IFERROR(INDEX(Levels!$C$5:$C$94,MATCH(G2289,Levels!$G$5:$G$94,0)),"Not this class's skill"))</f>
        <v/>
      </c>
    </row>
    <row r="2290" customFormat="false" ht="15" hidden="false" customHeight="false" outlineLevel="0" collapsed="false">
      <c r="A2290" s="23"/>
      <c r="B2290" s="22"/>
      <c r="C2290" s="22"/>
      <c r="D2290" s="22"/>
      <c r="E2290" s="22"/>
      <c r="F2290" s="27" t="str">
        <f aca="false">IF(B2290="","",IFERROR(INDEX(Roster!$B$5:$B$154,MATCH(B2290,Roster!$A$5:$A$154,0)),"Not on roster"))</f>
        <v/>
      </c>
      <c r="G2290" s="28" t="str">
        <f aca="false">IF(OR(B2290="",C2290=""),"",F2290&amp;" | "&amp;C2290)</f>
        <v/>
      </c>
      <c r="H2290" s="27" t="str">
        <f aca="false">IF(G2290="","",IFERROR(INDEX(Levels!$C$5:$C$94,MATCH(G2290,Levels!$G$5:$G$94,0)),"Not this class's skill"))</f>
        <v/>
      </c>
    </row>
    <row r="2291" customFormat="false" ht="15" hidden="false" customHeight="false" outlineLevel="0" collapsed="false">
      <c r="A2291" s="23"/>
      <c r="B2291" s="22"/>
      <c r="C2291" s="22"/>
      <c r="D2291" s="22"/>
      <c r="E2291" s="22"/>
      <c r="F2291" s="27" t="str">
        <f aca="false">IF(B2291="","",IFERROR(INDEX(Roster!$B$5:$B$154,MATCH(B2291,Roster!$A$5:$A$154,0)),"Not on roster"))</f>
        <v/>
      </c>
      <c r="G2291" s="28" t="str">
        <f aca="false">IF(OR(B2291="",C2291=""),"",F2291&amp;" | "&amp;C2291)</f>
        <v/>
      </c>
      <c r="H2291" s="27" t="str">
        <f aca="false">IF(G2291="","",IFERROR(INDEX(Levels!$C$5:$C$94,MATCH(G2291,Levels!$G$5:$G$94,0)),"Not this class's skill"))</f>
        <v/>
      </c>
    </row>
    <row r="2292" customFormat="false" ht="15" hidden="false" customHeight="false" outlineLevel="0" collapsed="false">
      <c r="A2292" s="23"/>
      <c r="B2292" s="22"/>
      <c r="C2292" s="22"/>
      <c r="D2292" s="22"/>
      <c r="E2292" s="22"/>
      <c r="F2292" s="27" t="str">
        <f aca="false">IF(B2292="","",IFERROR(INDEX(Roster!$B$5:$B$154,MATCH(B2292,Roster!$A$5:$A$154,0)),"Not on roster"))</f>
        <v/>
      </c>
      <c r="G2292" s="28" t="str">
        <f aca="false">IF(OR(B2292="",C2292=""),"",F2292&amp;" | "&amp;C2292)</f>
        <v/>
      </c>
      <c r="H2292" s="27" t="str">
        <f aca="false">IF(G2292="","",IFERROR(INDEX(Levels!$C$5:$C$94,MATCH(G2292,Levels!$G$5:$G$94,0)),"Not this class's skill"))</f>
        <v/>
      </c>
    </row>
    <row r="2293" customFormat="false" ht="15" hidden="false" customHeight="false" outlineLevel="0" collapsed="false">
      <c r="A2293" s="23"/>
      <c r="B2293" s="22"/>
      <c r="C2293" s="22"/>
      <c r="D2293" s="22"/>
      <c r="E2293" s="22"/>
      <c r="F2293" s="27" t="str">
        <f aca="false">IF(B2293="","",IFERROR(INDEX(Roster!$B$5:$B$154,MATCH(B2293,Roster!$A$5:$A$154,0)),"Not on roster"))</f>
        <v/>
      </c>
      <c r="G2293" s="28" t="str">
        <f aca="false">IF(OR(B2293="",C2293=""),"",F2293&amp;" | "&amp;C2293)</f>
        <v/>
      </c>
      <c r="H2293" s="27" t="str">
        <f aca="false">IF(G2293="","",IFERROR(INDEX(Levels!$C$5:$C$94,MATCH(G2293,Levels!$G$5:$G$94,0)),"Not this class's skill"))</f>
        <v/>
      </c>
    </row>
    <row r="2294" customFormat="false" ht="15" hidden="false" customHeight="false" outlineLevel="0" collapsed="false">
      <c r="A2294" s="23"/>
      <c r="B2294" s="22"/>
      <c r="C2294" s="22"/>
      <c r="D2294" s="22"/>
      <c r="E2294" s="22"/>
      <c r="F2294" s="27" t="str">
        <f aca="false">IF(B2294="","",IFERROR(INDEX(Roster!$B$5:$B$154,MATCH(B2294,Roster!$A$5:$A$154,0)),"Not on roster"))</f>
        <v/>
      </c>
      <c r="G2294" s="28" t="str">
        <f aca="false">IF(OR(B2294="",C2294=""),"",F2294&amp;" | "&amp;C2294)</f>
        <v/>
      </c>
      <c r="H2294" s="27" t="str">
        <f aca="false">IF(G2294="","",IFERROR(INDEX(Levels!$C$5:$C$94,MATCH(G2294,Levels!$G$5:$G$94,0)),"Not this class's skill"))</f>
        <v/>
      </c>
    </row>
    <row r="2295" customFormat="false" ht="15" hidden="false" customHeight="false" outlineLevel="0" collapsed="false">
      <c r="A2295" s="23"/>
      <c r="B2295" s="22"/>
      <c r="C2295" s="22"/>
      <c r="D2295" s="22"/>
      <c r="E2295" s="22"/>
      <c r="F2295" s="27" t="str">
        <f aca="false">IF(B2295="","",IFERROR(INDEX(Roster!$B$5:$B$154,MATCH(B2295,Roster!$A$5:$A$154,0)),"Not on roster"))</f>
        <v/>
      </c>
      <c r="G2295" s="28" t="str">
        <f aca="false">IF(OR(B2295="",C2295=""),"",F2295&amp;" | "&amp;C2295)</f>
        <v/>
      </c>
      <c r="H2295" s="27" t="str">
        <f aca="false">IF(G2295="","",IFERROR(INDEX(Levels!$C$5:$C$94,MATCH(G2295,Levels!$G$5:$G$94,0)),"Not this class's skill"))</f>
        <v/>
      </c>
    </row>
    <row r="2296" customFormat="false" ht="15" hidden="false" customHeight="false" outlineLevel="0" collapsed="false">
      <c r="A2296" s="23"/>
      <c r="B2296" s="22"/>
      <c r="C2296" s="22"/>
      <c r="D2296" s="22"/>
      <c r="E2296" s="22"/>
      <c r="F2296" s="27" t="str">
        <f aca="false">IF(B2296="","",IFERROR(INDEX(Roster!$B$5:$B$154,MATCH(B2296,Roster!$A$5:$A$154,0)),"Not on roster"))</f>
        <v/>
      </c>
      <c r="G2296" s="28" t="str">
        <f aca="false">IF(OR(B2296="",C2296=""),"",F2296&amp;" | "&amp;C2296)</f>
        <v/>
      </c>
      <c r="H2296" s="27" t="str">
        <f aca="false">IF(G2296="","",IFERROR(INDEX(Levels!$C$5:$C$94,MATCH(G2296,Levels!$G$5:$G$94,0)),"Not this class's skill"))</f>
        <v/>
      </c>
    </row>
    <row r="2297" customFormat="false" ht="15" hidden="false" customHeight="false" outlineLevel="0" collapsed="false">
      <c r="A2297" s="23"/>
      <c r="B2297" s="22"/>
      <c r="C2297" s="22"/>
      <c r="D2297" s="22"/>
      <c r="E2297" s="22"/>
      <c r="F2297" s="27" t="str">
        <f aca="false">IF(B2297="","",IFERROR(INDEX(Roster!$B$5:$B$154,MATCH(B2297,Roster!$A$5:$A$154,0)),"Not on roster"))</f>
        <v/>
      </c>
      <c r="G2297" s="28" t="str">
        <f aca="false">IF(OR(B2297="",C2297=""),"",F2297&amp;" | "&amp;C2297)</f>
        <v/>
      </c>
      <c r="H2297" s="27" t="str">
        <f aca="false">IF(G2297="","",IFERROR(INDEX(Levels!$C$5:$C$94,MATCH(G2297,Levels!$G$5:$G$94,0)),"Not this class's skill"))</f>
        <v/>
      </c>
    </row>
    <row r="2298" customFormat="false" ht="15" hidden="false" customHeight="false" outlineLevel="0" collapsed="false">
      <c r="A2298" s="23"/>
      <c r="B2298" s="22"/>
      <c r="C2298" s="22"/>
      <c r="D2298" s="22"/>
      <c r="E2298" s="22"/>
      <c r="F2298" s="27" t="str">
        <f aca="false">IF(B2298="","",IFERROR(INDEX(Roster!$B$5:$B$154,MATCH(B2298,Roster!$A$5:$A$154,0)),"Not on roster"))</f>
        <v/>
      </c>
      <c r="G2298" s="28" t="str">
        <f aca="false">IF(OR(B2298="",C2298=""),"",F2298&amp;" | "&amp;C2298)</f>
        <v/>
      </c>
      <c r="H2298" s="27" t="str">
        <f aca="false">IF(G2298="","",IFERROR(INDEX(Levels!$C$5:$C$94,MATCH(G2298,Levels!$G$5:$G$94,0)),"Not this class's skill"))</f>
        <v/>
      </c>
    </row>
    <row r="2299" customFormat="false" ht="15" hidden="false" customHeight="false" outlineLevel="0" collapsed="false">
      <c r="A2299" s="23"/>
      <c r="B2299" s="22"/>
      <c r="C2299" s="22"/>
      <c r="D2299" s="22"/>
      <c r="E2299" s="22"/>
      <c r="F2299" s="27" t="str">
        <f aca="false">IF(B2299="","",IFERROR(INDEX(Roster!$B$5:$B$154,MATCH(B2299,Roster!$A$5:$A$154,0)),"Not on roster"))</f>
        <v/>
      </c>
      <c r="G2299" s="28" t="str">
        <f aca="false">IF(OR(B2299="",C2299=""),"",F2299&amp;" | "&amp;C2299)</f>
        <v/>
      </c>
      <c r="H2299" s="27" t="str">
        <f aca="false">IF(G2299="","",IFERROR(INDEX(Levels!$C$5:$C$94,MATCH(G2299,Levels!$G$5:$G$94,0)),"Not this class's skill"))</f>
        <v/>
      </c>
    </row>
    <row r="2300" customFormat="false" ht="15" hidden="false" customHeight="false" outlineLevel="0" collapsed="false">
      <c r="A2300" s="23"/>
      <c r="B2300" s="22"/>
      <c r="C2300" s="22"/>
      <c r="D2300" s="22"/>
      <c r="E2300" s="22"/>
      <c r="F2300" s="27" t="str">
        <f aca="false">IF(B2300="","",IFERROR(INDEX(Roster!$B$5:$B$154,MATCH(B2300,Roster!$A$5:$A$154,0)),"Not on roster"))</f>
        <v/>
      </c>
      <c r="G2300" s="28" t="str">
        <f aca="false">IF(OR(B2300="",C2300=""),"",F2300&amp;" | "&amp;C2300)</f>
        <v/>
      </c>
      <c r="H2300" s="27" t="str">
        <f aca="false">IF(G2300="","",IFERROR(INDEX(Levels!$C$5:$C$94,MATCH(G2300,Levels!$G$5:$G$94,0)),"Not this class's skill"))</f>
        <v/>
      </c>
    </row>
    <row r="2301" customFormat="false" ht="15" hidden="false" customHeight="false" outlineLevel="0" collapsed="false">
      <c r="A2301" s="23"/>
      <c r="B2301" s="22"/>
      <c r="C2301" s="22"/>
      <c r="D2301" s="22"/>
      <c r="E2301" s="22"/>
      <c r="F2301" s="27" t="str">
        <f aca="false">IF(B2301="","",IFERROR(INDEX(Roster!$B$5:$B$154,MATCH(B2301,Roster!$A$5:$A$154,0)),"Not on roster"))</f>
        <v/>
      </c>
      <c r="G2301" s="28" t="str">
        <f aca="false">IF(OR(B2301="",C2301=""),"",F2301&amp;" | "&amp;C2301)</f>
        <v/>
      </c>
      <c r="H2301" s="27" t="str">
        <f aca="false">IF(G2301="","",IFERROR(INDEX(Levels!$C$5:$C$94,MATCH(G2301,Levels!$G$5:$G$94,0)),"Not this class's skill"))</f>
        <v/>
      </c>
    </row>
    <row r="2302" customFormat="false" ht="15" hidden="false" customHeight="false" outlineLevel="0" collapsed="false">
      <c r="A2302" s="23"/>
      <c r="B2302" s="22"/>
      <c r="C2302" s="22"/>
      <c r="D2302" s="22"/>
      <c r="E2302" s="22"/>
      <c r="F2302" s="27" t="str">
        <f aca="false">IF(B2302="","",IFERROR(INDEX(Roster!$B$5:$B$154,MATCH(B2302,Roster!$A$5:$A$154,0)),"Not on roster"))</f>
        <v/>
      </c>
      <c r="G2302" s="28" t="str">
        <f aca="false">IF(OR(B2302="",C2302=""),"",F2302&amp;" | "&amp;C2302)</f>
        <v/>
      </c>
      <c r="H2302" s="27" t="str">
        <f aca="false">IF(G2302="","",IFERROR(INDEX(Levels!$C$5:$C$94,MATCH(G2302,Levels!$G$5:$G$94,0)),"Not this class's skill"))</f>
        <v/>
      </c>
    </row>
    <row r="2303" customFormat="false" ht="15" hidden="false" customHeight="false" outlineLevel="0" collapsed="false">
      <c r="A2303" s="23"/>
      <c r="B2303" s="22"/>
      <c r="C2303" s="22"/>
      <c r="D2303" s="22"/>
      <c r="E2303" s="22"/>
      <c r="F2303" s="27" t="str">
        <f aca="false">IF(B2303="","",IFERROR(INDEX(Roster!$B$5:$B$154,MATCH(B2303,Roster!$A$5:$A$154,0)),"Not on roster"))</f>
        <v/>
      </c>
      <c r="G2303" s="28" t="str">
        <f aca="false">IF(OR(B2303="",C2303=""),"",F2303&amp;" | "&amp;C2303)</f>
        <v/>
      </c>
      <c r="H2303" s="27" t="str">
        <f aca="false">IF(G2303="","",IFERROR(INDEX(Levels!$C$5:$C$94,MATCH(G2303,Levels!$G$5:$G$94,0)),"Not this class's skill"))</f>
        <v/>
      </c>
    </row>
    <row r="2304" customFormat="false" ht="15" hidden="false" customHeight="false" outlineLevel="0" collapsed="false">
      <c r="A2304" s="23"/>
      <c r="B2304" s="22"/>
      <c r="C2304" s="22"/>
      <c r="D2304" s="22"/>
      <c r="E2304" s="22"/>
      <c r="F2304" s="27" t="str">
        <f aca="false">IF(B2304="","",IFERROR(INDEX(Roster!$B$5:$B$154,MATCH(B2304,Roster!$A$5:$A$154,0)),"Not on roster"))</f>
        <v/>
      </c>
      <c r="G2304" s="28" t="str">
        <f aca="false">IF(OR(B2304="",C2304=""),"",F2304&amp;" | "&amp;C2304)</f>
        <v/>
      </c>
      <c r="H2304" s="27" t="str">
        <f aca="false">IF(G2304="","",IFERROR(INDEX(Levels!$C$5:$C$94,MATCH(G2304,Levels!$G$5:$G$94,0)),"Not this class's skill"))</f>
        <v/>
      </c>
    </row>
    <row r="2305" customFormat="false" ht="15" hidden="false" customHeight="false" outlineLevel="0" collapsed="false">
      <c r="A2305" s="23"/>
      <c r="B2305" s="22"/>
      <c r="C2305" s="22"/>
      <c r="D2305" s="22"/>
      <c r="E2305" s="22"/>
      <c r="F2305" s="27" t="str">
        <f aca="false">IF(B2305="","",IFERROR(INDEX(Roster!$B$5:$B$154,MATCH(B2305,Roster!$A$5:$A$154,0)),"Not on roster"))</f>
        <v/>
      </c>
      <c r="G2305" s="28" t="str">
        <f aca="false">IF(OR(B2305="",C2305=""),"",F2305&amp;" | "&amp;C2305)</f>
        <v/>
      </c>
      <c r="H2305" s="27" t="str">
        <f aca="false">IF(G2305="","",IFERROR(INDEX(Levels!$C$5:$C$94,MATCH(G2305,Levels!$G$5:$G$94,0)),"Not this class's skill"))</f>
        <v/>
      </c>
    </row>
    <row r="2306" customFormat="false" ht="15" hidden="false" customHeight="false" outlineLevel="0" collapsed="false">
      <c r="A2306" s="23"/>
      <c r="B2306" s="22"/>
      <c r="C2306" s="22"/>
      <c r="D2306" s="22"/>
      <c r="E2306" s="22"/>
      <c r="F2306" s="27" t="str">
        <f aca="false">IF(B2306="","",IFERROR(INDEX(Roster!$B$5:$B$154,MATCH(B2306,Roster!$A$5:$A$154,0)),"Not on roster"))</f>
        <v/>
      </c>
      <c r="G2306" s="28" t="str">
        <f aca="false">IF(OR(B2306="",C2306=""),"",F2306&amp;" | "&amp;C2306)</f>
        <v/>
      </c>
      <c r="H2306" s="27" t="str">
        <f aca="false">IF(G2306="","",IFERROR(INDEX(Levels!$C$5:$C$94,MATCH(G2306,Levels!$G$5:$G$94,0)),"Not this class's skill"))</f>
        <v/>
      </c>
    </row>
    <row r="2307" customFormat="false" ht="15" hidden="false" customHeight="false" outlineLevel="0" collapsed="false">
      <c r="A2307" s="23"/>
      <c r="B2307" s="22"/>
      <c r="C2307" s="22"/>
      <c r="D2307" s="22"/>
      <c r="E2307" s="22"/>
      <c r="F2307" s="27" t="str">
        <f aca="false">IF(B2307="","",IFERROR(INDEX(Roster!$B$5:$B$154,MATCH(B2307,Roster!$A$5:$A$154,0)),"Not on roster"))</f>
        <v/>
      </c>
      <c r="G2307" s="28" t="str">
        <f aca="false">IF(OR(B2307="",C2307=""),"",F2307&amp;" | "&amp;C2307)</f>
        <v/>
      </c>
      <c r="H2307" s="27" t="str">
        <f aca="false">IF(G2307="","",IFERROR(INDEX(Levels!$C$5:$C$94,MATCH(G2307,Levels!$G$5:$G$94,0)),"Not this class's skill"))</f>
        <v/>
      </c>
    </row>
    <row r="2308" customFormat="false" ht="15" hidden="false" customHeight="false" outlineLevel="0" collapsed="false">
      <c r="A2308" s="23"/>
      <c r="B2308" s="22"/>
      <c r="C2308" s="22"/>
      <c r="D2308" s="22"/>
      <c r="E2308" s="22"/>
      <c r="F2308" s="27" t="str">
        <f aca="false">IF(B2308="","",IFERROR(INDEX(Roster!$B$5:$B$154,MATCH(B2308,Roster!$A$5:$A$154,0)),"Not on roster"))</f>
        <v/>
      </c>
      <c r="G2308" s="28" t="str">
        <f aca="false">IF(OR(B2308="",C2308=""),"",F2308&amp;" | "&amp;C2308)</f>
        <v/>
      </c>
      <c r="H2308" s="27" t="str">
        <f aca="false">IF(G2308="","",IFERROR(INDEX(Levels!$C$5:$C$94,MATCH(G2308,Levels!$G$5:$G$94,0)),"Not this class's skill"))</f>
        <v/>
      </c>
    </row>
    <row r="2309" customFormat="false" ht="15" hidden="false" customHeight="false" outlineLevel="0" collapsed="false">
      <c r="A2309" s="23"/>
      <c r="B2309" s="22"/>
      <c r="C2309" s="22"/>
      <c r="D2309" s="22"/>
      <c r="E2309" s="22"/>
      <c r="F2309" s="27" t="str">
        <f aca="false">IF(B2309="","",IFERROR(INDEX(Roster!$B$5:$B$154,MATCH(B2309,Roster!$A$5:$A$154,0)),"Not on roster"))</f>
        <v/>
      </c>
      <c r="G2309" s="28" t="str">
        <f aca="false">IF(OR(B2309="",C2309=""),"",F2309&amp;" | "&amp;C2309)</f>
        <v/>
      </c>
      <c r="H2309" s="27" t="str">
        <f aca="false">IF(G2309="","",IFERROR(INDEX(Levels!$C$5:$C$94,MATCH(G2309,Levels!$G$5:$G$94,0)),"Not this class's skill"))</f>
        <v/>
      </c>
    </row>
    <row r="2310" customFormat="false" ht="15" hidden="false" customHeight="false" outlineLevel="0" collapsed="false">
      <c r="A2310" s="23"/>
      <c r="B2310" s="22"/>
      <c r="C2310" s="22"/>
      <c r="D2310" s="22"/>
      <c r="E2310" s="22"/>
      <c r="F2310" s="27" t="str">
        <f aca="false">IF(B2310="","",IFERROR(INDEX(Roster!$B$5:$B$154,MATCH(B2310,Roster!$A$5:$A$154,0)),"Not on roster"))</f>
        <v/>
      </c>
      <c r="G2310" s="28" t="str">
        <f aca="false">IF(OR(B2310="",C2310=""),"",F2310&amp;" | "&amp;C2310)</f>
        <v/>
      </c>
      <c r="H2310" s="27" t="str">
        <f aca="false">IF(G2310="","",IFERROR(INDEX(Levels!$C$5:$C$94,MATCH(G2310,Levels!$G$5:$G$94,0)),"Not this class's skill"))</f>
        <v/>
      </c>
    </row>
    <row r="2311" customFormat="false" ht="15" hidden="false" customHeight="false" outlineLevel="0" collapsed="false">
      <c r="A2311" s="23"/>
      <c r="B2311" s="22"/>
      <c r="C2311" s="22"/>
      <c r="D2311" s="22"/>
      <c r="E2311" s="22"/>
      <c r="F2311" s="27" t="str">
        <f aca="false">IF(B2311="","",IFERROR(INDEX(Roster!$B$5:$B$154,MATCH(B2311,Roster!$A$5:$A$154,0)),"Not on roster"))</f>
        <v/>
      </c>
      <c r="G2311" s="28" t="str">
        <f aca="false">IF(OR(B2311="",C2311=""),"",F2311&amp;" | "&amp;C2311)</f>
        <v/>
      </c>
      <c r="H2311" s="27" t="str">
        <f aca="false">IF(G2311="","",IFERROR(INDEX(Levels!$C$5:$C$94,MATCH(G2311,Levels!$G$5:$G$94,0)),"Not this class's skill"))</f>
        <v/>
      </c>
    </row>
    <row r="2312" customFormat="false" ht="15" hidden="false" customHeight="false" outlineLevel="0" collapsed="false">
      <c r="A2312" s="23"/>
      <c r="B2312" s="22"/>
      <c r="C2312" s="22"/>
      <c r="D2312" s="22"/>
      <c r="E2312" s="22"/>
      <c r="F2312" s="27" t="str">
        <f aca="false">IF(B2312="","",IFERROR(INDEX(Roster!$B$5:$B$154,MATCH(B2312,Roster!$A$5:$A$154,0)),"Not on roster"))</f>
        <v/>
      </c>
      <c r="G2312" s="28" t="str">
        <f aca="false">IF(OR(B2312="",C2312=""),"",F2312&amp;" | "&amp;C2312)</f>
        <v/>
      </c>
      <c r="H2312" s="27" t="str">
        <f aca="false">IF(G2312="","",IFERROR(INDEX(Levels!$C$5:$C$94,MATCH(G2312,Levels!$G$5:$G$94,0)),"Not this class's skill"))</f>
        <v/>
      </c>
    </row>
    <row r="2313" customFormat="false" ht="15" hidden="false" customHeight="false" outlineLevel="0" collapsed="false">
      <c r="A2313" s="23"/>
      <c r="B2313" s="22"/>
      <c r="C2313" s="22"/>
      <c r="D2313" s="22"/>
      <c r="E2313" s="22"/>
      <c r="F2313" s="27" t="str">
        <f aca="false">IF(B2313="","",IFERROR(INDEX(Roster!$B$5:$B$154,MATCH(B2313,Roster!$A$5:$A$154,0)),"Not on roster"))</f>
        <v/>
      </c>
      <c r="G2313" s="28" t="str">
        <f aca="false">IF(OR(B2313="",C2313=""),"",F2313&amp;" | "&amp;C2313)</f>
        <v/>
      </c>
      <c r="H2313" s="27" t="str">
        <f aca="false">IF(G2313="","",IFERROR(INDEX(Levels!$C$5:$C$94,MATCH(G2313,Levels!$G$5:$G$94,0)),"Not this class's skill"))</f>
        <v/>
      </c>
    </row>
    <row r="2314" customFormat="false" ht="15" hidden="false" customHeight="false" outlineLevel="0" collapsed="false">
      <c r="A2314" s="23"/>
      <c r="B2314" s="22"/>
      <c r="C2314" s="22"/>
      <c r="D2314" s="22"/>
      <c r="E2314" s="22"/>
      <c r="F2314" s="27" t="str">
        <f aca="false">IF(B2314="","",IFERROR(INDEX(Roster!$B$5:$B$154,MATCH(B2314,Roster!$A$5:$A$154,0)),"Not on roster"))</f>
        <v/>
      </c>
      <c r="G2314" s="28" t="str">
        <f aca="false">IF(OR(B2314="",C2314=""),"",F2314&amp;" | "&amp;C2314)</f>
        <v/>
      </c>
      <c r="H2314" s="27" t="str">
        <f aca="false">IF(G2314="","",IFERROR(INDEX(Levels!$C$5:$C$94,MATCH(G2314,Levels!$G$5:$G$94,0)),"Not this class's skill"))</f>
        <v/>
      </c>
    </row>
    <row r="2315" customFormat="false" ht="15" hidden="false" customHeight="false" outlineLevel="0" collapsed="false">
      <c r="A2315" s="23"/>
      <c r="B2315" s="22"/>
      <c r="C2315" s="22"/>
      <c r="D2315" s="22"/>
      <c r="E2315" s="22"/>
      <c r="F2315" s="27" t="str">
        <f aca="false">IF(B2315="","",IFERROR(INDEX(Roster!$B$5:$B$154,MATCH(B2315,Roster!$A$5:$A$154,0)),"Not on roster"))</f>
        <v/>
      </c>
      <c r="G2315" s="28" t="str">
        <f aca="false">IF(OR(B2315="",C2315=""),"",F2315&amp;" | "&amp;C2315)</f>
        <v/>
      </c>
      <c r="H2315" s="27" t="str">
        <f aca="false">IF(G2315="","",IFERROR(INDEX(Levels!$C$5:$C$94,MATCH(G2315,Levels!$G$5:$G$94,0)),"Not this class's skill"))</f>
        <v/>
      </c>
    </row>
    <row r="2316" customFormat="false" ht="15" hidden="false" customHeight="false" outlineLevel="0" collapsed="false">
      <c r="A2316" s="23"/>
      <c r="B2316" s="22"/>
      <c r="C2316" s="22"/>
      <c r="D2316" s="22"/>
      <c r="E2316" s="22"/>
      <c r="F2316" s="27" t="str">
        <f aca="false">IF(B2316="","",IFERROR(INDEX(Roster!$B$5:$B$154,MATCH(B2316,Roster!$A$5:$A$154,0)),"Not on roster"))</f>
        <v/>
      </c>
      <c r="G2316" s="28" t="str">
        <f aca="false">IF(OR(B2316="",C2316=""),"",F2316&amp;" | "&amp;C2316)</f>
        <v/>
      </c>
      <c r="H2316" s="27" t="str">
        <f aca="false">IF(G2316="","",IFERROR(INDEX(Levels!$C$5:$C$94,MATCH(G2316,Levels!$G$5:$G$94,0)),"Not this class's skill"))</f>
        <v/>
      </c>
    </row>
    <row r="2317" customFormat="false" ht="15" hidden="false" customHeight="false" outlineLevel="0" collapsed="false">
      <c r="A2317" s="23"/>
      <c r="B2317" s="22"/>
      <c r="C2317" s="22"/>
      <c r="D2317" s="22"/>
      <c r="E2317" s="22"/>
      <c r="F2317" s="27" t="str">
        <f aca="false">IF(B2317="","",IFERROR(INDEX(Roster!$B$5:$B$154,MATCH(B2317,Roster!$A$5:$A$154,0)),"Not on roster"))</f>
        <v/>
      </c>
      <c r="G2317" s="28" t="str">
        <f aca="false">IF(OR(B2317="",C2317=""),"",F2317&amp;" | "&amp;C2317)</f>
        <v/>
      </c>
      <c r="H2317" s="27" t="str">
        <f aca="false">IF(G2317="","",IFERROR(INDEX(Levels!$C$5:$C$94,MATCH(G2317,Levels!$G$5:$G$94,0)),"Not this class's skill"))</f>
        <v/>
      </c>
    </row>
    <row r="2318" customFormat="false" ht="15" hidden="false" customHeight="false" outlineLevel="0" collapsed="false">
      <c r="A2318" s="23"/>
      <c r="B2318" s="22"/>
      <c r="C2318" s="22"/>
      <c r="D2318" s="22"/>
      <c r="E2318" s="22"/>
      <c r="F2318" s="27" t="str">
        <f aca="false">IF(B2318="","",IFERROR(INDEX(Roster!$B$5:$B$154,MATCH(B2318,Roster!$A$5:$A$154,0)),"Not on roster"))</f>
        <v/>
      </c>
      <c r="G2318" s="28" t="str">
        <f aca="false">IF(OR(B2318="",C2318=""),"",F2318&amp;" | "&amp;C2318)</f>
        <v/>
      </c>
      <c r="H2318" s="27" t="str">
        <f aca="false">IF(G2318="","",IFERROR(INDEX(Levels!$C$5:$C$94,MATCH(G2318,Levels!$G$5:$G$94,0)),"Not this class's skill"))</f>
        <v/>
      </c>
    </row>
    <row r="2319" customFormat="false" ht="15" hidden="false" customHeight="false" outlineLevel="0" collapsed="false">
      <c r="A2319" s="23"/>
      <c r="B2319" s="22"/>
      <c r="C2319" s="22"/>
      <c r="D2319" s="22"/>
      <c r="E2319" s="22"/>
      <c r="F2319" s="27" t="str">
        <f aca="false">IF(B2319="","",IFERROR(INDEX(Roster!$B$5:$B$154,MATCH(B2319,Roster!$A$5:$A$154,0)),"Not on roster"))</f>
        <v/>
      </c>
      <c r="G2319" s="28" t="str">
        <f aca="false">IF(OR(B2319="",C2319=""),"",F2319&amp;" | "&amp;C2319)</f>
        <v/>
      </c>
      <c r="H2319" s="27" t="str">
        <f aca="false">IF(G2319="","",IFERROR(INDEX(Levels!$C$5:$C$94,MATCH(G2319,Levels!$G$5:$G$94,0)),"Not this class's skill"))</f>
        <v/>
      </c>
    </row>
    <row r="2320" customFormat="false" ht="15" hidden="false" customHeight="false" outlineLevel="0" collapsed="false">
      <c r="A2320" s="23"/>
      <c r="B2320" s="22"/>
      <c r="C2320" s="22"/>
      <c r="D2320" s="22"/>
      <c r="E2320" s="22"/>
      <c r="F2320" s="27" t="str">
        <f aca="false">IF(B2320="","",IFERROR(INDEX(Roster!$B$5:$B$154,MATCH(B2320,Roster!$A$5:$A$154,0)),"Not on roster"))</f>
        <v/>
      </c>
      <c r="G2320" s="28" t="str">
        <f aca="false">IF(OR(B2320="",C2320=""),"",F2320&amp;" | "&amp;C2320)</f>
        <v/>
      </c>
      <c r="H2320" s="27" t="str">
        <f aca="false">IF(G2320="","",IFERROR(INDEX(Levels!$C$5:$C$94,MATCH(G2320,Levels!$G$5:$G$94,0)),"Not this class's skill"))</f>
        <v/>
      </c>
    </row>
    <row r="2321" customFormat="false" ht="15" hidden="false" customHeight="false" outlineLevel="0" collapsed="false">
      <c r="A2321" s="23"/>
      <c r="B2321" s="22"/>
      <c r="C2321" s="22"/>
      <c r="D2321" s="22"/>
      <c r="E2321" s="22"/>
      <c r="F2321" s="27" t="str">
        <f aca="false">IF(B2321="","",IFERROR(INDEX(Roster!$B$5:$B$154,MATCH(B2321,Roster!$A$5:$A$154,0)),"Not on roster"))</f>
        <v/>
      </c>
      <c r="G2321" s="28" t="str">
        <f aca="false">IF(OR(B2321="",C2321=""),"",F2321&amp;" | "&amp;C2321)</f>
        <v/>
      </c>
      <c r="H2321" s="27" t="str">
        <f aca="false">IF(G2321="","",IFERROR(INDEX(Levels!$C$5:$C$94,MATCH(G2321,Levels!$G$5:$G$94,0)),"Not this class's skill"))</f>
        <v/>
      </c>
    </row>
    <row r="2322" customFormat="false" ht="15" hidden="false" customHeight="false" outlineLevel="0" collapsed="false">
      <c r="A2322" s="23"/>
      <c r="B2322" s="22"/>
      <c r="C2322" s="22"/>
      <c r="D2322" s="22"/>
      <c r="E2322" s="22"/>
      <c r="F2322" s="27" t="str">
        <f aca="false">IF(B2322="","",IFERROR(INDEX(Roster!$B$5:$B$154,MATCH(B2322,Roster!$A$5:$A$154,0)),"Not on roster"))</f>
        <v/>
      </c>
      <c r="G2322" s="28" t="str">
        <f aca="false">IF(OR(B2322="",C2322=""),"",F2322&amp;" | "&amp;C2322)</f>
        <v/>
      </c>
      <c r="H2322" s="27" t="str">
        <f aca="false">IF(G2322="","",IFERROR(INDEX(Levels!$C$5:$C$94,MATCH(G2322,Levels!$G$5:$G$94,0)),"Not this class's skill"))</f>
        <v/>
      </c>
    </row>
    <row r="2323" customFormat="false" ht="15" hidden="false" customHeight="false" outlineLevel="0" collapsed="false">
      <c r="A2323" s="23"/>
      <c r="B2323" s="22"/>
      <c r="C2323" s="22"/>
      <c r="D2323" s="22"/>
      <c r="E2323" s="22"/>
      <c r="F2323" s="27" t="str">
        <f aca="false">IF(B2323="","",IFERROR(INDEX(Roster!$B$5:$B$154,MATCH(B2323,Roster!$A$5:$A$154,0)),"Not on roster"))</f>
        <v/>
      </c>
      <c r="G2323" s="28" t="str">
        <f aca="false">IF(OR(B2323="",C2323=""),"",F2323&amp;" | "&amp;C2323)</f>
        <v/>
      </c>
      <c r="H2323" s="27" t="str">
        <f aca="false">IF(G2323="","",IFERROR(INDEX(Levels!$C$5:$C$94,MATCH(G2323,Levels!$G$5:$G$94,0)),"Not this class's skill"))</f>
        <v/>
      </c>
    </row>
    <row r="2324" customFormat="false" ht="15" hidden="false" customHeight="false" outlineLevel="0" collapsed="false">
      <c r="A2324" s="23"/>
      <c r="B2324" s="22"/>
      <c r="C2324" s="22"/>
      <c r="D2324" s="22"/>
      <c r="E2324" s="22"/>
      <c r="F2324" s="27" t="str">
        <f aca="false">IF(B2324="","",IFERROR(INDEX(Roster!$B$5:$B$154,MATCH(B2324,Roster!$A$5:$A$154,0)),"Not on roster"))</f>
        <v/>
      </c>
      <c r="G2324" s="28" t="str">
        <f aca="false">IF(OR(B2324="",C2324=""),"",F2324&amp;" | "&amp;C2324)</f>
        <v/>
      </c>
      <c r="H2324" s="27" t="str">
        <f aca="false">IF(G2324="","",IFERROR(INDEX(Levels!$C$5:$C$94,MATCH(G2324,Levels!$G$5:$G$94,0)),"Not this class's skill"))</f>
        <v/>
      </c>
    </row>
    <row r="2325" customFormat="false" ht="15" hidden="false" customHeight="false" outlineLevel="0" collapsed="false">
      <c r="A2325" s="23"/>
      <c r="B2325" s="22"/>
      <c r="C2325" s="22"/>
      <c r="D2325" s="22"/>
      <c r="E2325" s="22"/>
      <c r="F2325" s="27" t="str">
        <f aca="false">IF(B2325="","",IFERROR(INDEX(Roster!$B$5:$B$154,MATCH(B2325,Roster!$A$5:$A$154,0)),"Not on roster"))</f>
        <v/>
      </c>
      <c r="G2325" s="28" t="str">
        <f aca="false">IF(OR(B2325="",C2325=""),"",F2325&amp;" | "&amp;C2325)</f>
        <v/>
      </c>
      <c r="H2325" s="27" t="str">
        <f aca="false">IF(G2325="","",IFERROR(INDEX(Levels!$C$5:$C$94,MATCH(G2325,Levels!$G$5:$G$94,0)),"Not this class's skill"))</f>
        <v/>
      </c>
    </row>
    <row r="2326" customFormat="false" ht="15" hidden="false" customHeight="false" outlineLevel="0" collapsed="false">
      <c r="A2326" s="23"/>
      <c r="B2326" s="22"/>
      <c r="C2326" s="22"/>
      <c r="D2326" s="22"/>
      <c r="E2326" s="22"/>
      <c r="F2326" s="27" t="str">
        <f aca="false">IF(B2326="","",IFERROR(INDEX(Roster!$B$5:$B$154,MATCH(B2326,Roster!$A$5:$A$154,0)),"Not on roster"))</f>
        <v/>
      </c>
      <c r="G2326" s="28" t="str">
        <f aca="false">IF(OR(B2326="",C2326=""),"",F2326&amp;" | "&amp;C2326)</f>
        <v/>
      </c>
      <c r="H2326" s="27" t="str">
        <f aca="false">IF(G2326="","",IFERROR(INDEX(Levels!$C$5:$C$94,MATCH(G2326,Levels!$G$5:$G$94,0)),"Not this class's skill"))</f>
        <v/>
      </c>
    </row>
    <row r="2327" customFormat="false" ht="15" hidden="false" customHeight="false" outlineLevel="0" collapsed="false">
      <c r="A2327" s="23"/>
      <c r="B2327" s="22"/>
      <c r="C2327" s="22"/>
      <c r="D2327" s="22"/>
      <c r="E2327" s="22"/>
      <c r="F2327" s="27" t="str">
        <f aca="false">IF(B2327="","",IFERROR(INDEX(Roster!$B$5:$B$154,MATCH(B2327,Roster!$A$5:$A$154,0)),"Not on roster"))</f>
        <v/>
      </c>
      <c r="G2327" s="28" t="str">
        <f aca="false">IF(OR(B2327="",C2327=""),"",F2327&amp;" | "&amp;C2327)</f>
        <v/>
      </c>
      <c r="H2327" s="27" t="str">
        <f aca="false">IF(G2327="","",IFERROR(INDEX(Levels!$C$5:$C$94,MATCH(G2327,Levels!$G$5:$G$94,0)),"Not this class's skill"))</f>
        <v/>
      </c>
    </row>
    <row r="2328" customFormat="false" ht="15" hidden="false" customHeight="false" outlineLevel="0" collapsed="false">
      <c r="A2328" s="23"/>
      <c r="B2328" s="22"/>
      <c r="C2328" s="22"/>
      <c r="D2328" s="22"/>
      <c r="E2328" s="22"/>
      <c r="F2328" s="27" t="str">
        <f aca="false">IF(B2328="","",IFERROR(INDEX(Roster!$B$5:$B$154,MATCH(B2328,Roster!$A$5:$A$154,0)),"Not on roster"))</f>
        <v/>
      </c>
      <c r="G2328" s="28" t="str">
        <f aca="false">IF(OR(B2328="",C2328=""),"",F2328&amp;" | "&amp;C2328)</f>
        <v/>
      </c>
      <c r="H2328" s="27" t="str">
        <f aca="false">IF(G2328="","",IFERROR(INDEX(Levels!$C$5:$C$94,MATCH(G2328,Levels!$G$5:$G$94,0)),"Not this class's skill"))</f>
        <v/>
      </c>
    </row>
    <row r="2329" customFormat="false" ht="15" hidden="false" customHeight="false" outlineLevel="0" collapsed="false">
      <c r="A2329" s="23"/>
      <c r="B2329" s="22"/>
      <c r="C2329" s="22"/>
      <c r="D2329" s="22"/>
      <c r="E2329" s="22"/>
      <c r="F2329" s="27" t="str">
        <f aca="false">IF(B2329="","",IFERROR(INDEX(Roster!$B$5:$B$154,MATCH(B2329,Roster!$A$5:$A$154,0)),"Not on roster"))</f>
        <v/>
      </c>
      <c r="G2329" s="28" t="str">
        <f aca="false">IF(OR(B2329="",C2329=""),"",F2329&amp;" | "&amp;C2329)</f>
        <v/>
      </c>
      <c r="H2329" s="27" t="str">
        <f aca="false">IF(G2329="","",IFERROR(INDEX(Levels!$C$5:$C$94,MATCH(G2329,Levels!$G$5:$G$94,0)),"Not this class's skill"))</f>
        <v/>
      </c>
    </row>
    <row r="2330" customFormat="false" ht="15" hidden="false" customHeight="false" outlineLevel="0" collapsed="false">
      <c r="A2330" s="23"/>
      <c r="B2330" s="22"/>
      <c r="C2330" s="22"/>
      <c r="D2330" s="22"/>
      <c r="E2330" s="22"/>
      <c r="F2330" s="27" t="str">
        <f aca="false">IF(B2330="","",IFERROR(INDEX(Roster!$B$5:$B$154,MATCH(B2330,Roster!$A$5:$A$154,0)),"Not on roster"))</f>
        <v/>
      </c>
      <c r="G2330" s="28" t="str">
        <f aca="false">IF(OR(B2330="",C2330=""),"",F2330&amp;" | "&amp;C2330)</f>
        <v/>
      </c>
      <c r="H2330" s="27" t="str">
        <f aca="false">IF(G2330="","",IFERROR(INDEX(Levels!$C$5:$C$94,MATCH(G2330,Levels!$G$5:$G$94,0)),"Not this class's skill"))</f>
        <v/>
      </c>
    </row>
    <row r="2331" customFormat="false" ht="15" hidden="false" customHeight="false" outlineLevel="0" collapsed="false">
      <c r="A2331" s="23"/>
      <c r="B2331" s="22"/>
      <c r="C2331" s="22"/>
      <c r="D2331" s="22"/>
      <c r="E2331" s="22"/>
      <c r="F2331" s="27" t="str">
        <f aca="false">IF(B2331="","",IFERROR(INDEX(Roster!$B$5:$B$154,MATCH(B2331,Roster!$A$5:$A$154,0)),"Not on roster"))</f>
        <v/>
      </c>
      <c r="G2331" s="28" t="str">
        <f aca="false">IF(OR(B2331="",C2331=""),"",F2331&amp;" | "&amp;C2331)</f>
        <v/>
      </c>
      <c r="H2331" s="27" t="str">
        <f aca="false">IF(G2331="","",IFERROR(INDEX(Levels!$C$5:$C$94,MATCH(G2331,Levels!$G$5:$G$94,0)),"Not this class's skill"))</f>
        <v/>
      </c>
    </row>
    <row r="2332" customFormat="false" ht="15" hidden="false" customHeight="false" outlineLevel="0" collapsed="false">
      <c r="A2332" s="23"/>
      <c r="B2332" s="22"/>
      <c r="C2332" s="22"/>
      <c r="D2332" s="22"/>
      <c r="E2332" s="22"/>
      <c r="F2332" s="27" t="str">
        <f aca="false">IF(B2332="","",IFERROR(INDEX(Roster!$B$5:$B$154,MATCH(B2332,Roster!$A$5:$A$154,0)),"Not on roster"))</f>
        <v/>
      </c>
      <c r="G2332" s="28" t="str">
        <f aca="false">IF(OR(B2332="",C2332=""),"",F2332&amp;" | "&amp;C2332)</f>
        <v/>
      </c>
      <c r="H2332" s="27" t="str">
        <f aca="false">IF(G2332="","",IFERROR(INDEX(Levels!$C$5:$C$94,MATCH(G2332,Levels!$G$5:$G$94,0)),"Not this class's skill"))</f>
        <v/>
      </c>
    </row>
    <row r="2333" customFormat="false" ht="15" hidden="false" customHeight="false" outlineLevel="0" collapsed="false">
      <c r="A2333" s="23"/>
      <c r="B2333" s="22"/>
      <c r="C2333" s="22"/>
      <c r="D2333" s="22"/>
      <c r="E2333" s="22"/>
      <c r="F2333" s="27" t="str">
        <f aca="false">IF(B2333="","",IFERROR(INDEX(Roster!$B$5:$B$154,MATCH(B2333,Roster!$A$5:$A$154,0)),"Not on roster"))</f>
        <v/>
      </c>
      <c r="G2333" s="28" t="str">
        <f aca="false">IF(OR(B2333="",C2333=""),"",F2333&amp;" | "&amp;C2333)</f>
        <v/>
      </c>
      <c r="H2333" s="27" t="str">
        <f aca="false">IF(G2333="","",IFERROR(INDEX(Levels!$C$5:$C$94,MATCH(G2333,Levels!$G$5:$G$94,0)),"Not this class's skill"))</f>
        <v/>
      </c>
    </row>
    <row r="2334" customFormat="false" ht="15" hidden="false" customHeight="false" outlineLevel="0" collapsed="false">
      <c r="A2334" s="23"/>
      <c r="B2334" s="22"/>
      <c r="C2334" s="22"/>
      <c r="D2334" s="22"/>
      <c r="E2334" s="22"/>
      <c r="F2334" s="27" t="str">
        <f aca="false">IF(B2334="","",IFERROR(INDEX(Roster!$B$5:$B$154,MATCH(B2334,Roster!$A$5:$A$154,0)),"Not on roster"))</f>
        <v/>
      </c>
      <c r="G2334" s="28" t="str">
        <f aca="false">IF(OR(B2334="",C2334=""),"",F2334&amp;" | "&amp;C2334)</f>
        <v/>
      </c>
      <c r="H2334" s="27" t="str">
        <f aca="false">IF(G2334="","",IFERROR(INDEX(Levels!$C$5:$C$94,MATCH(G2334,Levels!$G$5:$G$94,0)),"Not this class's skill"))</f>
        <v/>
      </c>
    </row>
    <row r="2335" customFormat="false" ht="15" hidden="false" customHeight="false" outlineLevel="0" collapsed="false">
      <c r="A2335" s="23"/>
      <c r="B2335" s="22"/>
      <c r="C2335" s="22"/>
      <c r="D2335" s="22"/>
      <c r="E2335" s="22"/>
      <c r="F2335" s="27" t="str">
        <f aca="false">IF(B2335="","",IFERROR(INDEX(Roster!$B$5:$B$154,MATCH(B2335,Roster!$A$5:$A$154,0)),"Not on roster"))</f>
        <v/>
      </c>
      <c r="G2335" s="28" t="str">
        <f aca="false">IF(OR(B2335="",C2335=""),"",F2335&amp;" | "&amp;C2335)</f>
        <v/>
      </c>
      <c r="H2335" s="27" t="str">
        <f aca="false">IF(G2335="","",IFERROR(INDEX(Levels!$C$5:$C$94,MATCH(G2335,Levels!$G$5:$G$94,0)),"Not this class's skill"))</f>
        <v/>
      </c>
    </row>
    <row r="2336" customFormat="false" ht="15" hidden="false" customHeight="false" outlineLevel="0" collapsed="false">
      <c r="A2336" s="23"/>
      <c r="B2336" s="22"/>
      <c r="C2336" s="22"/>
      <c r="D2336" s="22"/>
      <c r="E2336" s="22"/>
      <c r="F2336" s="27" t="str">
        <f aca="false">IF(B2336="","",IFERROR(INDEX(Roster!$B$5:$B$154,MATCH(B2336,Roster!$A$5:$A$154,0)),"Not on roster"))</f>
        <v/>
      </c>
      <c r="G2336" s="28" t="str">
        <f aca="false">IF(OR(B2336="",C2336=""),"",F2336&amp;" | "&amp;C2336)</f>
        <v/>
      </c>
      <c r="H2336" s="27" t="str">
        <f aca="false">IF(G2336="","",IFERROR(INDEX(Levels!$C$5:$C$94,MATCH(G2336,Levels!$G$5:$G$94,0)),"Not this class's skill"))</f>
        <v/>
      </c>
    </row>
    <row r="2337" customFormat="false" ht="15" hidden="false" customHeight="false" outlineLevel="0" collapsed="false">
      <c r="A2337" s="23"/>
      <c r="B2337" s="22"/>
      <c r="C2337" s="22"/>
      <c r="D2337" s="22"/>
      <c r="E2337" s="22"/>
      <c r="F2337" s="27" t="str">
        <f aca="false">IF(B2337="","",IFERROR(INDEX(Roster!$B$5:$B$154,MATCH(B2337,Roster!$A$5:$A$154,0)),"Not on roster"))</f>
        <v/>
      </c>
      <c r="G2337" s="28" t="str">
        <f aca="false">IF(OR(B2337="",C2337=""),"",F2337&amp;" | "&amp;C2337)</f>
        <v/>
      </c>
      <c r="H2337" s="27" t="str">
        <f aca="false">IF(G2337="","",IFERROR(INDEX(Levels!$C$5:$C$94,MATCH(G2337,Levels!$G$5:$G$94,0)),"Not this class's skill"))</f>
        <v/>
      </c>
    </row>
    <row r="2338" customFormat="false" ht="15" hidden="false" customHeight="false" outlineLevel="0" collapsed="false">
      <c r="A2338" s="23"/>
      <c r="B2338" s="22"/>
      <c r="C2338" s="22"/>
      <c r="D2338" s="22"/>
      <c r="E2338" s="22"/>
      <c r="F2338" s="27" t="str">
        <f aca="false">IF(B2338="","",IFERROR(INDEX(Roster!$B$5:$B$154,MATCH(B2338,Roster!$A$5:$A$154,0)),"Not on roster"))</f>
        <v/>
      </c>
      <c r="G2338" s="28" t="str">
        <f aca="false">IF(OR(B2338="",C2338=""),"",F2338&amp;" | "&amp;C2338)</f>
        <v/>
      </c>
      <c r="H2338" s="27" t="str">
        <f aca="false">IF(G2338="","",IFERROR(INDEX(Levels!$C$5:$C$94,MATCH(G2338,Levels!$G$5:$G$94,0)),"Not this class's skill"))</f>
        <v/>
      </c>
    </row>
    <row r="2339" customFormat="false" ht="15" hidden="false" customHeight="false" outlineLevel="0" collapsed="false">
      <c r="A2339" s="23"/>
      <c r="B2339" s="22"/>
      <c r="C2339" s="22"/>
      <c r="D2339" s="22"/>
      <c r="E2339" s="22"/>
      <c r="F2339" s="27" t="str">
        <f aca="false">IF(B2339="","",IFERROR(INDEX(Roster!$B$5:$B$154,MATCH(B2339,Roster!$A$5:$A$154,0)),"Not on roster"))</f>
        <v/>
      </c>
      <c r="G2339" s="28" t="str">
        <f aca="false">IF(OR(B2339="",C2339=""),"",F2339&amp;" | "&amp;C2339)</f>
        <v/>
      </c>
      <c r="H2339" s="27" t="str">
        <f aca="false">IF(G2339="","",IFERROR(INDEX(Levels!$C$5:$C$94,MATCH(G2339,Levels!$G$5:$G$94,0)),"Not this class's skill"))</f>
        <v/>
      </c>
    </row>
    <row r="2340" customFormat="false" ht="15" hidden="false" customHeight="false" outlineLevel="0" collapsed="false">
      <c r="A2340" s="23"/>
      <c r="B2340" s="22"/>
      <c r="C2340" s="22"/>
      <c r="D2340" s="22"/>
      <c r="E2340" s="22"/>
      <c r="F2340" s="27" t="str">
        <f aca="false">IF(B2340="","",IFERROR(INDEX(Roster!$B$5:$B$154,MATCH(B2340,Roster!$A$5:$A$154,0)),"Not on roster"))</f>
        <v/>
      </c>
      <c r="G2340" s="28" t="str">
        <f aca="false">IF(OR(B2340="",C2340=""),"",F2340&amp;" | "&amp;C2340)</f>
        <v/>
      </c>
      <c r="H2340" s="27" t="str">
        <f aca="false">IF(G2340="","",IFERROR(INDEX(Levels!$C$5:$C$94,MATCH(G2340,Levels!$G$5:$G$94,0)),"Not this class's skill"))</f>
        <v/>
      </c>
    </row>
    <row r="2341" customFormat="false" ht="15" hidden="false" customHeight="false" outlineLevel="0" collapsed="false">
      <c r="A2341" s="23"/>
      <c r="B2341" s="22"/>
      <c r="C2341" s="22"/>
      <c r="D2341" s="22"/>
      <c r="E2341" s="22"/>
      <c r="F2341" s="27" t="str">
        <f aca="false">IF(B2341="","",IFERROR(INDEX(Roster!$B$5:$B$154,MATCH(B2341,Roster!$A$5:$A$154,0)),"Not on roster"))</f>
        <v/>
      </c>
      <c r="G2341" s="28" t="str">
        <f aca="false">IF(OR(B2341="",C2341=""),"",F2341&amp;" | "&amp;C2341)</f>
        <v/>
      </c>
      <c r="H2341" s="27" t="str">
        <f aca="false">IF(G2341="","",IFERROR(INDEX(Levels!$C$5:$C$94,MATCH(G2341,Levels!$G$5:$G$94,0)),"Not this class's skill"))</f>
        <v/>
      </c>
    </row>
    <row r="2342" customFormat="false" ht="15" hidden="false" customHeight="false" outlineLevel="0" collapsed="false">
      <c r="A2342" s="23"/>
      <c r="B2342" s="22"/>
      <c r="C2342" s="22"/>
      <c r="D2342" s="22"/>
      <c r="E2342" s="22"/>
      <c r="F2342" s="27" t="str">
        <f aca="false">IF(B2342="","",IFERROR(INDEX(Roster!$B$5:$B$154,MATCH(B2342,Roster!$A$5:$A$154,0)),"Not on roster"))</f>
        <v/>
      </c>
      <c r="G2342" s="28" t="str">
        <f aca="false">IF(OR(B2342="",C2342=""),"",F2342&amp;" | "&amp;C2342)</f>
        <v/>
      </c>
      <c r="H2342" s="27" t="str">
        <f aca="false">IF(G2342="","",IFERROR(INDEX(Levels!$C$5:$C$94,MATCH(G2342,Levels!$G$5:$G$94,0)),"Not this class's skill"))</f>
        <v/>
      </c>
    </row>
    <row r="2343" customFormat="false" ht="15" hidden="false" customHeight="false" outlineLevel="0" collapsed="false">
      <c r="A2343" s="23"/>
      <c r="B2343" s="22"/>
      <c r="C2343" s="22"/>
      <c r="D2343" s="22"/>
      <c r="E2343" s="22"/>
      <c r="F2343" s="27" t="str">
        <f aca="false">IF(B2343="","",IFERROR(INDEX(Roster!$B$5:$B$154,MATCH(B2343,Roster!$A$5:$A$154,0)),"Not on roster"))</f>
        <v/>
      </c>
      <c r="G2343" s="28" t="str">
        <f aca="false">IF(OR(B2343="",C2343=""),"",F2343&amp;" | "&amp;C2343)</f>
        <v/>
      </c>
      <c r="H2343" s="27" t="str">
        <f aca="false">IF(G2343="","",IFERROR(INDEX(Levels!$C$5:$C$94,MATCH(G2343,Levels!$G$5:$G$94,0)),"Not this class's skill"))</f>
        <v/>
      </c>
    </row>
    <row r="2344" customFormat="false" ht="15" hidden="false" customHeight="false" outlineLevel="0" collapsed="false">
      <c r="A2344" s="23"/>
      <c r="B2344" s="22"/>
      <c r="C2344" s="22"/>
      <c r="D2344" s="22"/>
      <c r="E2344" s="22"/>
      <c r="F2344" s="27" t="str">
        <f aca="false">IF(B2344="","",IFERROR(INDEX(Roster!$B$5:$B$154,MATCH(B2344,Roster!$A$5:$A$154,0)),"Not on roster"))</f>
        <v/>
      </c>
      <c r="G2344" s="28" t="str">
        <f aca="false">IF(OR(B2344="",C2344=""),"",F2344&amp;" | "&amp;C2344)</f>
        <v/>
      </c>
      <c r="H2344" s="27" t="str">
        <f aca="false">IF(G2344="","",IFERROR(INDEX(Levels!$C$5:$C$94,MATCH(G2344,Levels!$G$5:$G$94,0)),"Not this class's skill"))</f>
        <v/>
      </c>
    </row>
    <row r="2345" customFormat="false" ht="15" hidden="false" customHeight="false" outlineLevel="0" collapsed="false">
      <c r="A2345" s="23"/>
      <c r="B2345" s="22"/>
      <c r="C2345" s="22"/>
      <c r="D2345" s="22"/>
      <c r="E2345" s="22"/>
      <c r="F2345" s="27" t="str">
        <f aca="false">IF(B2345="","",IFERROR(INDEX(Roster!$B$5:$B$154,MATCH(B2345,Roster!$A$5:$A$154,0)),"Not on roster"))</f>
        <v/>
      </c>
      <c r="G2345" s="28" t="str">
        <f aca="false">IF(OR(B2345="",C2345=""),"",F2345&amp;" | "&amp;C2345)</f>
        <v/>
      </c>
      <c r="H2345" s="27" t="str">
        <f aca="false">IF(G2345="","",IFERROR(INDEX(Levels!$C$5:$C$94,MATCH(G2345,Levels!$G$5:$G$94,0)),"Not this class's skill"))</f>
        <v/>
      </c>
    </row>
    <row r="2346" customFormat="false" ht="15" hidden="false" customHeight="false" outlineLevel="0" collapsed="false">
      <c r="A2346" s="23"/>
      <c r="B2346" s="22"/>
      <c r="C2346" s="22"/>
      <c r="D2346" s="22"/>
      <c r="E2346" s="22"/>
      <c r="F2346" s="27" t="str">
        <f aca="false">IF(B2346="","",IFERROR(INDEX(Roster!$B$5:$B$154,MATCH(B2346,Roster!$A$5:$A$154,0)),"Not on roster"))</f>
        <v/>
      </c>
      <c r="G2346" s="28" t="str">
        <f aca="false">IF(OR(B2346="",C2346=""),"",F2346&amp;" | "&amp;C2346)</f>
        <v/>
      </c>
      <c r="H2346" s="27" t="str">
        <f aca="false">IF(G2346="","",IFERROR(INDEX(Levels!$C$5:$C$94,MATCH(G2346,Levels!$G$5:$G$94,0)),"Not this class's skill"))</f>
        <v/>
      </c>
    </row>
    <row r="2347" customFormat="false" ht="15" hidden="false" customHeight="false" outlineLevel="0" collapsed="false">
      <c r="A2347" s="23"/>
      <c r="B2347" s="22"/>
      <c r="C2347" s="22"/>
      <c r="D2347" s="22"/>
      <c r="E2347" s="22"/>
      <c r="F2347" s="27" t="str">
        <f aca="false">IF(B2347="","",IFERROR(INDEX(Roster!$B$5:$B$154,MATCH(B2347,Roster!$A$5:$A$154,0)),"Not on roster"))</f>
        <v/>
      </c>
      <c r="G2347" s="28" t="str">
        <f aca="false">IF(OR(B2347="",C2347=""),"",F2347&amp;" | "&amp;C2347)</f>
        <v/>
      </c>
      <c r="H2347" s="27" t="str">
        <f aca="false">IF(G2347="","",IFERROR(INDEX(Levels!$C$5:$C$94,MATCH(G2347,Levels!$G$5:$G$94,0)),"Not this class's skill"))</f>
        <v/>
      </c>
    </row>
    <row r="2348" customFormat="false" ht="15" hidden="false" customHeight="false" outlineLevel="0" collapsed="false">
      <c r="A2348" s="23"/>
      <c r="B2348" s="22"/>
      <c r="C2348" s="22"/>
      <c r="D2348" s="22"/>
      <c r="E2348" s="22"/>
      <c r="F2348" s="27" t="str">
        <f aca="false">IF(B2348="","",IFERROR(INDEX(Roster!$B$5:$B$154,MATCH(B2348,Roster!$A$5:$A$154,0)),"Not on roster"))</f>
        <v/>
      </c>
      <c r="G2348" s="28" t="str">
        <f aca="false">IF(OR(B2348="",C2348=""),"",F2348&amp;" | "&amp;C2348)</f>
        <v/>
      </c>
      <c r="H2348" s="27" t="str">
        <f aca="false">IF(G2348="","",IFERROR(INDEX(Levels!$C$5:$C$94,MATCH(G2348,Levels!$G$5:$G$94,0)),"Not this class's skill"))</f>
        <v/>
      </c>
    </row>
    <row r="2349" customFormat="false" ht="15" hidden="false" customHeight="false" outlineLevel="0" collapsed="false">
      <c r="A2349" s="23"/>
      <c r="B2349" s="22"/>
      <c r="C2349" s="22"/>
      <c r="D2349" s="22"/>
      <c r="E2349" s="22"/>
      <c r="F2349" s="27" t="str">
        <f aca="false">IF(B2349="","",IFERROR(INDEX(Roster!$B$5:$B$154,MATCH(B2349,Roster!$A$5:$A$154,0)),"Not on roster"))</f>
        <v/>
      </c>
      <c r="G2349" s="28" t="str">
        <f aca="false">IF(OR(B2349="",C2349=""),"",F2349&amp;" | "&amp;C2349)</f>
        <v/>
      </c>
      <c r="H2349" s="27" t="str">
        <f aca="false">IF(G2349="","",IFERROR(INDEX(Levels!$C$5:$C$94,MATCH(G2349,Levels!$G$5:$G$94,0)),"Not this class's skill"))</f>
        <v/>
      </c>
    </row>
    <row r="2350" customFormat="false" ht="15" hidden="false" customHeight="false" outlineLevel="0" collapsed="false">
      <c r="A2350" s="23"/>
      <c r="B2350" s="22"/>
      <c r="C2350" s="22"/>
      <c r="D2350" s="22"/>
      <c r="E2350" s="22"/>
      <c r="F2350" s="27" t="str">
        <f aca="false">IF(B2350="","",IFERROR(INDEX(Roster!$B$5:$B$154,MATCH(B2350,Roster!$A$5:$A$154,0)),"Not on roster"))</f>
        <v/>
      </c>
      <c r="G2350" s="28" t="str">
        <f aca="false">IF(OR(B2350="",C2350=""),"",F2350&amp;" | "&amp;C2350)</f>
        <v/>
      </c>
      <c r="H2350" s="27" t="str">
        <f aca="false">IF(G2350="","",IFERROR(INDEX(Levels!$C$5:$C$94,MATCH(G2350,Levels!$G$5:$G$94,0)),"Not this class's skill"))</f>
        <v/>
      </c>
    </row>
    <row r="2351" customFormat="false" ht="15" hidden="false" customHeight="false" outlineLevel="0" collapsed="false">
      <c r="A2351" s="23"/>
      <c r="B2351" s="22"/>
      <c r="C2351" s="22"/>
      <c r="D2351" s="22"/>
      <c r="E2351" s="22"/>
      <c r="F2351" s="27" t="str">
        <f aca="false">IF(B2351="","",IFERROR(INDEX(Roster!$B$5:$B$154,MATCH(B2351,Roster!$A$5:$A$154,0)),"Not on roster"))</f>
        <v/>
      </c>
      <c r="G2351" s="28" t="str">
        <f aca="false">IF(OR(B2351="",C2351=""),"",F2351&amp;" | "&amp;C2351)</f>
        <v/>
      </c>
      <c r="H2351" s="27" t="str">
        <f aca="false">IF(G2351="","",IFERROR(INDEX(Levels!$C$5:$C$94,MATCH(G2351,Levels!$G$5:$G$94,0)),"Not this class's skill"))</f>
        <v/>
      </c>
    </row>
    <row r="2352" customFormat="false" ht="15" hidden="false" customHeight="false" outlineLevel="0" collapsed="false">
      <c r="A2352" s="23"/>
      <c r="B2352" s="22"/>
      <c r="C2352" s="22"/>
      <c r="D2352" s="22"/>
      <c r="E2352" s="22"/>
      <c r="F2352" s="27" t="str">
        <f aca="false">IF(B2352="","",IFERROR(INDEX(Roster!$B$5:$B$154,MATCH(B2352,Roster!$A$5:$A$154,0)),"Not on roster"))</f>
        <v/>
      </c>
      <c r="G2352" s="28" t="str">
        <f aca="false">IF(OR(B2352="",C2352=""),"",F2352&amp;" | "&amp;C2352)</f>
        <v/>
      </c>
      <c r="H2352" s="27" t="str">
        <f aca="false">IF(G2352="","",IFERROR(INDEX(Levels!$C$5:$C$94,MATCH(G2352,Levels!$G$5:$G$94,0)),"Not this class's skill"))</f>
        <v/>
      </c>
    </row>
    <row r="2353" customFormat="false" ht="15" hidden="false" customHeight="false" outlineLevel="0" collapsed="false">
      <c r="A2353" s="23"/>
      <c r="B2353" s="22"/>
      <c r="C2353" s="22"/>
      <c r="D2353" s="22"/>
      <c r="E2353" s="22"/>
      <c r="F2353" s="27" t="str">
        <f aca="false">IF(B2353="","",IFERROR(INDEX(Roster!$B$5:$B$154,MATCH(B2353,Roster!$A$5:$A$154,0)),"Not on roster"))</f>
        <v/>
      </c>
      <c r="G2353" s="28" t="str">
        <f aca="false">IF(OR(B2353="",C2353=""),"",F2353&amp;" | "&amp;C2353)</f>
        <v/>
      </c>
      <c r="H2353" s="27" t="str">
        <f aca="false">IF(G2353="","",IFERROR(INDEX(Levels!$C$5:$C$94,MATCH(G2353,Levels!$G$5:$G$94,0)),"Not this class's skill"))</f>
        <v/>
      </c>
    </row>
    <row r="2354" customFormat="false" ht="15" hidden="false" customHeight="false" outlineLevel="0" collapsed="false">
      <c r="A2354" s="23"/>
      <c r="B2354" s="22"/>
      <c r="C2354" s="22"/>
      <c r="D2354" s="22"/>
      <c r="E2354" s="22"/>
      <c r="F2354" s="27" t="str">
        <f aca="false">IF(B2354="","",IFERROR(INDEX(Roster!$B$5:$B$154,MATCH(B2354,Roster!$A$5:$A$154,0)),"Not on roster"))</f>
        <v/>
      </c>
      <c r="G2354" s="28" t="str">
        <f aca="false">IF(OR(B2354="",C2354=""),"",F2354&amp;" | "&amp;C2354)</f>
        <v/>
      </c>
      <c r="H2354" s="27" t="str">
        <f aca="false">IF(G2354="","",IFERROR(INDEX(Levels!$C$5:$C$94,MATCH(G2354,Levels!$G$5:$G$94,0)),"Not this class's skill"))</f>
        <v/>
      </c>
    </row>
    <row r="2355" customFormat="false" ht="15" hidden="false" customHeight="false" outlineLevel="0" collapsed="false">
      <c r="A2355" s="23"/>
      <c r="B2355" s="22"/>
      <c r="C2355" s="22"/>
      <c r="D2355" s="22"/>
      <c r="E2355" s="22"/>
      <c r="F2355" s="27" t="str">
        <f aca="false">IF(B2355="","",IFERROR(INDEX(Roster!$B$5:$B$154,MATCH(B2355,Roster!$A$5:$A$154,0)),"Not on roster"))</f>
        <v/>
      </c>
      <c r="G2355" s="28" t="str">
        <f aca="false">IF(OR(B2355="",C2355=""),"",F2355&amp;" | "&amp;C2355)</f>
        <v/>
      </c>
      <c r="H2355" s="27" t="str">
        <f aca="false">IF(G2355="","",IFERROR(INDEX(Levels!$C$5:$C$94,MATCH(G2355,Levels!$G$5:$G$94,0)),"Not this class's skill"))</f>
        <v/>
      </c>
    </row>
    <row r="2356" customFormat="false" ht="15" hidden="false" customHeight="false" outlineLevel="0" collapsed="false">
      <c r="A2356" s="23"/>
      <c r="B2356" s="22"/>
      <c r="C2356" s="22"/>
      <c r="D2356" s="22"/>
      <c r="E2356" s="22"/>
      <c r="F2356" s="27" t="str">
        <f aca="false">IF(B2356="","",IFERROR(INDEX(Roster!$B$5:$B$154,MATCH(B2356,Roster!$A$5:$A$154,0)),"Not on roster"))</f>
        <v/>
      </c>
      <c r="G2356" s="28" t="str">
        <f aca="false">IF(OR(B2356="",C2356=""),"",F2356&amp;" | "&amp;C2356)</f>
        <v/>
      </c>
      <c r="H2356" s="27" t="str">
        <f aca="false">IF(G2356="","",IFERROR(INDEX(Levels!$C$5:$C$94,MATCH(G2356,Levels!$G$5:$G$94,0)),"Not this class's skill"))</f>
        <v/>
      </c>
    </row>
    <row r="2357" customFormat="false" ht="15" hidden="false" customHeight="false" outlineLevel="0" collapsed="false">
      <c r="A2357" s="23"/>
      <c r="B2357" s="22"/>
      <c r="C2357" s="22"/>
      <c r="D2357" s="22"/>
      <c r="E2357" s="22"/>
      <c r="F2357" s="27" t="str">
        <f aca="false">IF(B2357="","",IFERROR(INDEX(Roster!$B$5:$B$154,MATCH(B2357,Roster!$A$5:$A$154,0)),"Not on roster"))</f>
        <v/>
      </c>
      <c r="G2357" s="28" t="str">
        <f aca="false">IF(OR(B2357="",C2357=""),"",F2357&amp;" | "&amp;C2357)</f>
        <v/>
      </c>
      <c r="H2357" s="27" t="str">
        <f aca="false">IF(G2357="","",IFERROR(INDEX(Levels!$C$5:$C$94,MATCH(G2357,Levels!$G$5:$G$94,0)),"Not this class's skill"))</f>
        <v/>
      </c>
    </row>
    <row r="2358" customFormat="false" ht="15" hidden="false" customHeight="false" outlineLevel="0" collapsed="false">
      <c r="A2358" s="23"/>
      <c r="B2358" s="22"/>
      <c r="C2358" s="22"/>
      <c r="D2358" s="22"/>
      <c r="E2358" s="22"/>
      <c r="F2358" s="27" t="str">
        <f aca="false">IF(B2358="","",IFERROR(INDEX(Roster!$B$5:$B$154,MATCH(B2358,Roster!$A$5:$A$154,0)),"Not on roster"))</f>
        <v/>
      </c>
      <c r="G2358" s="28" t="str">
        <f aca="false">IF(OR(B2358="",C2358=""),"",F2358&amp;" | "&amp;C2358)</f>
        <v/>
      </c>
      <c r="H2358" s="27" t="str">
        <f aca="false">IF(G2358="","",IFERROR(INDEX(Levels!$C$5:$C$94,MATCH(G2358,Levels!$G$5:$G$94,0)),"Not this class's skill"))</f>
        <v/>
      </c>
    </row>
    <row r="2359" customFormat="false" ht="15" hidden="false" customHeight="false" outlineLevel="0" collapsed="false">
      <c r="A2359" s="23"/>
      <c r="B2359" s="22"/>
      <c r="C2359" s="22"/>
      <c r="D2359" s="22"/>
      <c r="E2359" s="22"/>
      <c r="F2359" s="27" t="str">
        <f aca="false">IF(B2359="","",IFERROR(INDEX(Roster!$B$5:$B$154,MATCH(B2359,Roster!$A$5:$A$154,0)),"Not on roster"))</f>
        <v/>
      </c>
      <c r="G2359" s="28" t="str">
        <f aca="false">IF(OR(B2359="",C2359=""),"",F2359&amp;" | "&amp;C2359)</f>
        <v/>
      </c>
      <c r="H2359" s="27" t="str">
        <f aca="false">IF(G2359="","",IFERROR(INDEX(Levels!$C$5:$C$94,MATCH(G2359,Levels!$G$5:$G$94,0)),"Not this class's skill"))</f>
        <v/>
      </c>
    </row>
    <row r="2360" customFormat="false" ht="15" hidden="false" customHeight="false" outlineLevel="0" collapsed="false">
      <c r="A2360" s="23"/>
      <c r="B2360" s="22"/>
      <c r="C2360" s="22"/>
      <c r="D2360" s="22"/>
      <c r="E2360" s="22"/>
      <c r="F2360" s="27" t="str">
        <f aca="false">IF(B2360="","",IFERROR(INDEX(Roster!$B$5:$B$154,MATCH(B2360,Roster!$A$5:$A$154,0)),"Not on roster"))</f>
        <v/>
      </c>
      <c r="G2360" s="28" t="str">
        <f aca="false">IF(OR(B2360="",C2360=""),"",F2360&amp;" | "&amp;C2360)</f>
        <v/>
      </c>
      <c r="H2360" s="27" t="str">
        <f aca="false">IF(G2360="","",IFERROR(INDEX(Levels!$C$5:$C$94,MATCH(G2360,Levels!$G$5:$G$94,0)),"Not this class's skill"))</f>
        <v/>
      </c>
    </row>
    <row r="2361" customFormat="false" ht="15" hidden="false" customHeight="false" outlineLevel="0" collapsed="false">
      <c r="A2361" s="23"/>
      <c r="B2361" s="22"/>
      <c r="C2361" s="22"/>
      <c r="D2361" s="22"/>
      <c r="E2361" s="22"/>
      <c r="F2361" s="27" t="str">
        <f aca="false">IF(B2361="","",IFERROR(INDEX(Roster!$B$5:$B$154,MATCH(B2361,Roster!$A$5:$A$154,0)),"Not on roster"))</f>
        <v/>
      </c>
      <c r="G2361" s="28" t="str">
        <f aca="false">IF(OR(B2361="",C2361=""),"",F2361&amp;" | "&amp;C2361)</f>
        <v/>
      </c>
      <c r="H2361" s="27" t="str">
        <f aca="false">IF(G2361="","",IFERROR(INDEX(Levels!$C$5:$C$94,MATCH(G2361,Levels!$G$5:$G$94,0)),"Not this class's skill"))</f>
        <v/>
      </c>
    </row>
    <row r="2362" customFormat="false" ht="15" hidden="false" customHeight="false" outlineLevel="0" collapsed="false">
      <c r="A2362" s="23"/>
      <c r="B2362" s="22"/>
      <c r="C2362" s="22"/>
      <c r="D2362" s="22"/>
      <c r="E2362" s="22"/>
      <c r="F2362" s="27" t="str">
        <f aca="false">IF(B2362="","",IFERROR(INDEX(Roster!$B$5:$B$154,MATCH(B2362,Roster!$A$5:$A$154,0)),"Not on roster"))</f>
        <v/>
      </c>
      <c r="G2362" s="28" t="str">
        <f aca="false">IF(OR(B2362="",C2362=""),"",F2362&amp;" | "&amp;C2362)</f>
        <v/>
      </c>
      <c r="H2362" s="27" t="str">
        <f aca="false">IF(G2362="","",IFERROR(INDEX(Levels!$C$5:$C$94,MATCH(G2362,Levels!$G$5:$G$94,0)),"Not this class's skill"))</f>
        <v/>
      </c>
    </row>
    <row r="2363" customFormat="false" ht="15" hidden="false" customHeight="false" outlineLevel="0" collapsed="false">
      <c r="A2363" s="23"/>
      <c r="B2363" s="22"/>
      <c r="C2363" s="22"/>
      <c r="D2363" s="22"/>
      <c r="E2363" s="22"/>
      <c r="F2363" s="27" t="str">
        <f aca="false">IF(B2363="","",IFERROR(INDEX(Roster!$B$5:$B$154,MATCH(B2363,Roster!$A$5:$A$154,0)),"Not on roster"))</f>
        <v/>
      </c>
      <c r="G2363" s="28" t="str">
        <f aca="false">IF(OR(B2363="",C2363=""),"",F2363&amp;" | "&amp;C2363)</f>
        <v/>
      </c>
      <c r="H2363" s="27" t="str">
        <f aca="false">IF(G2363="","",IFERROR(INDEX(Levels!$C$5:$C$94,MATCH(G2363,Levels!$G$5:$G$94,0)),"Not this class's skill"))</f>
        <v/>
      </c>
    </row>
    <row r="2364" customFormat="false" ht="15" hidden="false" customHeight="false" outlineLevel="0" collapsed="false">
      <c r="A2364" s="23"/>
      <c r="B2364" s="22"/>
      <c r="C2364" s="22"/>
      <c r="D2364" s="22"/>
      <c r="E2364" s="22"/>
      <c r="F2364" s="27" t="str">
        <f aca="false">IF(B2364="","",IFERROR(INDEX(Roster!$B$5:$B$154,MATCH(B2364,Roster!$A$5:$A$154,0)),"Not on roster"))</f>
        <v/>
      </c>
      <c r="G2364" s="28" t="str">
        <f aca="false">IF(OR(B2364="",C2364=""),"",F2364&amp;" | "&amp;C2364)</f>
        <v/>
      </c>
      <c r="H2364" s="27" t="str">
        <f aca="false">IF(G2364="","",IFERROR(INDEX(Levels!$C$5:$C$94,MATCH(G2364,Levels!$G$5:$G$94,0)),"Not this class's skill"))</f>
        <v/>
      </c>
    </row>
    <row r="2365" customFormat="false" ht="15" hidden="false" customHeight="false" outlineLevel="0" collapsed="false">
      <c r="A2365" s="23"/>
      <c r="B2365" s="22"/>
      <c r="C2365" s="22"/>
      <c r="D2365" s="22"/>
      <c r="E2365" s="22"/>
      <c r="F2365" s="27" t="str">
        <f aca="false">IF(B2365="","",IFERROR(INDEX(Roster!$B$5:$B$154,MATCH(B2365,Roster!$A$5:$A$154,0)),"Not on roster"))</f>
        <v/>
      </c>
      <c r="G2365" s="28" t="str">
        <f aca="false">IF(OR(B2365="",C2365=""),"",F2365&amp;" | "&amp;C2365)</f>
        <v/>
      </c>
      <c r="H2365" s="27" t="str">
        <f aca="false">IF(G2365="","",IFERROR(INDEX(Levels!$C$5:$C$94,MATCH(G2365,Levels!$G$5:$G$94,0)),"Not this class's skill"))</f>
        <v/>
      </c>
    </row>
    <row r="2366" customFormat="false" ht="15" hidden="false" customHeight="false" outlineLevel="0" collapsed="false">
      <c r="A2366" s="23"/>
      <c r="B2366" s="22"/>
      <c r="C2366" s="22"/>
      <c r="D2366" s="22"/>
      <c r="E2366" s="22"/>
      <c r="F2366" s="27" t="str">
        <f aca="false">IF(B2366="","",IFERROR(INDEX(Roster!$B$5:$B$154,MATCH(B2366,Roster!$A$5:$A$154,0)),"Not on roster"))</f>
        <v/>
      </c>
      <c r="G2366" s="28" t="str">
        <f aca="false">IF(OR(B2366="",C2366=""),"",F2366&amp;" | "&amp;C2366)</f>
        <v/>
      </c>
      <c r="H2366" s="27" t="str">
        <f aca="false">IF(G2366="","",IFERROR(INDEX(Levels!$C$5:$C$94,MATCH(G2366,Levels!$G$5:$G$94,0)),"Not this class's skill"))</f>
        <v/>
      </c>
    </row>
    <row r="2367" customFormat="false" ht="15" hidden="false" customHeight="false" outlineLevel="0" collapsed="false">
      <c r="A2367" s="23"/>
      <c r="B2367" s="22"/>
      <c r="C2367" s="22"/>
      <c r="D2367" s="22"/>
      <c r="E2367" s="22"/>
      <c r="F2367" s="27" t="str">
        <f aca="false">IF(B2367="","",IFERROR(INDEX(Roster!$B$5:$B$154,MATCH(B2367,Roster!$A$5:$A$154,0)),"Not on roster"))</f>
        <v/>
      </c>
      <c r="G2367" s="28" t="str">
        <f aca="false">IF(OR(B2367="",C2367=""),"",F2367&amp;" | "&amp;C2367)</f>
        <v/>
      </c>
      <c r="H2367" s="27" t="str">
        <f aca="false">IF(G2367="","",IFERROR(INDEX(Levels!$C$5:$C$94,MATCH(G2367,Levels!$G$5:$G$94,0)),"Not this class's skill"))</f>
        <v/>
      </c>
    </row>
    <row r="2368" customFormat="false" ht="15" hidden="false" customHeight="false" outlineLevel="0" collapsed="false">
      <c r="A2368" s="23"/>
      <c r="B2368" s="22"/>
      <c r="C2368" s="22"/>
      <c r="D2368" s="22"/>
      <c r="E2368" s="22"/>
      <c r="F2368" s="27" t="str">
        <f aca="false">IF(B2368="","",IFERROR(INDEX(Roster!$B$5:$B$154,MATCH(B2368,Roster!$A$5:$A$154,0)),"Not on roster"))</f>
        <v/>
      </c>
      <c r="G2368" s="28" t="str">
        <f aca="false">IF(OR(B2368="",C2368=""),"",F2368&amp;" | "&amp;C2368)</f>
        <v/>
      </c>
      <c r="H2368" s="27" t="str">
        <f aca="false">IF(G2368="","",IFERROR(INDEX(Levels!$C$5:$C$94,MATCH(G2368,Levels!$G$5:$G$94,0)),"Not this class's skill"))</f>
        <v/>
      </c>
    </row>
    <row r="2369" customFormat="false" ht="15" hidden="false" customHeight="false" outlineLevel="0" collapsed="false">
      <c r="A2369" s="23"/>
      <c r="B2369" s="22"/>
      <c r="C2369" s="22"/>
      <c r="D2369" s="22"/>
      <c r="E2369" s="22"/>
      <c r="F2369" s="27" t="str">
        <f aca="false">IF(B2369="","",IFERROR(INDEX(Roster!$B$5:$B$154,MATCH(B2369,Roster!$A$5:$A$154,0)),"Not on roster"))</f>
        <v/>
      </c>
      <c r="G2369" s="28" t="str">
        <f aca="false">IF(OR(B2369="",C2369=""),"",F2369&amp;" | "&amp;C2369)</f>
        <v/>
      </c>
      <c r="H2369" s="27" t="str">
        <f aca="false">IF(G2369="","",IFERROR(INDEX(Levels!$C$5:$C$94,MATCH(G2369,Levels!$G$5:$G$94,0)),"Not this class's skill"))</f>
        <v/>
      </c>
    </row>
    <row r="2370" customFormat="false" ht="15" hidden="false" customHeight="false" outlineLevel="0" collapsed="false">
      <c r="A2370" s="23"/>
      <c r="B2370" s="22"/>
      <c r="C2370" s="22"/>
      <c r="D2370" s="22"/>
      <c r="E2370" s="22"/>
      <c r="F2370" s="27" t="str">
        <f aca="false">IF(B2370="","",IFERROR(INDEX(Roster!$B$5:$B$154,MATCH(B2370,Roster!$A$5:$A$154,0)),"Not on roster"))</f>
        <v/>
      </c>
      <c r="G2370" s="28" t="str">
        <f aca="false">IF(OR(B2370="",C2370=""),"",F2370&amp;" | "&amp;C2370)</f>
        <v/>
      </c>
      <c r="H2370" s="27" t="str">
        <f aca="false">IF(G2370="","",IFERROR(INDEX(Levels!$C$5:$C$94,MATCH(G2370,Levels!$G$5:$G$94,0)),"Not this class's skill"))</f>
        <v/>
      </c>
    </row>
    <row r="2371" customFormat="false" ht="15" hidden="false" customHeight="false" outlineLevel="0" collapsed="false">
      <c r="A2371" s="23"/>
      <c r="B2371" s="22"/>
      <c r="C2371" s="22"/>
      <c r="D2371" s="22"/>
      <c r="E2371" s="22"/>
      <c r="F2371" s="27" t="str">
        <f aca="false">IF(B2371="","",IFERROR(INDEX(Roster!$B$5:$B$154,MATCH(B2371,Roster!$A$5:$A$154,0)),"Not on roster"))</f>
        <v/>
      </c>
      <c r="G2371" s="28" t="str">
        <f aca="false">IF(OR(B2371="",C2371=""),"",F2371&amp;" | "&amp;C2371)</f>
        <v/>
      </c>
      <c r="H2371" s="27" t="str">
        <f aca="false">IF(G2371="","",IFERROR(INDEX(Levels!$C$5:$C$94,MATCH(G2371,Levels!$G$5:$G$94,0)),"Not this class's skill"))</f>
        <v/>
      </c>
    </row>
    <row r="2372" customFormat="false" ht="15" hidden="false" customHeight="false" outlineLevel="0" collapsed="false">
      <c r="A2372" s="23"/>
      <c r="B2372" s="22"/>
      <c r="C2372" s="22"/>
      <c r="D2372" s="22"/>
      <c r="E2372" s="22"/>
      <c r="F2372" s="27" t="str">
        <f aca="false">IF(B2372="","",IFERROR(INDEX(Roster!$B$5:$B$154,MATCH(B2372,Roster!$A$5:$A$154,0)),"Not on roster"))</f>
        <v/>
      </c>
      <c r="G2372" s="28" t="str">
        <f aca="false">IF(OR(B2372="",C2372=""),"",F2372&amp;" | "&amp;C2372)</f>
        <v/>
      </c>
      <c r="H2372" s="27" t="str">
        <f aca="false">IF(G2372="","",IFERROR(INDEX(Levels!$C$5:$C$94,MATCH(G2372,Levels!$G$5:$G$94,0)),"Not this class's skill"))</f>
        <v/>
      </c>
    </row>
    <row r="2373" customFormat="false" ht="15" hidden="false" customHeight="false" outlineLevel="0" collapsed="false">
      <c r="A2373" s="23"/>
      <c r="B2373" s="22"/>
      <c r="C2373" s="22"/>
      <c r="D2373" s="22"/>
      <c r="E2373" s="22"/>
      <c r="F2373" s="27" t="str">
        <f aca="false">IF(B2373="","",IFERROR(INDEX(Roster!$B$5:$B$154,MATCH(B2373,Roster!$A$5:$A$154,0)),"Not on roster"))</f>
        <v/>
      </c>
      <c r="G2373" s="28" t="str">
        <f aca="false">IF(OR(B2373="",C2373=""),"",F2373&amp;" | "&amp;C2373)</f>
        <v/>
      </c>
      <c r="H2373" s="27" t="str">
        <f aca="false">IF(G2373="","",IFERROR(INDEX(Levels!$C$5:$C$94,MATCH(G2373,Levels!$G$5:$G$94,0)),"Not this class's skill"))</f>
        <v/>
      </c>
    </row>
    <row r="2374" customFormat="false" ht="15" hidden="false" customHeight="false" outlineLevel="0" collapsed="false">
      <c r="A2374" s="23"/>
      <c r="B2374" s="22"/>
      <c r="C2374" s="22"/>
      <c r="D2374" s="22"/>
      <c r="E2374" s="22"/>
      <c r="F2374" s="27" t="str">
        <f aca="false">IF(B2374="","",IFERROR(INDEX(Roster!$B$5:$B$154,MATCH(B2374,Roster!$A$5:$A$154,0)),"Not on roster"))</f>
        <v/>
      </c>
      <c r="G2374" s="28" t="str">
        <f aca="false">IF(OR(B2374="",C2374=""),"",F2374&amp;" | "&amp;C2374)</f>
        <v/>
      </c>
      <c r="H2374" s="27" t="str">
        <f aca="false">IF(G2374="","",IFERROR(INDEX(Levels!$C$5:$C$94,MATCH(G2374,Levels!$G$5:$G$94,0)),"Not this class's skill"))</f>
        <v/>
      </c>
    </row>
    <row r="2375" customFormat="false" ht="15" hidden="false" customHeight="false" outlineLevel="0" collapsed="false">
      <c r="A2375" s="23"/>
      <c r="B2375" s="22"/>
      <c r="C2375" s="22"/>
      <c r="D2375" s="22"/>
      <c r="E2375" s="22"/>
      <c r="F2375" s="27" t="str">
        <f aca="false">IF(B2375="","",IFERROR(INDEX(Roster!$B$5:$B$154,MATCH(B2375,Roster!$A$5:$A$154,0)),"Not on roster"))</f>
        <v/>
      </c>
      <c r="G2375" s="28" t="str">
        <f aca="false">IF(OR(B2375="",C2375=""),"",F2375&amp;" | "&amp;C2375)</f>
        <v/>
      </c>
      <c r="H2375" s="27" t="str">
        <f aca="false">IF(G2375="","",IFERROR(INDEX(Levels!$C$5:$C$94,MATCH(G2375,Levels!$G$5:$G$94,0)),"Not this class's skill"))</f>
        <v/>
      </c>
    </row>
    <row r="2376" customFormat="false" ht="15" hidden="false" customHeight="false" outlineLevel="0" collapsed="false">
      <c r="A2376" s="23"/>
      <c r="B2376" s="22"/>
      <c r="C2376" s="22"/>
      <c r="D2376" s="22"/>
      <c r="E2376" s="22"/>
      <c r="F2376" s="27" t="str">
        <f aca="false">IF(B2376="","",IFERROR(INDEX(Roster!$B$5:$B$154,MATCH(B2376,Roster!$A$5:$A$154,0)),"Not on roster"))</f>
        <v/>
      </c>
      <c r="G2376" s="28" t="str">
        <f aca="false">IF(OR(B2376="",C2376=""),"",F2376&amp;" | "&amp;C2376)</f>
        <v/>
      </c>
      <c r="H2376" s="27" t="str">
        <f aca="false">IF(G2376="","",IFERROR(INDEX(Levels!$C$5:$C$94,MATCH(G2376,Levels!$G$5:$G$94,0)),"Not this class's skill"))</f>
        <v/>
      </c>
    </row>
    <row r="2377" customFormat="false" ht="15" hidden="false" customHeight="false" outlineLevel="0" collapsed="false">
      <c r="A2377" s="23"/>
      <c r="B2377" s="22"/>
      <c r="C2377" s="22"/>
      <c r="D2377" s="22"/>
      <c r="E2377" s="22"/>
      <c r="F2377" s="27" t="str">
        <f aca="false">IF(B2377="","",IFERROR(INDEX(Roster!$B$5:$B$154,MATCH(B2377,Roster!$A$5:$A$154,0)),"Not on roster"))</f>
        <v/>
      </c>
      <c r="G2377" s="28" t="str">
        <f aca="false">IF(OR(B2377="",C2377=""),"",F2377&amp;" | "&amp;C2377)</f>
        <v/>
      </c>
      <c r="H2377" s="27" t="str">
        <f aca="false">IF(G2377="","",IFERROR(INDEX(Levels!$C$5:$C$94,MATCH(G2377,Levels!$G$5:$G$94,0)),"Not this class's skill"))</f>
        <v/>
      </c>
    </row>
    <row r="2378" customFormat="false" ht="15" hidden="false" customHeight="false" outlineLevel="0" collapsed="false">
      <c r="A2378" s="23"/>
      <c r="B2378" s="22"/>
      <c r="C2378" s="22"/>
      <c r="D2378" s="22"/>
      <c r="E2378" s="22"/>
      <c r="F2378" s="27" t="str">
        <f aca="false">IF(B2378="","",IFERROR(INDEX(Roster!$B$5:$B$154,MATCH(B2378,Roster!$A$5:$A$154,0)),"Not on roster"))</f>
        <v/>
      </c>
      <c r="G2378" s="28" t="str">
        <f aca="false">IF(OR(B2378="",C2378=""),"",F2378&amp;" | "&amp;C2378)</f>
        <v/>
      </c>
      <c r="H2378" s="27" t="str">
        <f aca="false">IF(G2378="","",IFERROR(INDEX(Levels!$C$5:$C$94,MATCH(G2378,Levels!$G$5:$G$94,0)),"Not this class's skill"))</f>
        <v/>
      </c>
    </row>
    <row r="2379" customFormat="false" ht="15" hidden="false" customHeight="false" outlineLevel="0" collapsed="false">
      <c r="A2379" s="23"/>
      <c r="B2379" s="22"/>
      <c r="C2379" s="22"/>
      <c r="D2379" s="22"/>
      <c r="E2379" s="22"/>
      <c r="F2379" s="27" t="str">
        <f aca="false">IF(B2379="","",IFERROR(INDEX(Roster!$B$5:$B$154,MATCH(B2379,Roster!$A$5:$A$154,0)),"Not on roster"))</f>
        <v/>
      </c>
      <c r="G2379" s="28" t="str">
        <f aca="false">IF(OR(B2379="",C2379=""),"",F2379&amp;" | "&amp;C2379)</f>
        <v/>
      </c>
      <c r="H2379" s="27" t="str">
        <f aca="false">IF(G2379="","",IFERROR(INDEX(Levels!$C$5:$C$94,MATCH(G2379,Levels!$G$5:$G$94,0)),"Not this class's skill"))</f>
        <v/>
      </c>
    </row>
    <row r="2380" customFormat="false" ht="15" hidden="false" customHeight="false" outlineLevel="0" collapsed="false">
      <c r="A2380" s="23"/>
      <c r="B2380" s="22"/>
      <c r="C2380" s="22"/>
      <c r="D2380" s="22"/>
      <c r="E2380" s="22"/>
      <c r="F2380" s="27" t="str">
        <f aca="false">IF(B2380="","",IFERROR(INDEX(Roster!$B$5:$B$154,MATCH(B2380,Roster!$A$5:$A$154,0)),"Not on roster"))</f>
        <v/>
      </c>
      <c r="G2380" s="28" t="str">
        <f aca="false">IF(OR(B2380="",C2380=""),"",F2380&amp;" | "&amp;C2380)</f>
        <v/>
      </c>
      <c r="H2380" s="27" t="str">
        <f aca="false">IF(G2380="","",IFERROR(INDEX(Levels!$C$5:$C$94,MATCH(G2380,Levels!$G$5:$G$94,0)),"Not this class's skill"))</f>
        <v/>
      </c>
    </row>
    <row r="2381" customFormat="false" ht="15" hidden="false" customHeight="false" outlineLevel="0" collapsed="false">
      <c r="A2381" s="23"/>
      <c r="B2381" s="22"/>
      <c r="C2381" s="22"/>
      <c r="D2381" s="22"/>
      <c r="E2381" s="22"/>
      <c r="F2381" s="27" t="str">
        <f aca="false">IF(B2381="","",IFERROR(INDEX(Roster!$B$5:$B$154,MATCH(B2381,Roster!$A$5:$A$154,0)),"Not on roster"))</f>
        <v/>
      </c>
      <c r="G2381" s="28" t="str">
        <f aca="false">IF(OR(B2381="",C2381=""),"",F2381&amp;" | "&amp;C2381)</f>
        <v/>
      </c>
      <c r="H2381" s="27" t="str">
        <f aca="false">IF(G2381="","",IFERROR(INDEX(Levels!$C$5:$C$94,MATCH(G2381,Levels!$G$5:$G$94,0)),"Not this class's skill"))</f>
        <v/>
      </c>
    </row>
    <row r="2382" customFormat="false" ht="15" hidden="false" customHeight="false" outlineLevel="0" collapsed="false">
      <c r="A2382" s="23"/>
      <c r="B2382" s="22"/>
      <c r="C2382" s="22"/>
      <c r="D2382" s="22"/>
      <c r="E2382" s="22"/>
      <c r="F2382" s="27" t="str">
        <f aca="false">IF(B2382="","",IFERROR(INDEX(Roster!$B$5:$B$154,MATCH(B2382,Roster!$A$5:$A$154,0)),"Not on roster"))</f>
        <v/>
      </c>
      <c r="G2382" s="28" t="str">
        <f aca="false">IF(OR(B2382="",C2382=""),"",F2382&amp;" | "&amp;C2382)</f>
        <v/>
      </c>
      <c r="H2382" s="27" t="str">
        <f aca="false">IF(G2382="","",IFERROR(INDEX(Levels!$C$5:$C$94,MATCH(G2382,Levels!$G$5:$G$94,0)),"Not this class's skill"))</f>
        <v/>
      </c>
    </row>
    <row r="2383" customFormat="false" ht="15" hidden="false" customHeight="false" outlineLevel="0" collapsed="false">
      <c r="A2383" s="23"/>
      <c r="B2383" s="22"/>
      <c r="C2383" s="22"/>
      <c r="D2383" s="22"/>
      <c r="E2383" s="22"/>
      <c r="F2383" s="27" t="str">
        <f aca="false">IF(B2383="","",IFERROR(INDEX(Roster!$B$5:$B$154,MATCH(B2383,Roster!$A$5:$A$154,0)),"Not on roster"))</f>
        <v/>
      </c>
      <c r="G2383" s="28" t="str">
        <f aca="false">IF(OR(B2383="",C2383=""),"",F2383&amp;" | "&amp;C2383)</f>
        <v/>
      </c>
      <c r="H2383" s="27" t="str">
        <f aca="false">IF(G2383="","",IFERROR(INDEX(Levels!$C$5:$C$94,MATCH(G2383,Levels!$G$5:$G$94,0)),"Not this class's skill"))</f>
        <v/>
      </c>
    </row>
    <row r="2384" customFormat="false" ht="15" hidden="false" customHeight="false" outlineLevel="0" collapsed="false">
      <c r="A2384" s="23"/>
      <c r="B2384" s="22"/>
      <c r="C2384" s="22"/>
      <c r="D2384" s="22"/>
      <c r="E2384" s="22"/>
      <c r="F2384" s="27" t="str">
        <f aca="false">IF(B2384="","",IFERROR(INDEX(Roster!$B$5:$B$154,MATCH(B2384,Roster!$A$5:$A$154,0)),"Not on roster"))</f>
        <v/>
      </c>
      <c r="G2384" s="28" t="str">
        <f aca="false">IF(OR(B2384="",C2384=""),"",F2384&amp;" | "&amp;C2384)</f>
        <v/>
      </c>
      <c r="H2384" s="27" t="str">
        <f aca="false">IF(G2384="","",IFERROR(INDEX(Levels!$C$5:$C$94,MATCH(G2384,Levels!$G$5:$G$94,0)),"Not this class's skill"))</f>
        <v/>
      </c>
    </row>
    <row r="2385" customFormat="false" ht="15" hidden="false" customHeight="false" outlineLevel="0" collapsed="false">
      <c r="A2385" s="23"/>
      <c r="B2385" s="22"/>
      <c r="C2385" s="22"/>
      <c r="D2385" s="22"/>
      <c r="E2385" s="22"/>
      <c r="F2385" s="27" t="str">
        <f aca="false">IF(B2385="","",IFERROR(INDEX(Roster!$B$5:$B$154,MATCH(B2385,Roster!$A$5:$A$154,0)),"Not on roster"))</f>
        <v/>
      </c>
      <c r="G2385" s="28" t="str">
        <f aca="false">IF(OR(B2385="",C2385=""),"",F2385&amp;" | "&amp;C2385)</f>
        <v/>
      </c>
      <c r="H2385" s="27" t="str">
        <f aca="false">IF(G2385="","",IFERROR(INDEX(Levels!$C$5:$C$94,MATCH(G2385,Levels!$G$5:$G$94,0)),"Not this class's skill"))</f>
        <v/>
      </c>
    </row>
    <row r="2386" customFormat="false" ht="15" hidden="false" customHeight="false" outlineLevel="0" collapsed="false">
      <c r="A2386" s="23"/>
      <c r="B2386" s="22"/>
      <c r="C2386" s="22"/>
      <c r="D2386" s="22"/>
      <c r="E2386" s="22"/>
      <c r="F2386" s="27" t="str">
        <f aca="false">IF(B2386="","",IFERROR(INDEX(Roster!$B$5:$B$154,MATCH(B2386,Roster!$A$5:$A$154,0)),"Not on roster"))</f>
        <v/>
      </c>
      <c r="G2386" s="28" t="str">
        <f aca="false">IF(OR(B2386="",C2386=""),"",F2386&amp;" | "&amp;C2386)</f>
        <v/>
      </c>
      <c r="H2386" s="27" t="str">
        <f aca="false">IF(G2386="","",IFERROR(INDEX(Levels!$C$5:$C$94,MATCH(G2386,Levels!$G$5:$G$94,0)),"Not this class's skill"))</f>
        <v/>
      </c>
    </row>
    <row r="2387" customFormat="false" ht="15" hidden="false" customHeight="false" outlineLevel="0" collapsed="false">
      <c r="A2387" s="23"/>
      <c r="B2387" s="22"/>
      <c r="C2387" s="22"/>
      <c r="D2387" s="22"/>
      <c r="E2387" s="22"/>
      <c r="F2387" s="27" t="str">
        <f aca="false">IF(B2387="","",IFERROR(INDEX(Roster!$B$5:$B$154,MATCH(B2387,Roster!$A$5:$A$154,0)),"Not on roster"))</f>
        <v/>
      </c>
      <c r="G2387" s="28" t="str">
        <f aca="false">IF(OR(B2387="",C2387=""),"",F2387&amp;" | "&amp;C2387)</f>
        <v/>
      </c>
      <c r="H2387" s="27" t="str">
        <f aca="false">IF(G2387="","",IFERROR(INDEX(Levels!$C$5:$C$94,MATCH(G2387,Levels!$G$5:$G$94,0)),"Not this class's skill"))</f>
        <v/>
      </c>
    </row>
    <row r="2388" customFormat="false" ht="15" hidden="false" customHeight="false" outlineLevel="0" collapsed="false">
      <c r="A2388" s="23"/>
      <c r="B2388" s="22"/>
      <c r="C2388" s="22"/>
      <c r="D2388" s="22"/>
      <c r="E2388" s="22"/>
      <c r="F2388" s="27" t="str">
        <f aca="false">IF(B2388="","",IFERROR(INDEX(Roster!$B$5:$B$154,MATCH(B2388,Roster!$A$5:$A$154,0)),"Not on roster"))</f>
        <v/>
      </c>
      <c r="G2388" s="28" t="str">
        <f aca="false">IF(OR(B2388="",C2388=""),"",F2388&amp;" | "&amp;C2388)</f>
        <v/>
      </c>
      <c r="H2388" s="27" t="str">
        <f aca="false">IF(G2388="","",IFERROR(INDEX(Levels!$C$5:$C$94,MATCH(G2388,Levels!$G$5:$G$94,0)),"Not this class's skill"))</f>
        <v/>
      </c>
    </row>
    <row r="2389" customFormat="false" ht="15" hidden="false" customHeight="false" outlineLevel="0" collapsed="false">
      <c r="A2389" s="23"/>
      <c r="B2389" s="22"/>
      <c r="C2389" s="22"/>
      <c r="D2389" s="22"/>
      <c r="E2389" s="22"/>
      <c r="F2389" s="27" t="str">
        <f aca="false">IF(B2389="","",IFERROR(INDEX(Roster!$B$5:$B$154,MATCH(B2389,Roster!$A$5:$A$154,0)),"Not on roster"))</f>
        <v/>
      </c>
      <c r="G2389" s="28" t="str">
        <f aca="false">IF(OR(B2389="",C2389=""),"",F2389&amp;" | "&amp;C2389)</f>
        <v/>
      </c>
      <c r="H2389" s="27" t="str">
        <f aca="false">IF(G2389="","",IFERROR(INDEX(Levels!$C$5:$C$94,MATCH(G2389,Levels!$G$5:$G$94,0)),"Not this class's skill"))</f>
        <v/>
      </c>
    </row>
    <row r="2390" customFormat="false" ht="15" hidden="false" customHeight="false" outlineLevel="0" collapsed="false">
      <c r="A2390" s="23"/>
      <c r="B2390" s="22"/>
      <c r="C2390" s="22"/>
      <c r="D2390" s="22"/>
      <c r="E2390" s="22"/>
      <c r="F2390" s="27" t="str">
        <f aca="false">IF(B2390="","",IFERROR(INDEX(Roster!$B$5:$B$154,MATCH(B2390,Roster!$A$5:$A$154,0)),"Not on roster"))</f>
        <v/>
      </c>
      <c r="G2390" s="28" t="str">
        <f aca="false">IF(OR(B2390="",C2390=""),"",F2390&amp;" | "&amp;C2390)</f>
        <v/>
      </c>
      <c r="H2390" s="27" t="str">
        <f aca="false">IF(G2390="","",IFERROR(INDEX(Levels!$C$5:$C$94,MATCH(G2390,Levels!$G$5:$G$94,0)),"Not this class's skill"))</f>
        <v/>
      </c>
    </row>
    <row r="2391" customFormat="false" ht="15" hidden="false" customHeight="false" outlineLevel="0" collapsed="false">
      <c r="A2391" s="23"/>
      <c r="B2391" s="22"/>
      <c r="C2391" s="22"/>
      <c r="D2391" s="22"/>
      <c r="E2391" s="22"/>
      <c r="F2391" s="27" t="str">
        <f aca="false">IF(B2391="","",IFERROR(INDEX(Roster!$B$5:$B$154,MATCH(B2391,Roster!$A$5:$A$154,0)),"Not on roster"))</f>
        <v/>
      </c>
      <c r="G2391" s="28" t="str">
        <f aca="false">IF(OR(B2391="",C2391=""),"",F2391&amp;" | "&amp;C2391)</f>
        <v/>
      </c>
      <c r="H2391" s="27" t="str">
        <f aca="false">IF(G2391="","",IFERROR(INDEX(Levels!$C$5:$C$94,MATCH(G2391,Levels!$G$5:$G$94,0)),"Not this class's skill"))</f>
        <v/>
      </c>
    </row>
    <row r="2392" customFormat="false" ht="15" hidden="false" customHeight="false" outlineLevel="0" collapsed="false">
      <c r="A2392" s="23"/>
      <c r="B2392" s="22"/>
      <c r="C2392" s="22"/>
      <c r="D2392" s="22"/>
      <c r="E2392" s="22"/>
      <c r="F2392" s="27" t="str">
        <f aca="false">IF(B2392="","",IFERROR(INDEX(Roster!$B$5:$B$154,MATCH(B2392,Roster!$A$5:$A$154,0)),"Not on roster"))</f>
        <v/>
      </c>
      <c r="G2392" s="28" t="str">
        <f aca="false">IF(OR(B2392="",C2392=""),"",F2392&amp;" | "&amp;C2392)</f>
        <v/>
      </c>
      <c r="H2392" s="27" t="str">
        <f aca="false">IF(G2392="","",IFERROR(INDEX(Levels!$C$5:$C$94,MATCH(G2392,Levels!$G$5:$G$94,0)),"Not this class's skill"))</f>
        <v/>
      </c>
    </row>
    <row r="2393" customFormat="false" ht="15" hidden="false" customHeight="false" outlineLevel="0" collapsed="false">
      <c r="A2393" s="23"/>
      <c r="B2393" s="22"/>
      <c r="C2393" s="22"/>
      <c r="D2393" s="22"/>
      <c r="E2393" s="22"/>
      <c r="F2393" s="27" t="str">
        <f aca="false">IF(B2393="","",IFERROR(INDEX(Roster!$B$5:$B$154,MATCH(B2393,Roster!$A$5:$A$154,0)),"Not on roster"))</f>
        <v/>
      </c>
      <c r="G2393" s="28" t="str">
        <f aca="false">IF(OR(B2393="",C2393=""),"",F2393&amp;" | "&amp;C2393)</f>
        <v/>
      </c>
      <c r="H2393" s="27" t="str">
        <f aca="false">IF(G2393="","",IFERROR(INDEX(Levels!$C$5:$C$94,MATCH(G2393,Levels!$G$5:$G$94,0)),"Not this class's skill"))</f>
        <v/>
      </c>
    </row>
    <row r="2394" customFormat="false" ht="15" hidden="false" customHeight="false" outlineLevel="0" collapsed="false">
      <c r="A2394" s="23"/>
      <c r="B2394" s="22"/>
      <c r="C2394" s="22"/>
      <c r="D2394" s="22"/>
      <c r="E2394" s="22"/>
      <c r="F2394" s="27" t="str">
        <f aca="false">IF(B2394="","",IFERROR(INDEX(Roster!$B$5:$B$154,MATCH(B2394,Roster!$A$5:$A$154,0)),"Not on roster"))</f>
        <v/>
      </c>
      <c r="G2394" s="28" t="str">
        <f aca="false">IF(OR(B2394="",C2394=""),"",F2394&amp;" | "&amp;C2394)</f>
        <v/>
      </c>
      <c r="H2394" s="27" t="str">
        <f aca="false">IF(G2394="","",IFERROR(INDEX(Levels!$C$5:$C$94,MATCH(G2394,Levels!$G$5:$G$94,0)),"Not this class's skill"))</f>
        <v/>
      </c>
    </row>
    <row r="2395" customFormat="false" ht="15" hidden="false" customHeight="false" outlineLevel="0" collapsed="false">
      <c r="A2395" s="23"/>
      <c r="B2395" s="22"/>
      <c r="C2395" s="22"/>
      <c r="D2395" s="22"/>
      <c r="E2395" s="22"/>
      <c r="F2395" s="27" t="str">
        <f aca="false">IF(B2395="","",IFERROR(INDEX(Roster!$B$5:$B$154,MATCH(B2395,Roster!$A$5:$A$154,0)),"Not on roster"))</f>
        <v/>
      </c>
      <c r="G2395" s="28" t="str">
        <f aca="false">IF(OR(B2395="",C2395=""),"",F2395&amp;" | "&amp;C2395)</f>
        <v/>
      </c>
      <c r="H2395" s="27" t="str">
        <f aca="false">IF(G2395="","",IFERROR(INDEX(Levels!$C$5:$C$94,MATCH(G2395,Levels!$G$5:$G$94,0)),"Not this class's skill"))</f>
        <v/>
      </c>
    </row>
    <row r="2396" customFormat="false" ht="15" hidden="false" customHeight="false" outlineLevel="0" collapsed="false">
      <c r="A2396" s="23"/>
      <c r="B2396" s="22"/>
      <c r="C2396" s="22"/>
      <c r="D2396" s="22"/>
      <c r="E2396" s="22"/>
      <c r="F2396" s="27" t="str">
        <f aca="false">IF(B2396="","",IFERROR(INDEX(Roster!$B$5:$B$154,MATCH(B2396,Roster!$A$5:$A$154,0)),"Not on roster"))</f>
        <v/>
      </c>
      <c r="G2396" s="28" t="str">
        <f aca="false">IF(OR(B2396="",C2396=""),"",F2396&amp;" | "&amp;C2396)</f>
        <v/>
      </c>
      <c r="H2396" s="27" t="str">
        <f aca="false">IF(G2396="","",IFERROR(INDEX(Levels!$C$5:$C$94,MATCH(G2396,Levels!$G$5:$G$94,0)),"Not this class's skill"))</f>
        <v/>
      </c>
    </row>
    <row r="2397" customFormat="false" ht="15" hidden="false" customHeight="false" outlineLevel="0" collapsed="false">
      <c r="A2397" s="23"/>
      <c r="B2397" s="22"/>
      <c r="C2397" s="22"/>
      <c r="D2397" s="22"/>
      <c r="E2397" s="22"/>
      <c r="F2397" s="27" t="str">
        <f aca="false">IF(B2397="","",IFERROR(INDEX(Roster!$B$5:$B$154,MATCH(B2397,Roster!$A$5:$A$154,0)),"Not on roster"))</f>
        <v/>
      </c>
      <c r="G2397" s="28" t="str">
        <f aca="false">IF(OR(B2397="",C2397=""),"",F2397&amp;" | "&amp;C2397)</f>
        <v/>
      </c>
      <c r="H2397" s="27" t="str">
        <f aca="false">IF(G2397="","",IFERROR(INDEX(Levels!$C$5:$C$94,MATCH(G2397,Levels!$G$5:$G$94,0)),"Not this class's skill"))</f>
        <v/>
      </c>
    </row>
    <row r="2398" customFormat="false" ht="15" hidden="false" customHeight="false" outlineLevel="0" collapsed="false">
      <c r="A2398" s="23"/>
      <c r="B2398" s="22"/>
      <c r="C2398" s="22"/>
      <c r="D2398" s="22"/>
      <c r="E2398" s="22"/>
      <c r="F2398" s="27" t="str">
        <f aca="false">IF(B2398="","",IFERROR(INDEX(Roster!$B$5:$B$154,MATCH(B2398,Roster!$A$5:$A$154,0)),"Not on roster"))</f>
        <v/>
      </c>
      <c r="G2398" s="28" t="str">
        <f aca="false">IF(OR(B2398="",C2398=""),"",F2398&amp;" | "&amp;C2398)</f>
        <v/>
      </c>
      <c r="H2398" s="27" t="str">
        <f aca="false">IF(G2398="","",IFERROR(INDEX(Levels!$C$5:$C$94,MATCH(G2398,Levels!$G$5:$G$94,0)),"Not this class's skill"))</f>
        <v/>
      </c>
    </row>
    <row r="2399" customFormat="false" ht="15" hidden="false" customHeight="false" outlineLevel="0" collapsed="false">
      <c r="A2399" s="23"/>
      <c r="B2399" s="22"/>
      <c r="C2399" s="22"/>
      <c r="D2399" s="22"/>
      <c r="E2399" s="22"/>
      <c r="F2399" s="27" t="str">
        <f aca="false">IF(B2399="","",IFERROR(INDEX(Roster!$B$5:$B$154,MATCH(B2399,Roster!$A$5:$A$154,0)),"Not on roster"))</f>
        <v/>
      </c>
      <c r="G2399" s="28" t="str">
        <f aca="false">IF(OR(B2399="",C2399=""),"",F2399&amp;" | "&amp;C2399)</f>
        <v/>
      </c>
      <c r="H2399" s="27" t="str">
        <f aca="false">IF(G2399="","",IFERROR(INDEX(Levels!$C$5:$C$94,MATCH(G2399,Levels!$G$5:$G$94,0)),"Not this class's skill"))</f>
        <v/>
      </c>
    </row>
    <row r="2400" customFormat="false" ht="15" hidden="false" customHeight="false" outlineLevel="0" collapsed="false">
      <c r="A2400" s="23"/>
      <c r="B2400" s="22"/>
      <c r="C2400" s="22"/>
      <c r="D2400" s="22"/>
      <c r="E2400" s="22"/>
      <c r="F2400" s="27" t="str">
        <f aca="false">IF(B2400="","",IFERROR(INDEX(Roster!$B$5:$B$154,MATCH(B2400,Roster!$A$5:$A$154,0)),"Not on roster"))</f>
        <v/>
      </c>
      <c r="G2400" s="28" t="str">
        <f aca="false">IF(OR(B2400="",C2400=""),"",F2400&amp;" | "&amp;C2400)</f>
        <v/>
      </c>
      <c r="H2400" s="27" t="str">
        <f aca="false">IF(G2400="","",IFERROR(INDEX(Levels!$C$5:$C$94,MATCH(G2400,Levels!$G$5:$G$94,0)),"Not this class's skill"))</f>
        <v/>
      </c>
    </row>
    <row r="2401" customFormat="false" ht="15" hidden="false" customHeight="false" outlineLevel="0" collapsed="false">
      <c r="A2401" s="23"/>
      <c r="B2401" s="22"/>
      <c r="C2401" s="22"/>
      <c r="D2401" s="22"/>
      <c r="E2401" s="22"/>
      <c r="F2401" s="27" t="str">
        <f aca="false">IF(B2401="","",IFERROR(INDEX(Roster!$B$5:$B$154,MATCH(B2401,Roster!$A$5:$A$154,0)),"Not on roster"))</f>
        <v/>
      </c>
      <c r="G2401" s="28" t="str">
        <f aca="false">IF(OR(B2401="",C2401=""),"",F2401&amp;" | "&amp;C2401)</f>
        <v/>
      </c>
      <c r="H2401" s="27" t="str">
        <f aca="false">IF(G2401="","",IFERROR(INDEX(Levels!$C$5:$C$94,MATCH(G2401,Levels!$G$5:$G$94,0)),"Not this class's skill"))</f>
        <v/>
      </c>
    </row>
    <row r="2402" customFormat="false" ht="15" hidden="false" customHeight="false" outlineLevel="0" collapsed="false">
      <c r="A2402" s="23"/>
      <c r="B2402" s="22"/>
      <c r="C2402" s="22"/>
      <c r="D2402" s="22"/>
      <c r="E2402" s="22"/>
      <c r="F2402" s="27" t="str">
        <f aca="false">IF(B2402="","",IFERROR(INDEX(Roster!$B$5:$B$154,MATCH(B2402,Roster!$A$5:$A$154,0)),"Not on roster"))</f>
        <v/>
      </c>
      <c r="G2402" s="28" t="str">
        <f aca="false">IF(OR(B2402="",C2402=""),"",F2402&amp;" | "&amp;C2402)</f>
        <v/>
      </c>
      <c r="H2402" s="27" t="str">
        <f aca="false">IF(G2402="","",IFERROR(INDEX(Levels!$C$5:$C$94,MATCH(G2402,Levels!$G$5:$G$94,0)),"Not this class's skill"))</f>
        <v/>
      </c>
    </row>
    <row r="2403" customFormat="false" ht="15" hidden="false" customHeight="false" outlineLevel="0" collapsed="false">
      <c r="A2403" s="23"/>
      <c r="B2403" s="22"/>
      <c r="C2403" s="22"/>
      <c r="D2403" s="22"/>
      <c r="E2403" s="22"/>
      <c r="F2403" s="27" t="str">
        <f aca="false">IF(B2403="","",IFERROR(INDEX(Roster!$B$5:$B$154,MATCH(B2403,Roster!$A$5:$A$154,0)),"Not on roster"))</f>
        <v/>
      </c>
      <c r="G2403" s="28" t="str">
        <f aca="false">IF(OR(B2403="",C2403=""),"",F2403&amp;" | "&amp;C2403)</f>
        <v/>
      </c>
      <c r="H2403" s="27" t="str">
        <f aca="false">IF(G2403="","",IFERROR(INDEX(Levels!$C$5:$C$94,MATCH(G2403,Levels!$G$5:$G$94,0)),"Not this class's skill"))</f>
        <v/>
      </c>
    </row>
    <row r="2404" customFormat="false" ht="15" hidden="false" customHeight="false" outlineLevel="0" collapsed="false">
      <c r="A2404" s="23"/>
      <c r="B2404" s="22"/>
      <c r="C2404" s="22"/>
      <c r="D2404" s="22"/>
      <c r="E2404" s="22"/>
      <c r="F2404" s="27" t="str">
        <f aca="false">IF(B2404="","",IFERROR(INDEX(Roster!$B$5:$B$154,MATCH(B2404,Roster!$A$5:$A$154,0)),"Not on roster"))</f>
        <v/>
      </c>
      <c r="G2404" s="28" t="str">
        <f aca="false">IF(OR(B2404="",C2404=""),"",F2404&amp;" | "&amp;C2404)</f>
        <v/>
      </c>
      <c r="H2404" s="27" t="str">
        <f aca="false">IF(G2404="","",IFERROR(INDEX(Levels!$C$5:$C$94,MATCH(G2404,Levels!$G$5:$G$94,0)),"Not this class's skill"))</f>
        <v/>
      </c>
    </row>
    <row r="2405" customFormat="false" ht="15" hidden="false" customHeight="false" outlineLevel="0" collapsed="false">
      <c r="A2405" s="23"/>
      <c r="B2405" s="22"/>
      <c r="C2405" s="22"/>
      <c r="D2405" s="22"/>
      <c r="E2405" s="22"/>
      <c r="F2405" s="27" t="str">
        <f aca="false">IF(B2405="","",IFERROR(INDEX(Roster!$B$5:$B$154,MATCH(B2405,Roster!$A$5:$A$154,0)),"Not on roster"))</f>
        <v/>
      </c>
      <c r="G2405" s="28" t="str">
        <f aca="false">IF(OR(B2405="",C2405=""),"",F2405&amp;" | "&amp;C2405)</f>
        <v/>
      </c>
      <c r="H2405" s="27" t="str">
        <f aca="false">IF(G2405="","",IFERROR(INDEX(Levels!$C$5:$C$94,MATCH(G2405,Levels!$G$5:$G$94,0)),"Not this class's skill"))</f>
        <v/>
      </c>
    </row>
    <row r="2406" customFormat="false" ht="15" hidden="false" customHeight="false" outlineLevel="0" collapsed="false">
      <c r="A2406" s="23"/>
      <c r="B2406" s="22"/>
      <c r="C2406" s="22"/>
      <c r="D2406" s="22"/>
      <c r="E2406" s="22"/>
      <c r="F2406" s="27" t="str">
        <f aca="false">IF(B2406="","",IFERROR(INDEX(Roster!$B$5:$B$154,MATCH(B2406,Roster!$A$5:$A$154,0)),"Not on roster"))</f>
        <v/>
      </c>
      <c r="G2406" s="28" t="str">
        <f aca="false">IF(OR(B2406="",C2406=""),"",F2406&amp;" | "&amp;C2406)</f>
        <v/>
      </c>
      <c r="H2406" s="27" t="str">
        <f aca="false">IF(G2406="","",IFERROR(INDEX(Levels!$C$5:$C$94,MATCH(G2406,Levels!$G$5:$G$94,0)),"Not this class's skill"))</f>
        <v/>
      </c>
    </row>
    <row r="2407" customFormat="false" ht="15" hidden="false" customHeight="false" outlineLevel="0" collapsed="false">
      <c r="A2407" s="23"/>
      <c r="B2407" s="22"/>
      <c r="C2407" s="22"/>
      <c r="D2407" s="22"/>
      <c r="E2407" s="22"/>
      <c r="F2407" s="27" t="str">
        <f aca="false">IF(B2407="","",IFERROR(INDEX(Roster!$B$5:$B$154,MATCH(B2407,Roster!$A$5:$A$154,0)),"Not on roster"))</f>
        <v/>
      </c>
      <c r="G2407" s="28" t="str">
        <f aca="false">IF(OR(B2407="",C2407=""),"",F2407&amp;" | "&amp;C2407)</f>
        <v/>
      </c>
      <c r="H2407" s="27" t="str">
        <f aca="false">IF(G2407="","",IFERROR(INDEX(Levels!$C$5:$C$94,MATCH(G2407,Levels!$G$5:$G$94,0)),"Not this class's skill"))</f>
        <v/>
      </c>
    </row>
    <row r="2408" customFormat="false" ht="15" hidden="false" customHeight="false" outlineLevel="0" collapsed="false">
      <c r="A2408" s="23"/>
      <c r="B2408" s="22"/>
      <c r="C2408" s="22"/>
      <c r="D2408" s="22"/>
      <c r="E2408" s="22"/>
      <c r="F2408" s="27" t="str">
        <f aca="false">IF(B2408="","",IFERROR(INDEX(Roster!$B$5:$B$154,MATCH(B2408,Roster!$A$5:$A$154,0)),"Not on roster"))</f>
        <v/>
      </c>
      <c r="G2408" s="28" t="str">
        <f aca="false">IF(OR(B2408="",C2408=""),"",F2408&amp;" | "&amp;C2408)</f>
        <v/>
      </c>
      <c r="H2408" s="27" t="str">
        <f aca="false">IF(G2408="","",IFERROR(INDEX(Levels!$C$5:$C$94,MATCH(G2408,Levels!$G$5:$G$94,0)),"Not this class's skill"))</f>
        <v/>
      </c>
    </row>
    <row r="2409" customFormat="false" ht="15" hidden="false" customHeight="false" outlineLevel="0" collapsed="false">
      <c r="A2409" s="23"/>
      <c r="B2409" s="22"/>
      <c r="C2409" s="22"/>
      <c r="D2409" s="22"/>
      <c r="E2409" s="22"/>
      <c r="F2409" s="27" t="str">
        <f aca="false">IF(B2409="","",IFERROR(INDEX(Roster!$B$5:$B$154,MATCH(B2409,Roster!$A$5:$A$154,0)),"Not on roster"))</f>
        <v/>
      </c>
      <c r="G2409" s="28" t="str">
        <f aca="false">IF(OR(B2409="",C2409=""),"",F2409&amp;" | "&amp;C2409)</f>
        <v/>
      </c>
      <c r="H2409" s="27" t="str">
        <f aca="false">IF(G2409="","",IFERROR(INDEX(Levels!$C$5:$C$94,MATCH(G2409,Levels!$G$5:$G$94,0)),"Not this class's skill"))</f>
        <v/>
      </c>
    </row>
    <row r="2410" customFormat="false" ht="15" hidden="false" customHeight="false" outlineLevel="0" collapsed="false">
      <c r="A2410" s="23"/>
      <c r="B2410" s="22"/>
      <c r="C2410" s="22"/>
      <c r="D2410" s="22"/>
      <c r="E2410" s="22"/>
      <c r="F2410" s="27" t="str">
        <f aca="false">IF(B2410="","",IFERROR(INDEX(Roster!$B$5:$B$154,MATCH(B2410,Roster!$A$5:$A$154,0)),"Not on roster"))</f>
        <v/>
      </c>
      <c r="G2410" s="28" t="str">
        <f aca="false">IF(OR(B2410="",C2410=""),"",F2410&amp;" | "&amp;C2410)</f>
        <v/>
      </c>
      <c r="H2410" s="27" t="str">
        <f aca="false">IF(G2410="","",IFERROR(INDEX(Levels!$C$5:$C$94,MATCH(G2410,Levels!$G$5:$G$94,0)),"Not this class's skill"))</f>
        <v/>
      </c>
    </row>
    <row r="2411" customFormat="false" ht="15" hidden="false" customHeight="false" outlineLevel="0" collapsed="false">
      <c r="A2411" s="23"/>
      <c r="B2411" s="22"/>
      <c r="C2411" s="22"/>
      <c r="D2411" s="22"/>
      <c r="E2411" s="22"/>
      <c r="F2411" s="27" t="str">
        <f aca="false">IF(B2411="","",IFERROR(INDEX(Roster!$B$5:$B$154,MATCH(B2411,Roster!$A$5:$A$154,0)),"Not on roster"))</f>
        <v/>
      </c>
      <c r="G2411" s="28" t="str">
        <f aca="false">IF(OR(B2411="",C2411=""),"",F2411&amp;" | "&amp;C2411)</f>
        <v/>
      </c>
      <c r="H2411" s="27" t="str">
        <f aca="false">IF(G2411="","",IFERROR(INDEX(Levels!$C$5:$C$94,MATCH(G2411,Levels!$G$5:$G$94,0)),"Not this class's skill"))</f>
        <v/>
      </c>
    </row>
    <row r="2412" customFormat="false" ht="15" hidden="false" customHeight="false" outlineLevel="0" collapsed="false">
      <c r="A2412" s="23"/>
      <c r="B2412" s="22"/>
      <c r="C2412" s="22"/>
      <c r="D2412" s="22"/>
      <c r="E2412" s="22"/>
      <c r="F2412" s="27" t="str">
        <f aca="false">IF(B2412="","",IFERROR(INDEX(Roster!$B$5:$B$154,MATCH(B2412,Roster!$A$5:$A$154,0)),"Not on roster"))</f>
        <v/>
      </c>
      <c r="G2412" s="28" t="str">
        <f aca="false">IF(OR(B2412="",C2412=""),"",F2412&amp;" | "&amp;C2412)</f>
        <v/>
      </c>
      <c r="H2412" s="27" t="str">
        <f aca="false">IF(G2412="","",IFERROR(INDEX(Levels!$C$5:$C$94,MATCH(G2412,Levels!$G$5:$G$94,0)),"Not this class's skill"))</f>
        <v/>
      </c>
    </row>
    <row r="2413" customFormat="false" ht="15" hidden="false" customHeight="false" outlineLevel="0" collapsed="false">
      <c r="A2413" s="23"/>
      <c r="B2413" s="22"/>
      <c r="C2413" s="22"/>
      <c r="D2413" s="22"/>
      <c r="E2413" s="22"/>
      <c r="F2413" s="27" t="str">
        <f aca="false">IF(B2413="","",IFERROR(INDEX(Roster!$B$5:$B$154,MATCH(B2413,Roster!$A$5:$A$154,0)),"Not on roster"))</f>
        <v/>
      </c>
      <c r="G2413" s="28" t="str">
        <f aca="false">IF(OR(B2413="",C2413=""),"",F2413&amp;" | "&amp;C2413)</f>
        <v/>
      </c>
      <c r="H2413" s="27" t="str">
        <f aca="false">IF(G2413="","",IFERROR(INDEX(Levels!$C$5:$C$94,MATCH(G2413,Levels!$G$5:$G$94,0)),"Not this class's skill"))</f>
        <v/>
      </c>
    </row>
    <row r="2414" customFormat="false" ht="15" hidden="false" customHeight="false" outlineLevel="0" collapsed="false">
      <c r="A2414" s="23"/>
      <c r="B2414" s="22"/>
      <c r="C2414" s="22"/>
      <c r="D2414" s="22"/>
      <c r="E2414" s="22"/>
      <c r="F2414" s="27" t="str">
        <f aca="false">IF(B2414="","",IFERROR(INDEX(Roster!$B$5:$B$154,MATCH(B2414,Roster!$A$5:$A$154,0)),"Not on roster"))</f>
        <v/>
      </c>
      <c r="G2414" s="28" t="str">
        <f aca="false">IF(OR(B2414="",C2414=""),"",F2414&amp;" | "&amp;C2414)</f>
        <v/>
      </c>
      <c r="H2414" s="27" t="str">
        <f aca="false">IF(G2414="","",IFERROR(INDEX(Levels!$C$5:$C$94,MATCH(G2414,Levels!$G$5:$G$94,0)),"Not this class's skill"))</f>
        <v/>
      </c>
    </row>
    <row r="2415" customFormat="false" ht="15" hidden="false" customHeight="false" outlineLevel="0" collapsed="false">
      <c r="A2415" s="23"/>
      <c r="B2415" s="22"/>
      <c r="C2415" s="22"/>
      <c r="D2415" s="22"/>
      <c r="E2415" s="22"/>
      <c r="F2415" s="27" t="str">
        <f aca="false">IF(B2415="","",IFERROR(INDEX(Roster!$B$5:$B$154,MATCH(B2415,Roster!$A$5:$A$154,0)),"Not on roster"))</f>
        <v/>
      </c>
      <c r="G2415" s="28" t="str">
        <f aca="false">IF(OR(B2415="",C2415=""),"",F2415&amp;" | "&amp;C2415)</f>
        <v/>
      </c>
      <c r="H2415" s="27" t="str">
        <f aca="false">IF(G2415="","",IFERROR(INDEX(Levels!$C$5:$C$94,MATCH(G2415,Levels!$G$5:$G$94,0)),"Not this class's skill"))</f>
        <v/>
      </c>
    </row>
    <row r="2416" customFormat="false" ht="15" hidden="false" customHeight="false" outlineLevel="0" collapsed="false">
      <c r="A2416" s="23"/>
      <c r="B2416" s="22"/>
      <c r="C2416" s="22"/>
      <c r="D2416" s="22"/>
      <c r="E2416" s="22"/>
      <c r="F2416" s="27" t="str">
        <f aca="false">IF(B2416="","",IFERROR(INDEX(Roster!$B$5:$B$154,MATCH(B2416,Roster!$A$5:$A$154,0)),"Not on roster"))</f>
        <v/>
      </c>
      <c r="G2416" s="28" t="str">
        <f aca="false">IF(OR(B2416="",C2416=""),"",F2416&amp;" | "&amp;C2416)</f>
        <v/>
      </c>
      <c r="H2416" s="27" t="str">
        <f aca="false">IF(G2416="","",IFERROR(INDEX(Levels!$C$5:$C$94,MATCH(G2416,Levels!$G$5:$G$94,0)),"Not this class's skill"))</f>
        <v/>
      </c>
    </row>
    <row r="2417" customFormat="false" ht="15" hidden="false" customHeight="false" outlineLevel="0" collapsed="false">
      <c r="A2417" s="23"/>
      <c r="B2417" s="22"/>
      <c r="C2417" s="22"/>
      <c r="D2417" s="22"/>
      <c r="E2417" s="22"/>
      <c r="F2417" s="27" t="str">
        <f aca="false">IF(B2417="","",IFERROR(INDEX(Roster!$B$5:$B$154,MATCH(B2417,Roster!$A$5:$A$154,0)),"Not on roster"))</f>
        <v/>
      </c>
      <c r="G2417" s="28" t="str">
        <f aca="false">IF(OR(B2417="",C2417=""),"",F2417&amp;" | "&amp;C2417)</f>
        <v/>
      </c>
      <c r="H2417" s="27" t="str">
        <f aca="false">IF(G2417="","",IFERROR(INDEX(Levels!$C$5:$C$94,MATCH(G2417,Levels!$G$5:$G$94,0)),"Not this class's skill"))</f>
        <v/>
      </c>
    </row>
    <row r="2418" customFormat="false" ht="15" hidden="false" customHeight="false" outlineLevel="0" collapsed="false">
      <c r="A2418" s="23"/>
      <c r="B2418" s="22"/>
      <c r="C2418" s="22"/>
      <c r="D2418" s="22"/>
      <c r="E2418" s="22"/>
      <c r="F2418" s="27" t="str">
        <f aca="false">IF(B2418="","",IFERROR(INDEX(Roster!$B$5:$B$154,MATCH(B2418,Roster!$A$5:$A$154,0)),"Not on roster"))</f>
        <v/>
      </c>
      <c r="G2418" s="28" t="str">
        <f aca="false">IF(OR(B2418="",C2418=""),"",F2418&amp;" | "&amp;C2418)</f>
        <v/>
      </c>
      <c r="H2418" s="27" t="str">
        <f aca="false">IF(G2418="","",IFERROR(INDEX(Levels!$C$5:$C$94,MATCH(G2418,Levels!$G$5:$G$94,0)),"Not this class's skill"))</f>
        <v/>
      </c>
    </row>
    <row r="2419" customFormat="false" ht="15" hidden="false" customHeight="false" outlineLevel="0" collapsed="false">
      <c r="A2419" s="23"/>
      <c r="B2419" s="22"/>
      <c r="C2419" s="22"/>
      <c r="D2419" s="22"/>
      <c r="E2419" s="22"/>
      <c r="F2419" s="27" t="str">
        <f aca="false">IF(B2419="","",IFERROR(INDEX(Roster!$B$5:$B$154,MATCH(B2419,Roster!$A$5:$A$154,0)),"Not on roster"))</f>
        <v/>
      </c>
      <c r="G2419" s="28" t="str">
        <f aca="false">IF(OR(B2419="",C2419=""),"",F2419&amp;" | "&amp;C2419)</f>
        <v/>
      </c>
      <c r="H2419" s="27" t="str">
        <f aca="false">IF(G2419="","",IFERROR(INDEX(Levels!$C$5:$C$94,MATCH(G2419,Levels!$G$5:$G$94,0)),"Not this class's skill"))</f>
        <v/>
      </c>
    </row>
    <row r="2420" customFormat="false" ht="15" hidden="false" customHeight="false" outlineLevel="0" collapsed="false">
      <c r="A2420" s="23"/>
      <c r="B2420" s="22"/>
      <c r="C2420" s="22"/>
      <c r="D2420" s="22"/>
      <c r="E2420" s="22"/>
      <c r="F2420" s="27" t="str">
        <f aca="false">IF(B2420="","",IFERROR(INDEX(Roster!$B$5:$B$154,MATCH(B2420,Roster!$A$5:$A$154,0)),"Not on roster"))</f>
        <v/>
      </c>
      <c r="G2420" s="28" t="str">
        <f aca="false">IF(OR(B2420="",C2420=""),"",F2420&amp;" | "&amp;C2420)</f>
        <v/>
      </c>
      <c r="H2420" s="27" t="str">
        <f aca="false">IF(G2420="","",IFERROR(INDEX(Levels!$C$5:$C$94,MATCH(G2420,Levels!$G$5:$G$94,0)),"Not this class's skill"))</f>
        <v/>
      </c>
    </row>
    <row r="2421" customFormat="false" ht="15" hidden="false" customHeight="false" outlineLevel="0" collapsed="false">
      <c r="A2421" s="23"/>
      <c r="B2421" s="22"/>
      <c r="C2421" s="22"/>
      <c r="D2421" s="22"/>
      <c r="E2421" s="22"/>
      <c r="F2421" s="27" t="str">
        <f aca="false">IF(B2421="","",IFERROR(INDEX(Roster!$B$5:$B$154,MATCH(B2421,Roster!$A$5:$A$154,0)),"Not on roster"))</f>
        <v/>
      </c>
      <c r="G2421" s="28" t="str">
        <f aca="false">IF(OR(B2421="",C2421=""),"",F2421&amp;" | "&amp;C2421)</f>
        <v/>
      </c>
      <c r="H2421" s="27" t="str">
        <f aca="false">IF(G2421="","",IFERROR(INDEX(Levels!$C$5:$C$94,MATCH(G2421,Levels!$G$5:$G$94,0)),"Not this class's skill"))</f>
        <v/>
      </c>
    </row>
    <row r="2422" customFormat="false" ht="15" hidden="false" customHeight="false" outlineLevel="0" collapsed="false">
      <c r="A2422" s="23"/>
      <c r="B2422" s="22"/>
      <c r="C2422" s="22"/>
      <c r="D2422" s="22"/>
      <c r="E2422" s="22"/>
      <c r="F2422" s="27" t="str">
        <f aca="false">IF(B2422="","",IFERROR(INDEX(Roster!$B$5:$B$154,MATCH(B2422,Roster!$A$5:$A$154,0)),"Not on roster"))</f>
        <v/>
      </c>
      <c r="G2422" s="28" t="str">
        <f aca="false">IF(OR(B2422="",C2422=""),"",F2422&amp;" | "&amp;C2422)</f>
        <v/>
      </c>
      <c r="H2422" s="27" t="str">
        <f aca="false">IF(G2422="","",IFERROR(INDEX(Levels!$C$5:$C$94,MATCH(G2422,Levels!$G$5:$G$94,0)),"Not this class's skill"))</f>
        <v/>
      </c>
    </row>
    <row r="2423" customFormat="false" ht="15" hidden="false" customHeight="false" outlineLevel="0" collapsed="false">
      <c r="A2423" s="23"/>
      <c r="B2423" s="22"/>
      <c r="C2423" s="22"/>
      <c r="D2423" s="22"/>
      <c r="E2423" s="22"/>
      <c r="F2423" s="27" t="str">
        <f aca="false">IF(B2423="","",IFERROR(INDEX(Roster!$B$5:$B$154,MATCH(B2423,Roster!$A$5:$A$154,0)),"Not on roster"))</f>
        <v/>
      </c>
      <c r="G2423" s="28" t="str">
        <f aca="false">IF(OR(B2423="",C2423=""),"",F2423&amp;" | "&amp;C2423)</f>
        <v/>
      </c>
      <c r="H2423" s="27" t="str">
        <f aca="false">IF(G2423="","",IFERROR(INDEX(Levels!$C$5:$C$94,MATCH(G2423,Levels!$G$5:$G$94,0)),"Not this class's skill"))</f>
        <v/>
      </c>
    </row>
    <row r="2424" customFormat="false" ht="15" hidden="false" customHeight="false" outlineLevel="0" collapsed="false">
      <c r="A2424" s="23"/>
      <c r="B2424" s="22"/>
      <c r="C2424" s="22"/>
      <c r="D2424" s="22"/>
      <c r="E2424" s="22"/>
      <c r="F2424" s="27" t="str">
        <f aca="false">IF(B2424="","",IFERROR(INDEX(Roster!$B$5:$B$154,MATCH(B2424,Roster!$A$5:$A$154,0)),"Not on roster"))</f>
        <v/>
      </c>
      <c r="G2424" s="28" t="str">
        <f aca="false">IF(OR(B2424="",C2424=""),"",F2424&amp;" | "&amp;C2424)</f>
        <v/>
      </c>
      <c r="H2424" s="27" t="str">
        <f aca="false">IF(G2424="","",IFERROR(INDEX(Levels!$C$5:$C$94,MATCH(G2424,Levels!$G$5:$G$94,0)),"Not this class's skill"))</f>
        <v/>
      </c>
    </row>
    <row r="2425" customFormat="false" ht="15" hidden="false" customHeight="false" outlineLevel="0" collapsed="false">
      <c r="A2425" s="23"/>
      <c r="B2425" s="22"/>
      <c r="C2425" s="22"/>
      <c r="D2425" s="22"/>
      <c r="E2425" s="22"/>
      <c r="F2425" s="27" t="str">
        <f aca="false">IF(B2425="","",IFERROR(INDEX(Roster!$B$5:$B$154,MATCH(B2425,Roster!$A$5:$A$154,0)),"Not on roster"))</f>
        <v/>
      </c>
      <c r="G2425" s="28" t="str">
        <f aca="false">IF(OR(B2425="",C2425=""),"",F2425&amp;" | "&amp;C2425)</f>
        <v/>
      </c>
      <c r="H2425" s="27" t="str">
        <f aca="false">IF(G2425="","",IFERROR(INDEX(Levels!$C$5:$C$94,MATCH(G2425,Levels!$G$5:$G$94,0)),"Not this class's skill"))</f>
        <v/>
      </c>
    </row>
    <row r="2426" customFormat="false" ht="15" hidden="false" customHeight="false" outlineLevel="0" collapsed="false">
      <c r="A2426" s="23"/>
      <c r="B2426" s="22"/>
      <c r="C2426" s="22"/>
      <c r="D2426" s="22"/>
      <c r="E2426" s="22"/>
      <c r="F2426" s="27" t="str">
        <f aca="false">IF(B2426="","",IFERROR(INDEX(Roster!$B$5:$B$154,MATCH(B2426,Roster!$A$5:$A$154,0)),"Not on roster"))</f>
        <v/>
      </c>
      <c r="G2426" s="28" t="str">
        <f aca="false">IF(OR(B2426="",C2426=""),"",F2426&amp;" | "&amp;C2426)</f>
        <v/>
      </c>
      <c r="H2426" s="27" t="str">
        <f aca="false">IF(G2426="","",IFERROR(INDEX(Levels!$C$5:$C$94,MATCH(G2426,Levels!$G$5:$G$94,0)),"Not this class's skill"))</f>
        <v/>
      </c>
    </row>
    <row r="2427" customFormat="false" ht="15" hidden="false" customHeight="false" outlineLevel="0" collapsed="false">
      <c r="A2427" s="23"/>
      <c r="B2427" s="22"/>
      <c r="C2427" s="22"/>
      <c r="D2427" s="22"/>
      <c r="E2427" s="22"/>
      <c r="F2427" s="27" t="str">
        <f aca="false">IF(B2427="","",IFERROR(INDEX(Roster!$B$5:$B$154,MATCH(B2427,Roster!$A$5:$A$154,0)),"Not on roster"))</f>
        <v/>
      </c>
      <c r="G2427" s="28" t="str">
        <f aca="false">IF(OR(B2427="",C2427=""),"",F2427&amp;" | "&amp;C2427)</f>
        <v/>
      </c>
      <c r="H2427" s="27" t="str">
        <f aca="false">IF(G2427="","",IFERROR(INDEX(Levels!$C$5:$C$94,MATCH(G2427,Levels!$G$5:$G$94,0)),"Not this class's skill"))</f>
        <v/>
      </c>
    </row>
    <row r="2428" customFormat="false" ht="15" hidden="false" customHeight="false" outlineLevel="0" collapsed="false">
      <c r="A2428" s="23"/>
      <c r="B2428" s="22"/>
      <c r="C2428" s="22"/>
      <c r="D2428" s="22"/>
      <c r="E2428" s="22"/>
      <c r="F2428" s="27" t="str">
        <f aca="false">IF(B2428="","",IFERROR(INDEX(Roster!$B$5:$B$154,MATCH(B2428,Roster!$A$5:$A$154,0)),"Not on roster"))</f>
        <v/>
      </c>
      <c r="G2428" s="28" t="str">
        <f aca="false">IF(OR(B2428="",C2428=""),"",F2428&amp;" | "&amp;C2428)</f>
        <v/>
      </c>
      <c r="H2428" s="27" t="str">
        <f aca="false">IF(G2428="","",IFERROR(INDEX(Levels!$C$5:$C$94,MATCH(G2428,Levels!$G$5:$G$94,0)),"Not this class's skill"))</f>
        <v/>
      </c>
    </row>
    <row r="2429" customFormat="false" ht="15" hidden="false" customHeight="false" outlineLevel="0" collapsed="false">
      <c r="A2429" s="23"/>
      <c r="B2429" s="22"/>
      <c r="C2429" s="22"/>
      <c r="D2429" s="22"/>
      <c r="E2429" s="22"/>
      <c r="F2429" s="27" t="str">
        <f aca="false">IF(B2429="","",IFERROR(INDEX(Roster!$B$5:$B$154,MATCH(B2429,Roster!$A$5:$A$154,0)),"Not on roster"))</f>
        <v/>
      </c>
      <c r="G2429" s="28" t="str">
        <f aca="false">IF(OR(B2429="",C2429=""),"",F2429&amp;" | "&amp;C2429)</f>
        <v/>
      </c>
      <c r="H2429" s="27" t="str">
        <f aca="false">IF(G2429="","",IFERROR(INDEX(Levels!$C$5:$C$94,MATCH(G2429,Levels!$G$5:$G$94,0)),"Not this class's skill"))</f>
        <v/>
      </c>
    </row>
    <row r="2430" customFormat="false" ht="15" hidden="false" customHeight="false" outlineLevel="0" collapsed="false">
      <c r="A2430" s="23"/>
      <c r="B2430" s="22"/>
      <c r="C2430" s="22"/>
      <c r="D2430" s="22"/>
      <c r="E2430" s="22"/>
      <c r="F2430" s="27" t="str">
        <f aca="false">IF(B2430="","",IFERROR(INDEX(Roster!$B$5:$B$154,MATCH(B2430,Roster!$A$5:$A$154,0)),"Not on roster"))</f>
        <v/>
      </c>
      <c r="G2430" s="28" t="str">
        <f aca="false">IF(OR(B2430="",C2430=""),"",F2430&amp;" | "&amp;C2430)</f>
        <v/>
      </c>
      <c r="H2430" s="27" t="str">
        <f aca="false">IF(G2430="","",IFERROR(INDEX(Levels!$C$5:$C$94,MATCH(G2430,Levels!$G$5:$G$94,0)),"Not this class's skill"))</f>
        <v/>
      </c>
    </row>
    <row r="2431" customFormat="false" ht="15" hidden="false" customHeight="false" outlineLevel="0" collapsed="false">
      <c r="A2431" s="23"/>
      <c r="B2431" s="22"/>
      <c r="C2431" s="22"/>
      <c r="D2431" s="22"/>
      <c r="E2431" s="22"/>
      <c r="F2431" s="27" t="str">
        <f aca="false">IF(B2431="","",IFERROR(INDEX(Roster!$B$5:$B$154,MATCH(B2431,Roster!$A$5:$A$154,0)),"Not on roster"))</f>
        <v/>
      </c>
      <c r="G2431" s="28" t="str">
        <f aca="false">IF(OR(B2431="",C2431=""),"",F2431&amp;" | "&amp;C2431)</f>
        <v/>
      </c>
      <c r="H2431" s="27" t="str">
        <f aca="false">IF(G2431="","",IFERROR(INDEX(Levels!$C$5:$C$94,MATCH(G2431,Levels!$G$5:$G$94,0)),"Not this class's skill"))</f>
        <v/>
      </c>
    </row>
    <row r="2432" customFormat="false" ht="15" hidden="false" customHeight="false" outlineLevel="0" collapsed="false">
      <c r="A2432" s="23"/>
      <c r="B2432" s="22"/>
      <c r="C2432" s="22"/>
      <c r="D2432" s="22"/>
      <c r="E2432" s="22"/>
      <c r="F2432" s="27" t="str">
        <f aca="false">IF(B2432="","",IFERROR(INDEX(Roster!$B$5:$B$154,MATCH(B2432,Roster!$A$5:$A$154,0)),"Not on roster"))</f>
        <v/>
      </c>
      <c r="G2432" s="28" t="str">
        <f aca="false">IF(OR(B2432="",C2432=""),"",F2432&amp;" | "&amp;C2432)</f>
        <v/>
      </c>
      <c r="H2432" s="27" t="str">
        <f aca="false">IF(G2432="","",IFERROR(INDEX(Levels!$C$5:$C$94,MATCH(G2432,Levels!$G$5:$G$94,0)),"Not this class's skill"))</f>
        <v/>
      </c>
    </row>
    <row r="2433" customFormat="false" ht="15" hidden="false" customHeight="false" outlineLevel="0" collapsed="false">
      <c r="A2433" s="23"/>
      <c r="B2433" s="22"/>
      <c r="C2433" s="22"/>
      <c r="D2433" s="22"/>
      <c r="E2433" s="22"/>
      <c r="F2433" s="27" t="str">
        <f aca="false">IF(B2433="","",IFERROR(INDEX(Roster!$B$5:$B$154,MATCH(B2433,Roster!$A$5:$A$154,0)),"Not on roster"))</f>
        <v/>
      </c>
      <c r="G2433" s="28" t="str">
        <f aca="false">IF(OR(B2433="",C2433=""),"",F2433&amp;" | "&amp;C2433)</f>
        <v/>
      </c>
      <c r="H2433" s="27" t="str">
        <f aca="false">IF(G2433="","",IFERROR(INDEX(Levels!$C$5:$C$94,MATCH(G2433,Levels!$G$5:$G$94,0)),"Not this class's skill"))</f>
        <v/>
      </c>
    </row>
    <row r="2434" customFormat="false" ht="15" hidden="false" customHeight="false" outlineLevel="0" collapsed="false">
      <c r="A2434" s="23"/>
      <c r="B2434" s="22"/>
      <c r="C2434" s="22"/>
      <c r="D2434" s="22"/>
      <c r="E2434" s="22"/>
      <c r="F2434" s="27" t="str">
        <f aca="false">IF(B2434="","",IFERROR(INDEX(Roster!$B$5:$B$154,MATCH(B2434,Roster!$A$5:$A$154,0)),"Not on roster"))</f>
        <v/>
      </c>
      <c r="G2434" s="28" t="str">
        <f aca="false">IF(OR(B2434="",C2434=""),"",F2434&amp;" | "&amp;C2434)</f>
        <v/>
      </c>
      <c r="H2434" s="27" t="str">
        <f aca="false">IF(G2434="","",IFERROR(INDEX(Levels!$C$5:$C$94,MATCH(G2434,Levels!$G$5:$G$94,0)),"Not this class's skill"))</f>
        <v/>
      </c>
    </row>
    <row r="2435" customFormat="false" ht="15" hidden="false" customHeight="false" outlineLevel="0" collapsed="false">
      <c r="A2435" s="23"/>
      <c r="B2435" s="22"/>
      <c r="C2435" s="22"/>
      <c r="D2435" s="22"/>
      <c r="E2435" s="22"/>
      <c r="F2435" s="27" t="str">
        <f aca="false">IF(B2435="","",IFERROR(INDEX(Roster!$B$5:$B$154,MATCH(B2435,Roster!$A$5:$A$154,0)),"Not on roster"))</f>
        <v/>
      </c>
      <c r="G2435" s="28" t="str">
        <f aca="false">IF(OR(B2435="",C2435=""),"",F2435&amp;" | "&amp;C2435)</f>
        <v/>
      </c>
      <c r="H2435" s="27" t="str">
        <f aca="false">IF(G2435="","",IFERROR(INDEX(Levels!$C$5:$C$94,MATCH(G2435,Levels!$G$5:$G$94,0)),"Not this class's skill"))</f>
        <v/>
      </c>
    </row>
    <row r="2436" customFormat="false" ht="15" hidden="false" customHeight="false" outlineLevel="0" collapsed="false">
      <c r="A2436" s="23"/>
      <c r="B2436" s="22"/>
      <c r="C2436" s="22"/>
      <c r="D2436" s="22"/>
      <c r="E2436" s="22"/>
      <c r="F2436" s="27" t="str">
        <f aca="false">IF(B2436="","",IFERROR(INDEX(Roster!$B$5:$B$154,MATCH(B2436,Roster!$A$5:$A$154,0)),"Not on roster"))</f>
        <v/>
      </c>
      <c r="G2436" s="28" t="str">
        <f aca="false">IF(OR(B2436="",C2436=""),"",F2436&amp;" | "&amp;C2436)</f>
        <v/>
      </c>
      <c r="H2436" s="27" t="str">
        <f aca="false">IF(G2436="","",IFERROR(INDEX(Levels!$C$5:$C$94,MATCH(G2436,Levels!$G$5:$G$94,0)),"Not this class's skill"))</f>
        <v/>
      </c>
    </row>
    <row r="2437" customFormat="false" ht="15" hidden="false" customHeight="false" outlineLevel="0" collapsed="false">
      <c r="A2437" s="23"/>
      <c r="B2437" s="22"/>
      <c r="C2437" s="22"/>
      <c r="D2437" s="22"/>
      <c r="E2437" s="22"/>
      <c r="F2437" s="27" t="str">
        <f aca="false">IF(B2437="","",IFERROR(INDEX(Roster!$B$5:$B$154,MATCH(B2437,Roster!$A$5:$A$154,0)),"Not on roster"))</f>
        <v/>
      </c>
      <c r="G2437" s="28" t="str">
        <f aca="false">IF(OR(B2437="",C2437=""),"",F2437&amp;" | "&amp;C2437)</f>
        <v/>
      </c>
      <c r="H2437" s="27" t="str">
        <f aca="false">IF(G2437="","",IFERROR(INDEX(Levels!$C$5:$C$94,MATCH(G2437,Levels!$G$5:$G$94,0)),"Not this class's skill"))</f>
        <v/>
      </c>
    </row>
    <row r="2438" customFormat="false" ht="15" hidden="false" customHeight="false" outlineLevel="0" collapsed="false">
      <c r="A2438" s="23"/>
      <c r="B2438" s="22"/>
      <c r="C2438" s="22"/>
      <c r="D2438" s="22"/>
      <c r="E2438" s="22"/>
      <c r="F2438" s="27" t="str">
        <f aca="false">IF(B2438="","",IFERROR(INDEX(Roster!$B$5:$B$154,MATCH(B2438,Roster!$A$5:$A$154,0)),"Not on roster"))</f>
        <v/>
      </c>
      <c r="G2438" s="28" t="str">
        <f aca="false">IF(OR(B2438="",C2438=""),"",F2438&amp;" | "&amp;C2438)</f>
        <v/>
      </c>
      <c r="H2438" s="27" t="str">
        <f aca="false">IF(G2438="","",IFERROR(INDEX(Levels!$C$5:$C$94,MATCH(G2438,Levels!$G$5:$G$94,0)),"Not this class's skill"))</f>
        <v/>
      </c>
    </row>
    <row r="2439" customFormat="false" ht="15" hidden="false" customHeight="false" outlineLevel="0" collapsed="false">
      <c r="A2439" s="23"/>
      <c r="B2439" s="22"/>
      <c r="C2439" s="22"/>
      <c r="D2439" s="22"/>
      <c r="E2439" s="22"/>
      <c r="F2439" s="27" t="str">
        <f aca="false">IF(B2439="","",IFERROR(INDEX(Roster!$B$5:$B$154,MATCH(B2439,Roster!$A$5:$A$154,0)),"Not on roster"))</f>
        <v/>
      </c>
      <c r="G2439" s="28" t="str">
        <f aca="false">IF(OR(B2439="",C2439=""),"",F2439&amp;" | "&amp;C2439)</f>
        <v/>
      </c>
      <c r="H2439" s="27" t="str">
        <f aca="false">IF(G2439="","",IFERROR(INDEX(Levels!$C$5:$C$94,MATCH(G2439,Levels!$G$5:$G$94,0)),"Not this class's skill"))</f>
        <v/>
      </c>
    </row>
    <row r="2440" customFormat="false" ht="15" hidden="false" customHeight="false" outlineLevel="0" collapsed="false">
      <c r="A2440" s="23"/>
      <c r="B2440" s="22"/>
      <c r="C2440" s="22"/>
      <c r="D2440" s="22"/>
      <c r="E2440" s="22"/>
      <c r="F2440" s="27" t="str">
        <f aca="false">IF(B2440="","",IFERROR(INDEX(Roster!$B$5:$B$154,MATCH(B2440,Roster!$A$5:$A$154,0)),"Not on roster"))</f>
        <v/>
      </c>
      <c r="G2440" s="28" t="str">
        <f aca="false">IF(OR(B2440="",C2440=""),"",F2440&amp;" | "&amp;C2440)</f>
        <v/>
      </c>
      <c r="H2440" s="27" t="str">
        <f aca="false">IF(G2440="","",IFERROR(INDEX(Levels!$C$5:$C$94,MATCH(G2440,Levels!$G$5:$G$94,0)),"Not this class's skill"))</f>
        <v/>
      </c>
    </row>
    <row r="2441" customFormat="false" ht="15" hidden="false" customHeight="false" outlineLevel="0" collapsed="false">
      <c r="A2441" s="23"/>
      <c r="B2441" s="22"/>
      <c r="C2441" s="22"/>
      <c r="D2441" s="22"/>
      <c r="E2441" s="22"/>
      <c r="F2441" s="27" t="str">
        <f aca="false">IF(B2441="","",IFERROR(INDEX(Roster!$B$5:$B$154,MATCH(B2441,Roster!$A$5:$A$154,0)),"Not on roster"))</f>
        <v/>
      </c>
      <c r="G2441" s="28" t="str">
        <f aca="false">IF(OR(B2441="",C2441=""),"",F2441&amp;" | "&amp;C2441)</f>
        <v/>
      </c>
      <c r="H2441" s="27" t="str">
        <f aca="false">IF(G2441="","",IFERROR(INDEX(Levels!$C$5:$C$94,MATCH(G2441,Levels!$G$5:$G$94,0)),"Not this class's skill"))</f>
        <v/>
      </c>
    </row>
    <row r="2442" customFormat="false" ht="15" hidden="false" customHeight="false" outlineLevel="0" collapsed="false">
      <c r="A2442" s="23"/>
      <c r="B2442" s="22"/>
      <c r="C2442" s="22"/>
      <c r="D2442" s="22"/>
      <c r="E2442" s="22"/>
      <c r="F2442" s="27" t="str">
        <f aca="false">IF(B2442="","",IFERROR(INDEX(Roster!$B$5:$B$154,MATCH(B2442,Roster!$A$5:$A$154,0)),"Not on roster"))</f>
        <v/>
      </c>
      <c r="G2442" s="28" t="str">
        <f aca="false">IF(OR(B2442="",C2442=""),"",F2442&amp;" | "&amp;C2442)</f>
        <v/>
      </c>
      <c r="H2442" s="27" t="str">
        <f aca="false">IF(G2442="","",IFERROR(INDEX(Levels!$C$5:$C$94,MATCH(G2442,Levels!$G$5:$G$94,0)),"Not this class's skill"))</f>
        <v/>
      </c>
    </row>
    <row r="2443" customFormat="false" ht="15" hidden="false" customHeight="false" outlineLevel="0" collapsed="false">
      <c r="A2443" s="23"/>
      <c r="B2443" s="22"/>
      <c r="C2443" s="22"/>
      <c r="D2443" s="22"/>
      <c r="E2443" s="22"/>
      <c r="F2443" s="27" t="str">
        <f aca="false">IF(B2443="","",IFERROR(INDEX(Roster!$B$5:$B$154,MATCH(B2443,Roster!$A$5:$A$154,0)),"Not on roster"))</f>
        <v/>
      </c>
      <c r="G2443" s="28" t="str">
        <f aca="false">IF(OR(B2443="",C2443=""),"",F2443&amp;" | "&amp;C2443)</f>
        <v/>
      </c>
      <c r="H2443" s="27" t="str">
        <f aca="false">IF(G2443="","",IFERROR(INDEX(Levels!$C$5:$C$94,MATCH(G2443,Levels!$G$5:$G$94,0)),"Not this class's skill"))</f>
        <v/>
      </c>
    </row>
    <row r="2444" customFormat="false" ht="15" hidden="false" customHeight="false" outlineLevel="0" collapsed="false">
      <c r="A2444" s="23"/>
      <c r="B2444" s="22"/>
      <c r="C2444" s="22"/>
      <c r="D2444" s="22"/>
      <c r="E2444" s="22"/>
      <c r="F2444" s="27" t="str">
        <f aca="false">IF(B2444="","",IFERROR(INDEX(Roster!$B$5:$B$154,MATCH(B2444,Roster!$A$5:$A$154,0)),"Not on roster"))</f>
        <v/>
      </c>
      <c r="G2444" s="28" t="str">
        <f aca="false">IF(OR(B2444="",C2444=""),"",F2444&amp;" | "&amp;C2444)</f>
        <v/>
      </c>
      <c r="H2444" s="27" t="str">
        <f aca="false">IF(G2444="","",IFERROR(INDEX(Levels!$C$5:$C$94,MATCH(G2444,Levels!$G$5:$G$94,0)),"Not this class's skill"))</f>
        <v/>
      </c>
    </row>
    <row r="2445" customFormat="false" ht="15" hidden="false" customHeight="false" outlineLevel="0" collapsed="false">
      <c r="A2445" s="23"/>
      <c r="B2445" s="22"/>
      <c r="C2445" s="22"/>
      <c r="D2445" s="22"/>
      <c r="E2445" s="22"/>
      <c r="F2445" s="27" t="str">
        <f aca="false">IF(B2445="","",IFERROR(INDEX(Roster!$B$5:$B$154,MATCH(B2445,Roster!$A$5:$A$154,0)),"Not on roster"))</f>
        <v/>
      </c>
      <c r="G2445" s="28" t="str">
        <f aca="false">IF(OR(B2445="",C2445=""),"",F2445&amp;" | "&amp;C2445)</f>
        <v/>
      </c>
      <c r="H2445" s="27" t="str">
        <f aca="false">IF(G2445="","",IFERROR(INDEX(Levels!$C$5:$C$94,MATCH(G2445,Levels!$G$5:$G$94,0)),"Not this class's skill"))</f>
        <v/>
      </c>
    </row>
    <row r="2446" customFormat="false" ht="15" hidden="false" customHeight="false" outlineLevel="0" collapsed="false">
      <c r="A2446" s="23"/>
      <c r="B2446" s="22"/>
      <c r="C2446" s="22"/>
      <c r="D2446" s="22"/>
      <c r="E2446" s="22"/>
      <c r="F2446" s="27" t="str">
        <f aca="false">IF(B2446="","",IFERROR(INDEX(Roster!$B$5:$B$154,MATCH(B2446,Roster!$A$5:$A$154,0)),"Not on roster"))</f>
        <v/>
      </c>
      <c r="G2446" s="28" t="str">
        <f aca="false">IF(OR(B2446="",C2446=""),"",F2446&amp;" | "&amp;C2446)</f>
        <v/>
      </c>
      <c r="H2446" s="27" t="str">
        <f aca="false">IF(G2446="","",IFERROR(INDEX(Levels!$C$5:$C$94,MATCH(G2446,Levels!$G$5:$G$94,0)),"Not this class's skill"))</f>
        <v/>
      </c>
    </row>
    <row r="2447" customFormat="false" ht="15" hidden="false" customHeight="false" outlineLevel="0" collapsed="false">
      <c r="A2447" s="23"/>
      <c r="B2447" s="22"/>
      <c r="C2447" s="22"/>
      <c r="D2447" s="22"/>
      <c r="E2447" s="22"/>
      <c r="F2447" s="27" t="str">
        <f aca="false">IF(B2447="","",IFERROR(INDEX(Roster!$B$5:$B$154,MATCH(B2447,Roster!$A$5:$A$154,0)),"Not on roster"))</f>
        <v/>
      </c>
      <c r="G2447" s="28" t="str">
        <f aca="false">IF(OR(B2447="",C2447=""),"",F2447&amp;" | "&amp;C2447)</f>
        <v/>
      </c>
      <c r="H2447" s="27" t="str">
        <f aca="false">IF(G2447="","",IFERROR(INDEX(Levels!$C$5:$C$94,MATCH(G2447,Levels!$G$5:$G$94,0)),"Not this class's skill"))</f>
        <v/>
      </c>
    </row>
    <row r="2448" customFormat="false" ht="15" hidden="false" customHeight="false" outlineLevel="0" collapsed="false">
      <c r="A2448" s="23"/>
      <c r="B2448" s="22"/>
      <c r="C2448" s="22"/>
      <c r="D2448" s="22"/>
      <c r="E2448" s="22"/>
      <c r="F2448" s="27" t="str">
        <f aca="false">IF(B2448="","",IFERROR(INDEX(Roster!$B$5:$B$154,MATCH(B2448,Roster!$A$5:$A$154,0)),"Not on roster"))</f>
        <v/>
      </c>
      <c r="G2448" s="28" t="str">
        <f aca="false">IF(OR(B2448="",C2448=""),"",F2448&amp;" | "&amp;C2448)</f>
        <v/>
      </c>
      <c r="H2448" s="27" t="str">
        <f aca="false">IF(G2448="","",IFERROR(INDEX(Levels!$C$5:$C$94,MATCH(G2448,Levels!$G$5:$G$94,0)),"Not this class's skill"))</f>
        <v/>
      </c>
    </row>
    <row r="2449" customFormat="false" ht="15" hidden="false" customHeight="false" outlineLevel="0" collapsed="false">
      <c r="A2449" s="23"/>
      <c r="B2449" s="22"/>
      <c r="C2449" s="22"/>
      <c r="D2449" s="22"/>
      <c r="E2449" s="22"/>
      <c r="F2449" s="27" t="str">
        <f aca="false">IF(B2449="","",IFERROR(INDEX(Roster!$B$5:$B$154,MATCH(B2449,Roster!$A$5:$A$154,0)),"Not on roster"))</f>
        <v/>
      </c>
      <c r="G2449" s="28" t="str">
        <f aca="false">IF(OR(B2449="",C2449=""),"",F2449&amp;" | "&amp;C2449)</f>
        <v/>
      </c>
      <c r="H2449" s="27" t="str">
        <f aca="false">IF(G2449="","",IFERROR(INDEX(Levels!$C$5:$C$94,MATCH(G2449,Levels!$G$5:$G$94,0)),"Not this class's skill"))</f>
        <v/>
      </c>
    </row>
    <row r="2450" customFormat="false" ht="15" hidden="false" customHeight="false" outlineLevel="0" collapsed="false">
      <c r="A2450" s="23"/>
      <c r="B2450" s="22"/>
      <c r="C2450" s="22"/>
      <c r="D2450" s="22"/>
      <c r="E2450" s="22"/>
      <c r="F2450" s="27" t="str">
        <f aca="false">IF(B2450="","",IFERROR(INDEX(Roster!$B$5:$B$154,MATCH(B2450,Roster!$A$5:$A$154,0)),"Not on roster"))</f>
        <v/>
      </c>
      <c r="G2450" s="28" t="str">
        <f aca="false">IF(OR(B2450="",C2450=""),"",F2450&amp;" | "&amp;C2450)</f>
        <v/>
      </c>
      <c r="H2450" s="27" t="str">
        <f aca="false">IF(G2450="","",IFERROR(INDEX(Levels!$C$5:$C$94,MATCH(G2450,Levels!$G$5:$G$94,0)),"Not this class's skill"))</f>
        <v/>
      </c>
    </row>
    <row r="2451" customFormat="false" ht="15" hidden="false" customHeight="false" outlineLevel="0" collapsed="false">
      <c r="A2451" s="23"/>
      <c r="B2451" s="22"/>
      <c r="C2451" s="22"/>
      <c r="D2451" s="22"/>
      <c r="E2451" s="22"/>
      <c r="F2451" s="27" t="str">
        <f aca="false">IF(B2451="","",IFERROR(INDEX(Roster!$B$5:$B$154,MATCH(B2451,Roster!$A$5:$A$154,0)),"Not on roster"))</f>
        <v/>
      </c>
      <c r="G2451" s="28" t="str">
        <f aca="false">IF(OR(B2451="",C2451=""),"",F2451&amp;" | "&amp;C2451)</f>
        <v/>
      </c>
      <c r="H2451" s="27" t="str">
        <f aca="false">IF(G2451="","",IFERROR(INDEX(Levels!$C$5:$C$94,MATCH(G2451,Levels!$G$5:$G$94,0)),"Not this class's skill"))</f>
        <v/>
      </c>
    </row>
    <row r="2452" customFormat="false" ht="15" hidden="false" customHeight="false" outlineLevel="0" collapsed="false">
      <c r="A2452" s="23"/>
      <c r="B2452" s="22"/>
      <c r="C2452" s="22"/>
      <c r="D2452" s="22"/>
      <c r="E2452" s="22"/>
      <c r="F2452" s="27" t="str">
        <f aca="false">IF(B2452="","",IFERROR(INDEX(Roster!$B$5:$B$154,MATCH(B2452,Roster!$A$5:$A$154,0)),"Not on roster"))</f>
        <v/>
      </c>
      <c r="G2452" s="28" t="str">
        <f aca="false">IF(OR(B2452="",C2452=""),"",F2452&amp;" | "&amp;C2452)</f>
        <v/>
      </c>
      <c r="H2452" s="27" t="str">
        <f aca="false">IF(G2452="","",IFERROR(INDEX(Levels!$C$5:$C$94,MATCH(G2452,Levels!$G$5:$G$94,0)),"Not this class's skill"))</f>
        <v/>
      </c>
    </row>
    <row r="2453" customFormat="false" ht="15" hidden="false" customHeight="false" outlineLevel="0" collapsed="false">
      <c r="A2453" s="23"/>
      <c r="B2453" s="22"/>
      <c r="C2453" s="22"/>
      <c r="D2453" s="22"/>
      <c r="E2453" s="22"/>
      <c r="F2453" s="27" t="str">
        <f aca="false">IF(B2453="","",IFERROR(INDEX(Roster!$B$5:$B$154,MATCH(B2453,Roster!$A$5:$A$154,0)),"Not on roster"))</f>
        <v/>
      </c>
      <c r="G2453" s="28" t="str">
        <f aca="false">IF(OR(B2453="",C2453=""),"",F2453&amp;" | "&amp;C2453)</f>
        <v/>
      </c>
      <c r="H2453" s="27" t="str">
        <f aca="false">IF(G2453="","",IFERROR(INDEX(Levels!$C$5:$C$94,MATCH(G2453,Levels!$G$5:$G$94,0)),"Not this class's skill"))</f>
        <v/>
      </c>
    </row>
    <row r="2454" customFormat="false" ht="15" hidden="false" customHeight="false" outlineLevel="0" collapsed="false">
      <c r="A2454" s="23"/>
      <c r="B2454" s="22"/>
      <c r="C2454" s="22"/>
      <c r="D2454" s="22"/>
      <c r="E2454" s="22"/>
      <c r="F2454" s="27" t="str">
        <f aca="false">IF(B2454="","",IFERROR(INDEX(Roster!$B$5:$B$154,MATCH(B2454,Roster!$A$5:$A$154,0)),"Not on roster"))</f>
        <v/>
      </c>
      <c r="G2454" s="28" t="str">
        <f aca="false">IF(OR(B2454="",C2454=""),"",F2454&amp;" | "&amp;C2454)</f>
        <v/>
      </c>
      <c r="H2454" s="27" t="str">
        <f aca="false">IF(G2454="","",IFERROR(INDEX(Levels!$C$5:$C$94,MATCH(G2454,Levels!$G$5:$G$94,0)),"Not this class's skill"))</f>
        <v/>
      </c>
    </row>
    <row r="2455" customFormat="false" ht="15" hidden="false" customHeight="false" outlineLevel="0" collapsed="false">
      <c r="A2455" s="23"/>
      <c r="B2455" s="22"/>
      <c r="C2455" s="22"/>
      <c r="D2455" s="22"/>
      <c r="E2455" s="22"/>
      <c r="F2455" s="27" t="str">
        <f aca="false">IF(B2455="","",IFERROR(INDEX(Roster!$B$5:$B$154,MATCH(B2455,Roster!$A$5:$A$154,0)),"Not on roster"))</f>
        <v/>
      </c>
      <c r="G2455" s="28" t="str">
        <f aca="false">IF(OR(B2455="",C2455=""),"",F2455&amp;" | "&amp;C2455)</f>
        <v/>
      </c>
      <c r="H2455" s="27" t="str">
        <f aca="false">IF(G2455="","",IFERROR(INDEX(Levels!$C$5:$C$94,MATCH(G2455,Levels!$G$5:$G$94,0)),"Not this class's skill"))</f>
        <v/>
      </c>
    </row>
    <row r="2456" customFormat="false" ht="15" hidden="false" customHeight="false" outlineLevel="0" collapsed="false">
      <c r="A2456" s="23"/>
      <c r="B2456" s="22"/>
      <c r="C2456" s="22"/>
      <c r="D2456" s="22"/>
      <c r="E2456" s="22"/>
      <c r="F2456" s="27" t="str">
        <f aca="false">IF(B2456="","",IFERROR(INDEX(Roster!$B$5:$B$154,MATCH(B2456,Roster!$A$5:$A$154,0)),"Not on roster"))</f>
        <v/>
      </c>
      <c r="G2456" s="28" t="str">
        <f aca="false">IF(OR(B2456="",C2456=""),"",F2456&amp;" | "&amp;C2456)</f>
        <v/>
      </c>
      <c r="H2456" s="27" t="str">
        <f aca="false">IF(G2456="","",IFERROR(INDEX(Levels!$C$5:$C$94,MATCH(G2456,Levels!$G$5:$G$94,0)),"Not this class's skill"))</f>
        <v/>
      </c>
    </row>
    <row r="2457" customFormat="false" ht="15" hidden="false" customHeight="false" outlineLevel="0" collapsed="false">
      <c r="A2457" s="23"/>
      <c r="B2457" s="22"/>
      <c r="C2457" s="22"/>
      <c r="D2457" s="22"/>
      <c r="E2457" s="22"/>
      <c r="F2457" s="27" t="str">
        <f aca="false">IF(B2457="","",IFERROR(INDEX(Roster!$B$5:$B$154,MATCH(B2457,Roster!$A$5:$A$154,0)),"Not on roster"))</f>
        <v/>
      </c>
      <c r="G2457" s="28" t="str">
        <f aca="false">IF(OR(B2457="",C2457=""),"",F2457&amp;" | "&amp;C2457)</f>
        <v/>
      </c>
      <c r="H2457" s="27" t="str">
        <f aca="false">IF(G2457="","",IFERROR(INDEX(Levels!$C$5:$C$94,MATCH(G2457,Levels!$G$5:$G$94,0)),"Not this class's skill"))</f>
        <v/>
      </c>
    </row>
    <row r="2458" customFormat="false" ht="15" hidden="false" customHeight="false" outlineLevel="0" collapsed="false">
      <c r="A2458" s="23"/>
      <c r="B2458" s="22"/>
      <c r="C2458" s="22"/>
      <c r="D2458" s="22"/>
      <c r="E2458" s="22"/>
      <c r="F2458" s="27" t="str">
        <f aca="false">IF(B2458="","",IFERROR(INDEX(Roster!$B$5:$B$154,MATCH(B2458,Roster!$A$5:$A$154,0)),"Not on roster"))</f>
        <v/>
      </c>
      <c r="G2458" s="28" t="str">
        <f aca="false">IF(OR(B2458="",C2458=""),"",F2458&amp;" | "&amp;C2458)</f>
        <v/>
      </c>
      <c r="H2458" s="27" t="str">
        <f aca="false">IF(G2458="","",IFERROR(INDEX(Levels!$C$5:$C$94,MATCH(G2458,Levels!$G$5:$G$94,0)),"Not this class's skill"))</f>
        <v/>
      </c>
    </row>
    <row r="2459" customFormat="false" ht="15" hidden="false" customHeight="false" outlineLevel="0" collapsed="false">
      <c r="A2459" s="23"/>
      <c r="B2459" s="22"/>
      <c r="C2459" s="22"/>
      <c r="D2459" s="22"/>
      <c r="E2459" s="22"/>
      <c r="F2459" s="27" t="str">
        <f aca="false">IF(B2459="","",IFERROR(INDEX(Roster!$B$5:$B$154,MATCH(B2459,Roster!$A$5:$A$154,0)),"Not on roster"))</f>
        <v/>
      </c>
      <c r="G2459" s="28" t="str">
        <f aca="false">IF(OR(B2459="",C2459=""),"",F2459&amp;" | "&amp;C2459)</f>
        <v/>
      </c>
      <c r="H2459" s="27" t="str">
        <f aca="false">IF(G2459="","",IFERROR(INDEX(Levels!$C$5:$C$94,MATCH(G2459,Levels!$G$5:$G$94,0)),"Not this class's skill"))</f>
        <v/>
      </c>
    </row>
    <row r="2460" customFormat="false" ht="15" hidden="false" customHeight="false" outlineLevel="0" collapsed="false">
      <c r="A2460" s="23"/>
      <c r="B2460" s="22"/>
      <c r="C2460" s="22"/>
      <c r="D2460" s="22"/>
      <c r="E2460" s="22"/>
      <c r="F2460" s="27" t="str">
        <f aca="false">IF(B2460="","",IFERROR(INDEX(Roster!$B$5:$B$154,MATCH(B2460,Roster!$A$5:$A$154,0)),"Not on roster"))</f>
        <v/>
      </c>
      <c r="G2460" s="28" t="str">
        <f aca="false">IF(OR(B2460="",C2460=""),"",F2460&amp;" | "&amp;C2460)</f>
        <v/>
      </c>
      <c r="H2460" s="27" t="str">
        <f aca="false">IF(G2460="","",IFERROR(INDEX(Levels!$C$5:$C$94,MATCH(G2460,Levels!$G$5:$G$94,0)),"Not this class's skill"))</f>
        <v/>
      </c>
    </row>
    <row r="2461" customFormat="false" ht="15" hidden="false" customHeight="false" outlineLevel="0" collapsed="false">
      <c r="A2461" s="23"/>
      <c r="B2461" s="22"/>
      <c r="C2461" s="22"/>
      <c r="D2461" s="22"/>
      <c r="E2461" s="22"/>
      <c r="F2461" s="27" t="str">
        <f aca="false">IF(B2461="","",IFERROR(INDEX(Roster!$B$5:$B$154,MATCH(B2461,Roster!$A$5:$A$154,0)),"Not on roster"))</f>
        <v/>
      </c>
      <c r="G2461" s="28" t="str">
        <f aca="false">IF(OR(B2461="",C2461=""),"",F2461&amp;" | "&amp;C2461)</f>
        <v/>
      </c>
      <c r="H2461" s="27" t="str">
        <f aca="false">IF(G2461="","",IFERROR(INDEX(Levels!$C$5:$C$94,MATCH(G2461,Levels!$G$5:$G$94,0)),"Not this class's skill"))</f>
        <v/>
      </c>
    </row>
    <row r="2462" customFormat="false" ht="15" hidden="false" customHeight="false" outlineLevel="0" collapsed="false">
      <c r="A2462" s="23"/>
      <c r="B2462" s="22"/>
      <c r="C2462" s="22"/>
      <c r="D2462" s="22"/>
      <c r="E2462" s="22"/>
      <c r="F2462" s="27" t="str">
        <f aca="false">IF(B2462="","",IFERROR(INDEX(Roster!$B$5:$B$154,MATCH(B2462,Roster!$A$5:$A$154,0)),"Not on roster"))</f>
        <v/>
      </c>
      <c r="G2462" s="28" t="str">
        <f aca="false">IF(OR(B2462="",C2462=""),"",F2462&amp;" | "&amp;C2462)</f>
        <v/>
      </c>
      <c r="H2462" s="27" t="str">
        <f aca="false">IF(G2462="","",IFERROR(INDEX(Levels!$C$5:$C$94,MATCH(G2462,Levels!$G$5:$G$94,0)),"Not this class's skill"))</f>
        <v/>
      </c>
    </row>
    <row r="2463" customFormat="false" ht="15" hidden="false" customHeight="false" outlineLevel="0" collapsed="false">
      <c r="A2463" s="23"/>
      <c r="B2463" s="22"/>
      <c r="C2463" s="22"/>
      <c r="D2463" s="22"/>
      <c r="E2463" s="22"/>
      <c r="F2463" s="27" t="str">
        <f aca="false">IF(B2463="","",IFERROR(INDEX(Roster!$B$5:$B$154,MATCH(B2463,Roster!$A$5:$A$154,0)),"Not on roster"))</f>
        <v/>
      </c>
      <c r="G2463" s="28" t="str">
        <f aca="false">IF(OR(B2463="",C2463=""),"",F2463&amp;" | "&amp;C2463)</f>
        <v/>
      </c>
      <c r="H2463" s="27" t="str">
        <f aca="false">IF(G2463="","",IFERROR(INDEX(Levels!$C$5:$C$94,MATCH(G2463,Levels!$G$5:$G$94,0)),"Not this class's skill"))</f>
        <v/>
      </c>
    </row>
    <row r="2464" customFormat="false" ht="15" hidden="false" customHeight="false" outlineLevel="0" collapsed="false">
      <c r="A2464" s="23"/>
      <c r="B2464" s="22"/>
      <c r="C2464" s="22"/>
      <c r="D2464" s="22"/>
      <c r="E2464" s="22"/>
      <c r="F2464" s="27" t="str">
        <f aca="false">IF(B2464="","",IFERROR(INDEX(Roster!$B$5:$B$154,MATCH(B2464,Roster!$A$5:$A$154,0)),"Not on roster"))</f>
        <v/>
      </c>
      <c r="G2464" s="28" t="str">
        <f aca="false">IF(OR(B2464="",C2464=""),"",F2464&amp;" | "&amp;C2464)</f>
        <v/>
      </c>
      <c r="H2464" s="27" t="str">
        <f aca="false">IF(G2464="","",IFERROR(INDEX(Levels!$C$5:$C$94,MATCH(G2464,Levels!$G$5:$G$94,0)),"Not this class's skill"))</f>
        <v/>
      </c>
    </row>
    <row r="2465" customFormat="false" ht="15" hidden="false" customHeight="false" outlineLevel="0" collapsed="false">
      <c r="A2465" s="23"/>
      <c r="B2465" s="22"/>
      <c r="C2465" s="22"/>
      <c r="D2465" s="22"/>
      <c r="E2465" s="22"/>
      <c r="F2465" s="27" t="str">
        <f aca="false">IF(B2465="","",IFERROR(INDEX(Roster!$B$5:$B$154,MATCH(B2465,Roster!$A$5:$A$154,0)),"Not on roster"))</f>
        <v/>
      </c>
      <c r="G2465" s="28" t="str">
        <f aca="false">IF(OR(B2465="",C2465=""),"",F2465&amp;" | "&amp;C2465)</f>
        <v/>
      </c>
      <c r="H2465" s="27" t="str">
        <f aca="false">IF(G2465="","",IFERROR(INDEX(Levels!$C$5:$C$94,MATCH(G2465,Levels!$G$5:$G$94,0)),"Not this class's skill"))</f>
        <v/>
      </c>
    </row>
    <row r="2466" customFormat="false" ht="15" hidden="false" customHeight="false" outlineLevel="0" collapsed="false">
      <c r="A2466" s="23"/>
      <c r="B2466" s="22"/>
      <c r="C2466" s="22"/>
      <c r="D2466" s="22"/>
      <c r="E2466" s="22"/>
      <c r="F2466" s="27" t="str">
        <f aca="false">IF(B2466="","",IFERROR(INDEX(Roster!$B$5:$B$154,MATCH(B2466,Roster!$A$5:$A$154,0)),"Not on roster"))</f>
        <v/>
      </c>
      <c r="G2466" s="28" t="str">
        <f aca="false">IF(OR(B2466="",C2466=""),"",F2466&amp;" | "&amp;C2466)</f>
        <v/>
      </c>
      <c r="H2466" s="27" t="str">
        <f aca="false">IF(G2466="","",IFERROR(INDEX(Levels!$C$5:$C$94,MATCH(G2466,Levels!$G$5:$G$94,0)),"Not this class's skill"))</f>
        <v/>
      </c>
    </row>
    <row r="2467" customFormat="false" ht="15" hidden="false" customHeight="false" outlineLevel="0" collapsed="false">
      <c r="A2467" s="23"/>
      <c r="B2467" s="22"/>
      <c r="C2467" s="22"/>
      <c r="D2467" s="22"/>
      <c r="E2467" s="22"/>
      <c r="F2467" s="27" t="str">
        <f aca="false">IF(B2467="","",IFERROR(INDEX(Roster!$B$5:$B$154,MATCH(B2467,Roster!$A$5:$A$154,0)),"Not on roster"))</f>
        <v/>
      </c>
      <c r="G2467" s="28" t="str">
        <f aca="false">IF(OR(B2467="",C2467=""),"",F2467&amp;" | "&amp;C2467)</f>
        <v/>
      </c>
      <c r="H2467" s="27" t="str">
        <f aca="false">IF(G2467="","",IFERROR(INDEX(Levels!$C$5:$C$94,MATCH(G2467,Levels!$G$5:$G$94,0)),"Not this class's skill"))</f>
        <v/>
      </c>
    </row>
    <row r="2468" customFormat="false" ht="15" hidden="false" customHeight="false" outlineLevel="0" collapsed="false">
      <c r="A2468" s="23"/>
      <c r="B2468" s="22"/>
      <c r="C2468" s="22"/>
      <c r="D2468" s="22"/>
      <c r="E2468" s="22"/>
      <c r="F2468" s="27" t="str">
        <f aca="false">IF(B2468="","",IFERROR(INDEX(Roster!$B$5:$B$154,MATCH(B2468,Roster!$A$5:$A$154,0)),"Not on roster"))</f>
        <v/>
      </c>
      <c r="G2468" s="28" t="str">
        <f aca="false">IF(OR(B2468="",C2468=""),"",F2468&amp;" | "&amp;C2468)</f>
        <v/>
      </c>
      <c r="H2468" s="27" t="str">
        <f aca="false">IF(G2468="","",IFERROR(INDEX(Levels!$C$5:$C$94,MATCH(G2468,Levels!$G$5:$G$94,0)),"Not this class's skill"))</f>
        <v/>
      </c>
    </row>
    <row r="2469" customFormat="false" ht="15" hidden="false" customHeight="false" outlineLevel="0" collapsed="false">
      <c r="A2469" s="23"/>
      <c r="B2469" s="22"/>
      <c r="C2469" s="22"/>
      <c r="D2469" s="22"/>
      <c r="E2469" s="22"/>
      <c r="F2469" s="27" t="str">
        <f aca="false">IF(B2469="","",IFERROR(INDEX(Roster!$B$5:$B$154,MATCH(B2469,Roster!$A$5:$A$154,0)),"Not on roster"))</f>
        <v/>
      </c>
      <c r="G2469" s="28" t="str">
        <f aca="false">IF(OR(B2469="",C2469=""),"",F2469&amp;" | "&amp;C2469)</f>
        <v/>
      </c>
      <c r="H2469" s="27" t="str">
        <f aca="false">IF(G2469="","",IFERROR(INDEX(Levels!$C$5:$C$94,MATCH(G2469,Levels!$G$5:$G$94,0)),"Not this class's skill"))</f>
        <v/>
      </c>
    </row>
    <row r="2470" customFormat="false" ht="15" hidden="false" customHeight="false" outlineLevel="0" collapsed="false">
      <c r="A2470" s="23"/>
      <c r="B2470" s="22"/>
      <c r="C2470" s="22"/>
      <c r="D2470" s="22"/>
      <c r="E2470" s="22"/>
      <c r="F2470" s="27" t="str">
        <f aca="false">IF(B2470="","",IFERROR(INDEX(Roster!$B$5:$B$154,MATCH(B2470,Roster!$A$5:$A$154,0)),"Not on roster"))</f>
        <v/>
      </c>
      <c r="G2470" s="28" t="str">
        <f aca="false">IF(OR(B2470="",C2470=""),"",F2470&amp;" | "&amp;C2470)</f>
        <v/>
      </c>
      <c r="H2470" s="27" t="str">
        <f aca="false">IF(G2470="","",IFERROR(INDEX(Levels!$C$5:$C$94,MATCH(G2470,Levels!$G$5:$G$94,0)),"Not this class's skill"))</f>
        <v/>
      </c>
    </row>
    <row r="2471" customFormat="false" ht="15" hidden="false" customHeight="false" outlineLevel="0" collapsed="false">
      <c r="A2471" s="23"/>
      <c r="B2471" s="22"/>
      <c r="C2471" s="22"/>
      <c r="D2471" s="22"/>
      <c r="E2471" s="22"/>
      <c r="F2471" s="27" t="str">
        <f aca="false">IF(B2471="","",IFERROR(INDEX(Roster!$B$5:$B$154,MATCH(B2471,Roster!$A$5:$A$154,0)),"Not on roster"))</f>
        <v/>
      </c>
      <c r="G2471" s="28" t="str">
        <f aca="false">IF(OR(B2471="",C2471=""),"",F2471&amp;" | "&amp;C2471)</f>
        <v/>
      </c>
      <c r="H2471" s="27" t="str">
        <f aca="false">IF(G2471="","",IFERROR(INDEX(Levels!$C$5:$C$94,MATCH(G2471,Levels!$G$5:$G$94,0)),"Not this class's skill"))</f>
        <v/>
      </c>
    </row>
    <row r="2472" customFormat="false" ht="15" hidden="false" customHeight="false" outlineLevel="0" collapsed="false">
      <c r="A2472" s="23"/>
      <c r="B2472" s="22"/>
      <c r="C2472" s="22"/>
      <c r="D2472" s="22"/>
      <c r="E2472" s="22"/>
      <c r="F2472" s="27" t="str">
        <f aca="false">IF(B2472="","",IFERROR(INDEX(Roster!$B$5:$B$154,MATCH(B2472,Roster!$A$5:$A$154,0)),"Not on roster"))</f>
        <v/>
      </c>
      <c r="G2472" s="28" t="str">
        <f aca="false">IF(OR(B2472="",C2472=""),"",F2472&amp;" | "&amp;C2472)</f>
        <v/>
      </c>
      <c r="H2472" s="27" t="str">
        <f aca="false">IF(G2472="","",IFERROR(INDEX(Levels!$C$5:$C$94,MATCH(G2472,Levels!$G$5:$G$94,0)),"Not this class's skill"))</f>
        <v/>
      </c>
    </row>
    <row r="2473" customFormat="false" ht="15" hidden="false" customHeight="false" outlineLevel="0" collapsed="false">
      <c r="A2473" s="23"/>
      <c r="B2473" s="22"/>
      <c r="C2473" s="22"/>
      <c r="D2473" s="22"/>
      <c r="E2473" s="22"/>
      <c r="F2473" s="27" t="str">
        <f aca="false">IF(B2473="","",IFERROR(INDEX(Roster!$B$5:$B$154,MATCH(B2473,Roster!$A$5:$A$154,0)),"Not on roster"))</f>
        <v/>
      </c>
      <c r="G2473" s="28" t="str">
        <f aca="false">IF(OR(B2473="",C2473=""),"",F2473&amp;" | "&amp;C2473)</f>
        <v/>
      </c>
      <c r="H2473" s="27" t="str">
        <f aca="false">IF(G2473="","",IFERROR(INDEX(Levels!$C$5:$C$94,MATCH(G2473,Levels!$G$5:$G$94,0)),"Not this class's skill"))</f>
        <v/>
      </c>
    </row>
    <row r="2474" customFormat="false" ht="15" hidden="false" customHeight="false" outlineLevel="0" collapsed="false">
      <c r="A2474" s="23"/>
      <c r="B2474" s="22"/>
      <c r="C2474" s="22"/>
      <c r="D2474" s="22"/>
      <c r="E2474" s="22"/>
      <c r="F2474" s="27" t="str">
        <f aca="false">IF(B2474="","",IFERROR(INDEX(Roster!$B$5:$B$154,MATCH(B2474,Roster!$A$5:$A$154,0)),"Not on roster"))</f>
        <v/>
      </c>
      <c r="G2474" s="28" t="str">
        <f aca="false">IF(OR(B2474="",C2474=""),"",F2474&amp;" | "&amp;C2474)</f>
        <v/>
      </c>
      <c r="H2474" s="27" t="str">
        <f aca="false">IF(G2474="","",IFERROR(INDEX(Levels!$C$5:$C$94,MATCH(G2474,Levels!$G$5:$G$94,0)),"Not this class's skill"))</f>
        <v/>
      </c>
    </row>
    <row r="2475" customFormat="false" ht="15" hidden="false" customHeight="false" outlineLevel="0" collapsed="false">
      <c r="A2475" s="23"/>
      <c r="B2475" s="22"/>
      <c r="C2475" s="22"/>
      <c r="D2475" s="22"/>
      <c r="E2475" s="22"/>
      <c r="F2475" s="27" t="str">
        <f aca="false">IF(B2475="","",IFERROR(INDEX(Roster!$B$5:$B$154,MATCH(B2475,Roster!$A$5:$A$154,0)),"Not on roster"))</f>
        <v/>
      </c>
      <c r="G2475" s="28" t="str">
        <f aca="false">IF(OR(B2475="",C2475=""),"",F2475&amp;" | "&amp;C2475)</f>
        <v/>
      </c>
      <c r="H2475" s="27" t="str">
        <f aca="false">IF(G2475="","",IFERROR(INDEX(Levels!$C$5:$C$94,MATCH(G2475,Levels!$G$5:$G$94,0)),"Not this class's skill"))</f>
        <v/>
      </c>
    </row>
    <row r="2476" customFormat="false" ht="15" hidden="false" customHeight="false" outlineLevel="0" collapsed="false">
      <c r="A2476" s="23"/>
      <c r="B2476" s="22"/>
      <c r="C2476" s="22"/>
      <c r="D2476" s="22"/>
      <c r="E2476" s="22"/>
      <c r="F2476" s="27" t="str">
        <f aca="false">IF(B2476="","",IFERROR(INDEX(Roster!$B$5:$B$154,MATCH(B2476,Roster!$A$5:$A$154,0)),"Not on roster"))</f>
        <v/>
      </c>
      <c r="G2476" s="28" t="str">
        <f aca="false">IF(OR(B2476="",C2476=""),"",F2476&amp;" | "&amp;C2476)</f>
        <v/>
      </c>
      <c r="H2476" s="27" t="str">
        <f aca="false">IF(G2476="","",IFERROR(INDEX(Levels!$C$5:$C$94,MATCH(G2476,Levels!$G$5:$G$94,0)),"Not this class's skill"))</f>
        <v/>
      </c>
    </row>
    <row r="2477" customFormat="false" ht="15" hidden="false" customHeight="false" outlineLevel="0" collapsed="false">
      <c r="A2477" s="23"/>
      <c r="B2477" s="22"/>
      <c r="C2477" s="22"/>
      <c r="D2477" s="22"/>
      <c r="E2477" s="22"/>
      <c r="F2477" s="27" t="str">
        <f aca="false">IF(B2477="","",IFERROR(INDEX(Roster!$B$5:$B$154,MATCH(B2477,Roster!$A$5:$A$154,0)),"Not on roster"))</f>
        <v/>
      </c>
      <c r="G2477" s="28" t="str">
        <f aca="false">IF(OR(B2477="",C2477=""),"",F2477&amp;" | "&amp;C2477)</f>
        <v/>
      </c>
      <c r="H2477" s="27" t="str">
        <f aca="false">IF(G2477="","",IFERROR(INDEX(Levels!$C$5:$C$94,MATCH(G2477,Levels!$G$5:$G$94,0)),"Not this class's skill"))</f>
        <v/>
      </c>
    </row>
    <row r="2478" customFormat="false" ht="15" hidden="false" customHeight="false" outlineLevel="0" collapsed="false">
      <c r="A2478" s="23"/>
      <c r="B2478" s="22"/>
      <c r="C2478" s="22"/>
      <c r="D2478" s="22"/>
      <c r="E2478" s="22"/>
      <c r="F2478" s="27" t="str">
        <f aca="false">IF(B2478="","",IFERROR(INDEX(Roster!$B$5:$B$154,MATCH(B2478,Roster!$A$5:$A$154,0)),"Not on roster"))</f>
        <v/>
      </c>
      <c r="G2478" s="28" t="str">
        <f aca="false">IF(OR(B2478="",C2478=""),"",F2478&amp;" | "&amp;C2478)</f>
        <v/>
      </c>
      <c r="H2478" s="27" t="str">
        <f aca="false">IF(G2478="","",IFERROR(INDEX(Levels!$C$5:$C$94,MATCH(G2478,Levels!$G$5:$G$94,0)),"Not this class's skill"))</f>
        <v/>
      </c>
    </row>
    <row r="2479" customFormat="false" ht="15" hidden="false" customHeight="false" outlineLevel="0" collapsed="false">
      <c r="A2479" s="23"/>
      <c r="B2479" s="22"/>
      <c r="C2479" s="22"/>
      <c r="D2479" s="22"/>
      <c r="E2479" s="22"/>
      <c r="F2479" s="27" t="str">
        <f aca="false">IF(B2479="","",IFERROR(INDEX(Roster!$B$5:$B$154,MATCH(B2479,Roster!$A$5:$A$154,0)),"Not on roster"))</f>
        <v/>
      </c>
      <c r="G2479" s="28" t="str">
        <f aca="false">IF(OR(B2479="",C2479=""),"",F2479&amp;" | "&amp;C2479)</f>
        <v/>
      </c>
      <c r="H2479" s="27" t="str">
        <f aca="false">IF(G2479="","",IFERROR(INDEX(Levels!$C$5:$C$94,MATCH(G2479,Levels!$G$5:$G$94,0)),"Not this class's skill"))</f>
        <v/>
      </c>
    </row>
    <row r="2480" customFormat="false" ht="15" hidden="false" customHeight="false" outlineLevel="0" collapsed="false">
      <c r="A2480" s="23"/>
      <c r="B2480" s="22"/>
      <c r="C2480" s="22"/>
      <c r="D2480" s="22"/>
      <c r="E2480" s="22"/>
      <c r="F2480" s="27" t="str">
        <f aca="false">IF(B2480="","",IFERROR(INDEX(Roster!$B$5:$B$154,MATCH(B2480,Roster!$A$5:$A$154,0)),"Not on roster"))</f>
        <v/>
      </c>
      <c r="G2480" s="28" t="str">
        <f aca="false">IF(OR(B2480="",C2480=""),"",F2480&amp;" | "&amp;C2480)</f>
        <v/>
      </c>
      <c r="H2480" s="27" t="str">
        <f aca="false">IF(G2480="","",IFERROR(INDEX(Levels!$C$5:$C$94,MATCH(G2480,Levels!$G$5:$G$94,0)),"Not this class's skill"))</f>
        <v/>
      </c>
    </row>
    <row r="2481" customFormat="false" ht="15" hidden="false" customHeight="false" outlineLevel="0" collapsed="false">
      <c r="A2481" s="23"/>
      <c r="B2481" s="22"/>
      <c r="C2481" s="22"/>
      <c r="D2481" s="22"/>
      <c r="E2481" s="22"/>
      <c r="F2481" s="27" t="str">
        <f aca="false">IF(B2481="","",IFERROR(INDEX(Roster!$B$5:$B$154,MATCH(B2481,Roster!$A$5:$A$154,0)),"Not on roster"))</f>
        <v/>
      </c>
      <c r="G2481" s="28" t="str">
        <f aca="false">IF(OR(B2481="",C2481=""),"",F2481&amp;" | "&amp;C2481)</f>
        <v/>
      </c>
      <c r="H2481" s="27" t="str">
        <f aca="false">IF(G2481="","",IFERROR(INDEX(Levels!$C$5:$C$94,MATCH(G2481,Levels!$G$5:$G$94,0)),"Not this class's skill"))</f>
        <v/>
      </c>
    </row>
    <row r="2482" customFormat="false" ht="15" hidden="false" customHeight="false" outlineLevel="0" collapsed="false">
      <c r="A2482" s="23"/>
      <c r="B2482" s="22"/>
      <c r="C2482" s="22"/>
      <c r="D2482" s="22"/>
      <c r="E2482" s="22"/>
      <c r="F2482" s="27" t="str">
        <f aca="false">IF(B2482="","",IFERROR(INDEX(Roster!$B$5:$B$154,MATCH(B2482,Roster!$A$5:$A$154,0)),"Not on roster"))</f>
        <v/>
      </c>
      <c r="G2482" s="28" t="str">
        <f aca="false">IF(OR(B2482="",C2482=""),"",F2482&amp;" | "&amp;C2482)</f>
        <v/>
      </c>
      <c r="H2482" s="27" t="str">
        <f aca="false">IF(G2482="","",IFERROR(INDEX(Levels!$C$5:$C$94,MATCH(G2482,Levels!$G$5:$G$94,0)),"Not this class's skill"))</f>
        <v/>
      </c>
    </row>
    <row r="2483" customFormat="false" ht="15" hidden="false" customHeight="false" outlineLevel="0" collapsed="false">
      <c r="A2483" s="23"/>
      <c r="B2483" s="22"/>
      <c r="C2483" s="22"/>
      <c r="D2483" s="22"/>
      <c r="E2483" s="22"/>
      <c r="F2483" s="27" t="str">
        <f aca="false">IF(B2483="","",IFERROR(INDEX(Roster!$B$5:$B$154,MATCH(B2483,Roster!$A$5:$A$154,0)),"Not on roster"))</f>
        <v/>
      </c>
      <c r="G2483" s="28" t="str">
        <f aca="false">IF(OR(B2483="",C2483=""),"",F2483&amp;" | "&amp;C2483)</f>
        <v/>
      </c>
      <c r="H2483" s="27" t="str">
        <f aca="false">IF(G2483="","",IFERROR(INDEX(Levels!$C$5:$C$94,MATCH(G2483,Levels!$G$5:$G$94,0)),"Not this class's skill"))</f>
        <v/>
      </c>
    </row>
    <row r="2484" customFormat="false" ht="15" hidden="false" customHeight="false" outlineLevel="0" collapsed="false">
      <c r="A2484" s="23"/>
      <c r="B2484" s="22"/>
      <c r="C2484" s="22"/>
      <c r="D2484" s="22"/>
      <c r="E2484" s="22"/>
      <c r="F2484" s="27" t="str">
        <f aca="false">IF(B2484="","",IFERROR(INDEX(Roster!$B$5:$B$154,MATCH(B2484,Roster!$A$5:$A$154,0)),"Not on roster"))</f>
        <v/>
      </c>
      <c r="G2484" s="28" t="str">
        <f aca="false">IF(OR(B2484="",C2484=""),"",F2484&amp;" | "&amp;C2484)</f>
        <v/>
      </c>
      <c r="H2484" s="27" t="str">
        <f aca="false">IF(G2484="","",IFERROR(INDEX(Levels!$C$5:$C$94,MATCH(G2484,Levels!$G$5:$G$94,0)),"Not this class's skill"))</f>
        <v/>
      </c>
    </row>
    <row r="2485" customFormat="false" ht="15" hidden="false" customHeight="false" outlineLevel="0" collapsed="false">
      <c r="A2485" s="23"/>
      <c r="B2485" s="22"/>
      <c r="C2485" s="22"/>
      <c r="D2485" s="22"/>
      <c r="E2485" s="22"/>
      <c r="F2485" s="27" t="str">
        <f aca="false">IF(B2485="","",IFERROR(INDEX(Roster!$B$5:$B$154,MATCH(B2485,Roster!$A$5:$A$154,0)),"Not on roster"))</f>
        <v/>
      </c>
      <c r="G2485" s="28" t="str">
        <f aca="false">IF(OR(B2485="",C2485=""),"",F2485&amp;" | "&amp;C2485)</f>
        <v/>
      </c>
      <c r="H2485" s="27" t="str">
        <f aca="false">IF(G2485="","",IFERROR(INDEX(Levels!$C$5:$C$94,MATCH(G2485,Levels!$G$5:$G$94,0)),"Not this class's skill"))</f>
        <v/>
      </c>
    </row>
    <row r="2486" customFormat="false" ht="15" hidden="false" customHeight="false" outlineLevel="0" collapsed="false">
      <c r="A2486" s="23"/>
      <c r="B2486" s="22"/>
      <c r="C2486" s="22"/>
      <c r="D2486" s="22"/>
      <c r="E2486" s="22"/>
      <c r="F2486" s="27" t="str">
        <f aca="false">IF(B2486="","",IFERROR(INDEX(Roster!$B$5:$B$154,MATCH(B2486,Roster!$A$5:$A$154,0)),"Not on roster"))</f>
        <v/>
      </c>
      <c r="G2486" s="28" t="str">
        <f aca="false">IF(OR(B2486="",C2486=""),"",F2486&amp;" | "&amp;C2486)</f>
        <v/>
      </c>
      <c r="H2486" s="27" t="str">
        <f aca="false">IF(G2486="","",IFERROR(INDEX(Levels!$C$5:$C$94,MATCH(G2486,Levels!$G$5:$G$94,0)),"Not this class's skill"))</f>
        <v/>
      </c>
    </row>
    <row r="2487" customFormat="false" ht="15" hidden="false" customHeight="false" outlineLevel="0" collapsed="false">
      <c r="A2487" s="23"/>
      <c r="B2487" s="22"/>
      <c r="C2487" s="22"/>
      <c r="D2487" s="22"/>
      <c r="E2487" s="22"/>
      <c r="F2487" s="27" t="str">
        <f aca="false">IF(B2487="","",IFERROR(INDEX(Roster!$B$5:$B$154,MATCH(B2487,Roster!$A$5:$A$154,0)),"Not on roster"))</f>
        <v/>
      </c>
      <c r="G2487" s="28" t="str">
        <f aca="false">IF(OR(B2487="",C2487=""),"",F2487&amp;" | "&amp;C2487)</f>
        <v/>
      </c>
      <c r="H2487" s="27" t="str">
        <f aca="false">IF(G2487="","",IFERROR(INDEX(Levels!$C$5:$C$94,MATCH(G2487,Levels!$G$5:$G$94,0)),"Not this class's skill"))</f>
        <v/>
      </c>
    </row>
    <row r="2488" customFormat="false" ht="15" hidden="false" customHeight="false" outlineLevel="0" collapsed="false">
      <c r="A2488" s="23"/>
      <c r="B2488" s="22"/>
      <c r="C2488" s="22"/>
      <c r="D2488" s="22"/>
      <c r="E2488" s="22"/>
      <c r="F2488" s="27" t="str">
        <f aca="false">IF(B2488="","",IFERROR(INDEX(Roster!$B$5:$B$154,MATCH(B2488,Roster!$A$5:$A$154,0)),"Not on roster"))</f>
        <v/>
      </c>
      <c r="G2488" s="28" t="str">
        <f aca="false">IF(OR(B2488="",C2488=""),"",F2488&amp;" | "&amp;C2488)</f>
        <v/>
      </c>
      <c r="H2488" s="27" t="str">
        <f aca="false">IF(G2488="","",IFERROR(INDEX(Levels!$C$5:$C$94,MATCH(G2488,Levels!$G$5:$G$94,0)),"Not this class's skill"))</f>
        <v/>
      </c>
    </row>
    <row r="2489" customFormat="false" ht="15" hidden="false" customHeight="false" outlineLevel="0" collapsed="false">
      <c r="A2489" s="23"/>
      <c r="B2489" s="22"/>
      <c r="C2489" s="22"/>
      <c r="D2489" s="22"/>
      <c r="E2489" s="22"/>
      <c r="F2489" s="27" t="str">
        <f aca="false">IF(B2489="","",IFERROR(INDEX(Roster!$B$5:$B$154,MATCH(B2489,Roster!$A$5:$A$154,0)),"Not on roster"))</f>
        <v/>
      </c>
      <c r="G2489" s="28" t="str">
        <f aca="false">IF(OR(B2489="",C2489=""),"",F2489&amp;" | "&amp;C2489)</f>
        <v/>
      </c>
      <c r="H2489" s="27" t="str">
        <f aca="false">IF(G2489="","",IFERROR(INDEX(Levels!$C$5:$C$94,MATCH(G2489,Levels!$G$5:$G$94,0)),"Not this class's skill"))</f>
        <v/>
      </c>
    </row>
    <row r="2490" customFormat="false" ht="15" hidden="false" customHeight="false" outlineLevel="0" collapsed="false">
      <c r="A2490" s="23"/>
      <c r="B2490" s="22"/>
      <c r="C2490" s="22"/>
      <c r="D2490" s="22"/>
      <c r="E2490" s="22"/>
      <c r="F2490" s="27" t="str">
        <f aca="false">IF(B2490="","",IFERROR(INDEX(Roster!$B$5:$B$154,MATCH(B2490,Roster!$A$5:$A$154,0)),"Not on roster"))</f>
        <v/>
      </c>
      <c r="G2490" s="28" t="str">
        <f aca="false">IF(OR(B2490="",C2490=""),"",F2490&amp;" | "&amp;C2490)</f>
        <v/>
      </c>
      <c r="H2490" s="27" t="str">
        <f aca="false">IF(G2490="","",IFERROR(INDEX(Levels!$C$5:$C$94,MATCH(G2490,Levels!$G$5:$G$94,0)),"Not this class's skill"))</f>
        <v/>
      </c>
    </row>
    <row r="2491" customFormat="false" ht="15" hidden="false" customHeight="false" outlineLevel="0" collapsed="false">
      <c r="A2491" s="23"/>
      <c r="B2491" s="22"/>
      <c r="C2491" s="22"/>
      <c r="D2491" s="22"/>
      <c r="E2491" s="22"/>
      <c r="F2491" s="27" t="str">
        <f aca="false">IF(B2491="","",IFERROR(INDEX(Roster!$B$5:$B$154,MATCH(B2491,Roster!$A$5:$A$154,0)),"Not on roster"))</f>
        <v/>
      </c>
      <c r="G2491" s="28" t="str">
        <f aca="false">IF(OR(B2491="",C2491=""),"",F2491&amp;" | "&amp;C2491)</f>
        <v/>
      </c>
      <c r="H2491" s="27" t="str">
        <f aca="false">IF(G2491="","",IFERROR(INDEX(Levels!$C$5:$C$94,MATCH(G2491,Levels!$G$5:$G$94,0)),"Not this class's skill"))</f>
        <v/>
      </c>
    </row>
    <row r="2492" customFormat="false" ht="15" hidden="false" customHeight="false" outlineLevel="0" collapsed="false">
      <c r="A2492" s="23"/>
      <c r="B2492" s="22"/>
      <c r="C2492" s="22"/>
      <c r="D2492" s="22"/>
      <c r="E2492" s="22"/>
      <c r="F2492" s="27" t="str">
        <f aca="false">IF(B2492="","",IFERROR(INDEX(Roster!$B$5:$B$154,MATCH(B2492,Roster!$A$5:$A$154,0)),"Not on roster"))</f>
        <v/>
      </c>
      <c r="G2492" s="28" t="str">
        <f aca="false">IF(OR(B2492="",C2492=""),"",F2492&amp;" | "&amp;C2492)</f>
        <v/>
      </c>
      <c r="H2492" s="27" t="str">
        <f aca="false">IF(G2492="","",IFERROR(INDEX(Levels!$C$5:$C$94,MATCH(G2492,Levels!$G$5:$G$94,0)),"Not this class's skill"))</f>
        <v/>
      </c>
    </row>
    <row r="2493" customFormat="false" ht="15" hidden="false" customHeight="false" outlineLevel="0" collapsed="false">
      <c r="A2493" s="23"/>
      <c r="B2493" s="22"/>
      <c r="C2493" s="22"/>
      <c r="D2493" s="22"/>
      <c r="E2493" s="22"/>
      <c r="F2493" s="27" t="str">
        <f aca="false">IF(B2493="","",IFERROR(INDEX(Roster!$B$5:$B$154,MATCH(B2493,Roster!$A$5:$A$154,0)),"Not on roster"))</f>
        <v/>
      </c>
      <c r="G2493" s="28" t="str">
        <f aca="false">IF(OR(B2493="",C2493=""),"",F2493&amp;" | "&amp;C2493)</f>
        <v/>
      </c>
      <c r="H2493" s="27" t="str">
        <f aca="false">IF(G2493="","",IFERROR(INDEX(Levels!$C$5:$C$94,MATCH(G2493,Levels!$G$5:$G$94,0)),"Not this class's skill"))</f>
        <v/>
      </c>
    </row>
    <row r="2494" customFormat="false" ht="15" hidden="false" customHeight="false" outlineLevel="0" collapsed="false">
      <c r="A2494" s="23"/>
      <c r="B2494" s="22"/>
      <c r="C2494" s="22"/>
      <c r="D2494" s="22"/>
      <c r="E2494" s="22"/>
      <c r="F2494" s="27" t="str">
        <f aca="false">IF(B2494="","",IFERROR(INDEX(Roster!$B$5:$B$154,MATCH(B2494,Roster!$A$5:$A$154,0)),"Not on roster"))</f>
        <v/>
      </c>
      <c r="G2494" s="28" t="str">
        <f aca="false">IF(OR(B2494="",C2494=""),"",F2494&amp;" | "&amp;C2494)</f>
        <v/>
      </c>
      <c r="H2494" s="27" t="str">
        <f aca="false">IF(G2494="","",IFERROR(INDEX(Levels!$C$5:$C$94,MATCH(G2494,Levels!$G$5:$G$94,0)),"Not this class's skill"))</f>
        <v/>
      </c>
    </row>
    <row r="2495" customFormat="false" ht="15" hidden="false" customHeight="false" outlineLevel="0" collapsed="false">
      <c r="A2495" s="23"/>
      <c r="B2495" s="22"/>
      <c r="C2495" s="22"/>
      <c r="D2495" s="22"/>
      <c r="E2495" s="22"/>
      <c r="F2495" s="27" t="str">
        <f aca="false">IF(B2495="","",IFERROR(INDEX(Roster!$B$5:$B$154,MATCH(B2495,Roster!$A$5:$A$154,0)),"Not on roster"))</f>
        <v/>
      </c>
      <c r="G2495" s="28" t="str">
        <f aca="false">IF(OR(B2495="",C2495=""),"",F2495&amp;" | "&amp;C2495)</f>
        <v/>
      </c>
      <c r="H2495" s="27" t="str">
        <f aca="false">IF(G2495="","",IFERROR(INDEX(Levels!$C$5:$C$94,MATCH(G2495,Levels!$G$5:$G$94,0)),"Not this class's skill"))</f>
        <v/>
      </c>
    </row>
    <row r="2496" customFormat="false" ht="15" hidden="false" customHeight="false" outlineLevel="0" collapsed="false">
      <c r="A2496" s="23"/>
      <c r="B2496" s="22"/>
      <c r="C2496" s="22"/>
      <c r="D2496" s="22"/>
      <c r="E2496" s="22"/>
      <c r="F2496" s="27" t="str">
        <f aca="false">IF(B2496="","",IFERROR(INDEX(Roster!$B$5:$B$154,MATCH(B2496,Roster!$A$5:$A$154,0)),"Not on roster"))</f>
        <v/>
      </c>
      <c r="G2496" s="28" t="str">
        <f aca="false">IF(OR(B2496="",C2496=""),"",F2496&amp;" | "&amp;C2496)</f>
        <v/>
      </c>
      <c r="H2496" s="27" t="str">
        <f aca="false">IF(G2496="","",IFERROR(INDEX(Levels!$C$5:$C$94,MATCH(G2496,Levels!$G$5:$G$94,0)),"Not this class's skill"))</f>
        <v/>
      </c>
    </row>
    <row r="2497" customFormat="false" ht="15" hidden="false" customHeight="false" outlineLevel="0" collapsed="false">
      <c r="A2497" s="23"/>
      <c r="B2497" s="22"/>
      <c r="C2497" s="22"/>
      <c r="D2497" s="22"/>
      <c r="E2497" s="22"/>
      <c r="F2497" s="27" t="str">
        <f aca="false">IF(B2497="","",IFERROR(INDEX(Roster!$B$5:$B$154,MATCH(B2497,Roster!$A$5:$A$154,0)),"Not on roster"))</f>
        <v/>
      </c>
      <c r="G2497" s="28" t="str">
        <f aca="false">IF(OR(B2497="",C2497=""),"",F2497&amp;" | "&amp;C2497)</f>
        <v/>
      </c>
      <c r="H2497" s="27" t="str">
        <f aca="false">IF(G2497="","",IFERROR(INDEX(Levels!$C$5:$C$94,MATCH(G2497,Levels!$G$5:$G$94,0)),"Not this class's skill"))</f>
        <v/>
      </c>
    </row>
    <row r="2498" customFormat="false" ht="15" hidden="false" customHeight="false" outlineLevel="0" collapsed="false">
      <c r="A2498" s="23"/>
      <c r="B2498" s="22"/>
      <c r="C2498" s="22"/>
      <c r="D2498" s="22"/>
      <c r="E2498" s="22"/>
      <c r="F2498" s="27" t="str">
        <f aca="false">IF(B2498="","",IFERROR(INDEX(Roster!$B$5:$B$154,MATCH(B2498,Roster!$A$5:$A$154,0)),"Not on roster"))</f>
        <v/>
      </c>
      <c r="G2498" s="28" t="str">
        <f aca="false">IF(OR(B2498="",C2498=""),"",F2498&amp;" | "&amp;C2498)</f>
        <v/>
      </c>
      <c r="H2498" s="27" t="str">
        <f aca="false">IF(G2498="","",IFERROR(INDEX(Levels!$C$5:$C$94,MATCH(G2498,Levels!$G$5:$G$94,0)),"Not this class's skill"))</f>
        <v/>
      </c>
    </row>
    <row r="2499" customFormat="false" ht="15" hidden="false" customHeight="false" outlineLevel="0" collapsed="false">
      <c r="A2499" s="23"/>
      <c r="B2499" s="22"/>
      <c r="C2499" s="22"/>
      <c r="D2499" s="22"/>
      <c r="E2499" s="22"/>
      <c r="F2499" s="27" t="str">
        <f aca="false">IF(B2499="","",IFERROR(INDEX(Roster!$B$5:$B$154,MATCH(B2499,Roster!$A$5:$A$154,0)),"Not on roster"))</f>
        <v/>
      </c>
      <c r="G2499" s="28" t="str">
        <f aca="false">IF(OR(B2499="",C2499=""),"",F2499&amp;" | "&amp;C2499)</f>
        <v/>
      </c>
      <c r="H2499" s="27" t="str">
        <f aca="false">IF(G2499="","",IFERROR(INDEX(Levels!$C$5:$C$94,MATCH(G2499,Levels!$G$5:$G$94,0)),"Not this class's skill"))</f>
        <v/>
      </c>
    </row>
    <row r="2500" customFormat="false" ht="15" hidden="false" customHeight="false" outlineLevel="0" collapsed="false">
      <c r="A2500" s="23"/>
      <c r="B2500" s="22"/>
      <c r="C2500" s="22"/>
      <c r="D2500" s="22"/>
      <c r="E2500" s="22"/>
      <c r="F2500" s="27" t="str">
        <f aca="false">IF(B2500="","",IFERROR(INDEX(Roster!$B$5:$B$154,MATCH(B2500,Roster!$A$5:$A$154,0)),"Not on roster"))</f>
        <v/>
      </c>
      <c r="G2500" s="28" t="str">
        <f aca="false">IF(OR(B2500="",C2500=""),"",F2500&amp;" | "&amp;C2500)</f>
        <v/>
      </c>
      <c r="H2500" s="27" t="str">
        <f aca="false">IF(G2500="","",IFERROR(INDEX(Levels!$C$5:$C$94,MATCH(G2500,Levels!$G$5:$G$94,0)),"Not this class's skill"))</f>
        <v/>
      </c>
    </row>
    <row r="2501" customFormat="false" ht="15" hidden="false" customHeight="false" outlineLevel="0" collapsed="false">
      <c r="A2501" s="23"/>
      <c r="B2501" s="22"/>
      <c r="C2501" s="22"/>
      <c r="D2501" s="22"/>
      <c r="E2501" s="22"/>
      <c r="F2501" s="27" t="str">
        <f aca="false">IF(B2501="","",IFERROR(INDEX(Roster!$B$5:$B$154,MATCH(B2501,Roster!$A$5:$A$154,0)),"Not on roster"))</f>
        <v/>
      </c>
      <c r="G2501" s="28" t="str">
        <f aca="false">IF(OR(B2501="",C2501=""),"",F2501&amp;" | "&amp;C2501)</f>
        <v/>
      </c>
      <c r="H2501" s="27" t="str">
        <f aca="false">IF(G2501="","",IFERROR(INDEX(Levels!$C$5:$C$94,MATCH(G2501,Levels!$G$5:$G$94,0)),"Not this class's skill"))</f>
        <v/>
      </c>
    </row>
    <row r="2502" customFormat="false" ht="15" hidden="false" customHeight="false" outlineLevel="0" collapsed="false">
      <c r="A2502" s="23"/>
      <c r="B2502" s="22"/>
      <c r="C2502" s="22"/>
      <c r="D2502" s="22"/>
      <c r="E2502" s="22"/>
      <c r="F2502" s="27" t="str">
        <f aca="false">IF(B2502="","",IFERROR(INDEX(Roster!$B$5:$B$154,MATCH(B2502,Roster!$A$5:$A$154,0)),"Not on roster"))</f>
        <v/>
      </c>
      <c r="G2502" s="28" t="str">
        <f aca="false">IF(OR(B2502="",C2502=""),"",F2502&amp;" | "&amp;C2502)</f>
        <v/>
      </c>
      <c r="H2502" s="27" t="str">
        <f aca="false">IF(G2502="","",IFERROR(INDEX(Levels!$C$5:$C$94,MATCH(G2502,Levels!$G$5:$G$94,0)),"Not this class's skill"))</f>
        <v/>
      </c>
    </row>
    <row r="2503" customFormat="false" ht="15" hidden="false" customHeight="false" outlineLevel="0" collapsed="false">
      <c r="A2503" s="23"/>
      <c r="B2503" s="22"/>
      <c r="C2503" s="22"/>
      <c r="D2503" s="22"/>
      <c r="E2503" s="22"/>
      <c r="F2503" s="27" t="str">
        <f aca="false">IF(B2503="","",IFERROR(INDEX(Roster!$B$5:$B$154,MATCH(B2503,Roster!$A$5:$A$154,0)),"Not on roster"))</f>
        <v/>
      </c>
      <c r="G2503" s="28" t="str">
        <f aca="false">IF(OR(B2503="",C2503=""),"",F2503&amp;" | "&amp;C2503)</f>
        <v/>
      </c>
      <c r="H2503" s="27" t="str">
        <f aca="false">IF(G2503="","",IFERROR(INDEX(Levels!$C$5:$C$94,MATCH(G2503,Levels!$G$5:$G$94,0)),"Not this class's skill"))</f>
        <v/>
      </c>
    </row>
    <row r="2504" customFormat="false" ht="15" hidden="false" customHeight="false" outlineLevel="0" collapsed="false">
      <c r="A2504" s="23"/>
      <c r="B2504" s="22"/>
      <c r="C2504" s="22"/>
      <c r="D2504" s="22"/>
      <c r="E2504" s="22"/>
      <c r="F2504" s="27" t="str">
        <f aca="false">IF(B2504="","",IFERROR(INDEX(Roster!$B$5:$B$154,MATCH(B2504,Roster!$A$5:$A$154,0)),"Not on roster"))</f>
        <v/>
      </c>
      <c r="G2504" s="28" t="str">
        <f aca="false">IF(OR(B2504="",C2504=""),"",F2504&amp;" | "&amp;C2504)</f>
        <v/>
      </c>
      <c r="H2504" s="27" t="str">
        <f aca="false">IF(G2504="","",IFERROR(INDEX(Levels!$C$5:$C$94,MATCH(G2504,Levels!$G$5:$G$94,0)),"Not this class's skill"))</f>
        <v/>
      </c>
    </row>
    <row r="2505" customFormat="false" ht="15" hidden="false" customHeight="false" outlineLevel="0" collapsed="false">
      <c r="A2505" s="23"/>
      <c r="B2505" s="22"/>
      <c r="C2505" s="22"/>
      <c r="D2505" s="22"/>
      <c r="E2505" s="22"/>
      <c r="F2505" s="27" t="str">
        <f aca="false">IF(B2505="","",IFERROR(INDEX(Roster!$B$5:$B$154,MATCH(B2505,Roster!$A$5:$A$154,0)),"Not on roster"))</f>
        <v/>
      </c>
      <c r="G2505" s="28" t="str">
        <f aca="false">IF(OR(B2505="",C2505=""),"",F2505&amp;" | "&amp;C2505)</f>
        <v/>
      </c>
      <c r="H2505" s="27" t="str">
        <f aca="false">IF(G2505="","",IFERROR(INDEX(Levels!$C$5:$C$94,MATCH(G2505,Levels!$G$5:$G$94,0)),"Not this class's skill"))</f>
        <v/>
      </c>
    </row>
    <row r="2506" customFormat="false" ht="15" hidden="false" customHeight="false" outlineLevel="0" collapsed="false">
      <c r="A2506" s="23"/>
      <c r="B2506" s="22"/>
      <c r="C2506" s="22"/>
      <c r="D2506" s="22"/>
      <c r="E2506" s="22"/>
      <c r="F2506" s="27" t="str">
        <f aca="false">IF(B2506="","",IFERROR(INDEX(Roster!$B$5:$B$154,MATCH(B2506,Roster!$A$5:$A$154,0)),"Not on roster"))</f>
        <v/>
      </c>
      <c r="G2506" s="28" t="str">
        <f aca="false">IF(OR(B2506="",C2506=""),"",F2506&amp;" | "&amp;C2506)</f>
        <v/>
      </c>
      <c r="H2506" s="27" t="str">
        <f aca="false">IF(G2506="","",IFERROR(INDEX(Levels!$C$5:$C$94,MATCH(G2506,Levels!$G$5:$G$94,0)),"Not this class's skill"))</f>
        <v/>
      </c>
    </row>
    <row r="2507" customFormat="false" ht="15" hidden="false" customHeight="false" outlineLevel="0" collapsed="false">
      <c r="A2507" s="23"/>
      <c r="B2507" s="22"/>
      <c r="C2507" s="22"/>
      <c r="D2507" s="22"/>
      <c r="E2507" s="22"/>
      <c r="F2507" s="27" t="str">
        <f aca="false">IF(B2507="","",IFERROR(INDEX(Roster!$B$5:$B$154,MATCH(B2507,Roster!$A$5:$A$154,0)),"Not on roster"))</f>
        <v/>
      </c>
      <c r="G2507" s="28" t="str">
        <f aca="false">IF(OR(B2507="",C2507=""),"",F2507&amp;" | "&amp;C2507)</f>
        <v/>
      </c>
      <c r="H2507" s="27" t="str">
        <f aca="false">IF(G2507="","",IFERROR(INDEX(Levels!$C$5:$C$94,MATCH(G2507,Levels!$G$5:$G$94,0)),"Not this class's skill"))</f>
        <v/>
      </c>
    </row>
    <row r="2508" customFormat="false" ht="15" hidden="false" customHeight="false" outlineLevel="0" collapsed="false">
      <c r="A2508" s="23"/>
      <c r="B2508" s="22"/>
      <c r="C2508" s="22"/>
      <c r="D2508" s="22"/>
      <c r="E2508" s="22"/>
      <c r="F2508" s="27" t="str">
        <f aca="false">IF(B2508="","",IFERROR(INDEX(Roster!$B$5:$B$154,MATCH(B2508,Roster!$A$5:$A$154,0)),"Not on roster"))</f>
        <v/>
      </c>
      <c r="G2508" s="28" t="str">
        <f aca="false">IF(OR(B2508="",C2508=""),"",F2508&amp;" | "&amp;C2508)</f>
        <v/>
      </c>
      <c r="H2508" s="27" t="str">
        <f aca="false">IF(G2508="","",IFERROR(INDEX(Levels!$C$5:$C$94,MATCH(G2508,Levels!$G$5:$G$94,0)),"Not this class's skill"))</f>
        <v/>
      </c>
    </row>
    <row r="2509" customFormat="false" ht="15" hidden="false" customHeight="false" outlineLevel="0" collapsed="false">
      <c r="A2509" s="23"/>
      <c r="B2509" s="22"/>
      <c r="C2509" s="22"/>
      <c r="D2509" s="22"/>
      <c r="E2509" s="22"/>
      <c r="F2509" s="27" t="str">
        <f aca="false">IF(B2509="","",IFERROR(INDEX(Roster!$B$5:$B$154,MATCH(B2509,Roster!$A$5:$A$154,0)),"Not on roster"))</f>
        <v/>
      </c>
      <c r="G2509" s="28" t="str">
        <f aca="false">IF(OR(B2509="",C2509=""),"",F2509&amp;" | "&amp;C2509)</f>
        <v/>
      </c>
      <c r="H2509" s="27" t="str">
        <f aca="false">IF(G2509="","",IFERROR(INDEX(Levels!$C$5:$C$94,MATCH(G2509,Levels!$G$5:$G$94,0)),"Not this class's skill"))</f>
        <v/>
      </c>
    </row>
    <row r="2510" customFormat="false" ht="15" hidden="false" customHeight="false" outlineLevel="0" collapsed="false">
      <c r="A2510" s="23"/>
      <c r="B2510" s="22"/>
      <c r="C2510" s="22"/>
      <c r="D2510" s="22"/>
      <c r="E2510" s="22"/>
      <c r="F2510" s="27" t="str">
        <f aca="false">IF(B2510="","",IFERROR(INDEX(Roster!$B$5:$B$154,MATCH(B2510,Roster!$A$5:$A$154,0)),"Not on roster"))</f>
        <v/>
      </c>
      <c r="G2510" s="28" t="str">
        <f aca="false">IF(OR(B2510="",C2510=""),"",F2510&amp;" | "&amp;C2510)</f>
        <v/>
      </c>
      <c r="H2510" s="27" t="str">
        <f aca="false">IF(G2510="","",IFERROR(INDEX(Levels!$C$5:$C$94,MATCH(G2510,Levels!$G$5:$G$94,0)),"Not this class's skill"))</f>
        <v/>
      </c>
    </row>
    <row r="2511" customFormat="false" ht="15" hidden="false" customHeight="false" outlineLevel="0" collapsed="false">
      <c r="A2511" s="23"/>
      <c r="B2511" s="22"/>
      <c r="C2511" s="22"/>
      <c r="D2511" s="22"/>
      <c r="E2511" s="22"/>
      <c r="F2511" s="27" t="str">
        <f aca="false">IF(B2511="","",IFERROR(INDEX(Roster!$B$5:$B$154,MATCH(B2511,Roster!$A$5:$A$154,0)),"Not on roster"))</f>
        <v/>
      </c>
      <c r="G2511" s="28" t="str">
        <f aca="false">IF(OR(B2511="",C2511=""),"",F2511&amp;" | "&amp;C2511)</f>
        <v/>
      </c>
      <c r="H2511" s="27" t="str">
        <f aca="false">IF(G2511="","",IFERROR(INDEX(Levels!$C$5:$C$94,MATCH(G2511,Levels!$G$5:$G$94,0)),"Not this class's skill"))</f>
        <v/>
      </c>
    </row>
    <row r="2512" customFormat="false" ht="15" hidden="false" customHeight="false" outlineLevel="0" collapsed="false">
      <c r="A2512" s="23"/>
      <c r="B2512" s="22"/>
      <c r="C2512" s="22"/>
      <c r="D2512" s="22"/>
      <c r="E2512" s="22"/>
      <c r="F2512" s="27" t="str">
        <f aca="false">IF(B2512="","",IFERROR(INDEX(Roster!$B$5:$B$154,MATCH(B2512,Roster!$A$5:$A$154,0)),"Not on roster"))</f>
        <v/>
      </c>
      <c r="G2512" s="28" t="str">
        <f aca="false">IF(OR(B2512="",C2512=""),"",F2512&amp;" | "&amp;C2512)</f>
        <v/>
      </c>
      <c r="H2512" s="27" t="str">
        <f aca="false">IF(G2512="","",IFERROR(INDEX(Levels!$C$5:$C$94,MATCH(G2512,Levels!$G$5:$G$94,0)),"Not this class's skill"))</f>
        <v/>
      </c>
    </row>
    <row r="2513" customFormat="false" ht="15" hidden="false" customHeight="false" outlineLevel="0" collapsed="false">
      <c r="A2513" s="23"/>
      <c r="B2513" s="22"/>
      <c r="C2513" s="22"/>
      <c r="D2513" s="22"/>
      <c r="E2513" s="22"/>
      <c r="F2513" s="27" t="str">
        <f aca="false">IF(B2513="","",IFERROR(INDEX(Roster!$B$5:$B$154,MATCH(B2513,Roster!$A$5:$A$154,0)),"Not on roster"))</f>
        <v/>
      </c>
      <c r="G2513" s="28" t="str">
        <f aca="false">IF(OR(B2513="",C2513=""),"",F2513&amp;" | "&amp;C2513)</f>
        <v/>
      </c>
      <c r="H2513" s="27" t="str">
        <f aca="false">IF(G2513="","",IFERROR(INDEX(Levels!$C$5:$C$94,MATCH(G2513,Levels!$G$5:$G$94,0)),"Not this class's skill"))</f>
        <v/>
      </c>
    </row>
    <row r="2514" customFormat="false" ht="15" hidden="false" customHeight="false" outlineLevel="0" collapsed="false">
      <c r="A2514" s="23"/>
      <c r="B2514" s="22"/>
      <c r="C2514" s="22"/>
      <c r="D2514" s="22"/>
      <c r="E2514" s="22"/>
      <c r="F2514" s="27" t="str">
        <f aca="false">IF(B2514="","",IFERROR(INDEX(Roster!$B$5:$B$154,MATCH(B2514,Roster!$A$5:$A$154,0)),"Not on roster"))</f>
        <v/>
      </c>
      <c r="G2514" s="28" t="str">
        <f aca="false">IF(OR(B2514="",C2514=""),"",F2514&amp;" | "&amp;C2514)</f>
        <v/>
      </c>
      <c r="H2514" s="27" t="str">
        <f aca="false">IF(G2514="","",IFERROR(INDEX(Levels!$C$5:$C$94,MATCH(G2514,Levels!$G$5:$G$94,0)),"Not this class's skill"))</f>
        <v/>
      </c>
    </row>
    <row r="2515" customFormat="false" ht="15" hidden="false" customHeight="false" outlineLevel="0" collapsed="false">
      <c r="A2515" s="23"/>
      <c r="B2515" s="22"/>
      <c r="C2515" s="22"/>
      <c r="D2515" s="22"/>
      <c r="E2515" s="22"/>
      <c r="F2515" s="27" t="str">
        <f aca="false">IF(B2515="","",IFERROR(INDEX(Roster!$B$5:$B$154,MATCH(B2515,Roster!$A$5:$A$154,0)),"Not on roster"))</f>
        <v/>
      </c>
      <c r="G2515" s="28" t="str">
        <f aca="false">IF(OR(B2515="",C2515=""),"",F2515&amp;" | "&amp;C2515)</f>
        <v/>
      </c>
      <c r="H2515" s="27" t="str">
        <f aca="false">IF(G2515="","",IFERROR(INDEX(Levels!$C$5:$C$94,MATCH(G2515,Levels!$G$5:$G$94,0)),"Not this class's skill"))</f>
        <v/>
      </c>
    </row>
    <row r="2516" customFormat="false" ht="15" hidden="false" customHeight="false" outlineLevel="0" collapsed="false">
      <c r="A2516" s="23"/>
      <c r="B2516" s="22"/>
      <c r="C2516" s="22"/>
      <c r="D2516" s="22"/>
      <c r="E2516" s="22"/>
      <c r="F2516" s="27" t="str">
        <f aca="false">IF(B2516="","",IFERROR(INDEX(Roster!$B$5:$B$154,MATCH(B2516,Roster!$A$5:$A$154,0)),"Not on roster"))</f>
        <v/>
      </c>
      <c r="G2516" s="28" t="str">
        <f aca="false">IF(OR(B2516="",C2516=""),"",F2516&amp;" | "&amp;C2516)</f>
        <v/>
      </c>
      <c r="H2516" s="27" t="str">
        <f aca="false">IF(G2516="","",IFERROR(INDEX(Levels!$C$5:$C$94,MATCH(G2516,Levels!$G$5:$G$94,0)),"Not this class's skill"))</f>
        <v/>
      </c>
    </row>
    <row r="2517" customFormat="false" ht="15" hidden="false" customHeight="false" outlineLevel="0" collapsed="false">
      <c r="A2517" s="23"/>
      <c r="B2517" s="22"/>
      <c r="C2517" s="22"/>
      <c r="D2517" s="22"/>
      <c r="E2517" s="22"/>
      <c r="F2517" s="27" t="str">
        <f aca="false">IF(B2517="","",IFERROR(INDEX(Roster!$B$5:$B$154,MATCH(B2517,Roster!$A$5:$A$154,0)),"Not on roster"))</f>
        <v/>
      </c>
      <c r="G2517" s="28" t="str">
        <f aca="false">IF(OR(B2517="",C2517=""),"",F2517&amp;" | "&amp;C2517)</f>
        <v/>
      </c>
      <c r="H2517" s="27" t="str">
        <f aca="false">IF(G2517="","",IFERROR(INDEX(Levels!$C$5:$C$94,MATCH(G2517,Levels!$G$5:$G$94,0)),"Not this class's skill"))</f>
        <v/>
      </c>
    </row>
    <row r="2518" customFormat="false" ht="15" hidden="false" customHeight="false" outlineLevel="0" collapsed="false">
      <c r="A2518" s="23"/>
      <c r="B2518" s="22"/>
      <c r="C2518" s="22"/>
      <c r="D2518" s="22"/>
      <c r="E2518" s="22"/>
      <c r="F2518" s="27" t="str">
        <f aca="false">IF(B2518="","",IFERROR(INDEX(Roster!$B$5:$B$154,MATCH(B2518,Roster!$A$5:$A$154,0)),"Not on roster"))</f>
        <v/>
      </c>
      <c r="G2518" s="28" t="str">
        <f aca="false">IF(OR(B2518="",C2518=""),"",F2518&amp;" | "&amp;C2518)</f>
        <v/>
      </c>
      <c r="H2518" s="27" t="str">
        <f aca="false">IF(G2518="","",IFERROR(INDEX(Levels!$C$5:$C$94,MATCH(G2518,Levels!$G$5:$G$94,0)),"Not this class's skill"))</f>
        <v/>
      </c>
    </row>
    <row r="2519" customFormat="false" ht="15" hidden="false" customHeight="false" outlineLevel="0" collapsed="false">
      <c r="A2519" s="23"/>
      <c r="B2519" s="22"/>
      <c r="C2519" s="22"/>
      <c r="D2519" s="22"/>
      <c r="E2519" s="22"/>
      <c r="F2519" s="27" t="str">
        <f aca="false">IF(B2519="","",IFERROR(INDEX(Roster!$B$5:$B$154,MATCH(B2519,Roster!$A$5:$A$154,0)),"Not on roster"))</f>
        <v/>
      </c>
      <c r="G2519" s="28" t="str">
        <f aca="false">IF(OR(B2519="",C2519=""),"",F2519&amp;" | "&amp;C2519)</f>
        <v/>
      </c>
      <c r="H2519" s="27" t="str">
        <f aca="false">IF(G2519="","",IFERROR(INDEX(Levels!$C$5:$C$94,MATCH(G2519,Levels!$G$5:$G$94,0)),"Not this class's skill"))</f>
        <v/>
      </c>
    </row>
    <row r="2520" customFormat="false" ht="15" hidden="false" customHeight="false" outlineLevel="0" collapsed="false">
      <c r="A2520" s="23"/>
      <c r="B2520" s="22"/>
      <c r="C2520" s="22"/>
      <c r="D2520" s="22"/>
      <c r="E2520" s="22"/>
      <c r="F2520" s="27" t="str">
        <f aca="false">IF(B2520="","",IFERROR(INDEX(Roster!$B$5:$B$154,MATCH(B2520,Roster!$A$5:$A$154,0)),"Not on roster"))</f>
        <v/>
      </c>
      <c r="G2520" s="28" t="str">
        <f aca="false">IF(OR(B2520="",C2520=""),"",F2520&amp;" | "&amp;C2520)</f>
        <v/>
      </c>
      <c r="H2520" s="27" t="str">
        <f aca="false">IF(G2520="","",IFERROR(INDEX(Levels!$C$5:$C$94,MATCH(G2520,Levels!$G$5:$G$94,0)),"Not this class's skill"))</f>
        <v/>
      </c>
    </row>
    <row r="2521" customFormat="false" ht="15" hidden="false" customHeight="false" outlineLevel="0" collapsed="false">
      <c r="A2521" s="23"/>
      <c r="B2521" s="22"/>
      <c r="C2521" s="22"/>
      <c r="D2521" s="22"/>
      <c r="E2521" s="22"/>
      <c r="F2521" s="27" t="str">
        <f aca="false">IF(B2521="","",IFERROR(INDEX(Roster!$B$5:$B$154,MATCH(B2521,Roster!$A$5:$A$154,0)),"Not on roster"))</f>
        <v/>
      </c>
      <c r="G2521" s="28" t="str">
        <f aca="false">IF(OR(B2521="",C2521=""),"",F2521&amp;" | "&amp;C2521)</f>
        <v/>
      </c>
      <c r="H2521" s="27" t="str">
        <f aca="false">IF(G2521="","",IFERROR(INDEX(Levels!$C$5:$C$94,MATCH(G2521,Levels!$G$5:$G$94,0)),"Not this class's skill"))</f>
        <v/>
      </c>
    </row>
    <row r="2522" customFormat="false" ht="15" hidden="false" customHeight="false" outlineLevel="0" collapsed="false">
      <c r="A2522" s="23"/>
      <c r="B2522" s="22"/>
      <c r="C2522" s="22"/>
      <c r="D2522" s="22"/>
      <c r="E2522" s="22"/>
      <c r="F2522" s="27" t="str">
        <f aca="false">IF(B2522="","",IFERROR(INDEX(Roster!$B$5:$B$154,MATCH(B2522,Roster!$A$5:$A$154,0)),"Not on roster"))</f>
        <v/>
      </c>
      <c r="G2522" s="28" t="str">
        <f aca="false">IF(OR(B2522="",C2522=""),"",F2522&amp;" | "&amp;C2522)</f>
        <v/>
      </c>
      <c r="H2522" s="27" t="str">
        <f aca="false">IF(G2522="","",IFERROR(INDEX(Levels!$C$5:$C$94,MATCH(G2522,Levels!$G$5:$G$94,0)),"Not this class's skill"))</f>
        <v/>
      </c>
    </row>
    <row r="2523" customFormat="false" ht="15" hidden="false" customHeight="false" outlineLevel="0" collapsed="false">
      <c r="A2523" s="23"/>
      <c r="B2523" s="22"/>
      <c r="C2523" s="22"/>
      <c r="D2523" s="22"/>
      <c r="E2523" s="22"/>
      <c r="F2523" s="27" t="str">
        <f aca="false">IF(B2523="","",IFERROR(INDEX(Roster!$B$5:$B$154,MATCH(B2523,Roster!$A$5:$A$154,0)),"Not on roster"))</f>
        <v/>
      </c>
      <c r="G2523" s="28" t="str">
        <f aca="false">IF(OR(B2523="",C2523=""),"",F2523&amp;" | "&amp;C2523)</f>
        <v/>
      </c>
      <c r="H2523" s="27" t="str">
        <f aca="false">IF(G2523="","",IFERROR(INDEX(Levels!$C$5:$C$94,MATCH(G2523,Levels!$G$5:$G$94,0)),"Not this class's skill"))</f>
        <v/>
      </c>
    </row>
    <row r="2524" customFormat="false" ht="15" hidden="false" customHeight="false" outlineLevel="0" collapsed="false">
      <c r="A2524" s="23"/>
      <c r="B2524" s="22"/>
      <c r="C2524" s="22"/>
      <c r="D2524" s="22"/>
      <c r="E2524" s="22"/>
      <c r="F2524" s="27" t="str">
        <f aca="false">IF(B2524="","",IFERROR(INDEX(Roster!$B$5:$B$154,MATCH(B2524,Roster!$A$5:$A$154,0)),"Not on roster"))</f>
        <v/>
      </c>
      <c r="G2524" s="28" t="str">
        <f aca="false">IF(OR(B2524="",C2524=""),"",F2524&amp;" | "&amp;C2524)</f>
        <v/>
      </c>
      <c r="H2524" s="27" t="str">
        <f aca="false">IF(G2524="","",IFERROR(INDEX(Levels!$C$5:$C$94,MATCH(G2524,Levels!$G$5:$G$94,0)),"Not this class's skill"))</f>
        <v/>
      </c>
    </row>
    <row r="2525" customFormat="false" ht="15" hidden="false" customHeight="false" outlineLevel="0" collapsed="false">
      <c r="A2525" s="23"/>
      <c r="B2525" s="22"/>
      <c r="C2525" s="22"/>
      <c r="D2525" s="22"/>
      <c r="E2525" s="22"/>
      <c r="F2525" s="27" t="str">
        <f aca="false">IF(B2525="","",IFERROR(INDEX(Roster!$B$5:$B$154,MATCH(B2525,Roster!$A$5:$A$154,0)),"Not on roster"))</f>
        <v/>
      </c>
      <c r="G2525" s="28" t="str">
        <f aca="false">IF(OR(B2525="",C2525=""),"",F2525&amp;" | "&amp;C2525)</f>
        <v/>
      </c>
      <c r="H2525" s="27" t="str">
        <f aca="false">IF(G2525="","",IFERROR(INDEX(Levels!$C$5:$C$94,MATCH(G2525,Levels!$G$5:$G$94,0)),"Not this class's skill"))</f>
        <v/>
      </c>
    </row>
    <row r="2526" customFormat="false" ht="15" hidden="false" customHeight="false" outlineLevel="0" collapsed="false">
      <c r="A2526" s="23"/>
      <c r="B2526" s="22"/>
      <c r="C2526" s="22"/>
      <c r="D2526" s="22"/>
      <c r="E2526" s="22"/>
      <c r="F2526" s="27" t="str">
        <f aca="false">IF(B2526="","",IFERROR(INDEX(Roster!$B$5:$B$154,MATCH(B2526,Roster!$A$5:$A$154,0)),"Not on roster"))</f>
        <v/>
      </c>
      <c r="G2526" s="28" t="str">
        <f aca="false">IF(OR(B2526="",C2526=""),"",F2526&amp;" | "&amp;C2526)</f>
        <v/>
      </c>
      <c r="H2526" s="27" t="str">
        <f aca="false">IF(G2526="","",IFERROR(INDEX(Levels!$C$5:$C$94,MATCH(G2526,Levels!$G$5:$G$94,0)),"Not this class's skill"))</f>
        <v/>
      </c>
    </row>
    <row r="2527" customFormat="false" ht="15" hidden="false" customHeight="false" outlineLevel="0" collapsed="false">
      <c r="A2527" s="23"/>
      <c r="B2527" s="22"/>
      <c r="C2527" s="22"/>
      <c r="D2527" s="22"/>
      <c r="E2527" s="22"/>
      <c r="F2527" s="27" t="str">
        <f aca="false">IF(B2527="","",IFERROR(INDEX(Roster!$B$5:$B$154,MATCH(B2527,Roster!$A$5:$A$154,0)),"Not on roster"))</f>
        <v/>
      </c>
      <c r="G2527" s="28" t="str">
        <f aca="false">IF(OR(B2527="",C2527=""),"",F2527&amp;" | "&amp;C2527)</f>
        <v/>
      </c>
      <c r="H2527" s="27" t="str">
        <f aca="false">IF(G2527="","",IFERROR(INDEX(Levels!$C$5:$C$94,MATCH(G2527,Levels!$G$5:$G$94,0)),"Not this class's skill"))</f>
        <v/>
      </c>
    </row>
    <row r="2528" customFormat="false" ht="15" hidden="false" customHeight="false" outlineLevel="0" collapsed="false">
      <c r="A2528" s="23"/>
      <c r="B2528" s="22"/>
      <c r="C2528" s="22"/>
      <c r="D2528" s="22"/>
      <c r="E2528" s="22"/>
      <c r="F2528" s="27" t="str">
        <f aca="false">IF(B2528="","",IFERROR(INDEX(Roster!$B$5:$B$154,MATCH(B2528,Roster!$A$5:$A$154,0)),"Not on roster"))</f>
        <v/>
      </c>
      <c r="G2528" s="28" t="str">
        <f aca="false">IF(OR(B2528="",C2528=""),"",F2528&amp;" | "&amp;C2528)</f>
        <v/>
      </c>
      <c r="H2528" s="27" t="str">
        <f aca="false">IF(G2528="","",IFERROR(INDEX(Levels!$C$5:$C$94,MATCH(G2528,Levels!$G$5:$G$94,0)),"Not this class's skill"))</f>
        <v/>
      </c>
    </row>
    <row r="2529" customFormat="false" ht="15" hidden="false" customHeight="false" outlineLevel="0" collapsed="false">
      <c r="A2529" s="23"/>
      <c r="B2529" s="22"/>
      <c r="C2529" s="22"/>
      <c r="D2529" s="22"/>
      <c r="E2529" s="22"/>
      <c r="F2529" s="27" t="str">
        <f aca="false">IF(B2529="","",IFERROR(INDEX(Roster!$B$5:$B$154,MATCH(B2529,Roster!$A$5:$A$154,0)),"Not on roster"))</f>
        <v/>
      </c>
      <c r="G2529" s="28" t="str">
        <f aca="false">IF(OR(B2529="",C2529=""),"",F2529&amp;" | "&amp;C2529)</f>
        <v/>
      </c>
      <c r="H2529" s="27" t="str">
        <f aca="false">IF(G2529="","",IFERROR(INDEX(Levels!$C$5:$C$94,MATCH(G2529,Levels!$G$5:$G$94,0)),"Not this class's skill"))</f>
        <v/>
      </c>
    </row>
    <row r="2530" customFormat="false" ht="15" hidden="false" customHeight="false" outlineLevel="0" collapsed="false">
      <c r="A2530" s="23"/>
      <c r="B2530" s="22"/>
      <c r="C2530" s="22"/>
      <c r="D2530" s="22"/>
      <c r="E2530" s="22"/>
      <c r="F2530" s="27" t="str">
        <f aca="false">IF(B2530="","",IFERROR(INDEX(Roster!$B$5:$B$154,MATCH(B2530,Roster!$A$5:$A$154,0)),"Not on roster"))</f>
        <v/>
      </c>
      <c r="G2530" s="28" t="str">
        <f aca="false">IF(OR(B2530="",C2530=""),"",F2530&amp;" | "&amp;C2530)</f>
        <v/>
      </c>
      <c r="H2530" s="27" t="str">
        <f aca="false">IF(G2530="","",IFERROR(INDEX(Levels!$C$5:$C$94,MATCH(G2530,Levels!$G$5:$G$94,0)),"Not this class's skill"))</f>
        <v/>
      </c>
    </row>
    <row r="2531" customFormat="false" ht="15" hidden="false" customHeight="false" outlineLevel="0" collapsed="false">
      <c r="A2531" s="23"/>
      <c r="B2531" s="22"/>
      <c r="C2531" s="22"/>
      <c r="D2531" s="22"/>
      <c r="E2531" s="22"/>
      <c r="F2531" s="27" t="str">
        <f aca="false">IF(B2531="","",IFERROR(INDEX(Roster!$B$5:$B$154,MATCH(B2531,Roster!$A$5:$A$154,0)),"Not on roster"))</f>
        <v/>
      </c>
      <c r="G2531" s="28" t="str">
        <f aca="false">IF(OR(B2531="",C2531=""),"",F2531&amp;" | "&amp;C2531)</f>
        <v/>
      </c>
      <c r="H2531" s="27" t="str">
        <f aca="false">IF(G2531="","",IFERROR(INDEX(Levels!$C$5:$C$94,MATCH(G2531,Levels!$G$5:$G$94,0)),"Not this class's skill"))</f>
        <v/>
      </c>
    </row>
    <row r="2532" customFormat="false" ht="15" hidden="false" customHeight="false" outlineLevel="0" collapsed="false">
      <c r="A2532" s="23"/>
      <c r="B2532" s="22"/>
      <c r="C2532" s="22"/>
      <c r="D2532" s="22"/>
      <c r="E2532" s="22"/>
      <c r="F2532" s="27" t="str">
        <f aca="false">IF(B2532="","",IFERROR(INDEX(Roster!$B$5:$B$154,MATCH(B2532,Roster!$A$5:$A$154,0)),"Not on roster"))</f>
        <v/>
      </c>
      <c r="G2532" s="28" t="str">
        <f aca="false">IF(OR(B2532="",C2532=""),"",F2532&amp;" | "&amp;C2532)</f>
        <v/>
      </c>
      <c r="H2532" s="27" t="str">
        <f aca="false">IF(G2532="","",IFERROR(INDEX(Levels!$C$5:$C$94,MATCH(G2532,Levels!$G$5:$G$94,0)),"Not this class's skill"))</f>
        <v/>
      </c>
    </row>
    <row r="2533" customFormat="false" ht="15" hidden="false" customHeight="false" outlineLevel="0" collapsed="false">
      <c r="A2533" s="23"/>
      <c r="B2533" s="22"/>
      <c r="C2533" s="22"/>
      <c r="D2533" s="22"/>
      <c r="E2533" s="22"/>
      <c r="F2533" s="27" t="str">
        <f aca="false">IF(B2533="","",IFERROR(INDEX(Roster!$B$5:$B$154,MATCH(B2533,Roster!$A$5:$A$154,0)),"Not on roster"))</f>
        <v/>
      </c>
      <c r="G2533" s="28" t="str">
        <f aca="false">IF(OR(B2533="",C2533=""),"",F2533&amp;" | "&amp;C2533)</f>
        <v/>
      </c>
      <c r="H2533" s="27" t="str">
        <f aca="false">IF(G2533="","",IFERROR(INDEX(Levels!$C$5:$C$94,MATCH(G2533,Levels!$G$5:$G$94,0)),"Not this class's skill"))</f>
        <v/>
      </c>
    </row>
    <row r="2534" customFormat="false" ht="15" hidden="false" customHeight="false" outlineLevel="0" collapsed="false">
      <c r="A2534" s="23"/>
      <c r="B2534" s="22"/>
      <c r="C2534" s="22"/>
      <c r="D2534" s="22"/>
      <c r="E2534" s="22"/>
      <c r="F2534" s="27" t="str">
        <f aca="false">IF(B2534="","",IFERROR(INDEX(Roster!$B$5:$B$154,MATCH(B2534,Roster!$A$5:$A$154,0)),"Not on roster"))</f>
        <v/>
      </c>
      <c r="G2534" s="28" t="str">
        <f aca="false">IF(OR(B2534="",C2534=""),"",F2534&amp;" | "&amp;C2534)</f>
        <v/>
      </c>
      <c r="H2534" s="27" t="str">
        <f aca="false">IF(G2534="","",IFERROR(INDEX(Levels!$C$5:$C$94,MATCH(G2534,Levels!$G$5:$G$94,0)),"Not this class's skill"))</f>
        <v/>
      </c>
    </row>
    <row r="2535" customFormat="false" ht="15" hidden="false" customHeight="false" outlineLevel="0" collapsed="false">
      <c r="A2535" s="23"/>
      <c r="B2535" s="22"/>
      <c r="C2535" s="22"/>
      <c r="D2535" s="22"/>
      <c r="E2535" s="22"/>
      <c r="F2535" s="27" t="str">
        <f aca="false">IF(B2535="","",IFERROR(INDEX(Roster!$B$5:$B$154,MATCH(B2535,Roster!$A$5:$A$154,0)),"Not on roster"))</f>
        <v/>
      </c>
      <c r="G2535" s="28" t="str">
        <f aca="false">IF(OR(B2535="",C2535=""),"",F2535&amp;" | "&amp;C2535)</f>
        <v/>
      </c>
      <c r="H2535" s="27" t="str">
        <f aca="false">IF(G2535="","",IFERROR(INDEX(Levels!$C$5:$C$94,MATCH(G2535,Levels!$G$5:$G$94,0)),"Not this class's skill"))</f>
        <v/>
      </c>
    </row>
    <row r="2536" customFormat="false" ht="15" hidden="false" customHeight="false" outlineLevel="0" collapsed="false">
      <c r="A2536" s="23"/>
      <c r="B2536" s="22"/>
      <c r="C2536" s="22"/>
      <c r="D2536" s="22"/>
      <c r="E2536" s="22"/>
      <c r="F2536" s="27" t="str">
        <f aca="false">IF(B2536="","",IFERROR(INDEX(Roster!$B$5:$B$154,MATCH(B2536,Roster!$A$5:$A$154,0)),"Not on roster"))</f>
        <v/>
      </c>
      <c r="G2536" s="28" t="str">
        <f aca="false">IF(OR(B2536="",C2536=""),"",F2536&amp;" | "&amp;C2536)</f>
        <v/>
      </c>
      <c r="H2536" s="27" t="str">
        <f aca="false">IF(G2536="","",IFERROR(INDEX(Levels!$C$5:$C$94,MATCH(G2536,Levels!$G$5:$G$94,0)),"Not this class's skill"))</f>
        <v/>
      </c>
    </row>
    <row r="2537" customFormat="false" ht="15" hidden="false" customHeight="false" outlineLevel="0" collapsed="false">
      <c r="A2537" s="23"/>
      <c r="B2537" s="22"/>
      <c r="C2537" s="22"/>
      <c r="D2537" s="22"/>
      <c r="E2537" s="22"/>
      <c r="F2537" s="27" t="str">
        <f aca="false">IF(B2537="","",IFERROR(INDEX(Roster!$B$5:$B$154,MATCH(B2537,Roster!$A$5:$A$154,0)),"Not on roster"))</f>
        <v/>
      </c>
      <c r="G2537" s="28" t="str">
        <f aca="false">IF(OR(B2537="",C2537=""),"",F2537&amp;" | "&amp;C2537)</f>
        <v/>
      </c>
      <c r="H2537" s="27" t="str">
        <f aca="false">IF(G2537="","",IFERROR(INDEX(Levels!$C$5:$C$94,MATCH(G2537,Levels!$G$5:$G$94,0)),"Not this class's skill"))</f>
        <v/>
      </c>
    </row>
    <row r="2538" customFormat="false" ht="15" hidden="false" customHeight="false" outlineLevel="0" collapsed="false">
      <c r="A2538" s="23"/>
      <c r="B2538" s="22"/>
      <c r="C2538" s="22"/>
      <c r="D2538" s="22"/>
      <c r="E2538" s="22"/>
      <c r="F2538" s="27" t="str">
        <f aca="false">IF(B2538="","",IFERROR(INDEX(Roster!$B$5:$B$154,MATCH(B2538,Roster!$A$5:$A$154,0)),"Not on roster"))</f>
        <v/>
      </c>
      <c r="G2538" s="28" t="str">
        <f aca="false">IF(OR(B2538="",C2538=""),"",F2538&amp;" | "&amp;C2538)</f>
        <v/>
      </c>
      <c r="H2538" s="27" t="str">
        <f aca="false">IF(G2538="","",IFERROR(INDEX(Levels!$C$5:$C$94,MATCH(G2538,Levels!$G$5:$G$94,0)),"Not this class's skill"))</f>
        <v/>
      </c>
    </row>
    <row r="2539" customFormat="false" ht="15" hidden="false" customHeight="false" outlineLevel="0" collapsed="false">
      <c r="A2539" s="23"/>
      <c r="B2539" s="22"/>
      <c r="C2539" s="22"/>
      <c r="D2539" s="22"/>
      <c r="E2539" s="22"/>
      <c r="F2539" s="27" t="str">
        <f aca="false">IF(B2539="","",IFERROR(INDEX(Roster!$B$5:$B$154,MATCH(B2539,Roster!$A$5:$A$154,0)),"Not on roster"))</f>
        <v/>
      </c>
      <c r="G2539" s="28" t="str">
        <f aca="false">IF(OR(B2539="",C2539=""),"",F2539&amp;" | "&amp;C2539)</f>
        <v/>
      </c>
      <c r="H2539" s="27" t="str">
        <f aca="false">IF(G2539="","",IFERROR(INDEX(Levels!$C$5:$C$94,MATCH(G2539,Levels!$G$5:$G$94,0)),"Not this class's skill"))</f>
        <v/>
      </c>
    </row>
    <row r="2540" customFormat="false" ht="15" hidden="false" customHeight="false" outlineLevel="0" collapsed="false">
      <c r="A2540" s="23"/>
      <c r="B2540" s="22"/>
      <c r="C2540" s="22"/>
      <c r="D2540" s="22"/>
      <c r="E2540" s="22"/>
      <c r="F2540" s="27" t="str">
        <f aca="false">IF(B2540="","",IFERROR(INDEX(Roster!$B$5:$B$154,MATCH(B2540,Roster!$A$5:$A$154,0)),"Not on roster"))</f>
        <v/>
      </c>
      <c r="G2540" s="28" t="str">
        <f aca="false">IF(OR(B2540="",C2540=""),"",F2540&amp;" | "&amp;C2540)</f>
        <v/>
      </c>
      <c r="H2540" s="27" t="str">
        <f aca="false">IF(G2540="","",IFERROR(INDEX(Levels!$C$5:$C$94,MATCH(G2540,Levels!$G$5:$G$94,0)),"Not this class's skill"))</f>
        <v/>
      </c>
    </row>
    <row r="2541" customFormat="false" ht="15" hidden="false" customHeight="false" outlineLevel="0" collapsed="false">
      <c r="A2541" s="23"/>
      <c r="B2541" s="22"/>
      <c r="C2541" s="22"/>
      <c r="D2541" s="22"/>
      <c r="E2541" s="22"/>
      <c r="F2541" s="27" t="str">
        <f aca="false">IF(B2541="","",IFERROR(INDEX(Roster!$B$5:$B$154,MATCH(B2541,Roster!$A$5:$A$154,0)),"Not on roster"))</f>
        <v/>
      </c>
      <c r="G2541" s="28" t="str">
        <f aca="false">IF(OR(B2541="",C2541=""),"",F2541&amp;" | "&amp;C2541)</f>
        <v/>
      </c>
      <c r="H2541" s="27" t="str">
        <f aca="false">IF(G2541="","",IFERROR(INDEX(Levels!$C$5:$C$94,MATCH(G2541,Levels!$G$5:$G$94,0)),"Not this class's skill"))</f>
        <v/>
      </c>
    </row>
    <row r="2542" customFormat="false" ht="15" hidden="false" customHeight="false" outlineLevel="0" collapsed="false">
      <c r="A2542" s="23"/>
      <c r="B2542" s="22"/>
      <c r="C2542" s="22"/>
      <c r="D2542" s="22"/>
      <c r="E2542" s="22"/>
      <c r="F2542" s="27" t="str">
        <f aca="false">IF(B2542="","",IFERROR(INDEX(Roster!$B$5:$B$154,MATCH(B2542,Roster!$A$5:$A$154,0)),"Not on roster"))</f>
        <v/>
      </c>
      <c r="G2542" s="28" t="str">
        <f aca="false">IF(OR(B2542="",C2542=""),"",F2542&amp;" | "&amp;C2542)</f>
        <v/>
      </c>
      <c r="H2542" s="27" t="str">
        <f aca="false">IF(G2542="","",IFERROR(INDEX(Levels!$C$5:$C$94,MATCH(G2542,Levels!$G$5:$G$94,0)),"Not this class's skill"))</f>
        <v/>
      </c>
    </row>
    <row r="2543" customFormat="false" ht="15" hidden="false" customHeight="false" outlineLevel="0" collapsed="false">
      <c r="A2543" s="23"/>
      <c r="B2543" s="22"/>
      <c r="C2543" s="22"/>
      <c r="D2543" s="22"/>
      <c r="E2543" s="22"/>
      <c r="F2543" s="27" t="str">
        <f aca="false">IF(B2543="","",IFERROR(INDEX(Roster!$B$5:$B$154,MATCH(B2543,Roster!$A$5:$A$154,0)),"Not on roster"))</f>
        <v/>
      </c>
      <c r="G2543" s="28" t="str">
        <f aca="false">IF(OR(B2543="",C2543=""),"",F2543&amp;" | "&amp;C2543)</f>
        <v/>
      </c>
      <c r="H2543" s="27" t="str">
        <f aca="false">IF(G2543="","",IFERROR(INDEX(Levels!$C$5:$C$94,MATCH(G2543,Levels!$G$5:$G$94,0)),"Not this class's skill"))</f>
        <v/>
      </c>
    </row>
    <row r="2544" customFormat="false" ht="15" hidden="false" customHeight="false" outlineLevel="0" collapsed="false">
      <c r="A2544" s="23"/>
      <c r="B2544" s="22"/>
      <c r="C2544" s="22"/>
      <c r="D2544" s="22"/>
      <c r="E2544" s="22"/>
      <c r="F2544" s="27" t="str">
        <f aca="false">IF(B2544="","",IFERROR(INDEX(Roster!$B$5:$B$154,MATCH(B2544,Roster!$A$5:$A$154,0)),"Not on roster"))</f>
        <v/>
      </c>
      <c r="G2544" s="28" t="str">
        <f aca="false">IF(OR(B2544="",C2544=""),"",F2544&amp;" | "&amp;C2544)</f>
        <v/>
      </c>
      <c r="H2544" s="27" t="str">
        <f aca="false">IF(G2544="","",IFERROR(INDEX(Levels!$C$5:$C$94,MATCH(G2544,Levels!$G$5:$G$94,0)),"Not this class's skill"))</f>
        <v/>
      </c>
    </row>
    <row r="2545" customFormat="false" ht="15" hidden="false" customHeight="false" outlineLevel="0" collapsed="false">
      <c r="A2545" s="23"/>
      <c r="B2545" s="22"/>
      <c r="C2545" s="22"/>
      <c r="D2545" s="22"/>
      <c r="E2545" s="22"/>
      <c r="F2545" s="27" t="str">
        <f aca="false">IF(B2545="","",IFERROR(INDEX(Roster!$B$5:$B$154,MATCH(B2545,Roster!$A$5:$A$154,0)),"Not on roster"))</f>
        <v/>
      </c>
      <c r="G2545" s="28" t="str">
        <f aca="false">IF(OR(B2545="",C2545=""),"",F2545&amp;" | "&amp;C2545)</f>
        <v/>
      </c>
      <c r="H2545" s="27" t="str">
        <f aca="false">IF(G2545="","",IFERROR(INDEX(Levels!$C$5:$C$94,MATCH(G2545,Levels!$G$5:$G$94,0)),"Not this class's skill"))</f>
        <v/>
      </c>
    </row>
    <row r="2546" customFormat="false" ht="15" hidden="false" customHeight="false" outlineLevel="0" collapsed="false">
      <c r="A2546" s="23"/>
      <c r="B2546" s="22"/>
      <c r="C2546" s="22"/>
      <c r="D2546" s="22"/>
      <c r="E2546" s="22"/>
      <c r="F2546" s="27" t="str">
        <f aca="false">IF(B2546="","",IFERROR(INDEX(Roster!$B$5:$B$154,MATCH(B2546,Roster!$A$5:$A$154,0)),"Not on roster"))</f>
        <v/>
      </c>
      <c r="G2546" s="28" t="str">
        <f aca="false">IF(OR(B2546="",C2546=""),"",F2546&amp;" | "&amp;C2546)</f>
        <v/>
      </c>
      <c r="H2546" s="27" t="str">
        <f aca="false">IF(G2546="","",IFERROR(INDEX(Levels!$C$5:$C$94,MATCH(G2546,Levels!$G$5:$G$94,0)),"Not this class's skill"))</f>
        <v/>
      </c>
    </row>
    <row r="2547" customFormat="false" ht="15" hidden="false" customHeight="false" outlineLevel="0" collapsed="false">
      <c r="A2547" s="23"/>
      <c r="B2547" s="22"/>
      <c r="C2547" s="22"/>
      <c r="D2547" s="22"/>
      <c r="E2547" s="22"/>
      <c r="F2547" s="27" t="str">
        <f aca="false">IF(B2547="","",IFERROR(INDEX(Roster!$B$5:$B$154,MATCH(B2547,Roster!$A$5:$A$154,0)),"Not on roster"))</f>
        <v/>
      </c>
      <c r="G2547" s="28" t="str">
        <f aca="false">IF(OR(B2547="",C2547=""),"",F2547&amp;" | "&amp;C2547)</f>
        <v/>
      </c>
      <c r="H2547" s="27" t="str">
        <f aca="false">IF(G2547="","",IFERROR(INDEX(Levels!$C$5:$C$94,MATCH(G2547,Levels!$G$5:$G$94,0)),"Not this class's skill"))</f>
        <v/>
      </c>
    </row>
    <row r="2548" customFormat="false" ht="15" hidden="false" customHeight="false" outlineLevel="0" collapsed="false">
      <c r="A2548" s="23"/>
      <c r="B2548" s="22"/>
      <c r="C2548" s="22"/>
      <c r="D2548" s="22"/>
      <c r="E2548" s="22"/>
      <c r="F2548" s="27" t="str">
        <f aca="false">IF(B2548="","",IFERROR(INDEX(Roster!$B$5:$B$154,MATCH(B2548,Roster!$A$5:$A$154,0)),"Not on roster"))</f>
        <v/>
      </c>
      <c r="G2548" s="28" t="str">
        <f aca="false">IF(OR(B2548="",C2548=""),"",F2548&amp;" | "&amp;C2548)</f>
        <v/>
      </c>
      <c r="H2548" s="27" t="str">
        <f aca="false">IF(G2548="","",IFERROR(INDEX(Levels!$C$5:$C$94,MATCH(G2548,Levels!$G$5:$G$94,0)),"Not this class's skill"))</f>
        <v/>
      </c>
    </row>
    <row r="2549" customFormat="false" ht="15" hidden="false" customHeight="false" outlineLevel="0" collapsed="false">
      <c r="A2549" s="23"/>
      <c r="B2549" s="22"/>
      <c r="C2549" s="22"/>
      <c r="D2549" s="22"/>
      <c r="E2549" s="22"/>
      <c r="F2549" s="27" t="str">
        <f aca="false">IF(B2549="","",IFERROR(INDEX(Roster!$B$5:$B$154,MATCH(B2549,Roster!$A$5:$A$154,0)),"Not on roster"))</f>
        <v/>
      </c>
      <c r="G2549" s="28" t="str">
        <f aca="false">IF(OR(B2549="",C2549=""),"",F2549&amp;" | "&amp;C2549)</f>
        <v/>
      </c>
      <c r="H2549" s="27" t="str">
        <f aca="false">IF(G2549="","",IFERROR(INDEX(Levels!$C$5:$C$94,MATCH(G2549,Levels!$G$5:$G$94,0)),"Not this class's skill"))</f>
        <v/>
      </c>
    </row>
    <row r="2550" customFormat="false" ht="15" hidden="false" customHeight="false" outlineLevel="0" collapsed="false">
      <c r="A2550" s="23"/>
      <c r="B2550" s="22"/>
      <c r="C2550" s="22"/>
      <c r="D2550" s="22"/>
      <c r="E2550" s="22"/>
      <c r="F2550" s="27" t="str">
        <f aca="false">IF(B2550="","",IFERROR(INDEX(Roster!$B$5:$B$154,MATCH(B2550,Roster!$A$5:$A$154,0)),"Not on roster"))</f>
        <v/>
      </c>
      <c r="G2550" s="28" t="str">
        <f aca="false">IF(OR(B2550="",C2550=""),"",F2550&amp;" | "&amp;C2550)</f>
        <v/>
      </c>
      <c r="H2550" s="27" t="str">
        <f aca="false">IF(G2550="","",IFERROR(INDEX(Levels!$C$5:$C$94,MATCH(G2550,Levels!$G$5:$G$94,0)),"Not this class's skill"))</f>
        <v/>
      </c>
    </row>
    <row r="2551" customFormat="false" ht="15" hidden="false" customHeight="false" outlineLevel="0" collapsed="false">
      <c r="A2551" s="23"/>
      <c r="B2551" s="22"/>
      <c r="C2551" s="22"/>
      <c r="D2551" s="22"/>
      <c r="E2551" s="22"/>
      <c r="F2551" s="27" t="str">
        <f aca="false">IF(B2551="","",IFERROR(INDEX(Roster!$B$5:$B$154,MATCH(B2551,Roster!$A$5:$A$154,0)),"Not on roster"))</f>
        <v/>
      </c>
      <c r="G2551" s="28" t="str">
        <f aca="false">IF(OR(B2551="",C2551=""),"",F2551&amp;" | "&amp;C2551)</f>
        <v/>
      </c>
      <c r="H2551" s="27" t="str">
        <f aca="false">IF(G2551="","",IFERROR(INDEX(Levels!$C$5:$C$94,MATCH(G2551,Levels!$G$5:$G$94,0)),"Not this class's skill"))</f>
        <v/>
      </c>
    </row>
    <row r="2552" customFormat="false" ht="15" hidden="false" customHeight="false" outlineLevel="0" collapsed="false">
      <c r="A2552" s="23"/>
      <c r="B2552" s="22"/>
      <c r="C2552" s="22"/>
      <c r="D2552" s="22"/>
      <c r="E2552" s="22"/>
      <c r="F2552" s="27" t="str">
        <f aca="false">IF(B2552="","",IFERROR(INDEX(Roster!$B$5:$B$154,MATCH(B2552,Roster!$A$5:$A$154,0)),"Not on roster"))</f>
        <v/>
      </c>
      <c r="G2552" s="28" t="str">
        <f aca="false">IF(OR(B2552="",C2552=""),"",F2552&amp;" | "&amp;C2552)</f>
        <v/>
      </c>
      <c r="H2552" s="27" t="str">
        <f aca="false">IF(G2552="","",IFERROR(INDEX(Levels!$C$5:$C$94,MATCH(G2552,Levels!$G$5:$G$94,0)),"Not this class's skill"))</f>
        <v/>
      </c>
    </row>
    <row r="2553" customFormat="false" ht="15" hidden="false" customHeight="false" outlineLevel="0" collapsed="false">
      <c r="A2553" s="23"/>
      <c r="B2553" s="22"/>
      <c r="C2553" s="22"/>
      <c r="D2553" s="22"/>
      <c r="E2553" s="22"/>
      <c r="F2553" s="27" t="str">
        <f aca="false">IF(B2553="","",IFERROR(INDEX(Roster!$B$5:$B$154,MATCH(B2553,Roster!$A$5:$A$154,0)),"Not on roster"))</f>
        <v/>
      </c>
      <c r="G2553" s="28" t="str">
        <f aca="false">IF(OR(B2553="",C2553=""),"",F2553&amp;" | "&amp;C2553)</f>
        <v/>
      </c>
      <c r="H2553" s="27" t="str">
        <f aca="false">IF(G2553="","",IFERROR(INDEX(Levels!$C$5:$C$94,MATCH(G2553,Levels!$G$5:$G$94,0)),"Not this class's skill"))</f>
        <v/>
      </c>
    </row>
    <row r="2554" customFormat="false" ht="15" hidden="false" customHeight="false" outlineLevel="0" collapsed="false">
      <c r="A2554" s="23"/>
      <c r="B2554" s="22"/>
      <c r="C2554" s="22"/>
      <c r="D2554" s="22"/>
      <c r="E2554" s="22"/>
      <c r="F2554" s="27" t="str">
        <f aca="false">IF(B2554="","",IFERROR(INDEX(Roster!$B$5:$B$154,MATCH(B2554,Roster!$A$5:$A$154,0)),"Not on roster"))</f>
        <v/>
      </c>
      <c r="G2554" s="28" t="str">
        <f aca="false">IF(OR(B2554="",C2554=""),"",F2554&amp;" | "&amp;C2554)</f>
        <v/>
      </c>
      <c r="H2554" s="27" t="str">
        <f aca="false">IF(G2554="","",IFERROR(INDEX(Levels!$C$5:$C$94,MATCH(G2554,Levels!$G$5:$G$94,0)),"Not this class's skill"))</f>
        <v/>
      </c>
    </row>
    <row r="2555" customFormat="false" ht="15" hidden="false" customHeight="false" outlineLevel="0" collapsed="false">
      <c r="A2555" s="23"/>
      <c r="B2555" s="22"/>
      <c r="C2555" s="22"/>
      <c r="D2555" s="22"/>
      <c r="E2555" s="22"/>
      <c r="F2555" s="27" t="str">
        <f aca="false">IF(B2555="","",IFERROR(INDEX(Roster!$B$5:$B$154,MATCH(B2555,Roster!$A$5:$A$154,0)),"Not on roster"))</f>
        <v/>
      </c>
      <c r="G2555" s="28" t="str">
        <f aca="false">IF(OR(B2555="",C2555=""),"",F2555&amp;" | "&amp;C2555)</f>
        <v/>
      </c>
      <c r="H2555" s="27" t="str">
        <f aca="false">IF(G2555="","",IFERROR(INDEX(Levels!$C$5:$C$94,MATCH(G2555,Levels!$G$5:$G$94,0)),"Not this class's skill"))</f>
        <v/>
      </c>
    </row>
    <row r="2556" customFormat="false" ht="15" hidden="false" customHeight="false" outlineLevel="0" collapsed="false">
      <c r="A2556" s="23"/>
      <c r="B2556" s="22"/>
      <c r="C2556" s="22"/>
      <c r="D2556" s="22"/>
      <c r="E2556" s="22"/>
      <c r="F2556" s="27" t="str">
        <f aca="false">IF(B2556="","",IFERROR(INDEX(Roster!$B$5:$B$154,MATCH(B2556,Roster!$A$5:$A$154,0)),"Not on roster"))</f>
        <v/>
      </c>
      <c r="G2556" s="28" t="str">
        <f aca="false">IF(OR(B2556="",C2556=""),"",F2556&amp;" | "&amp;C2556)</f>
        <v/>
      </c>
      <c r="H2556" s="27" t="str">
        <f aca="false">IF(G2556="","",IFERROR(INDEX(Levels!$C$5:$C$94,MATCH(G2556,Levels!$G$5:$G$94,0)),"Not this class's skill"))</f>
        <v/>
      </c>
    </row>
    <row r="2557" customFormat="false" ht="15" hidden="false" customHeight="false" outlineLevel="0" collapsed="false">
      <c r="A2557" s="23"/>
      <c r="B2557" s="22"/>
      <c r="C2557" s="22"/>
      <c r="D2557" s="22"/>
      <c r="E2557" s="22"/>
      <c r="F2557" s="27" t="str">
        <f aca="false">IF(B2557="","",IFERROR(INDEX(Roster!$B$5:$B$154,MATCH(B2557,Roster!$A$5:$A$154,0)),"Not on roster"))</f>
        <v/>
      </c>
      <c r="G2557" s="28" t="str">
        <f aca="false">IF(OR(B2557="",C2557=""),"",F2557&amp;" | "&amp;C2557)</f>
        <v/>
      </c>
      <c r="H2557" s="27" t="str">
        <f aca="false">IF(G2557="","",IFERROR(INDEX(Levels!$C$5:$C$94,MATCH(G2557,Levels!$G$5:$G$94,0)),"Not this class's skill"))</f>
        <v/>
      </c>
    </row>
    <row r="2558" customFormat="false" ht="15" hidden="false" customHeight="false" outlineLevel="0" collapsed="false">
      <c r="A2558" s="23"/>
      <c r="B2558" s="22"/>
      <c r="C2558" s="22"/>
      <c r="D2558" s="22"/>
      <c r="E2558" s="22"/>
      <c r="F2558" s="27" t="str">
        <f aca="false">IF(B2558="","",IFERROR(INDEX(Roster!$B$5:$B$154,MATCH(B2558,Roster!$A$5:$A$154,0)),"Not on roster"))</f>
        <v/>
      </c>
      <c r="G2558" s="28" t="str">
        <f aca="false">IF(OR(B2558="",C2558=""),"",F2558&amp;" | "&amp;C2558)</f>
        <v/>
      </c>
      <c r="H2558" s="27" t="str">
        <f aca="false">IF(G2558="","",IFERROR(INDEX(Levels!$C$5:$C$94,MATCH(G2558,Levels!$G$5:$G$94,0)),"Not this class's skill"))</f>
        <v/>
      </c>
    </row>
    <row r="2559" customFormat="false" ht="15" hidden="false" customHeight="false" outlineLevel="0" collapsed="false">
      <c r="A2559" s="23"/>
      <c r="B2559" s="22"/>
      <c r="C2559" s="22"/>
      <c r="D2559" s="22"/>
      <c r="E2559" s="22"/>
      <c r="F2559" s="27" t="str">
        <f aca="false">IF(B2559="","",IFERROR(INDEX(Roster!$B$5:$B$154,MATCH(B2559,Roster!$A$5:$A$154,0)),"Not on roster"))</f>
        <v/>
      </c>
      <c r="G2559" s="28" t="str">
        <f aca="false">IF(OR(B2559="",C2559=""),"",F2559&amp;" | "&amp;C2559)</f>
        <v/>
      </c>
      <c r="H2559" s="27" t="str">
        <f aca="false">IF(G2559="","",IFERROR(INDEX(Levels!$C$5:$C$94,MATCH(G2559,Levels!$G$5:$G$94,0)),"Not this class's skill"))</f>
        <v/>
      </c>
    </row>
    <row r="2560" customFormat="false" ht="15" hidden="false" customHeight="false" outlineLevel="0" collapsed="false">
      <c r="A2560" s="23"/>
      <c r="B2560" s="22"/>
      <c r="C2560" s="22"/>
      <c r="D2560" s="22"/>
      <c r="E2560" s="22"/>
      <c r="F2560" s="27" t="str">
        <f aca="false">IF(B2560="","",IFERROR(INDEX(Roster!$B$5:$B$154,MATCH(B2560,Roster!$A$5:$A$154,0)),"Not on roster"))</f>
        <v/>
      </c>
      <c r="G2560" s="28" t="str">
        <f aca="false">IF(OR(B2560="",C2560=""),"",F2560&amp;" | "&amp;C2560)</f>
        <v/>
      </c>
      <c r="H2560" s="27" t="str">
        <f aca="false">IF(G2560="","",IFERROR(INDEX(Levels!$C$5:$C$94,MATCH(G2560,Levels!$G$5:$G$94,0)),"Not this class's skill"))</f>
        <v/>
      </c>
    </row>
    <row r="2561" customFormat="false" ht="15" hidden="false" customHeight="false" outlineLevel="0" collapsed="false">
      <c r="A2561" s="23"/>
      <c r="B2561" s="22"/>
      <c r="C2561" s="22"/>
      <c r="D2561" s="22"/>
      <c r="E2561" s="22"/>
      <c r="F2561" s="27" t="str">
        <f aca="false">IF(B2561="","",IFERROR(INDEX(Roster!$B$5:$B$154,MATCH(B2561,Roster!$A$5:$A$154,0)),"Not on roster"))</f>
        <v/>
      </c>
      <c r="G2561" s="28" t="str">
        <f aca="false">IF(OR(B2561="",C2561=""),"",F2561&amp;" | "&amp;C2561)</f>
        <v/>
      </c>
      <c r="H2561" s="27" t="str">
        <f aca="false">IF(G2561="","",IFERROR(INDEX(Levels!$C$5:$C$94,MATCH(G2561,Levels!$G$5:$G$94,0)),"Not this class's skill"))</f>
        <v/>
      </c>
    </row>
    <row r="2562" customFormat="false" ht="15" hidden="false" customHeight="false" outlineLevel="0" collapsed="false">
      <c r="A2562" s="23"/>
      <c r="B2562" s="22"/>
      <c r="C2562" s="22"/>
      <c r="D2562" s="22"/>
      <c r="E2562" s="22"/>
      <c r="F2562" s="27" t="str">
        <f aca="false">IF(B2562="","",IFERROR(INDEX(Roster!$B$5:$B$154,MATCH(B2562,Roster!$A$5:$A$154,0)),"Not on roster"))</f>
        <v/>
      </c>
      <c r="G2562" s="28" t="str">
        <f aca="false">IF(OR(B2562="",C2562=""),"",F2562&amp;" | "&amp;C2562)</f>
        <v/>
      </c>
      <c r="H2562" s="27" t="str">
        <f aca="false">IF(G2562="","",IFERROR(INDEX(Levels!$C$5:$C$94,MATCH(G2562,Levels!$G$5:$G$94,0)),"Not this class's skill"))</f>
        <v/>
      </c>
    </row>
    <row r="2563" customFormat="false" ht="15" hidden="false" customHeight="false" outlineLevel="0" collapsed="false">
      <c r="A2563" s="23"/>
      <c r="B2563" s="22"/>
      <c r="C2563" s="22"/>
      <c r="D2563" s="22"/>
      <c r="E2563" s="22"/>
      <c r="F2563" s="27" t="str">
        <f aca="false">IF(B2563="","",IFERROR(INDEX(Roster!$B$5:$B$154,MATCH(B2563,Roster!$A$5:$A$154,0)),"Not on roster"))</f>
        <v/>
      </c>
      <c r="G2563" s="28" t="str">
        <f aca="false">IF(OR(B2563="",C2563=""),"",F2563&amp;" | "&amp;C2563)</f>
        <v/>
      </c>
      <c r="H2563" s="27" t="str">
        <f aca="false">IF(G2563="","",IFERROR(INDEX(Levels!$C$5:$C$94,MATCH(G2563,Levels!$G$5:$G$94,0)),"Not this class's skill"))</f>
        <v/>
      </c>
    </row>
    <row r="2564" customFormat="false" ht="15" hidden="false" customHeight="false" outlineLevel="0" collapsed="false">
      <c r="A2564" s="23"/>
      <c r="B2564" s="22"/>
      <c r="C2564" s="22"/>
      <c r="D2564" s="22"/>
      <c r="E2564" s="22"/>
      <c r="F2564" s="27" t="str">
        <f aca="false">IF(B2564="","",IFERROR(INDEX(Roster!$B$5:$B$154,MATCH(B2564,Roster!$A$5:$A$154,0)),"Not on roster"))</f>
        <v/>
      </c>
      <c r="G2564" s="28" t="str">
        <f aca="false">IF(OR(B2564="",C2564=""),"",F2564&amp;" | "&amp;C2564)</f>
        <v/>
      </c>
      <c r="H2564" s="27" t="str">
        <f aca="false">IF(G2564="","",IFERROR(INDEX(Levels!$C$5:$C$94,MATCH(G2564,Levels!$G$5:$G$94,0)),"Not this class's skill"))</f>
        <v/>
      </c>
    </row>
    <row r="2565" customFormat="false" ht="15" hidden="false" customHeight="false" outlineLevel="0" collapsed="false">
      <c r="A2565" s="23"/>
      <c r="B2565" s="22"/>
      <c r="C2565" s="22"/>
      <c r="D2565" s="22"/>
      <c r="E2565" s="22"/>
      <c r="F2565" s="27" t="str">
        <f aca="false">IF(B2565="","",IFERROR(INDEX(Roster!$B$5:$B$154,MATCH(B2565,Roster!$A$5:$A$154,0)),"Not on roster"))</f>
        <v/>
      </c>
      <c r="G2565" s="28" t="str">
        <f aca="false">IF(OR(B2565="",C2565=""),"",F2565&amp;" | "&amp;C2565)</f>
        <v/>
      </c>
      <c r="H2565" s="27" t="str">
        <f aca="false">IF(G2565="","",IFERROR(INDEX(Levels!$C$5:$C$94,MATCH(G2565,Levels!$G$5:$G$94,0)),"Not this class's skill"))</f>
        <v/>
      </c>
    </row>
    <row r="2566" customFormat="false" ht="15" hidden="false" customHeight="false" outlineLevel="0" collapsed="false">
      <c r="A2566" s="23"/>
      <c r="B2566" s="22"/>
      <c r="C2566" s="22"/>
      <c r="D2566" s="22"/>
      <c r="E2566" s="22"/>
      <c r="F2566" s="27" t="str">
        <f aca="false">IF(B2566="","",IFERROR(INDEX(Roster!$B$5:$B$154,MATCH(B2566,Roster!$A$5:$A$154,0)),"Not on roster"))</f>
        <v/>
      </c>
      <c r="G2566" s="28" t="str">
        <f aca="false">IF(OR(B2566="",C2566=""),"",F2566&amp;" | "&amp;C2566)</f>
        <v/>
      </c>
      <c r="H2566" s="27" t="str">
        <f aca="false">IF(G2566="","",IFERROR(INDEX(Levels!$C$5:$C$94,MATCH(G2566,Levels!$G$5:$G$94,0)),"Not this class's skill"))</f>
        <v/>
      </c>
    </row>
    <row r="2567" customFormat="false" ht="15" hidden="false" customHeight="false" outlineLevel="0" collapsed="false">
      <c r="A2567" s="23"/>
      <c r="B2567" s="22"/>
      <c r="C2567" s="22"/>
      <c r="D2567" s="22"/>
      <c r="E2567" s="22"/>
      <c r="F2567" s="27" t="str">
        <f aca="false">IF(B2567="","",IFERROR(INDEX(Roster!$B$5:$B$154,MATCH(B2567,Roster!$A$5:$A$154,0)),"Not on roster"))</f>
        <v/>
      </c>
      <c r="G2567" s="28" t="str">
        <f aca="false">IF(OR(B2567="",C2567=""),"",F2567&amp;" | "&amp;C2567)</f>
        <v/>
      </c>
      <c r="H2567" s="27" t="str">
        <f aca="false">IF(G2567="","",IFERROR(INDEX(Levels!$C$5:$C$94,MATCH(G2567,Levels!$G$5:$G$94,0)),"Not this class's skill"))</f>
        <v/>
      </c>
    </row>
    <row r="2568" customFormat="false" ht="15" hidden="false" customHeight="false" outlineLevel="0" collapsed="false">
      <c r="A2568" s="23"/>
      <c r="B2568" s="22"/>
      <c r="C2568" s="22"/>
      <c r="D2568" s="22"/>
      <c r="E2568" s="22"/>
      <c r="F2568" s="27" t="str">
        <f aca="false">IF(B2568="","",IFERROR(INDEX(Roster!$B$5:$B$154,MATCH(B2568,Roster!$A$5:$A$154,0)),"Not on roster"))</f>
        <v/>
      </c>
      <c r="G2568" s="28" t="str">
        <f aca="false">IF(OR(B2568="",C2568=""),"",F2568&amp;" | "&amp;C2568)</f>
        <v/>
      </c>
      <c r="H2568" s="27" t="str">
        <f aca="false">IF(G2568="","",IFERROR(INDEX(Levels!$C$5:$C$94,MATCH(G2568,Levels!$G$5:$G$94,0)),"Not this class's skill"))</f>
        <v/>
      </c>
    </row>
    <row r="2569" customFormat="false" ht="15" hidden="false" customHeight="false" outlineLevel="0" collapsed="false">
      <c r="A2569" s="23"/>
      <c r="B2569" s="22"/>
      <c r="C2569" s="22"/>
      <c r="D2569" s="22"/>
      <c r="E2569" s="22"/>
      <c r="F2569" s="27" t="str">
        <f aca="false">IF(B2569="","",IFERROR(INDEX(Roster!$B$5:$B$154,MATCH(B2569,Roster!$A$5:$A$154,0)),"Not on roster"))</f>
        <v/>
      </c>
      <c r="G2569" s="28" t="str">
        <f aca="false">IF(OR(B2569="",C2569=""),"",F2569&amp;" | "&amp;C2569)</f>
        <v/>
      </c>
      <c r="H2569" s="27" t="str">
        <f aca="false">IF(G2569="","",IFERROR(INDEX(Levels!$C$5:$C$94,MATCH(G2569,Levels!$G$5:$G$94,0)),"Not this class's skill"))</f>
        <v/>
      </c>
    </row>
    <row r="2570" customFormat="false" ht="15" hidden="false" customHeight="false" outlineLevel="0" collapsed="false">
      <c r="A2570" s="23"/>
      <c r="B2570" s="22"/>
      <c r="C2570" s="22"/>
      <c r="D2570" s="22"/>
      <c r="E2570" s="22"/>
      <c r="F2570" s="27" t="str">
        <f aca="false">IF(B2570="","",IFERROR(INDEX(Roster!$B$5:$B$154,MATCH(B2570,Roster!$A$5:$A$154,0)),"Not on roster"))</f>
        <v/>
      </c>
      <c r="G2570" s="28" t="str">
        <f aca="false">IF(OR(B2570="",C2570=""),"",F2570&amp;" | "&amp;C2570)</f>
        <v/>
      </c>
      <c r="H2570" s="27" t="str">
        <f aca="false">IF(G2570="","",IFERROR(INDEX(Levels!$C$5:$C$94,MATCH(G2570,Levels!$G$5:$G$94,0)),"Not this class's skill"))</f>
        <v/>
      </c>
    </row>
    <row r="2571" customFormat="false" ht="15" hidden="false" customHeight="false" outlineLevel="0" collapsed="false">
      <c r="A2571" s="23"/>
      <c r="B2571" s="22"/>
      <c r="C2571" s="22"/>
      <c r="D2571" s="22"/>
      <c r="E2571" s="22"/>
      <c r="F2571" s="27" t="str">
        <f aca="false">IF(B2571="","",IFERROR(INDEX(Roster!$B$5:$B$154,MATCH(B2571,Roster!$A$5:$A$154,0)),"Not on roster"))</f>
        <v/>
      </c>
      <c r="G2571" s="28" t="str">
        <f aca="false">IF(OR(B2571="",C2571=""),"",F2571&amp;" | "&amp;C2571)</f>
        <v/>
      </c>
      <c r="H2571" s="27" t="str">
        <f aca="false">IF(G2571="","",IFERROR(INDEX(Levels!$C$5:$C$94,MATCH(G2571,Levels!$G$5:$G$94,0)),"Not this class's skill"))</f>
        <v/>
      </c>
    </row>
    <row r="2572" customFormat="false" ht="15" hidden="false" customHeight="false" outlineLevel="0" collapsed="false">
      <c r="A2572" s="23"/>
      <c r="B2572" s="22"/>
      <c r="C2572" s="22"/>
      <c r="D2572" s="22"/>
      <c r="E2572" s="22"/>
      <c r="F2572" s="27" t="str">
        <f aca="false">IF(B2572="","",IFERROR(INDEX(Roster!$B$5:$B$154,MATCH(B2572,Roster!$A$5:$A$154,0)),"Not on roster"))</f>
        <v/>
      </c>
      <c r="G2572" s="28" t="str">
        <f aca="false">IF(OR(B2572="",C2572=""),"",F2572&amp;" | "&amp;C2572)</f>
        <v/>
      </c>
      <c r="H2572" s="27" t="str">
        <f aca="false">IF(G2572="","",IFERROR(INDEX(Levels!$C$5:$C$94,MATCH(G2572,Levels!$G$5:$G$94,0)),"Not this class's skill"))</f>
        <v/>
      </c>
    </row>
    <row r="2573" customFormat="false" ht="15" hidden="false" customHeight="false" outlineLevel="0" collapsed="false">
      <c r="A2573" s="23"/>
      <c r="B2573" s="22"/>
      <c r="C2573" s="22"/>
      <c r="D2573" s="22"/>
      <c r="E2573" s="22"/>
      <c r="F2573" s="27" t="str">
        <f aca="false">IF(B2573="","",IFERROR(INDEX(Roster!$B$5:$B$154,MATCH(B2573,Roster!$A$5:$A$154,0)),"Not on roster"))</f>
        <v/>
      </c>
      <c r="G2573" s="28" t="str">
        <f aca="false">IF(OR(B2573="",C2573=""),"",F2573&amp;" | "&amp;C2573)</f>
        <v/>
      </c>
      <c r="H2573" s="27" t="str">
        <f aca="false">IF(G2573="","",IFERROR(INDEX(Levels!$C$5:$C$94,MATCH(G2573,Levels!$G$5:$G$94,0)),"Not this class's skill"))</f>
        <v/>
      </c>
    </row>
    <row r="2574" customFormat="false" ht="15" hidden="false" customHeight="false" outlineLevel="0" collapsed="false">
      <c r="A2574" s="23"/>
      <c r="B2574" s="22"/>
      <c r="C2574" s="22"/>
      <c r="D2574" s="22"/>
      <c r="E2574" s="22"/>
      <c r="F2574" s="27" t="str">
        <f aca="false">IF(B2574="","",IFERROR(INDEX(Roster!$B$5:$B$154,MATCH(B2574,Roster!$A$5:$A$154,0)),"Not on roster"))</f>
        <v/>
      </c>
      <c r="G2574" s="28" t="str">
        <f aca="false">IF(OR(B2574="",C2574=""),"",F2574&amp;" | "&amp;C2574)</f>
        <v/>
      </c>
      <c r="H2574" s="27" t="str">
        <f aca="false">IF(G2574="","",IFERROR(INDEX(Levels!$C$5:$C$94,MATCH(G2574,Levels!$G$5:$G$94,0)),"Not this class's skill"))</f>
        <v/>
      </c>
    </row>
    <row r="2575" customFormat="false" ht="15" hidden="false" customHeight="false" outlineLevel="0" collapsed="false">
      <c r="A2575" s="23"/>
      <c r="B2575" s="22"/>
      <c r="C2575" s="22"/>
      <c r="D2575" s="22"/>
      <c r="E2575" s="22"/>
      <c r="F2575" s="27" t="str">
        <f aca="false">IF(B2575="","",IFERROR(INDEX(Roster!$B$5:$B$154,MATCH(B2575,Roster!$A$5:$A$154,0)),"Not on roster"))</f>
        <v/>
      </c>
      <c r="G2575" s="28" t="str">
        <f aca="false">IF(OR(B2575="",C2575=""),"",F2575&amp;" | "&amp;C2575)</f>
        <v/>
      </c>
      <c r="H2575" s="27" t="str">
        <f aca="false">IF(G2575="","",IFERROR(INDEX(Levels!$C$5:$C$94,MATCH(G2575,Levels!$G$5:$G$94,0)),"Not this class's skill"))</f>
        <v/>
      </c>
    </row>
    <row r="2576" customFormat="false" ht="15" hidden="false" customHeight="false" outlineLevel="0" collapsed="false">
      <c r="A2576" s="23"/>
      <c r="B2576" s="22"/>
      <c r="C2576" s="22"/>
      <c r="D2576" s="22"/>
      <c r="E2576" s="22"/>
      <c r="F2576" s="27" t="str">
        <f aca="false">IF(B2576="","",IFERROR(INDEX(Roster!$B$5:$B$154,MATCH(B2576,Roster!$A$5:$A$154,0)),"Not on roster"))</f>
        <v/>
      </c>
      <c r="G2576" s="28" t="str">
        <f aca="false">IF(OR(B2576="",C2576=""),"",F2576&amp;" | "&amp;C2576)</f>
        <v/>
      </c>
      <c r="H2576" s="27" t="str">
        <f aca="false">IF(G2576="","",IFERROR(INDEX(Levels!$C$5:$C$94,MATCH(G2576,Levels!$G$5:$G$94,0)),"Not this class's skill"))</f>
        <v/>
      </c>
    </row>
    <row r="2577" customFormat="false" ht="15" hidden="false" customHeight="false" outlineLevel="0" collapsed="false">
      <c r="A2577" s="23"/>
      <c r="B2577" s="22"/>
      <c r="C2577" s="22"/>
      <c r="D2577" s="22"/>
      <c r="E2577" s="22"/>
      <c r="F2577" s="27" t="str">
        <f aca="false">IF(B2577="","",IFERROR(INDEX(Roster!$B$5:$B$154,MATCH(B2577,Roster!$A$5:$A$154,0)),"Not on roster"))</f>
        <v/>
      </c>
      <c r="G2577" s="28" t="str">
        <f aca="false">IF(OR(B2577="",C2577=""),"",F2577&amp;" | "&amp;C2577)</f>
        <v/>
      </c>
      <c r="H2577" s="27" t="str">
        <f aca="false">IF(G2577="","",IFERROR(INDEX(Levels!$C$5:$C$94,MATCH(G2577,Levels!$G$5:$G$94,0)),"Not this class's skill"))</f>
        <v/>
      </c>
    </row>
    <row r="2578" customFormat="false" ht="15" hidden="false" customHeight="false" outlineLevel="0" collapsed="false">
      <c r="A2578" s="23"/>
      <c r="B2578" s="22"/>
      <c r="C2578" s="22"/>
      <c r="D2578" s="22"/>
      <c r="E2578" s="22"/>
      <c r="F2578" s="27" t="str">
        <f aca="false">IF(B2578="","",IFERROR(INDEX(Roster!$B$5:$B$154,MATCH(B2578,Roster!$A$5:$A$154,0)),"Not on roster"))</f>
        <v/>
      </c>
      <c r="G2578" s="28" t="str">
        <f aca="false">IF(OR(B2578="",C2578=""),"",F2578&amp;" | "&amp;C2578)</f>
        <v/>
      </c>
      <c r="H2578" s="27" t="str">
        <f aca="false">IF(G2578="","",IFERROR(INDEX(Levels!$C$5:$C$94,MATCH(G2578,Levels!$G$5:$G$94,0)),"Not this class's skill"))</f>
        <v/>
      </c>
    </row>
    <row r="2579" customFormat="false" ht="15" hidden="false" customHeight="false" outlineLevel="0" collapsed="false">
      <c r="A2579" s="23"/>
      <c r="B2579" s="22"/>
      <c r="C2579" s="22"/>
      <c r="D2579" s="22"/>
      <c r="E2579" s="22"/>
      <c r="F2579" s="27" t="str">
        <f aca="false">IF(B2579="","",IFERROR(INDEX(Roster!$B$5:$B$154,MATCH(B2579,Roster!$A$5:$A$154,0)),"Not on roster"))</f>
        <v/>
      </c>
      <c r="G2579" s="28" t="str">
        <f aca="false">IF(OR(B2579="",C2579=""),"",F2579&amp;" | "&amp;C2579)</f>
        <v/>
      </c>
      <c r="H2579" s="27" t="str">
        <f aca="false">IF(G2579="","",IFERROR(INDEX(Levels!$C$5:$C$94,MATCH(G2579,Levels!$G$5:$G$94,0)),"Not this class's skill"))</f>
        <v/>
      </c>
    </row>
    <row r="2580" customFormat="false" ht="15" hidden="false" customHeight="false" outlineLevel="0" collapsed="false">
      <c r="A2580" s="23"/>
      <c r="B2580" s="22"/>
      <c r="C2580" s="22"/>
      <c r="D2580" s="22"/>
      <c r="E2580" s="22"/>
      <c r="F2580" s="27" t="str">
        <f aca="false">IF(B2580="","",IFERROR(INDEX(Roster!$B$5:$B$154,MATCH(B2580,Roster!$A$5:$A$154,0)),"Not on roster"))</f>
        <v/>
      </c>
      <c r="G2580" s="28" t="str">
        <f aca="false">IF(OR(B2580="",C2580=""),"",F2580&amp;" | "&amp;C2580)</f>
        <v/>
      </c>
      <c r="H2580" s="27" t="str">
        <f aca="false">IF(G2580="","",IFERROR(INDEX(Levels!$C$5:$C$94,MATCH(G2580,Levels!$G$5:$G$94,0)),"Not this class's skill"))</f>
        <v/>
      </c>
    </row>
    <row r="2581" customFormat="false" ht="15" hidden="false" customHeight="false" outlineLevel="0" collapsed="false">
      <c r="A2581" s="23"/>
      <c r="B2581" s="22"/>
      <c r="C2581" s="22"/>
      <c r="D2581" s="22"/>
      <c r="E2581" s="22"/>
      <c r="F2581" s="27" t="str">
        <f aca="false">IF(B2581="","",IFERROR(INDEX(Roster!$B$5:$B$154,MATCH(B2581,Roster!$A$5:$A$154,0)),"Not on roster"))</f>
        <v/>
      </c>
      <c r="G2581" s="28" t="str">
        <f aca="false">IF(OR(B2581="",C2581=""),"",F2581&amp;" | "&amp;C2581)</f>
        <v/>
      </c>
      <c r="H2581" s="27" t="str">
        <f aca="false">IF(G2581="","",IFERROR(INDEX(Levels!$C$5:$C$94,MATCH(G2581,Levels!$G$5:$G$94,0)),"Not this class's skill"))</f>
        <v/>
      </c>
    </row>
    <row r="2582" customFormat="false" ht="15" hidden="false" customHeight="false" outlineLevel="0" collapsed="false">
      <c r="A2582" s="23"/>
      <c r="B2582" s="22"/>
      <c r="C2582" s="22"/>
      <c r="D2582" s="22"/>
      <c r="E2582" s="22"/>
      <c r="F2582" s="27" t="str">
        <f aca="false">IF(B2582="","",IFERROR(INDEX(Roster!$B$5:$B$154,MATCH(B2582,Roster!$A$5:$A$154,0)),"Not on roster"))</f>
        <v/>
      </c>
      <c r="G2582" s="28" t="str">
        <f aca="false">IF(OR(B2582="",C2582=""),"",F2582&amp;" | "&amp;C2582)</f>
        <v/>
      </c>
      <c r="H2582" s="27" t="str">
        <f aca="false">IF(G2582="","",IFERROR(INDEX(Levels!$C$5:$C$94,MATCH(G2582,Levels!$G$5:$G$94,0)),"Not this class's skill"))</f>
        <v/>
      </c>
    </row>
    <row r="2583" customFormat="false" ht="15" hidden="false" customHeight="false" outlineLevel="0" collapsed="false">
      <c r="A2583" s="23"/>
      <c r="B2583" s="22"/>
      <c r="C2583" s="22"/>
      <c r="D2583" s="22"/>
      <c r="E2583" s="22"/>
      <c r="F2583" s="27" t="str">
        <f aca="false">IF(B2583="","",IFERROR(INDEX(Roster!$B$5:$B$154,MATCH(B2583,Roster!$A$5:$A$154,0)),"Not on roster"))</f>
        <v/>
      </c>
      <c r="G2583" s="28" t="str">
        <f aca="false">IF(OR(B2583="",C2583=""),"",F2583&amp;" | "&amp;C2583)</f>
        <v/>
      </c>
      <c r="H2583" s="27" t="str">
        <f aca="false">IF(G2583="","",IFERROR(INDEX(Levels!$C$5:$C$94,MATCH(G2583,Levels!$G$5:$G$94,0)),"Not this class's skill"))</f>
        <v/>
      </c>
    </row>
    <row r="2584" customFormat="false" ht="15" hidden="false" customHeight="false" outlineLevel="0" collapsed="false">
      <c r="A2584" s="23"/>
      <c r="B2584" s="22"/>
      <c r="C2584" s="22"/>
      <c r="D2584" s="22"/>
      <c r="E2584" s="22"/>
      <c r="F2584" s="27" t="str">
        <f aca="false">IF(B2584="","",IFERROR(INDEX(Roster!$B$5:$B$154,MATCH(B2584,Roster!$A$5:$A$154,0)),"Not on roster"))</f>
        <v/>
      </c>
      <c r="G2584" s="28" t="str">
        <f aca="false">IF(OR(B2584="",C2584=""),"",F2584&amp;" | "&amp;C2584)</f>
        <v/>
      </c>
      <c r="H2584" s="27" t="str">
        <f aca="false">IF(G2584="","",IFERROR(INDEX(Levels!$C$5:$C$94,MATCH(G2584,Levels!$G$5:$G$94,0)),"Not this class's skill"))</f>
        <v/>
      </c>
    </row>
    <row r="2585" customFormat="false" ht="15" hidden="false" customHeight="false" outlineLevel="0" collapsed="false">
      <c r="A2585" s="23"/>
      <c r="B2585" s="22"/>
      <c r="C2585" s="22"/>
      <c r="D2585" s="22"/>
      <c r="E2585" s="22"/>
      <c r="F2585" s="27" t="str">
        <f aca="false">IF(B2585="","",IFERROR(INDEX(Roster!$B$5:$B$154,MATCH(B2585,Roster!$A$5:$A$154,0)),"Not on roster"))</f>
        <v/>
      </c>
      <c r="G2585" s="28" t="str">
        <f aca="false">IF(OR(B2585="",C2585=""),"",F2585&amp;" | "&amp;C2585)</f>
        <v/>
      </c>
      <c r="H2585" s="27" t="str">
        <f aca="false">IF(G2585="","",IFERROR(INDEX(Levels!$C$5:$C$94,MATCH(G2585,Levels!$G$5:$G$94,0)),"Not this class's skill"))</f>
        <v/>
      </c>
    </row>
    <row r="2586" customFormat="false" ht="15" hidden="false" customHeight="false" outlineLevel="0" collapsed="false">
      <c r="A2586" s="23"/>
      <c r="B2586" s="22"/>
      <c r="C2586" s="22"/>
      <c r="D2586" s="22"/>
      <c r="E2586" s="22"/>
      <c r="F2586" s="27" t="str">
        <f aca="false">IF(B2586="","",IFERROR(INDEX(Roster!$B$5:$B$154,MATCH(B2586,Roster!$A$5:$A$154,0)),"Not on roster"))</f>
        <v/>
      </c>
      <c r="G2586" s="28" t="str">
        <f aca="false">IF(OR(B2586="",C2586=""),"",F2586&amp;" | "&amp;C2586)</f>
        <v/>
      </c>
      <c r="H2586" s="27" t="str">
        <f aca="false">IF(G2586="","",IFERROR(INDEX(Levels!$C$5:$C$94,MATCH(G2586,Levels!$G$5:$G$94,0)),"Not this class's skill"))</f>
        <v/>
      </c>
    </row>
    <row r="2587" customFormat="false" ht="15" hidden="false" customHeight="false" outlineLevel="0" collapsed="false">
      <c r="A2587" s="23"/>
      <c r="B2587" s="22"/>
      <c r="C2587" s="22"/>
      <c r="D2587" s="22"/>
      <c r="E2587" s="22"/>
      <c r="F2587" s="27" t="str">
        <f aca="false">IF(B2587="","",IFERROR(INDEX(Roster!$B$5:$B$154,MATCH(B2587,Roster!$A$5:$A$154,0)),"Not on roster"))</f>
        <v/>
      </c>
      <c r="G2587" s="28" t="str">
        <f aca="false">IF(OR(B2587="",C2587=""),"",F2587&amp;" | "&amp;C2587)</f>
        <v/>
      </c>
      <c r="H2587" s="27" t="str">
        <f aca="false">IF(G2587="","",IFERROR(INDEX(Levels!$C$5:$C$94,MATCH(G2587,Levels!$G$5:$G$94,0)),"Not this class's skill"))</f>
        <v/>
      </c>
    </row>
    <row r="2588" customFormat="false" ht="15" hidden="false" customHeight="false" outlineLevel="0" collapsed="false">
      <c r="A2588" s="23"/>
      <c r="B2588" s="22"/>
      <c r="C2588" s="22"/>
      <c r="D2588" s="22"/>
      <c r="E2588" s="22"/>
      <c r="F2588" s="27" t="str">
        <f aca="false">IF(B2588="","",IFERROR(INDEX(Roster!$B$5:$B$154,MATCH(B2588,Roster!$A$5:$A$154,0)),"Not on roster"))</f>
        <v/>
      </c>
      <c r="G2588" s="28" t="str">
        <f aca="false">IF(OR(B2588="",C2588=""),"",F2588&amp;" | "&amp;C2588)</f>
        <v/>
      </c>
      <c r="H2588" s="27" t="str">
        <f aca="false">IF(G2588="","",IFERROR(INDEX(Levels!$C$5:$C$94,MATCH(G2588,Levels!$G$5:$G$94,0)),"Not this class's skill"))</f>
        <v/>
      </c>
    </row>
    <row r="2589" customFormat="false" ht="15" hidden="false" customHeight="false" outlineLevel="0" collapsed="false">
      <c r="A2589" s="23"/>
      <c r="B2589" s="22"/>
      <c r="C2589" s="22"/>
      <c r="D2589" s="22"/>
      <c r="E2589" s="22"/>
      <c r="F2589" s="27" t="str">
        <f aca="false">IF(B2589="","",IFERROR(INDEX(Roster!$B$5:$B$154,MATCH(B2589,Roster!$A$5:$A$154,0)),"Not on roster"))</f>
        <v/>
      </c>
      <c r="G2589" s="28" t="str">
        <f aca="false">IF(OR(B2589="",C2589=""),"",F2589&amp;" | "&amp;C2589)</f>
        <v/>
      </c>
      <c r="H2589" s="27" t="str">
        <f aca="false">IF(G2589="","",IFERROR(INDEX(Levels!$C$5:$C$94,MATCH(G2589,Levels!$G$5:$G$94,0)),"Not this class's skill"))</f>
        <v/>
      </c>
    </row>
    <row r="2590" customFormat="false" ht="15" hidden="false" customHeight="false" outlineLevel="0" collapsed="false">
      <c r="A2590" s="23"/>
      <c r="B2590" s="22"/>
      <c r="C2590" s="22"/>
      <c r="D2590" s="22"/>
      <c r="E2590" s="22"/>
      <c r="F2590" s="27" t="str">
        <f aca="false">IF(B2590="","",IFERROR(INDEX(Roster!$B$5:$B$154,MATCH(B2590,Roster!$A$5:$A$154,0)),"Not on roster"))</f>
        <v/>
      </c>
      <c r="G2590" s="28" t="str">
        <f aca="false">IF(OR(B2590="",C2590=""),"",F2590&amp;" | "&amp;C2590)</f>
        <v/>
      </c>
      <c r="H2590" s="27" t="str">
        <f aca="false">IF(G2590="","",IFERROR(INDEX(Levels!$C$5:$C$94,MATCH(G2590,Levels!$G$5:$G$94,0)),"Not this class's skill"))</f>
        <v/>
      </c>
    </row>
    <row r="2591" customFormat="false" ht="15" hidden="false" customHeight="false" outlineLevel="0" collapsed="false">
      <c r="A2591" s="23"/>
      <c r="B2591" s="22"/>
      <c r="C2591" s="22"/>
      <c r="D2591" s="22"/>
      <c r="E2591" s="22"/>
      <c r="F2591" s="27" t="str">
        <f aca="false">IF(B2591="","",IFERROR(INDEX(Roster!$B$5:$B$154,MATCH(B2591,Roster!$A$5:$A$154,0)),"Not on roster"))</f>
        <v/>
      </c>
      <c r="G2591" s="28" t="str">
        <f aca="false">IF(OR(B2591="",C2591=""),"",F2591&amp;" | "&amp;C2591)</f>
        <v/>
      </c>
      <c r="H2591" s="27" t="str">
        <f aca="false">IF(G2591="","",IFERROR(INDEX(Levels!$C$5:$C$94,MATCH(G2591,Levels!$G$5:$G$94,0)),"Not this class's skill"))</f>
        <v/>
      </c>
    </row>
    <row r="2592" customFormat="false" ht="15" hidden="false" customHeight="false" outlineLevel="0" collapsed="false">
      <c r="A2592" s="23"/>
      <c r="B2592" s="22"/>
      <c r="C2592" s="22"/>
      <c r="D2592" s="22"/>
      <c r="E2592" s="22"/>
      <c r="F2592" s="27" t="str">
        <f aca="false">IF(B2592="","",IFERROR(INDEX(Roster!$B$5:$B$154,MATCH(B2592,Roster!$A$5:$A$154,0)),"Not on roster"))</f>
        <v/>
      </c>
      <c r="G2592" s="28" t="str">
        <f aca="false">IF(OR(B2592="",C2592=""),"",F2592&amp;" | "&amp;C2592)</f>
        <v/>
      </c>
      <c r="H2592" s="27" t="str">
        <f aca="false">IF(G2592="","",IFERROR(INDEX(Levels!$C$5:$C$94,MATCH(G2592,Levels!$G$5:$G$94,0)),"Not this class's skill"))</f>
        <v/>
      </c>
    </row>
    <row r="2593" customFormat="false" ht="15" hidden="false" customHeight="false" outlineLevel="0" collapsed="false">
      <c r="A2593" s="23"/>
      <c r="B2593" s="22"/>
      <c r="C2593" s="22"/>
      <c r="D2593" s="22"/>
      <c r="E2593" s="22"/>
      <c r="F2593" s="27" t="str">
        <f aca="false">IF(B2593="","",IFERROR(INDEX(Roster!$B$5:$B$154,MATCH(B2593,Roster!$A$5:$A$154,0)),"Not on roster"))</f>
        <v/>
      </c>
      <c r="G2593" s="28" t="str">
        <f aca="false">IF(OR(B2593="",C2593=""),"",F2593&amp;" | "&amp;C2593)</f>
        <v/>
      </c>
      <c r="H2593" s="27" t="str">
        <f aca="false">IF(G2593="","",IFERROR(INDEX(Levels!$C$5:$C$94,MATCH(G2593,Levels!$G$5:$G$94,0)),"Not this class's skill"))</f>
        <v/>
      </c>
    </row>
    <row r="2594" customFormat="false" ht="15" hidden="false" customHeight="false" outlineLevel="0" collapsed="false">
      <c r="A2594" s="23"/>
      <c r="B2594" s="22"/>
      <c r="C2594" s="22"/>
      <c r="D2594" s="22"/>
      <c r="E2594" s="22"/>
      <c r="F2594" s="27" t="str">
        <f aca="false">IF(B2594="","",IFERROR(INDEX(Roster!$B$5:$B$154,MATCH(B2594,Roster!$A$5:$A$154,0)),"Not on roster"))</f>
        <v/>
      </c>
      <c r="G2594" s="28" t="str">
        <f aca="false">IF(OR(B2594="",C2594=""),"",F2594&amp;" | "&amp;C2594)</f>
        <v/>
      </c>
      <c r="H2594" s="27" t="str">
        <f aca="false">IF(G2594="","",IFERROR(INDEX(Levels!$C$5:$C$94,MATCH(G2594,Levels!$G$5:$G$94,0)),"Not this class's skill"))</f>
        <v/>
      </c>
    </row>
    <row r="2595" customFormat="false" ht="15" hidden="false" customHeight="false" outlineLevel="0" collapsed="false">
      <c r="A2595" s="23"/>
      <c r="B2595" s="22"/>
      <c r="C2595" s="22"/>
      <c r="D2595" s="22"/>
      <c r="E2595" s="22"/>
      <c r="F2595" s="27" t="str">
        <f aca="false">IF(B2595="","",IFERROR(INDEX(Roster!$B$5:$B$154,MATCH(B2595,Roster!$A$5:$A$154,0)),"Not on roster"))</f>
        <v/>
      </c>
      <c r="G2595" s="28" t="str">
        <f aca="false">IF(OR(B2595="",C2595=""),"",F2595&amp;" | "&amp;C2595)</f>
        <v/>
      </c>
      <c r="H2595" s="27" t="str">
        <f aca="false">IF(G2595="","",IFERROR(INDEX(Levels!$C$5:$C$94,MATCH(G2595,Levels!$G$5:$G$94,0)),"Not this class's skill"))</f>
        <v/>
      </c>
    </row>
    <row r="2596" customFormat="false" ht="15" hidden="false" customHeight="false" outlineLevel="0" collapsed="false">
      <c r="A2596" s="23"/>
      <c r="B2596" s="22"/>
      <c r="C2596" s="22"/>
      <c r="D2596" s="22"/>
      <c r="E2596" s="22"/>
      <c r="F2596" s="27" t="str">
        <f aca="false">IF(B2596="","",IFERROR(INDEX(Roster!$B$5:$B$154,MATCH(B2596,Roster!$A$5:$A$154,0)),"Not on roster"))</f>
        <v/>
      </c>
      <c r="G2596" s="28" t="str">
        <f aca="false">IF(OR(B2596="",C2596=""),"",F2596&amp;" | "&amp;C2596)</f>
        <v/>
      </c>
      <c r="H2596" s="27" t="str">
        <f aca="false">IF(G2596="","",IFERROR(INDEX(Levels!$C$5:$C$94,MATCH(G2596,Levels!$G$5:$G$94,0)),"Not this class's skill"))</f>
        <v/>
      </c>
    </row>
    <row r="2597" customFormat="false" ht="15" hidden="false" customHeight="false" outlineLevel="0" collapsed="false">
      <c r="A2597" s="23"/>
      <c r="B2597" s="22"/>
      <c r="C2597" s="22"/>
      <c r="D2597" s="22"/>
      <c r="E2597" s="22"/>
      <c r="F2597" s="27" t="str">
        <f aca="false">IF(B2597="","",IFERROR(INDEX(Roster!$B$5:$B$154,MATCH(B2597,Roster!$A$5:$A$154,0)),"Not on roster"))</f>
        <v/>
      </c>
      <c r="G2597" s="28" t="str">
        <f aca="false">IF(OR(B2597="",C2597=""),"",F2597&amp;" | "&amp;C2597)</f>
        <v/>
      </c>
      <c r="H2597" s="27" t="str">
        <f aca="false">IF(G2597="","",IFERROR(INDEX(Levels!$C$5:$C$94,MATCH(G2597,Levels!$G$5:$G$94,0)),"Not this class's skill"))</f>
        <v/>
      </c>
    </row>
    <row r="2598" customFormat="false" ht="15" hidden="false" customHeight="false" outlineLevel="0" collapsed="false">
      <c r="A2598" s="23"/>
      <c r="B2598" s="22"/>
      <c r="C2598" s="22"/>
      <c r="D2598" s="22"/>
      <c r="E2598" s="22"/>
      <c r="F2598" s="27" t="str">
        <f aca="false">IF(B2598="","",IFERROR(INDEX(Roster!$B$5:$B$154,MATCH(B2598,Roster!$A$5:$A$154,0)),"Not on roster"))</f>
        <v/>
      </c>
      <c r="G2598" s="28" t="str">
        <f aca="false">IF(OR(B2598="",C2598=""),"",F2598&amp;" | "&amp;C2598)</f>
        <v/>
      </c>
      <c r="H2598" s="27" t="str">
        <f aca="false">IF(G2598="","",IFERROR(INDEX(Levels!$C$5:$C$94,MATCH(G2598,Levels!$G$5:$G$94,0)),"Not this class's skill"))</f>
        <v/>
      </c>
    </row>
    <row r="2599" customFormat="false" ht="15" hidden="false" customHeight="false" outlineLevel="0" collapsed="false">
      <c r="A2599" s="23"/>
      <c r="B2599" s="22"/>
      <c r="C2599" s="22"/>
      <c r="D2599" s="22"/>
      <c r="E2599" s="22"/>
      <c r="F2599" s="27" t="str">
        <f aca="false">IF(B2599="","",IFERROR(INDEX(Roster!$B$5:$B$154,MATCH(B2599,Roster!$A$5:$A$154,0)),"Not on roster"))</f>
        <v/>
      </c>
      <c r="G2599" s="28" t="str">
        <f aca="false">IF(OR(B2599="",C2599=""),"",F2599&amp;" | "&amp;C2599)</f>
        <v/>
      </c>
      <c r="H2599" s="27" t="str">
        <f aca="false">IF(G2599="","",IFERROR(INDEX(Levels!$C$5:$C$94,MATCH(G2599,Levels!$G$5:$G$94,0)),"Not this class's skill"))</f>
        <v/>
      </c>
    </row>
    <row r="2600" customFormat="false" ht="15" hidden="false" customHeight="false" outlineLevel="0" collapsed="false">
      <c r="A2600" s="23"/>
      <c r="B2600" s="22"/>
      <c r="C2600" s="22"/>
      <c r="D2600" s="22"/>
      <c r="E2600" s="22"/>
      <c r="F2600" s="27" t="str">
        <f aca="false">IF(B2600="","",IFERROR(INDEX(Roster!$B$5:$B$154,MATCH(B2600,Roster!$A$5:$A$154,0)),"Not on roster"))</f>
        <v/>
      </c>
      <c r="G2600" s="28" t="str">
        <f aca="false">IF(OR(B2600="",C2600=""),"",F2600&amp;" | "&amp;C2600)</f>
        <v/>
      </c>
      <c r="H2600" s="27" t="str">
        <f aca="false">IF(G2600="","",IFERROR(INDEX(Levels!$C$5:$C$94,MATCH(G2600,Levels!$G$5:$G$94,0)),"Not this class's skill"))</f>
        <v/>
      </c>
    </row>
    <row r="2601" customFormat="false" ht="15" hidden="false" customHeight="false" outlineLevel="0" collapsed="false">
      <c r="A2601" s="23"/>
      <c r="B2601" s="22"/>
      <c r="C2601" s="22"/>
      <c r="D2601" s="22"/>
      <c r="E2601" s="22"/>
      <c r="F2601" s="27" t="str">
        <f aca="false">IF(B2601="","",IFERROR(INDEX(Roster!$B$5:$B$154,MATCH(B2601,Roster!$A$5:$A$154,0)),"Not on roster"))</f>
        <v/>
      </c>
      <c r="G2601" s="28" t="str">
        <f aca="false">IF(OR(B2601="",C2601=""),"",F2601&amp;" | "&amp;C2601)</f>
        <v/>
      </c>
      <c r="H2601" s="27" t="str">
        <f aca="false">IF(G2601="","",IFERROR(INDEX(Levels!$C$5:$C$94,MATCH(G2601,Levels!$G$5:$G$94,0)),"Not this class's skill"))</f>
        <v/>
      </c>
    </row>
    <row r="2602" customFormat="false" ht="15" hidden="false" customHeight="false" outlineLevel="0" collapsed="false">
      <c r="A2602" s="23"/>
      <c r="B2602" s="22"/>
      <c r="C2602" s="22"/>
      <c r="D2602" s="22"/>
      <c r="E2602" s="22"/>
      <c r="F2602" s="27" t="str">
        <f aca="false">IF(B2602="","",IFERROR(INDEX(Roster!$B$5:$B$154,MATCH(B2602,Roster!$A$5:$A$154,0)),"Not on roster"))</f>
        <v/>
      </c>
      <c r="G2602" s="28" t="str">
        <f aca="false">IF(OR(B2602="",C2602=""),"",F2602&amp;" | "&amp;C2602)</f>
        <v/>
      </c>
      <c r="H2602" s="27" t="str">
        <f aca="false">IF(G2602="","",IFERROR(INDEX(Levels!$C$5:$C$94,MATCH(G2602,Levels!$G$5:$G$94,0)),"Not this class's skill"))</f>
        <v/>
      </c>
    </row>
    <row r="2603" customFormat="false" ht="15" hidden="false" customHeight="false" outlineLevel="0" collapsed="false">
      <c r="A2603" s="23"/>
      <c r="B2603" s="22"/>
      <c r="C2603" s="22"/>
      <c r="D2603" s="22"/>
      <c r="E2603" s="22"/>
      <c r="F2603" s="27" t="str">
        <f aca="false">IF(B2603="","",IFERROR(INDEX(Roster!$B$5:$B$154,MATCH(B2603,Roster!$A$5:$A$154,0)),"Not on roster"))</f>
        <v/>
      </c>
      <c r="G2603" s="28" t="str">
        <f aca="false">IF(OR(B2603="",C2603=""),"",F2603&amp;" | "&amp;C2603)</f>
        <v/>
      </c>
      <c r="H2603" s="27" t="str">
        <f aca="false">IF(G2603="","",IFERROR(INDEX(Levels!$C$5:$C$94,MATCH(G2603,Levels!$G$5:$G$94,0)),"Not this class's skill"))</f>
        <v/>
      </c>
    </row>
    <row r="2604" customFormat="false" ht="15" hidden="false" customHeight="false" outlineLevel="0" collapsed="false">
      <c r="A2604" s="23"/>
      <c r="B2604" s="22"/>
      <c r="C2604" s="22"/>
      <c r="D2604" s="22"/>
      <c r="E2604" s="22"/>
      <c r="F2604" s="27" t="str">
        <f aca="false">IF(B2604="","",IFERROR(INDEX(Roster!$B$5:$B$154,MATCH(B2604,Roster!$A$5:$A$154,0)),"Not on roster"))</f>
        <v/>
      </c>
      <c r="G2604" s="28" t="str">
        <f aca="false">IF(OR(B2604="",C2604=""),"",F2604&amp;" | "&amp;C2604)</f>
        <v/>
      </c>
      <c r="H2604" s="27" t="str">
        <f aca="false">IF(G2604="","",IFERROR(INDEX(Levels!$C$5:$C$94,MATCH(G2604,Levels!$G$5:$G$94,0)),"Not this class's skill"))</f>
        <v/>
      </c>
    </row>
    <row r="2605" customFormat="false" ht="15" hidden="false" customHeight="false" outlineLevel="0" collapsed="false">
      <c r="A2605" s="23"/>
      <c r="B2605" s="22"/>
      <c r="C2605" s="22"/>
      <c r="D2605" s="22"/>
      <c r="E2605" s="22"/>
      <c r="F2605" s="27" t="str">
        <f aca="false">IF(B2605="","",IFERROR(INDEX(Roster!$B$5:$B$154,MATCH(B2605,Roster!$A$5:$A$154,0)),"Not on roster"))</f>
        <v/>
      </c>
      <c r="G2605" s="28" t="str">
        <f aca="false">IF(OR(B2605="",C2605=""),"",F2605&amp;" | "&amp;C2605)</f>
        <v/>
      </c>
      <c r="H2605" s="27" t="str">
        <f aca="false">IF(G2605="","",IFERROR(INDEX(Levels!$C$5:$C$94,MATCH(G2605,Levels!$G$5:$G$94,0)),"Not this class's skill"))</f>
        <v/>
      </c>
    </row>
    <row r="2606" customFormat="false" ht="15" hidden="false" customHeight="false" outlineLevel="0" collapsed="false">
      <c r="A2606" s="23"/>
      <c r="B2606" s="22"/>
      <c r="C2606" s="22"/>
      <c r="D2606" s="22"/>
      <c r="E2606" s="22"/>
      <c r="F2606" s="27" t="str">
        <f aca="false">IF(B2606="","",IFERROR(INDEX(Roster!$B$5:$B$154,MATCH(B2606,Roster!$A$5:$A$154,0)),"Not on roster"))</f>
        <v/>
      </c>
      <c r="G2606" s="28" t="str">
        <f aca="false">IF(OR(B2606="",C2606=""),"",F2606&amp;" | "&amp;C2606)</f>
        <v/>
      </c>
      <c r="H2606" s="27" t="str">
        <f aca="false">IF(G2606="","",IFERROR(INDEX(Levels!$C$5:$C$94,MATCH(G2606,Levels!$G$5:$G$94,0)),"Not this class's skill"))</f>
        <v/>
      </c>
    </row>
    <row r="2607" customFormat="false" ht="15" hidden="false" customHeight="false" outlineLevel="0" collapsed="false">
      <c r="A2607" s="23"/>
      <c r="B2607" s="22"/>
      <c r="C2607" s="22"/>
      <c r="D2607" s="22"/>
      <c r="E2607" s="22"/>
      <c r="F2607" s="27" t="str">
        <f aca="false">IF(B2607="","",IFERROR(INDEX(Roster!$B$5:$B$154,MATCH(B2607,Roster!$A$5:$A$154,0)),"Not on roster"))</f>
        <v/>
      </c>
      <c r="G2607" s="28" t="str">
        <f aca="false">IF(OR(B2607="",C2607=""),"",F2607&amp;" | "&amp;C2607)</f>
        <v/>
      </c>
      <c r="H2607" s="27" t="str">
        <f aca="false">IF(G2607="","",IFERROR(INDEX(Levels!$C$5:$C$94,MATCH(G2607,Levels!$G$5:$G$94,0)),"Not this class's skill"))</f>
        <v/>
      </c>
    </row>
    <row r="2608" customFormat="false" ht="15" hidden="false" customHeight="false" outlineLevel="0" collapsed="false">
      <c r="A2608" s="23"/>
      <c r="B2608" s="22"/>
      <c r="C2608" s="22"/>
      <c r="D2608" s="22"/>
      <c r="E2608" s="22"/>
      <c r="F2608" s="27" t="str">
        <f aca="false">IF(B2608="","",IFERROR(INDEX(Roster!$B$5:$B$154,MATCH(B2608,Roster!$A$5:$A$154,0)),"Not on roster"))</f>
        <v/>
      </c>
      <c r="G2608" s="28" t="str">
        <f aca="false">IF(OR(B2608="",C2608=""),"",F2608&amp;" | "&amp;C2608)</f>
        <v/>
      </c>
      <c r="H2608" s="27" t="str">
        <f aca="false">IF(G2608="","",IFERROR(INDEX(Levels!$C$5:$C$94,MATCH(G2608,Levels!$G$5:$G$94,0)),"Not this class's skill"))</f>
        <v/>
      </c>
    </row>
    <row r="2609" customFormat="false" ht="15" hidden="false" customHeight="false" outlineLevel="0" collapsed="false">
      <c r="A2609" s="23"/>
      <c r="B2609" s="22"/>
      <c r="C2609" s="22"/>
      <c r="D2609" s="22"/>
      <c r="E2609" s="22"/>
      <c r="F2609" s="27" t="str">
        <f aca="false">IF(B2609="","",IFERROR(INDEX(Roster!$B$5:$B$154,MATCH(B2609,Roster!$A$5:$A$154,0)),"Not on roster"))</f>
        <v/>
      </c>
      <c r="G2609" s="28" t="str">
        <f aca="false">IF(OR(B2609="",C2609=""),"",F2609&amp;" | "&amp;C2609)</f>
        <v/>
      </c>
      <c r="H2609" s="27" t="str">
        <f aca="false">IF(G2609="","",IFERROR(INDEX(Levels!$C$5:$C$94,MATCH(G2609,Levels!$G$5:$G$94,0)),"Not this class's skill"))</f>
        <v/>
      </c>
    </row>
    <row r="2610" customFormat="false" ht="15" hidden="false" customHeight="false" outlineLevel="0" collapsed="false">
      <c r="A2610" s="23"/>
      <c r="B2610" s="22"/>
      <c r="C2610" s="22"/>
      <c r="D2610" s="22"/>
      <c r="E2610" s="22"/>
      <c r="F2610" s="27" t="str">
        <f aca="false">IF(B2610="","",IFERROR(INDEX(Roster!$B$5:$B$154,MATCH(B2610,Roster!$A$5:$A$154,0)),"Not on roster"))</f>
        <v/>
      </c>
      <c r="G2610" s="28" t="str">
        <f aca="false">IF(OR(B2610="",C2610=""),"",F2610&amp;" | "&amp;C2610)</f>
        <v/>
      </c>
      <c r="H2610" s="27" t="str">
        <f aca="false">IF(G2610="","",IFERROR(INDEX(Levels!$C$5:$C$94,MATCH(G2610,Levels!$G$5:$G$94,0)),"Not this class's skill"))</f>
        <v/>
      </c>
    </row>
    <row r="2611" customFormat="false" ht="15" hidden="false" customHeight="false" outlineLevel="0" collapsed="false">
      <c r="A2611" s="23"/>
      <c r="B2611" s="22"/>
      <c r="C2611" s="22"/>
      <c r="D2611" s="22"/>
      <c r="E2611" s="22"/>
      <c r="F2611" s="27" t="str">
        <f aca="false">IF(B2611="","",IFERROR(INDEX(Roster!$B$5:$B$154,MATCH(B2611,Roster!$A$5:$A$154,0)),"Not on roster"))</f>
        <v/>
      </c>
      <c r="G2611" s="28" t="str">
        <f aca="false">IF(OR(B2611="",C2611=""),"",F2611&amp;" | "&amp;C2611)</f>
        <v/>
      </c>
      <c r="H2611" s="27" t="str">
        <f aca="false">IF(G2611="","",IFERROR(INDEX(Levels!$C$5:$C$94,MATCH(G2611,Levels!$G$5:$G$94,0)),"Not this class's skill"))</f>
        <v/>
      </c>
    </row>
    <row r="2612" customFormat="false" ht="15" hidden="false" customHeight="false" outlineLevel="0" collapsed="false">
      <c r="A2612" s="23"/>
      <c r="B2612" s="22"/>
      <c r="C2612" s="22"/>
      <c r="D2612" s="22"/>
      <c r="E2612" s="22"/>
      <c r="F2612" s="27" t="str">
        <f aca="false">IF(B2612="","",IFERROR(INDEX(Roster!$B$5:$B$154,MATCH(B2612,Roster!$A$5:$A$154,0)),"Not on roster"))</f>
        <v/>
      </c>
      <c r="G2612" s="28" t="str">
        <f aca="false">IF(OR(B2612="",C2612=""),"",F2612&amp;" | "&amp;C2612)</f>
        <v/>
      </c>
      <c r="H2612" s="27" t="str">
        <f aca="false">IF(G2612="","",IFERROR(INDEX(Levels!$C$5:$C$94,MATCH(G2612,Levels!$G$5:$G$94,0)),"Not this class's skill"))</f>
        <v/>
      </c>
    </row>
    <row r="2613" customFormat="false" ht="15" hidden="false" customHeight="false" outlineLevel="0" collapsed="false">
      <c r="A2613" s="23"/>
      <c r="B2613" s="22"/>
      <c r="C2613" s="22"/>
      <c r="D2613" s="22"/>
      <c r="E2613" s="22"/>
      <c r="F2613" s="27" t="str">
        <f aca="false">IF(B2613="","",IFERROR(INDEX(Roster!$B$5:$B$154,MATCH(B2613,Roster!$A$5:$A$154,0)),"Not on roster"))</f>
        <v/>
      </c>
      <c r="G2613" s="28" t="str">
        <f aca="false">IF(OR(B2613="",C2613=""),"",F2613&amp;" | "&amp;C2613)</f>
        <v/>
      </c>
      <c r="H2613" s="27" t="str">
        <f aca="false">IF(G2613="","",IFERROR(INDEX(Levels!$C$5:$C$94,MATCH(G2613,Levels!$G$5:$G$94,0)),"Not this class's skill"))</f>
        <v/>
      </c>
    </row>
    <row r="2614" customFormat="false" ht="15" hidden="false" customHeight="false" outlineLevel="0" collapsed="false">
      <c r="A2614" s="23"/>
      <c r="B2614" s="22"/>
      <c r="C2614" s="22"/>
      <c r="D2614" s="22"/>
      <c r="E2614" s="22"/>
      <c r="F2614" s="27" t="str">
        <f aca="false">IF(B2614="","",IFERROR(INDEX(Roster!$B$5:$B$154,MATCH(B2614,Roster!$A$5:$A$154,0)),"Not on roster"))</f>
        <v/>
      </c>
      <c r="G2614" s="28" t="str">
        <f aca="false">IF(OR(B2614="",C2614=""),"",F2614&amp;" | "&amp;C2614)</f>
        <v/>
      </c>
      <c r="H2614" s="27" t="str">
        <f aca="false">IF(G2614="","",IFERROR(INDEX(Levels!$C$5:$C$94,MATCH(G2614,Levels!$G$5:$G$94,0)),"Not this class's skill"))</f>
        <v/>
      </c>
    </row>
    <row r="2615" customFormat="false" ht="15" hidden="false" customHeight="false" outlineLevel="0" collapsed="false">
      <c r="A2615" s="23"/>
      <c r="B2615" s="22"/>
      <c r="C2615" s="22"/>
      <c r="D2615" s="22"/>
      <c r="E2615" s="22"/>
      <c r="F2615" s="27" t="str">
        <f aca="false">IF(B2615="","",IFERROR(INDEX(Roster!$B$5:$B$154,MATCH(B2615,Roster!$A$5:$A$154,0)),"Not on roster"))</f>
        <v/>
      </c>
      <c r="G2615" s="28" t="str">
        <f aca="false">IF(OR(B2615="",C2615=""),"",F2615&amp;" | "&amp;C2615)</f>
        <v/>
      </c>
      <c r="H2615" s="27" t="str">
        <f aca="false">IF(G2615="","",IFERROR(INDEX(Levels!$C$5:$C$94,MATCH(G2615,Levels!$G$5:$G$94,0)),"Not this class's skill"))</f>
        <v/>
      </c>
    </row>
    <row r="2616" customFormat="false" ht="15" hidden="false" customHeight="false" outlineLevel="0" collapsed="false">
      <c r="A2616" s="23"/>
      <c r="B2616" s="22"/>
      <c r="C2616" s="22"/>
      <c r="D2616" s="22"/>
      <c r="E2616" s="22"/>
      <c r="F2616" s="27" t="str">
        <f aca="false">IF(B2616="","",IFERROR(INDEX(Roster!$B$5:$B$154,MATCH(B2616,Roster!$A$5:$A$154,0)),"Not on roster"))</f>
        <v/>
      </c>
      <c r="G2616" s="28" t="str">
        <f aca="false">IF(OR(B2616="",C2616=""),"",F2616&amp;" | "&amp;C2616)</f>
        <v/>
      </c>
      <c r="H2616" s="27" t="str">
        <f aca="false">IF(G2616="","",IFERROR(INDEX(Levels!$C$5:$C$94,MATCH(G2616,Levels!$G$5:$G$94,0)),"Not this class's skill"))</f>
        <v/>
      </c>
    </row>
    <row r="2617" customFormat="false" ht="15" hidden="false" customHeight="false" outlineLevel="0" collapsed="false">
      <c r="A2617" s="23"/>
      <c r="B2617" s="22"/>
      <c r="C2617" s="22"/>
      <c r="D2617" s="22"/>
      <c r="E2617" s="22"/>
      <c r="F2617" s="27" t="str">
        <f aca="false">IF(B2617="","",IFERROR(INDEX(Roster!$B$5:$B$154,MATCH(B2617,Roster!$A$5:$A$154,0)),"Not on roster"))</f>
        <v/>
      </c>
      <c r="G2617" s="28" t="str">
        <f aca="false">IF(OR(B2617="",C2617=""),"",F2617&amp;" | "&amp;C2617)</f>
        <v/>
      </c>
      <c r="H2617" s="27" t="str">
        <f aca="false">IF(G2617="","",IFERROR(INDEX(Levels!$C$5:$C$94,MATCH(G2617,Levels!$G$5:$G$94,0)),"Not this class's skill"))</f>
        <v/>
      </c>
    </row>
    <row r="2618" customFormat="false" ht="15" hidden="false" customHeight="false" outlineLevel="0" collapsed="false">
      <c r="A2618" s="23"/>
      <c r="B2618" s="22"/>
      <c r="C2618" s="22"/>
      <c r="D2618" s="22"/>
      <c r="E2618" s="22"/>
      <c r="F2618" s="27" t="str">
        <f aca="false">IF(B2618="","",IFERROR(INDEX(Roster!$B$5:$B$154,MATCH(B2618,Roster!$A$5:$A$154,0)),"Not on roster"))</f>
        <v/>
      </c>
      <c r="G2618" s="28" t="str">
        <f aca="false">IF(OR(B2618="",C2618=""),"",F2618&amp;" | "&amp;C2618)</f>
        <v/>
      </c>
      <c r="H2618" s="27" t="str">
        <f aca="false">IF(G2618="","",IFERROR(INDEX(Levels!$C$5:$C$94,MATCH(G2618,Levels!$G$5:$G$94,0)),"Not this class's skill"))</f>
        <v/>
      </c>
    </row>
    <row r="2619" customFormat="false" ht="15" hidden="false" customHeight="false" outlineLevel="0" collapsed="false">
      <c r="A2619" s="23"/>
      <c r="B2619" s="22"/>
      <c r="C2619" s="22"/>
      <c r="D2619" s="22"/>
      <c r="E2619" s="22"/>
      <c r="F2619" s="27" t="str">
        <f aca="false">IF(B2619="","",IFERROR(INDEX(Roster!$B$5:$B$154,MATCH(B2619,Roster!$A$5:$A$154,0)),"Not on roster"))</f>
        <v/>
      </c>
      <c r="G2619" s="28" t="str">
        <f aca="false">IF(OR(B2619="",C2619=""),"",F2619&amp;" | "&amp;C2619)</f>
        <v/>
      </c>
      <c r="H2619" s="27" t="str">
        <f aca="false">IF(G2619="","",IFERROR(INDEX(Levels!$C$5:$C$94,MATCH(G2619,Levels!$G$5:$G$94,0)),"Not this class's skill"))</f>
        <v/>
      </c>
    </row>
    <row r="2620" customFormat="false" ht="15" hidden="false" customHeight="false" outlineLevel="0" collapsed="false">
      <c r="A2620" s="23"/>
      <c r="B2620" s="22"/>
      <c r="C2620" s="22"/>
      <c r="D2620" s="22"/>
      <c r="E2620" s="22"/>
      <c r="F2620" s="27" t="str">
        <f aca="false">IF(B2620="","",IFERROR(INDEX(Roster!$B$5:$B$154,MATCH(B2620,Roster!$A$5:$A$154,0)),"Not on roster"))</f>
        <v/>
      </c>
      <c r="G2620" s="28" t="str">
        <f aca="false">IF(OR(B2620="",C2620=""),"",F2620&amp;" | "&amp;C2620)</f>
        <v/>
      </c>
      <c r="H2620" s="27" t="str">
        <f aca="false">IF(G2620="","",IFERROR(INDEX(Levels!$C$5:$C$94,MATCH(G2620,Levels!$G$5:$G$94,0)),"Not this class's skill"))</f>
        <v/>
      </c>
    </row>
    <row r="2621" customFormat="false" ht="15" hidden="false" customHeight="false" outlineLevel="0" collapsed="false">
      <c r="A2621" s="23"/>
      <c r="B2621" s="22"/>
      <c r="C2621" s="22"/>
      <c r="D2621" s="22"/>
      <c r="E2621" s="22"/>
      <c r="F2621" s="27" t="str">
        <f aca="false">IF(B2621="","",IFERROR(INDEX(Roster!$B$5:$B$154,MATCH(B2621,Roster!$A$5:$A$154,0)),"Not on roster"))</f>
        <v/>
      </c>
      <c r="G2621" s="28" t="str">
        <f aca="false">IF(OR(B2621="",C2621=""),"",F2621&amp;" | "&amp;C2621)</f>
        <v/>
      </c>
      <c r="H2621" s="27" t="str">
        <f aca="false">IF(G2621="","",IFERROR(INDEX(Levels!$C$5:$C$94,MATCH(G2621,Levels!$G$5:$G$94,0)),"Not this class's skill"))</f>
        <v/>
      </c>
    </row>
    <row r="2622" customFormat="false" ht="15" hidden="false" customHeight="false" outlineLevel="0" collapsed="false">
      <c r="A2622" s="23"/>
      <c r="B2622" s="22"/>
      <c r="C2622" s="22"/>
      <c r="D2622" s="22"/>
      <c r="E2622" s="22"/>
      <c r="F2622" s="27" t="str">
        <f aca="false">IF(B2622="","",IFERROR(INDEX(Roster!$B$5:$B$154,MATCH(B2622,Roster!$A$5:$A$154,0)),"Not on roster"))</f>
        <v/>
      </c>
      <c r="G2622" s="28" t="str">
        <f aca="false">IF(OR(B2622="",C2622=""),"",F2622&amp;" | "&amp;C2622)</f>
        <v/>
      </c>
      <c r="H2622" s="27" t="str">
        <f aca="false">IF(G2622="","",IFERROR(INDEX(Levels!$C$5:$C$94,MATCH(G2622,Levels!$G$5:$G$94,0)),"Not this class's skill"))</f>
        <v/>
      </c>
    </row>
    <row r="2623" customFormat="false" ht="15" hidden="false" customHeight="false" outlineLevel="0" collapsed="false">
      <c r="A2623" s="23"/>
      <c r="B2623" s="22"/>
      <c r="C2623" s="22"/>
      <c r="D2623" s="22"/>
      <c r="E2623" s="22"/>
      <c r="F2623" s="27" t="str">
        <f aca="false">IF(B2623="","",IFERROR(INDEX(Roster!$B$5:$B$154,MATCH(B2623,Roster!$A$5:$A$154,0)),"Not on roster"))</f>
        <v/>
      </c>
      <c r="G2623" s="28" t="str">
        <f aca="false">IF(OR(B2623="",C2623=""),"",F2623&amp;" | "&amp;C2623)</f>
        <v/>
      </c>
      <c r="H2623" s="27" t="str">
        <f aca="false">IF(G2623="","",IFERROR(INDEX(Levels!$C$5:$C$94,MATCH(G2623,Levels!$G$5:$G$94,0)),"Not this class's skill"))</f>
        <v/>
      </c>
    </row>
    <row r="2624" customFormat="false" ht="15" hidden="false" customHeight="false" outlineLevel="0" collapsed="false">
      <c r="A2624" s="23"/>
      <c r="B2624" s="22"/>
      <c r="C2624" s="22"/>
      <c r="D2624" s="22"/>
      <c r="E2624" s="22"/>
      <c r="F2624" s="27" t="str">
        <f aca="false">IF(B2624="","",IFERROR(INDEX(Roster!$B$5:$B$154,MATCH(B2624,Roster!$A$5:$A$154,0)),"Not on roster"))</f>
        <v/>
      </c>
      <c r="G2624" s="28" t="str">
        <f aca="false">IF(OR(B2624="",C2624=""),"",F2624&amp;" | "&amp;C2624)</f>
        <v/>
      </c>
      <c r="H2624" s="27" t="str">
        <f aca="false">IF(G2624="","",IFERROR(INDEX(Levels!$C$5:$C$94,MATCH(G2624,Levels!$G$5:$G$94,0)),"Not this class's skill"))</f>
        <v/>
      </c>
    </row>
    <row r="2625" customFormat="false" ht="15" hidden="false" customHeight="false" outlineLevel="0" collapsed="false">
      <c r="A2625" s="23"/>
      <c r="B2625" s="22"/>
      <c r="C2625" s="22"/>
      <c r="D2625" s="22"/>
      <c r="E2625" s="22"/>
      <c r="F2625" s="27" t="str">
        <f aca="false">IF(B2625="","",IFERROR(INDEX(Roster!$B$5:$B$154,MATCH(B2625,Roster!$A$5:$A$154,0)),"Not on roster"))</f>
        <v/>
      </c>
      <c r="G2625" s="28" t="str">
        <f aca="false">IF(OR(B2625="",C2625=""),"",F2625&amp;" | "&amp;C2625)</f>
        <v/>
      </c>
      <c r="H2625" s="27" t="str">
        <f aca="false">IF(G2625="","",IFERROR(INDEX(Levels!$C$5:$C$94,MATCH(G2625,Levels!$G$5:$G$94,0)),"Not this class's skill"))</f>
        <v/>
      </c>
    </row>
    <row r="2626" customFormat="false" ht="15" hidden="false" customHeight="false" outlineLevel="0" collapsed="false">
      <c r="A2626" s="23"/>
      <c r="B2626" s="22"/>
      <c r="C2626" s="22"/>
      <c r="D2626" s="22"/>
      <c r="E2626" s="22"/>
      <c r="F2626" s="27" t="str">
        <f aca="false">IF(B2626="","",IFERROR(INDEX(Roster!$B$5:$B$154,MATCH(B2626,Roster!$A$5:$A$154,0)),"Not on roster"))</f>
        <v/>
      </c>
      <c r="G2626" s="28" t="str">
        <f aca="false">IF(OR(B2626="",C2626=""),"",F2626&amp;" | "&amp;C2626)</f>
        <v/>
      </c>
      <c r="H2626" s="27" t="str">
        <f aca="false">IF(G2626="","",IFERROR(INDEX(Levels!$C$5:$C$94,MATCH(G2626,Levels!$G$5:$G$94,0)),"Not this class's skill"))</f>
        <v/>
      </c>
    </row>
    <row r="2627" customFormat="false" ht="15" hidden="false" customHeight="false" outlineLevel="0" collapsed="false">
      <c r="A2627" s="23"/>
      <c r="B2627" s="22"/>
      <c r="C2627" s="22"/>
      <c r="D2627" s="22"/>
      <c r="E2627" s="22"/>
      <c r="F2627" s="27" t="str">
        <f aca="false">IF(B2627="","",IFERROR(INDEX(Roster!$B$5:$B$154,MATCH(B2627,Roster!$A$5:$A$154,0)),"Not on roster"))</f>
        <v/>
      </c>
      <c r="G2627" s="28" t="str">
        <f aca="false">IF(OR(B2627="",C2627=""),"",F2627&amp;" | "&amp;C2627)</f>
        <v/>
      </c>
      <c r="H2627" s="27" t="str">
        <f aca="false">IF(G2627="","",IFERROR(INDEX(Levels!$C$5:$C$94,MATCH(G2627,Levels!$G$5:$G$94,0)),"Not this class's skill"))</f>
        <v/>
      </c>
    </row>
    <row r="2628" customFormat="false" ht="15" hidden="false" customHeight="false" outlineLevel="0" collapsed="false">
      <c r="A2628" s="23"/>
      <c r="B2628" s="22"/>
      <c r="C2628" s="22"/>
      <c r="D2628" s="22"/>
      <c r="E2628" s="22"/>
      <c r="F2628" s="27" t="str">
        <f aca="false">IF(B2628="","",IFERROR(INDEX(Roster!$B$5:$B$154,MATCH(B2628,Roster!$A$5:$A$154,0)),"Not on roster"))</f>
        <v/>
      </c>
      <c r="G2628" s="28" t="str">
        <f aca="false">IF(OR(B2628="",C2628=""),"",F2628&amp;" | "&amp;C2628)</f>
        <v/>
      </c>
      <c r="H2628" s="27" t="str">
        <f aca="false">IF(G2628="","",IFERROR(INDEX(Levels!$C$5:$C$94,MATCH(G2628,Levels!$G$5:$G$94,0)),"Not this class's skill"))</f>
        <v/>
      </c>
    </row>
    <row r="2629" customFormat="false" ht="15" hidden="false" customHeight="false" outlineLevel="0" collapsed="false">
      <c r="A2629" s="23"/>
      <c r="B2629" s="22"/>
      <c r="C2629" s="22"/>
      <c r="D2629" s="22"/>
      <c r="E2629" s="22"/>
      <c r="F2629" s="27" t="str">
        <f aca="false">IF(B2629="","",IFERROR(INDEX(Roster!$B$5:$B$154,MATCH(B2629,Roster!$A$5:$A$154,0)),"Not on roster"))</f>
        <v/>
      </c>
      <c r="G2629" s="28" t="str">
        <f aca="false">IF(OR(B2629="",C2629=""),"",F2629&amp;" | "&amp;C2629)</f>
        <v/>
      </c>
      <c r="H2629" s="27" t="str">
        <f aca="false">IF(G2629="","",IFERROR(INDEX(Levels!$C$5:$C$94,MATCH(G2629,Levels!$G$5:$G$94,0)),"Not this class's skill"))</f>
        <v/>
      </c>
    </row>
    <row r="2630" customFormat="false" ht="15" hidden="false" customHeight="false" outlineLevel="0" collapsed="false">
      <c r="A2630" s="23"/>
      <c r="B2630" s="22"/>
      <c r="C2630" s="22"/>
      <c r="D2630" s="22"/>
      <c r="E2630" s="22"/>
      <c r="F2630" s="27" t="str">
        <f aca="false">IF(B2630="","",IFERROR(INDEX(Roster!$B$5:$B$154,MATCH(B2630,Roster!$A$5:$A$154,0)),"Not on roster"))</f>
        <v/>
      </c>
      <c r="G2630" s="28" t="str">
        <f aca="false">IF(OR(B2630="",C2630=""),"",F2630&amp;" | "&amp;C2630)</f>
        <v/>
      </c>
      <c r="H2630" s="27" t="str">
        <f aca="false">IF(G2630="","",IFERROR(INDEX(Levels!$C$5:$C$94,MATCH(G2630,Levels!$G$5:$G$94,0)),"Not this class's skill"))</f>
        <v/>
      </c>
    </row>
    <row r="2631" customFormat="false" ht="15" hidden="false" customHeight="false" outlineLevel="0" collapsed="false">
      <c r="A2631" s="23"/>
      <c r="B2631" s="22"/>
      <c r="C2631" s="22"/>
      <c r="D2631" s="22"/>
      <c r="E2631" s="22"/>
      <c r="F2631" s="27" t="str">
        <f aca="false">IF(B2631="","",IFERROR(INDEX(Roster!$B$5:$B$154,MATCH(B2631,Roster!$A$5:$A$154,0)),"Not on roster"))</f>
        <v/>
      </c>
      <c r="G2631" s="28" t="str">
        <f aca="false">IF(OR(B2631="",C2631=""),"",F2631&amp;" | "&amp;C2631)</f>
        <v/>
      </c>
      <c r="H2631" s="27" t="str">
        <f aca="false">IF(G2631="","",IFERROR(INDEX(Levels!$C$5:$C$94,MATCH(G2631,Levels!$G$5:$G$94,0)),"Not this class's skill"))</f>
        <v/>
      </c>
    </row>
    <row r="2632" customFormat="false" ht="15" hidden="false" customHeight="false" outlineLevel="0" collapsed="false">
      <c r="A2632" s="23"/>
      <c r="B2632" s="22"/>
      <c r="C2632" s="22"/>
      <c r="D2632" s="22"/>
      <c r="E2632" s="22"/>
      <c r="F2632" s="27" t="str">
        <f aca="false">IF(B2632="","",IFERROR(INDEX(Roster!$B$5:$B$154,MATCH(B2632,Roster!$A$5:$A$154,0)),"Not on roster"))</f>
        <v/>
      </c>
      <c r="G2632" s="28" t="str">
        <f aca="false">IF(OR(B2632="",C2632=""),"",F2632&amp;" | "&amp;C2632)</f>
        <v/>
      </c>
      <c r="H2632" s="27" t="str">
        <f aca="false">IF(G2632="","",IFERROR(INDEX(Levels!$C$5:$C$94,MATCH(G2632,Levels!$G$5:$G$94,0)),"Not this class's skill"))</f>
        <v/>
      </c>
    </row>
    <row r="2633" customFormat="false" ht="15" hidden="false" customHeight="false" outlineLevel="0" collapsed="false">
      <c r="A2633" s="23"/>
      <c r="B2633" s="22"/>
      <c r="C2633" s="22"/>
      <c r="D2633" s="22"/>
      <c r="E2633" s="22"/>
      <c r="F2633" s="27" t="str">
        <f aca="false">IF(B2633="","",IFERROR(INDEX(Roster!$B$5:$B$154,MATCH(B2633,Roster!$A$5:$A$154,0)),"Not on roster"))</f>
        <v/>
      </c>
      <c r="G2633" s="28" t="str">
        <f aca="false">IF(OR(B2633="",C2633=""),"",F2633&amp;" | "&amp;C2633)</f>
        <v/>
      </c>
      <c r="H2633" s="27" t="str">
        <f aca="false">IF(G2633="","",IFERROR(INDEX(Levels!$C$5:$C$94,MATCH(G2633,Levels!$G$5:$G$94,0)),"Not this class's skill"))</f>
        <v/>
      </c>
    </row>
    <row r="2634" customFormat="false" ht="15" hidden="false" customHeight="false" outlineLevel="0" collapsed="false">
      <c r="A2634" s="23"/>
      <c r="B2634" s="22"/>
      <c r="C2634" s="22"/>
      <c r="D2634" s="22"/>
      <c r="E2634" s="22"/>
      <c r="F2634" s="27" t="str">
        <f aca="false">IF(B2634="","",IFERROR(INDEX(Roster!$B$5:$B$154,MATCH(B2634,Roster!$A$5:$A$154,0)),"Not on roster"))</f>
        <v/>
      </c>
      <c r="G2634" s="28" t="str">
        <f aca="false">IF(OR(B2634="",C2634=""),"",F2634&amp;" | "&amp;C2634)</f>
        <v/>
      </c>
      <c r="H2634" s="27" t="str">
        <f aca="false">IF(G2634="","",IFERROR(INDEX(Levels!$C$5:$C$94,MATCH(G2634,Levels!$G$5:$G$94,0)),"Not this class's skill"))</f>
        <v/>
      </c>
    </row>
    <row r="2635" customFormat="false" ht="15" hidden="false" customHeight="false" outlineLevel="0" collapsed="false">
      <c r="A2635" s="23"/>
      <c r="B2635" s="22"/>
      <c r="C2635" s="22"/>
      <c r="D2635" s="22"/>
      <c r="E2635" s="22"/>
      <c r="F2635" s="27" t="str">
        <f aca="false">IF(B2635="","",IFERROR(INDEX(Roster!$B$5:$B$154,MATCH(B2635,Roster!$A$5:$A$154,0)),"Not on roster"))</f>
        <v/>
      </c>
      <c r="G2635" s="28" t="str">
        <f aca="false">IF(OR(B2635="",C2635=""),"",F2635&amp;" | "&amp;C2635)</f>
        <v/>
      </c>
      <c r="H2635" s="27" t="str">
        <f aca="false">IF(G2635="","",IFERROR(INDEX(Levels!$C$5:$C$94,MATCH(G2635,Levels!$G$5:$G$94,0)),"Not this class's skill"))</f>
        <v/>
      </c>
    </row>
    <row r="2636" customFormat="false" ht="15" hidden="false" customHeight="false" outlineLevel="0" collapsed="false">
      <c r="A2636" s="23"/>
      <c r="B2636" s="22"/>
      <c r="C2636" s="22"/>
      <c r="D2636" s="22"/>
      <c r="E2636" s="22"/>
      <c r="F2636" s="27" t="str">
        <f aca="false">IF(B2636="","",IFERROR(INDEX(Roster!$B$5:$B$154,MATCH(B2636,Roster!$A$5:$A$154,0)),"Not on roster"))</f>
        <v/>
      </c>
      <c r="G2636" s="28" t="str">
        <f aca="false">IF(OR(B2636="",C2636=""),"",F2636&amp;" | "&amp;C2636)</f>
        <v/>
      </c>
      <c r="H2636" s="27" t="str">
        <f aca="false">IF(G2636="","",IFERROR(INDEX(Levels!$C$5:$C$94,MATCH(G2636,Levels!$G$5:$G$94,0)),"Not this class's skill"))</f>
        <v/>
      </c>
    </row>
    <row r="2637" customFormat="false" ht="15" hidden="false" customHeight="false" outlineLevel="0" collapsed="false">
      <c r="A2637" s="23"/>
      <c r="B2637" s="22"/>
      <c r="C2637" s="22"/>
      <c r="D2637" s="22"/>
      <c r="E2637" s="22"/>
      <c r="F2637" s="27" t="str">
        <f aca="false">IF(B2637="","",IFERROR(INDEX(Roster!$B$5:$B$154,MATCH(B2637,Roster!$A$5:$A$154,0)),"Not on roster"))</f>
        <v/>
      </c>
      <c r="G2637" s="28" t="str">
        <f aca="false">IF(OR(B2637="",C2637=""),"",F2637&amp;" | "&amp;C2637)</f>
        <v/>
      </c>
      <c r="H2637" s="27" t="str">
        <f aca="false">IF(G2637="","",IFERROR(INDEX(Levels!$C$5:$C$94,MATCH(G2637,Levels!$G$5:$G$94,0)),"Not this class's skill"))</f>
        <v/>
      </c>
    </row>
    <row r="2638" customFormat="false" ht="15" hidden="false" customHeight="false" outlineLevel="0" collapsed="false">
      <c r="A2638" s="23"/>
      <c r="B2638" s="22"/>
      <c r="C2638" s="22"/>
      <c r="D2638" s="22"/>
      <c r="E2638" s="22"/>
      <c r="F2638" s="27" t="str">
        <f aca="false">IF(B2638="","",IFERROR(INDEX(Roster!$B$5:$B$154,MATCH(B2638,Roster!$A$5:$A$154,0)),"Not on roster"))</f>
        <v/>
      </c>
      <c r="G2638" s="28" t="str">
        <f aca="false">IF(OR(B2638="",C2638=""),"",F2638&amp;" | "&amp;C2638)</f>
        <v/>
      </c>
      <c r="H2638" s="27" t="str">
        <f aca="false">IF(G2638="","",IFERROR(INDEX(Levels!$C$5:$C$94,MATCH(G2638,Levels!$G$5:$G$94,0)),"Not this class's skill"))</f>
        <v/>
      </c>
    </row>
    <row r="2639" customFormat="false" ht="15" hidden="false" customHeight="false" outlineLevel="0" collapsed="false">
      <c r="A2639" s="23"/>
      <c r="B2639" s="22"/>
      <c r="C2639" s="22"/>
      <c r="D2639" s="22"/>
      <c r="E2639" s="22"/>
      <c r="F2639" s="27" t="str">
        <f aca="false">IF(B2639="","",IFERROR(INDEX(Roster!$B$5:$B$154,MATCH(B2639,Roster!$A$5:$A$154,0)),"Not on roster"))</f>
        <v/>
      </c>
      <c r="G2639" s="28" t="str">
        <f aca="false">IF(OR(B2639="",C2639=""),"",F2639&amp;" | "&amp;C2639)</f>
        <v/>
      </c>
      <c r="H2639" s="27" t="str">
        <f aca="false">IF(G2639="","",IFERROR(INDEX(Levels!$C$5:$C$94,MATCH(G2639,Levels!$G$5:$G$94,0)),"Not this class's skill"))</f>
        <v/>
      </c>
    </row>
    <row r="2640" customFormat="false" ht="15" hidden="false" customHeight="false" outlineLevel="0" collapsed="false">
      <c r="A2640" s="23"/>
      <c r="B2640" s="22"/>
      <c r="C2640" s="22"/>
      <c r="D2640" s="22"/>
      <c r="E2640" s="22"/>
      <c r="F2640" s="27" t="str">
        <f aca="false">IF(B2640="","",IFERROR(INDEX(Roster!$B$5:$B$154,MATCH(B2640,Roster!$A$5:$A$154,0)),"Not on roster"))</f>
        <v/>
      </c>
      <c r="G2640" s="28" t="str">
        <f aca="false">IF(OR(B2640="",C2640=""),"",F2640&amp;" | "&amp;C2640)</f>
        <v/>
      </c>
      <c r="H2640" s="27" t="str">
        <f aca="false">IF(G2640="","",IFERROR(INDEX(Levels!$C$5:$C$94,MATCH(G2640,Levels!$G$5:$G$94,0)),"Not this class's skill"))</f>
        <v/>
      </c>
    </row>
    <row r="2641" customFormat="false" ht="15" hidden="false" customHeight="false" outlineLevel="0" collapsed="false">
      <c r="A2641" s="23"/>
      <c r="B2641" s="22"/>
      <c r="C2641" s="22"/>
      <c r="D2641" s="22"/>
      <c r="E2641" s="22"/>
      <c r="F2641" s="27" t="str">
        <f aca="false">IF(B2641="","",IFERROR(INDEX(Roster!$B$5:$B$154,MATCH(B2641,Roster!$A$5:$A$154,0)),"Not on roster"))</f>
        <v/>
      </c>
      <c r="G2641" s="28" t="str">
        <f aca="false">IF(OR(B2641="",C2641=""),"",F2641&amp;" | "&amp;C2641)</f>
        <v/>
      </c>
      <c r="H2641" s="27" t="str">
        <f aca="false">IF(G2641="","",IFERROR(INDEX(Levels!$C$5:$C$94,MATCH(G2641,Levels!$G$5:$G$94,0)),"Not this class's skill"))</f>
        <v/>
      </c>
    </row>
    <row r="2642" customFormat="false" ht="15" hidden="false" customHeight="false" outlineLevel="0" collapsed="false">
      <c r="A2642" s="23"/>
      <c r="B2642" s="22"/>
      <c r="C2642" s="22"/>
      <c r="D2642" s="22"/>
      <c r="E2642" s="22"/>
      <c r="F2642" s="27" t="str">
        <f aca="false">IF(B2642="","",IFERROR(INDEX(Roster!$B$5:$B$154,MATCH(B2642,Roster!$A$5:$A$154,0)),"Not on roster"))</f>
        <v/>
      </c>
      <c r="G2642" s="28" t="str">
        <f aca="false">IF(OR(B2642="",C2642=""),"",F2642&amp;" | "&amp;C2642)</f>
        <v/>
      </c>
      <c r="H2642" s="27" t="str">
        <f aca="false">IF(G2642="","",IFERROR(INDEX(Levels!$C$5:$C$94,MATCH(G2642,Levels!$G$5:$G$94,0)),"Not this class's skill"))</f>
        <v/>
      </c>
    </row>
    <row r="2643" customFormat="false" ht="15" hidden="false" customHeight="false" outlineLevel="0" collapsed="false">
      <c r="A2643" s="23"/>
      <c r="B2643" s="22"/>
      <c r="C2643" s="22"/>
      <c r="D2643" s="22"/>
      <c r="E2643" s="22"/>
      <c r="F2643" s="27" t="str">
        <f aca="false">IF(B2643="","",IFERROR(INDEX(Roster!$B$5:$B$154,MATCH(B2643,Roster!$A$5:$A$154,0)),"Not on roster"))</f>
        <v/>
      </c>
      <c r="G2643" s="28" t="str">
        <f aca="false">IF(OR(B2643="",C2643=""),"",F2643&amp;" | "&amp;C2643)</f>
        <v/>
      </c>
      <c r="H2643" s="27" t="str">
        <f aca="false">IF(G2643="","",IFERROR(INDEX(Levels!$C$5:$C$94,MATCH(G2643,Levels!$G$5:$G$94,0)),"Not this class's skill"))</f>
        <v/>
      </c>
    </row>
    <row r="2644" customFormat="false" ht="15" hidden="false" customHeight="false" outlineLevel="0" collapsed="false">
      <c r="A2644" s="23"/>
      <c r="B2644" s="22"/>
      <c r="C2644" s="22"/>
      <c r="D2644" s="22"/>
      <c r="E2644" s="22"/>
      <c r="F2644" s="27" t="str">
        <f aca="false">IF(B2644="","",IFERROR(INDEX(Roster!$B$5:$B$154,MATCH(B2644,Roster!$A$5:$A$154,0)),"Not on roster"))</f>
        <v/>
      </c>
      <c r="G2644" s="28" t="str">
        <f aca="false">IF(OR(B2644="",C2644=""),"",F2644&amp;" | "&amp;C2644)</f>
        <v/>
      </c>
      <c r="H2644" s="27" t="str">
        <f aca="false">IF(G2644="","",IFERROR(INDEX(Levels!$C$5:$C$94,MATCH(G2644,Levels!$G$5:$G$94,0)),"Not this class's skill"))</f>
        <v/>
      </c>
    </row>
    <row r="2645" customFormat="false" ht="15" hidden="false" customHeight="false" outlineLevel="0" collapsed="false">
      <c r="A2645" s="23"/>
      <c r="B2645" s="22"/>
      <c r="C2645" s="22"/>
      <c r="D2645" s="22"/>
      <c r="E2645" s="22"/>
      <c r="F2645" s="27" t="str">
        <f aca="false">IF(B2645="","",IFERROR(INDEX(Roster!$B$5:$B$154,MATCH(B2645,Roster!$A$5:$A$154,0)),"Not on roster"))</f>
        <v/>
      </c>
      <c r="G2645" s="28" t="str">
        <f aca="false">IF(OR(B2645="",C2645=""),"",F2645&amp;" | "&amp;C2645)</f>
        <v/>
      </c>
      <c r="H2645" s="27" t="str">
        <f aca="false">IF(G2645="","",IFERROR(INDEX(Levels!$C$5:$C$94,MATCH(G2645,Levels!$G$5:$G$94,0)),"Not this class's skill"))</f>
        <v/>
      </c>
    </row>
    <row r="2646" customFormat="false" ht="15" hidden="false" customHeight="false" outlineLevel="0" collapsed="false">
      <c r="A2646" s="23"/>
      <c r="B2646" s="22"/>
      <c r="C2646" s="22"/>
      <c r="D2646" s="22"/>
      <c r="E2646" s="22"/>
      <c r="F2646" s="27" t="str">
        <f aca="false">IF(B2646="","",IFERROR(INDEX(Roster!$B$5:$B$154,MATCH(B2646,Roster!$A$5:$A$154,0)),"Not on roster"))</f>
        <v/>
      </c>
      <c r="G2646" s="28" t="str">
        <f aca="false">IF(OR(B2646="",C2646=""),"",F2646&amp;" | "&amp;C2646)</f>
        <v/>
      </c>
      <c r="H2646" s="27" t="str">
        <f aca="false">IF(G2646="","",IFERROR(INDEX(Levels!$C$5:$C$94,MATCH(G2646,Levels!$G$5:$G$94,0)),"Not this class's skill"))</f>
        <v/>
      </c>
    </row>
    <row r="2647" customFormat="false" ht="15" hidden="false" customHeight="false" outlineLevel="0" collapsed="false">
      <c r="A2647" s="23"/>
      <c r="B2647" s="22"/>
      <c r="C2647" s="22"/>
      <c r="D2647" s="22"/>
      <c r="E2647" s="22"/>
      <c r="F2647" s="27" t="str">
        <f aca="false">IF(B2647="","",IFERROR(INDEX(Roster!$B$5:$B$154,MATCH(B2647,Roster!$A$5:$A$154,0)),"Not on roster"))</f>
        <v/>
      </c>
      <c r="G2647" s="28" t="str">
        <f aca="false">IF(OR(B2647="",C2647=""),"",F2647&amp;" | "&amp;C2647)</f>
        <v/>
      </c>
      <c r="H2647" s="27" t="str">
        <f aca="false">IF(G2647="","",IFERROR(INDEX(Levels!$C$5:$C$94,MATCH(G2647,Levels!$G$5:$G$94,0)),"Not this class's skill"))</f>
        <v/>
      </c>
    </row>
    <row r="2648" customFormat="false" ht="15" hidden="false" customHeight="false" outlineLevel="0" collapsed="false">
      <c r="A2648" s="23"/>
      <c r="B2648" s="22"/>
      <c r="C2648" s="22"/>
      <c r="D2648" s="22"/>
      <c r="E2648" s="22"/>
      <c r="F2648" s="27" t="str">
        <f aca="false">IF(B2648="","",IFERROR(INDEX(Roster!$B$5:$B$154,MATCH(B2648,Roster!$A$5:$A$154,0)),"Not on roster"))</f>
        <v/>
      </c>
      <c r="G2648" s="28" t="str">
        <f aca="false">IF(OR(B2648="",C2648=""),"",F2648&amp;" | "&amp;C2648)</f>
        <v/>
      </c>
      <c r="H2648" s="27" t="str">
        <f aca="false">IF(G2648="","",IFERROR(INDEX(Levels!$C$5:$C$94,MATCH(G2648,Levels!$G$5:$G$94,0)),"Not this class's skill"))</f>
        <v/>
      </c>
    </row>
    <row r="2649" customFormat="false" ht="15" hidden="false" customHeight="false" outlineLevel="0" collapsed="false">
      <c r="A2649" s="23"/>
      <c r="B2649" s="22"/>
      <c r="C2649" s="22"/>
      <c r="D2649" s="22"/>
      <c r="E2649" s="22"/>
      <c r="F2649" s="27" t="str">
        <f aca="false">IF(B2649="","",IFERROR(INDEX(Roster!$B$5:$B$154,MATCH(B2649,Roster!$A$5:$A$154,0)),"Not on roster"))</f>
        <v/>
      </c>
      <c r="G2649" s="28" t="str">
        <f aca="false">IF(OR(B2649="",C2649=""),"",F2649&amp;" | "&amp;C2649)</f>
        <v/>
      </c>
      <c r="H2649" s="27" t="str">
        <f aca="false">IF(G2649="","",IFERROR(INDEX(Levels!$C$5:$C$94,MATCH(G2649,Levels!$G$5:$G$94,0)),"Not this class's skill"))</f>
        <v/>
      </c>
    </row>
    <row r="2650" customFormat="false" ht="15" hidden="false" customHeight="false" outlineLevel="0" collapsed="false">
      <c r="A2650" s="23"/>
      <c r="B2650" s="22"/>
      <c r="C2650" s="22"/>
      <c r="D2650" s="22"/>
      <c r="E2650" s="22"/>
      <c r="F2650" s="27" t="str">
        <f aca="false">IF(B2650="","",IFERROR(INDEX(Roster!$B$5:$B$154,MATCH(B2650,Roster!$A$5:$A$154,0)),"Not on roster"))</f>
        <v/>
      </c>
      <c r="G2650" s="28" t="str">
        <f aca="false">IF(OR(B2650="",C2650=""),"",F2650&amp;" | "&amp;C2650)</f>
        <v/>
      </c>
      <c r="H2650" s="27" t="str">
        <f aca="false">IF(G2650="","",IFERROR(INDEX(Levels!$C$5:$C$94,MATCH(G2650,Levels!$G$5:$G$94,0)),"Not this class's skill"))</f>
        <v/>
      </c>
    </row>
    <row r="2651" customFormat="false" ht="15" hidden="false" customHeight="false" outlineLevel="0" collapsed="false">
      <c r="A2651" s="23"/>
      <c r="B2651" s="22"/>
      <c r="C2651" s="22"/>
      <c r="D2651" s="22"/>
      <c r="E2651" s="22"/>
      <c r="F2651" s="27" t="str">
        <f aca="false">IF(B2651="","",IFERROR(INDEX(Roster!$B$5:$B$154,MATCH(B2651,Roster!$A$5:$A$154,0)),"Not on roster"))</f>
        <v/>
      </c>
      <c r="G2651" s="28" t="str">
        <f aca="false">IF(OR(B2651="",C2651=""),"",F2651&amp;" | "&amp;C2651)</f>
        <v/>
      </c>
      <c r="H2651" s="27" t="str">
        <f aca="false">IF(G2651="","",IFERROR(INDEX(Levels!$C$5:$C$94,MATCH(G2651,Levels!$G$5:$G$94,0)),"Not this class's skill"))</f>
        <v/>
      </c>
    </row>
    <row r="2652" customFormat="false" ht="15" hidden="false" customHeight="false" outlineLevel="0" collapsed="false">
      <c r="A2652" s="23"/>
      <c r="B2652" s="22"/>
      <c r="C2652" s="22"/>
      <c r="D2652" s="22"/>
      <c r="E2652" s="22"/>
      <c r="F2652" s="27" t="str">
        <f aca="false">IF(B2652="","",IFERROR(INDEX(Roster!$B$5:$B$154,MATCH(B2652,Roster!$A$5:$A$154,0)),"Not on roster"))</f>
        <v/>
      </c>
      <c r="G2652" s="28" t="str">
        <f aca="false">IF(OR(B2652="",C2652=""),"",F2652&amp;" | "&amp;C2652)</f>
        <v/>
      </c>
      <c r="H2652" s="27" t="str">
        <f aca="false">IF(G2652="","",IFERROR(INDEX(Levels!$C$5:$C$94,MATCH(G2652,Levels!$G$5:$G$94,0)),"Not this class's skill"))</f>
        <v/>
      </c>
    </row>
    <row r="2653" customFormat="false" ht="15" hidden="false" customHeight="false" outlineLevel="0" collapsed="false">
      <c r="A2653" s="23"/>
      <c r="B2653" s="22"/>
      <c r="C2653" s="22"/>
      <c r="D2653" s="22"/>
      <c r="E2653" s="22"/>
      <c r="F2653" s="27" t="str">
        <f aca="false">IF(B2653="","",IFERROR(INDEX(Roster!$B$5:$B$154,MATCH(B2653,Roster!$A$5:$A$154,0)),"Not on roster"))</f>
        <v/>
      </c>
      <c r="G2653" s="28" t="str">
        <f aca="false">IF(OR(B2653="",C2653=""),"",F2653&amp;" | "&amp;C2653)</f>
        <v/>
      </c>
      <c r="H2653" s="27" t="str">
        <f aca="false">IF(G2653="","",IFERROR(INDEX(Levels!$C$5:$C$94,MATCH(G2653,Levels!$G$5:$G$94,0)),"Not this class's skill"))</f>
        <v/>
      </c>
    </row>
    <row r="2654" customFormat="false" ht="15" hidden="false" customHeight="false" outlineLevel="0" collapsed="false">
      <c r="A2654" s="23"/>
      <c r="B2654" s="22"/>
      <c r="C2654" s="22"/>
      <c r="D2654" s="22"/>
      <c r="E2654" s="22"/>
      <c r="F2654" s="27" t="str">
        <f aca="false">IF(B2654="","",IFERROR(INDEX(Roster!$B$5:$B$154,MATCH(B2654,Roster!$A$5:$A$154,0)),"Not on roster"))</f>
        <v/>
      </c>
      <c r="G2654" s="28" t="str">
        <f aca="false">IF(OR(B2654="",C2654=""),"",F2654&amp;" | "&amp;C2654)</f>
        <v/>
      </c>
      <c r="H2654" s="27" t="str">
        <f aca="false">IF(G2654="","",IFERROR(INDEX(Levels!$C$5:$C$94,MATCH(G2654,Levels!$G$5:$G$94,0)),"Not this class's skill"))</f>
        <v/>
      </c>
    </row>
    <row r="2655" customFormat="false" ht="15" hidden="false" customHeight="false" outlineLevel="0" collapsed="false">
      <c r="A2655" s="23"/>
      <c r="B2655" s="22"/>
      <c r="C2655" s="22"/>
      <c r="D2655" s="22"/>
      <c r="E2655" s="22"/>
      <c r="F2655" s="27" t="str">
        <f aca="false">IF(B2655="","",IFERROR(INDEX(Roster!$B$5:$B$154,MATCH(B2655,Roster!$A$5:$A$154,0)),"Not on roster"))</f>
        <v/>
      </c>
      <c r="G2655" s="28" t="str">
        <f aca="false">IF(OR(B2655="",C2655=""),"",F2655&amp;" | "&amp;C2655)</f>
        <v/>
      </c>
      <c r="H2655" s="27" t="str">
        <f aca="false">IF(G2655="","",IFERROR(INDEX(Levels!$C$5:$C$94,MATCH(G2655,Levels!$G$5:$G$94,0)),"Not this class's skill"))</f>
        <v/>
      </c>
    </row>
    <row r="2656" customFormat="false" ht="15" hidden="false" customHeight="false" outlineLevel="0" collapsed="false">
      <c r="A2656" s="23"/>
      <c r="B2656" s="22"/>
      <c r="C2656" s="22"/>
      <c r="D2656" s="22"/>
      <c r="E2656" s="22"/>
      <c r="F2656" s="27" t="str">
        <f aca="false">IF(B2656="","",IFERROR(INDEX(Roster!$B$5:$B$154,MATCH(B2656,Roster!$A$5:$A$154,0)),"Not on roster"))</f>
        <v/>
      </c>
      <c r="G2656" s="28" t="str">
        <f aca="false">IF(OR(B2656="",C2656=""),"",F2656&amp;" | "&amp;C2656)</f>
        <v/>
      </c>
      <c r="H2656" s="27" t="str">
        <f aca="false">IF(G2656="","",IFERROR(INDEX(Levels!$C$5:$C$94,MATCH(G2656,Levels!$G$5:$G$94,0)),"Not this class's skill"))</f>
        <v/>
      </c>
    </row>
    <row r="2657" customFormat="false" ht="15" hidden="false" customHeight="false" outlineLevel="0" collapsed="false">
      <c r="A2657" s="23"/>
      <c r="B2657" s="22"/>
      <c r="C2657" s="22"/>
      <c r="D2657" s="22"/>
      <c r="E2657" s="22"/>
      <c r="F2657" s="27" t="str">
        <f aca="false">IF(B2657="","",IFERROR(INDEX(Roster!$B$5:$B$154,MATCH(B2657,Roster!$A$5:$A$154,0)),"Not on roster"))</f>
        <v/>
      </c>
      <c r="G2657" s="28" t="str">
        <f aca="false">IF(OR(B2657="",C2657=""),"",F2657&amp;" | "&amp;C2657)</f>
        <v/>
      </c>
      <c r="H2657" s="27" t="str">
        <f aca="false">IF(G2657="","",IFERROR(INDEX(Levels!$C$5:$C$94,MATCH(G2657,Levels!$G$5:$G$94,0)),"Not this class's skill"))</f>
        <v/>
      </c>
    </row>
    <row r="2658" customFormat="false" ht="15" hidden="false" customHeight="false" outlineLevel="0" collapsed="false">
      <c r="A2658" s="23"/>
      <c r="B2658" s="22"/>
      <c r="C2658" s="22"/>
      <c r="D2658" s="22"/>
      <c r="E2658" s="22"/>
      <c r="F2658" s="27" t="str">
        <f aca="false">IF(B2658="","",IFERROR(INDEX(Roster!$B$5:$B$154,MATCH(B2658,Roster!$A$5:$A$154,0)),"Not on roster"))</f>
        <v/>
      </c>
      <c r="G2658" s="28" t="str">
        <f aca="false">IF(OR(B2658="",C2658=""),"",F2658&amp;" | "&amp;C2658)</f>
        <v/>
      </c>
      <c r="H2658" s="27" t="str">
        <f aca="false">IF(G2658="","",IFERROR(INDEX(Levels!$C$5:$C$94,MATCH(G2658,Levels!$G$5:$G$94,0)),"Not this class's skill"))</f>
        <v/>
      </c>
    </row>
    <row r="2659" customFormat="false" ht="15" hidden="false" customHeight="false" outlineLevel="0" collapsed="false">
      <c r="A2659" s="23"/>
      <c r="B2659" s="22"/>
      <c r="C2659" s="22"/>
      <c r="D2659" s="22"/>
      <c r="E2659" s="22"/>
      <c r="F2659" s="27" t="str">
        <f aca="false">IF(B2659="","",IFERROR(INDEX(Roster!$B$5:$B$154,MATCH(B2659,Roster!$A$5:$A$154,0)),"Not on roster"))</f>
        <v/>
      </c>
      <c r="G2659" s="28" t="str">
        <f aca="false">IF(OR(B2659="",C2659=""),"",F2659&amp;" | "&amp;C2659)</f>
        <v/>
      </c>
      <c r="H2659" s="27" t="str">
        <f aca="false">IF(G2659="","",IFERROR(INDEX(Levels!$C$5:$C$94,MATCH(G2659,Levels!$G$5:$G$94,0)),"Not this class's skill"))</f>
        <v/>
      </c>
    </row>
    <row r="2660" customFormat="false" ht="15" hidden="false" customHeight="false" outlineLevel="0" collapsed="false">
      <c r="A2660" s="23"/>
      <c r="B2660" s="22"/>
      <c r="C2660" s="22"/>
      <c r="D2660" s="22"/>
      <c r="E2660" s="22"/>
      <c r="F2660" s="27" t="str">
        <f aca="false">IF(B2660="","",IFERROR(INDEX(Roster!$B$5:$B$154,MATCH(B2660,Roster!$A$5:$A$154,0)),"Not on roster"))</f>
        <v/>
      </c>
      <c r="G2660" s="28" t="str">
        <f aca="false">IF(OR(B2660="",C2660=""),"",F2660&amp;" | "&amp;C2660)</f>
        <v/>
      </c>
      <c r="H2660" s="27" t="str">
        <f aca="false">IF(G2660="","",IFERROR(INDEX(Levels!$C$5:$C$94,MATCH(G2660,Levels!$G$5:$G$94,0)),"Not this class's skill"))</f>
        <v/>
      </c>
    </row>
    <row r="2661" customFormat="false" ht="15" hidden="false" customHeight="false" outlineLevel="0" collapsed="false">
      <c r="A2661" s="23"/>
      <c r="B2661" s="22"/>
      <c r="C2661" s="22"/>
      <c r="D2661" s="22"/>
      <c r="E2661" s="22"/>
      <c r="F2661" s="27" t="str">
        <f aca="false">IF(B2661="","",IFERROR(INDEX(Roster!$B$5:$B$154,MATCH(B2661,Roster!$A$5:$A$154,0)),"Not on roster"))</f>
        <v/>
      </c>
      <c r="G2661" s="28" t="str">
        <f aca="false">IF(OR(B2661="",C2661=""),"",F2661&amp;" | "&amp;C2661)</f>
        <v/>
      </c>
      <c r="H2661" s="27" t="str">
        <f aca="false">IF(G2661="","",IFERROR(INDEX(Levels!$C$5:$C$94,MATCH(G2661,Levels!$G$5:$G$94,0)),"Not this class's skill"))</f>
        <v/>
      </c>
    </row>
    <row r="2662" customFormat="false" ht="15" hidden="false" customHeight="false" outlineLevel="0" collapsed="false">
      <c r="A2662" s="23"/>
      <c r="B2662" s="22"/>
      <c r="C2662" s="22"/>
      <c r="D2662" s="22"/>
      <c r="E2662" s="22"/>
      <c r="F2662" s="27" t="str">
        <f aca="false">IF(B2662="","",IFERROR(INDEX(Roster!$B$5:$B$154,MATCH(B2662,Roster!$A$5:$A$154,0)),"Not on roster"))</f>
        <v/>
      </c>
      <c r="G2662" s="28" t="str">
        <f aca="false">IF(OR(B2662="",C2662=""),"",F2662&amp;" | "&amp;C2662)</f>
        <v/>
      </c>
      <c r="H2662" s="27" t="str">
        <f aca="false">IF(G2662="","",IFERROR(INDEX(Levels!$C$5:$C$94,MATCH(G2662,Levels!$G$5:$G$94,0)),"Not this class's skill"))</f>
        <v/>
      </c>
    </row>
    <row r="2663" customFormat="false" ht="15" hidden="false" customHeight="false" outlineLevel="0" collapsed="false">
      <c r="A2663" s="23"/>
      <c r="B2663" s="22"/>
      <c r="C2663" s="22"/>
      <c r="D2663" s="22"/>
      <c r="E2663" s="22"/>
      <c r="F2663" s="27" t="str">
        <f aca="false">IF(B2663="","",IFERROR(INDEX(Roster!$B$5:$B$154,MATCH(B2663,Roster!$A$5:$A$154,0)),"Not on roster"))</f>
        <v/>
      </c>
      <c r="G2663" s="28" t="str">
        <f aca="false">IF(OR(B2663="",C2663=""),"",F2663&amp;" | "&amp;C2663)</f>
        <v/>
      </c>
      <c r="H2663" s="27" t="str">
        <f aca="false">IF(G2663="","",IFERROR(INDEX(Levels!$C$5:$C$94,MATCH(G2663,Levels!$G$5:$G$94,0)),"Not this class's skill"))</f>
        <v/>
      </c>
    </row>
    <row r="2664" customFormat="false" ht="15" hidden="false" customHeight="false" outlineLevel="0" collapsed="false">
      <c r="A2664" s="23"/>
      <c r="B2664" s="22"/>
      <c r="C2664" s="22"/>
      <c r="D2664" s="22"/>
      <c r="E2664" s="22"/>
      <c r="F2664" s="27" t="str">
        <f aca="false">IF(B2664="","",IFERROR(INDEX(Roster!$B$5:$B$154,MATCH(B2664,Roster!$A$5:$A$154,0)),"Not on roster"))</f>
        <v/>
      </c>
      <c r="G2664" s="28" t="str">
        <f aca="false">IF(OR(B2664="",C2664=""),"",F2664&amp;" | "&amp;C2664)</f>
        <v/>
      </c>
      <c r="H2664" s="27" t="str">
        <f aca="false">IF(G2664="","",IFERROR(INDEX(Levels!$C$5:$C$94,MATCH(G2664,Levels!$G$5:$G$94,0)),"Not this class's skill"))</f>
        <v/>
      </c>
    </row>
    <row r="2665" customFormat="false" ht="15" hidden="false" customHeight="false" outlineLevel="0" collapsed="false">
      <c r="A2665" s="23"/>
      <c r="B2665" s="22"/>
      <c r="C2665" s="22"/>
      <c r="D2665" s="22"/>
      <c r="E2665" s="22"/>
      <c r="F2665" s="27" t="str">
        <f aca="false">IF(B2665="","",IFERROR(INDEX(Roster!$B$5:$B$154,MATCH(B2665,Roster!$A$5:$A$154,0)),"Not on roster"))</f>
        <v/>
      </c>
      <c r="G2665" s="28" t="str">
        <f aca="false">IF(OR(B2665="",C2665=""),"",F2665&amp;" | "&amp;C2665)</f>
        <v/>
      </c>
      <c r="H2665" s="27" t="str">
        <f aca="false">IF(G2665="","",IFERROR(INDEX(Levels!$C$5:$C$94,MATCH(G2665,Levels!$G$5:$G$94,0)),"Not this class's skill"))</f>
        <v/>
      </c>
    </row>
    <row r="2666" customFormat="false" ht="15" hidden="false" customHeight="false" outlineLevel="0" collapsed="false">
      <c r="A2666" s="23"/>
      <c r="B2666" s="22"/>
      <c r="C2666" s="22"/>
      <c r="D2666" s="22"/>
      <c r="E2666" s="22"/>
      <c r="F2666" s="27" t="str">
        <f aca="false">IF(B2666="","",IFERROR(INDEX(Roster!$B$5:$B$154,MATCH(B2666,Roster!$A$5:$A$154,0)),"Not on roster"))</f>
        <v/>
      </c>
      <c r="G2666" s="28" t="str">
        <f aca="false">IF(OR(B2666="",C2666=""),"",F2666&amp;" | "&amp;C2666)</f>
        <v/>
      </c>
      <c r="H2666" s="27" t="str">
        <f aca="false">IF(G2666="","",IFERROR(INDEX(Levels!$C$5:$C$94,MATCH(G2666,Levels!$G$5:$G$94,0)),"Not this class's skill"))</f>
        <v/>
      </c>
    </row>
    <row r="2667" customFormat="false" ht="15" hidden="false" customHeight="false" outlineLevel="0" collapsed="false">
      <c r="A2667" s="23"/>
      <c r="B2667" s="22"/>
      <c r="C2667" s="22"/>
      <c r="D2667" s="22"/>
      <c r="E2667" s="22"/>
      <c r="F2667" s="27" t="str">
        <f aca="false">IF(B2667="","",IFERROR(INDEX(Roster!$B$5:$B$154,MATCH(B2667,Roster!$A$5:$A$154,0)),"Not on roster"))</f>
        <v/>
      </c>
      <c r="G2667" s="28" t="str">
        <f aca="false">IF(OR(B2667="",C2667=""),"",F2667&amp;" | "&amp;C2667)</f>
        <v/>
      </c>
      <c r="H2667" s="27" t="str">
        <f aca="false">IF(G2667="","",IFERROR(INDEX(Levels!$C$5:$C$94,MATCH(G2667,Levels!$G$5:$G$94,0)),"Not this class's skill"))</f>
        <v/>
      </c>
    </row>
    <row r="2668" customFormat="false" ht="15" hidden="false" customHeight="false" outlineLevel="0" collapsed="false">
      <c r="A2668" s="23"/>
      <c r="B2668" s="22"/>
      <c r="C2668" s="22"/>
      <c r="D2668" s="22"/>
      <c r="E2668" s="22"/>
      <c r="F2668" s="27" t="str">
        <f aca="false">IF(B2668="","",IFERROR(INDEX(Roster!$B$5:$B$154,MATCH(B2668,Roster!$A$5:$A$154,0)),"Not on roster"))</f>
        <v/>
      </c>
      <c r="G2668" s="28" t="str">
        <f aca="false">IF(OR(B2668="",C2668=""),"",F2668&amp;" | "&amp;C2668)</f>
        <v/>
      </c>
      <c r="H2668" s="27" t="str">
        <f aca="false">IF(G2668="","",IFERROR(INDEX(Levels!$C$5:$C$94,MATCH(G2668,Levels!$G$5:$G$94,0)),"Not this class's skill"))</f>
        <v/>
      </c>
    </row>
    <row r="2669" customFormat="false" ht="15" hidden="false" customHeight="false" outlineLevel="0" collapsed="false">
      <c r="A2669" s="23"/>
      <c r="B2669" s="22"/>
      <c r="C2669" s="22"/>
      <c r="D2669" s="22"/>
      <c r="E2669" s="22"/>
      <c r="F2669" s="27" t="str">
        <f aca="false">IF(B2669="","",IFERROR(INDEX(Roster!$B$5:$B$154,MATCH(B2669,Roster!$A$5:$A$154,0)),"Not on roster"))</f>
        <v/>
      </c>
      <c r="G2669" s="28" t="str">
        <f aca="false">IF(OR(B2669="",C2669=""),"",F2669&amp;" | "&amp;C2669)</f>
        <v/>
      </c>
      <c r="H2669" s="27" t="str">
        <f aca="false">IF(G2669="","",IFERROR(INDEX(Levels!$C$5:$C$94,MATCH(G2669,Levels!$G$5:$G$94,0)),"Not this class's skill"))</f>
        <v/>
      </c>
    </row>
    <row r="2670" customFormat="false" ht="15" hidden="false" customHeight="false" outlineLevel="0" collapsed="false">
      <c r="A2670" s="23"/>
      <c r="B2670" s="22"/>
      <c r="C2670" s="22"/>
      <c r="D2670" s="22"/>
      <c r="E2670" s="22"/>
      <c r="F2670" s="27" t="str">
        <f aca="false">IF(B2670="","",IFERROR(INDEX(Roster!$B$5:$B$154,MATCH(B2670,Roster!$A$5:$A$154,0)),"Not on roster"))</f>
        <v/>
      </c>
      <c r="G2670" s="28" t="str">
        <f aca="false">IF(OR(B2670="",C2670=""),"",F2670&amp;" | "&amp;C2670)</f>
        <v/>
      </c>
      <c r="H2670" s="27" t="str">
        <f aca="false">IF(G2670="","",IFERROR(INDEX(Levels!$C$5:$C$94,MATCH(G2670,Levels!$G$5:$G$94,0)),"Not this class's skill"))</f>
        <v/>
      </c>
    </row>
    <row r="2671" customFormat="false" ht="15" hidden="false" customHeight="false" outlineLevel="0" collapsed="false">
      <c r="A2671" s="23"/>
      <c r="B2671" s="22"/>
      <c r="C2671" s="22"/>
      <c r="D2671" s="22"/>
      <c r="E2671" s="22"/>
      <c r="F2671" s="27" t="str">
        <f aca="false">IF(B2671="","",IFERROR(INDEX(Roster!$B$5:$B$154,MATCH(B2671,Roster!$A$5:$A$154,0)),"Not on roster"))</f>
        <v/>
      </c>
      <c r="G2671" s="28" t="str">
        <f aca="false">IF(OR(B2671="",C2671=""),"",F2671&amp;" | "&amp;C2671)</f>
        <v/>
      </c>
      <c r="H2671" s="27" t="str">
        <f aca="false">IF(G2671="","",IFERROR(INDEX(Levels!$C$5:$C$94,MATCH(G2671,Levels!$G$5:$G$94,0)),"Not this class's skill"))</f>
        <v/>
      </c>
    </row>
    <row r="2672" customFormat="false" ht="15" hidden="false" customHeight="false" outlineLevel="0" collapsed="false">
      <c r="A2672" s="23"/>
      <c r="B2672" s="22"/>
      <c r="C2672" s="22"/>
      <c r="D2672" s="22"/>
      <c r="E2672" s="22"/>
      <c r="F2672" s="27" t="str">
        <f aca="false">IF(B2672="","",IFERROR(INDEX(Roster!$B$5:$B$154,MATCH(B2672,Roster!$A$5:$A$154,0)),"Not on roster"))</f>
        <v/>
      </c>
      <c r="G2672" s="28" t="str">
        <f aca="false">IF(OR(B2672="",C2672=""),"",F2672&amp;" | "&amp;C2672)</f>
        <v/>
      </c>
      <c r="H2672" s="27" t="str">
        <f aca="false">IF(G2672="","",IFERROR(INDEX(Levels!$C$5:$C$94,MATCH(G2672,Levels!$G$5:$G$94,0)),"Not this class's skill"))</f>
        <v/>
      </c>
    </row>
    <row r="2673" customFormat="false" ht="15" hidden="false" customHeight="false" outlineLevel="0" collapsed="false">
      <c r="A2673" s="23"/>
      <c r="B2673" s="22"/>
      <c r="C2673" s="22"/>
      <c r="D2673" s="22"/>
      <c r="E2673" s="22"/>
      <c r="F2673" s="27" t="str">
        <f aca="false">IF(B2673="","",IFERROR(INDEX(Roster!$B$5:$B$154,MATCH(B2673,Roster!$A$5:$A$154,0)),"Not on roster"))</f>
        <v/>
      </c>
      <c r="G2673" s="28" t="str">
        <f aca="false">IF(OR(B2673="",C2673=""),"",F2673&amp;" | "&amp;C2673)</f>
        <v/>
      </c>
      <c r="H2673" s="27" t="str">
        <f aca="false">IF(G2673="","",IFERROR(INDEX(Levels!$C$5:$C$94,MATCH(G2673,Levels!$G$5:$G$94,0)),"Not this class's skill"))</f>
        <v/>
      </c>
    </row>
    <row r="2674" customFormat="false" ht="15" hidden="false" customHeight="false" outlineLevel="0" collapsed="false">
      <c r="A2674" s="23"/>
      <c r="B2674" s="22"/>
      <c r="C2674" s="22"/>
      <c r="D2674" s="22"/>
      <c r="E2674" s="22"/>
      <c r="F2674" s="27" t="str">
        <f aca="false">IF(B2674="","",IFERROR(INDEX(Roster!$B$5:$B$154,MATCH(B2674,Roster!$A$5:$A$154,0)),"Not on roster"))</f>
        <v/>
      </c>
      <c r="G2674" s="28" t="str">
        <f aca="false">IF(OR(B2674="",C2674=""),"",F2674&amp;" | "&amp;C2674)</f>
        <v/>
      </c>
      <c r="H2674" s="27" t="str">
        <f aca="false">IF(G2674="","",IFERROR(INDEX(Levels!$C$5:$C$94,MATCH(G2674,Levels!$G$5:$G$94,0)),"Not this class's skill"))</f>
        <v/>
      </c>
    </row>
    <row r="2675" customFormat="false" ht="15" hidden="false" customHeight="false" outlineLevel="0" collapsed="false">
      <c r="A2675" s="23"/>
      <c r="B2675" s="22"/>
      <c r="C2675" s="22"/>
      <c r="D2675" s="22"/>
      <c r="E2675" s="22"/>
      <c r="F2675" s="27" t="str">
        <f aca="false">IF(B2675="","",IFERROR(INDEX(Roster!$B$5:$B$154,MATCH(B2675,Roster!$A$5:$A$154,0)),"Not on roster"))</f>
        <v/>
      </c>
      <c r="G2675" s="28" t="str">
        <f aca="false">IF(OR(B2675="",C2675=""),"",F2675&amp;" | "&amp;C2675)</f>
        <v/>
      </c>
      <c r="H2675" s="27" t="str">
        <f aca="false">IF(G2675="","",IFERROR(INDEX(Levels!$C$5:$C$94,MATCH(G2675,Levels!$G$5:$G$94,0)),"Not this class's skill"))</f>
        <v/>
      </c>
    </row>
    <row r="2676" customFormat="false" ht="15" hidden="false" customHeight="false" outlineLevel="0" collapsed="false">
      <c r="A2676" s="23"/>
      <c r="B2676" s="22"/>
      <c r="C2676" s="22"/>
      <c r="D2676" s="22"/>
      <c r="E2676" s="22"/>
      <c r="F2676" s="27" t="str">
        <f aca="false">IF(B2676="","",IFERROR(INDEX(Roster!$B$5:$B$154,MATCH(B2676,Roster!$A$5:$A$154,0)),"Not on roster"))</f>
        <v/>
      </c>
      <c r="G2676" s="28" t="str">
        <f aca="false">IF(OR(B2676="",C2676=""),"",F2676&amp;" | "&amp;C2676)</f>
        <v/>
      </c>
      <c r="H2676" s="27" t="str">
        <f aca="false">IF(G2676="","",IFERROR(INDEX(Levels!$C$5:$C$94,MATCH(G2676,Levels!$G$5:$G$94,0)),"Not this class's skill"))</f>
        <v/>
      </c>
    </row>
    <row r="2677" customFormat="false" ht="15" hidden="false" customHeight="false" outlineLevel="0" collapsed="false">
      <c r="A2677" s="23"/>
      <c r="B2677" s="22"/>
      <c r="C2677" s="22"/>
      <c r="D2677" s="22"/>
      <c r="E2677" s="22"/>
      <c r="F2677" s="27" t="str">
        <f aca="false">IF(B2677="","",IFERROR(INDEX(Roster!$B$5:$B$154,MATCH(B2677,Roster!$A$5:$A$154,0)),"Not on roster"))</f>
        <v/>
      </c>
      <c r="G2677" s="28" t="str">
        <f aca="false">IF(OR(B2677="",C2677=""),"",F2677&amp;" | "&amp;C2677)</f>
        <v/>
      </c>
      <c r="H2677" s="27" t="str">
        <f aca="false">IF(G2677="","",IFERROR(INDEX(Levels!$C$5:$C$94,MATCH(G2677,Levels!$G$5:$G$94,0)),"Not this class's skill"))</f>
        <v/>
      </c>
    </row>
    <row r="2678" customFormat="false" ht="15" hidden="false" customHeight="false" outlineLevel="0" collapsed="false">
      <c r="A2678" s="23"/>
      <c r="B2678" s="22"/>
      <c r="C2678" s="22"/>
      <c r="D2678" s="22"/>
      <c r="E2678" s="22"/>
      <c r="F2678" s="27" t="str">
        <f aca="false">IF(B2678="","",IFERROR(INDEX(Roster!$B$5:$B$154,MATCH(B2678,Roster!$A$5:$A$154,0)),"Not on roster"))</f>
        <v/>
      </c>
      <c r="G2678" s="28" t="str">
        <f aca="false">IF(OR(B2678="",C2678=""),"",F2678&amp;" | "&amp;C2678)</f>
        <v/>
      </c>
      <c r="H2678" s="27" t="str">
        <f aca="false">IF(G2678="","",IFERROR(INDEX(Levels!$C$5:$C$94,MATCH(G2678,Levels!$G$5:$G$94,0)),"Not this class's skill"))</f>
        <v/>
      </c>
    </row>
    <row r="2679" customFormat="false" ht="15" hidden="false" customHeight="false" outlineLevel="0" collapsed="false">
      <c r="A2679" s="23"/>
      <c r="B2679" s="22"/>
      <c r="C2679" s="22"/>
      <c r="D2679" s="22"/>
      <c r="E2679" s="22"/>
      <c r="F2679" s="27" t="str">
        <f aca="false">IF(B2679="","",IFERROR(INDEX(Roster!$B$5:$B$154,MATCH(B2679,Roster!$A$5:$A$154,0)),"Not on roster"))</f>
        <v/>
      </c>
      <c r="G2679" s="28" t="str">
        <f aca="false">IF(OR(B2679="",C2679=""),"",F2679&amp;" | "&amp;C2679)</f>
        <v/>
      </c>
      <c r="H2679" s="27" t="str">
        <f aca="false">IF(G2679="","",IFERROR(INDEX(Levels!$C$5:$C$94,MATCH(G2679,Levels!$G$5:$G$94,0)),"Not this class's skill"))</f>
        <v/>
      </c>
    </row>
    <row r="2680" customFormat="false" ht="15" hidden="false" customHeight="false" outlineLevel="0" collapsed="false">
      <c r="A2680" s="23"/>
      <c r="B2680" s="22"/>
      <c r="C2680" s="22"/>
      <c r="D2680" s="22"/>
      <c r="E2680" s="22"/>
      <c r="F2680" s="27" t="str">
        <f aca="false">IF(B2680="","",IFERROR(INDEX(Roster!$B$5:$B$154,MATCH(B2680,Roster!$A$5:$A$154,0)),"Not on roster"))</f>
        <v/>
      </c>
      <c r="G2680" s="28" t="str">
        <f aca="false">IF(OR(B2680="",C2680=""),"",F2680&amp;" | "&amp;C2680)</f>
        <v/>
      </c>
      <c r="H2680" s="27" t="str">
        <f aca="false">IF(G2680="","",IFERROR(INDEX(Levels!$C$5:$C$94,MATCH(G2680,Levels!$G$5:$G$94,0)),"Not this class's skill"))</f>
        <v/>
      </c>
    </row>
    <row r="2681" customFormat="false" ht="15" hidden="false" customHeight="false" outlineLevel="0" collapsed="false">
      <c r="A2681" s="23"/>
      <c r="B2681" s="22"/>
      <c r="C2681" s="22"/>
      <c r="D2681" s="22"/>
      <c r="E2681" s="22"/>
      <c r="F2681" s="27" t="str">
        <f aca="false">IF(B2681="","",IFERROR(INDEX(Roster!$B$5:$B$154,MATCH(B2681,Roster!$A$5:$A$154,0)),"Not on roster"))</f>
        <v/>
      </c>
      <c r="G2681" s="28" t="str">
        <f aca="false">IF(OR(B2681="",C2681=""),"",F2681&amp;" | "&amp;C2681)</f>
        <v/>
      </c>
      <c r="H2681" s="27" t="str">
        <f aca="false">IF(G2681="","",IFERROR(INDEX(Levels!$C$5:$C$94,MATCH(G2681,Levels!$G$5:$G$94,0)),"Not this class's skill"))</f>
        <v/>
      </c>
    </row>
    <row r="2682" customFormat="false" ht="15" hidden="false" customHeight="false" outlineLevel="0" collapsed="false">
      <c r="A2682" s="23"/>
      <c r="B2682" s="22"/>
      <c r="C2682" s="22"/>
      <c r="D2682" s="22"/>
      <c r="E2682" s="22"/>
      <c r="F2682" s="27" t="str">
        <f aca="false">IF(B2682="","",IFERROR(INDEX(Roster!$B$5:$B$154,MATCH(B2682,Roster!$A$5:$A$154,0)),"Not on roster"))</f>
        <v/>
      </c>
      <c r="G2682" s="28" t="str">
        <f aca="false">IF(OR(B2682="",C2682=""),"",F2682&amp;" | "&amp;C2682)</f>
        <v/>
      </c>
      <c r="H2682" s="27" t="str">
        <f aca="false">IF(G2682="","",IFERROR(INDEX(Levels!$C$5:$C$94,MATCH(G2682,Levels!$G$5:$G$94,0)),"Not this class's skill"))</f>
        <v/>
      </c>
    </row>
    <row r="2683" customFormat="false" ht="15" hidden="false" customHeight="false" outlineLevel="0" collapsed="false">
      <c r="A2683" s="23"/>
      <c r="B2683" s="22"/>
      <c r="C2683" s="22"/>
      <c r="D2683" s="22"/>
      <c r="E2683" s="22"/>
      <c r="F2683" s="27" t="str">
        <f aca="false">IF(B2683="","",IFERROR(INDEX(Roster!$B$5:$B$154,MATCH(B2683,Roster!$A$5:$A$154,0)),"Not on roster"))</f>
        <v/>
      </c>
      <c r="G2683" s="28" t="str">
        <f aca="false">IF(OR(B2683="",C2683=""),"",F2683&amp;" | "&amp;C2683)</f>
        <v/>
      </c>
      <c r="H2683" s="27" t="str">
        <f aca="false">IF(G2683="","",IFERROR(INDEX(Levels!$C$5:$C$94,MATCH(G2683,Levels!$G$5:$G$94,0)),"Not this class's skill"))</f>
        <v/>
      </c>
    </row>
    <row r="2684" customFormat="false" ht="15" hidden="false" customHeight="false" outlineLevel="0" collapsed="false">
      <c r="A2684" s="23"/>
      <c r="B2684" s="22"/>
      <c r="C2684" s="22"/>
      <c r="D2684" s="22"/>
      <c r="E2684" s="22"/>
      <c r="F2684" s="27" t="str">
        <f aca="false">IF(B2684="","",IFERROR(INDEX(Roster!$B$5:$B$154,MATCH(B2684,Roster!$A$5:$A$154,0)),"Not on roster"))</f>
        <v/>
      </c>
      <c r="G2684" s="28" t="str">
        <f aca="false">IF(OR(B2684="",C2684=""),"",F2684&amp;" | "&amp;C2684)</f>
        <v/>
      </c>
      <c r="H2684" s="27" t="str">
        <f aca="false">IF(G2684="","",IFERROR(INDEX(Levels!$C$5:$C$94,MATCH(G2684,Levels!$G$5:$G$94,0)),"Not this class's skill"))</f>
        <v/>
      </c>
    </row>
    <row r="2685" customFormat="false" ht="15" hidden="false" customHeight="false" outlineLevel="0" collapsed="false">
      <c r="A2685" s="23"/>
      <c r="B2685" s="22"/>
      <c r="C2685" s="22"/>
      <c r="D2685" s="22"/>
      <c r="E2685" s="22"/>
      <c r="F2685" s="27" t="str">
        <f aca="false">IF(B2685="","",IFERROR(INDEX(Roster!$B$5:$B$154,MATCH(B2685,Roster!$A$5:$A$154,0)),"Not on roster"))</f>
        <v/>
      </c>
      <c r="G2685" s="28" t="str">
        <f aca="false">IF(OR(B2685="",C2685=""),"",F2685&amp;" | "&amp;C2685)</f>
        <v/>
      </c>
      <c r="H2685" s="27" t="str">
        <f aca="false">IF(G2685="","",IFERROR(INDEX(Levels!$C$5:$C$94,MATCH(G2685,Levels!$G$5:$G$94,0)),"Not this class's skill"))</f>
        <v/>
      </c>
    </row>
    <row r="2686" customFormat="false" ht="15" hidden="false" customHeight="false" outlineLevel="0" collapsed="false">
      <c r="A2686" s="23"/>
      <c r="B2686" s="22"/>
      <c r="C2686" s="22"/>
      <c r="D2686" s="22"/>
      <c r="E2686" s="22"/>
      <c r="F2686" s="27" t="str">
        <f aca="false">IF(B2686="","",IFERROR(INDEX(Roster!$B$5:$B$154,MATCH(B2686,Roster!$A$5:$A$154,0)),"Not on roster"))</f>
        <v/>
      </c>
      <c r="G2686" s="28" t="str">
        <f aca="false">IF(OR(B2686="",C2686=""),"",F2686&amp;" | "&amp;C2686)</f>
        <v/>
      </c>
      <c r="H2686" s="27" t="str">
        <f aca="false">IF(G2686="","",IFERROR(INDEX(Levels!$C$5:$C$94,MATCH(G2686,Levels!$G$5:$G$94,0)),"Not this class's skill"))</f>
        <v/>
      </c>
    </row>
    <row r="2687" customFormat="false" ht="15" hidden="false" customHeight="false" outlineLevel="0" collapsed="false">
      <c r="A2687" s="23"/>
      <c r="B2687" s="22"/>
      <c r="C2687" s="22"/>
      <c r="D2687" s="22"/>
      <c r="E2687" s="22"/>
      <c r="F2687" s="27" t="str">
        <f aca="false">IF(B2687="","",IFERROR(INDEX(Roster!$B$5:$B$154,MATCH(B2687,Roster!$A$5:$A$154,0)),"Not on roster"))</f>
        <v/>
      </c>
      <c r="G2687" s="28" t="str">
        <f aca="false">IF(OR(B2687="",C2687=""),"",F2687&amp;" | "&amp;C2687)</f>
        <v/>
      </c>
      <c r="H2687" s="27" t="str">
        <f aca="false">IF(G2687="","",IFERROR(INDEX(Levels!$C$5:$C$94,MATCH(G2687,Levels!$G$5:$G$94,0)),"Not this class's skill"))</f>
        <v/>
      </c>
    </row>
    <row r="2688" customFormat="false" ht="15" hidden="false" customHeight="false" outlineLevel="0" collapsed="false">
      <c r="A2688" s="23"/>
      <c r="B2688" s="22"/>
      <c r="C2688" s="22"/>
      <c r="D2688" s="22"/>
      <c r="E2688" s="22"/>
      <c r="F2688" s="27" t="str">
        <f aca="false">IF(B2688="","",IFERROR(INDEX(Roster!$B$5:$B$154,MATCH(B2688,Roster!$A$5:$A$154,0)),"Not on roster"))</f>
        <v/>
      </c>
      <c r="G2688" s="28" t="str">
        <f aca="false">IF(OR(B2688="",C2688=""),"",F2688&amp;" | "&amp;C2688)</f>
        <v/>
      </c>
      <c r="H2688" s="27" t="str">
        <f aca="false">IF(G2688="","",IFERROR(INDEX(Levels!$C$5:$C$94,MATCH(G2688,Levels!$G$5:$G$94,0)),"Not this class's skill"))</f>
        <v/>
      </c>
    </row>
    <row r="2689" customFormat="false" ht="15" hidden="false" customHeight="false" outlineLevel="0" collapsed="false">
      <c r="A2689" s="23"/>
      <c r="B2689" s="22"/>
      <c r="C2689" s="22"/>
      <c r="D2689" s="22"/>
      <c r="E2689" s="22"/>
      <c r="F2689" s="27" t="str">
        <f aca="false">IF(B2689="","",IFERROR(INDEX(Roster!$B$5:$B$154,MATCH(B2689,Roster!$A$5:$A$154,0)),"Not on roster"))</f>
        <v/>
      </c>
      <c r="G2689" s="28" t="str">
        <f aca="false">IF(OR(B2689="",C2689=""),"",F2689&amp;" | "&amp;C2689)</f>
        <v/>
      </c>
      <c r="H2689" s="27" t="str">
        <f aca="false">IF(G2689="","",IFERROR(INDEX(Levels!$C$5:$C$94,MATCH(G2689,Levels!$G$5:$G$94,0)),"Not this class's skill"))</f>
        <v/>
      </c>
    </row>
    <row r="2690" customFormat="false" ht="15" hidden="false" customHeight="false" outlineLevel="0" collapsed="false">
      <c r="A2690" s="23"/>
      <c r="B2690" s="22"/>
      <c r="C2690" s="22"/>
      <c r="D2690" s="22"/>
      <c r="E2690" s="22"/>
      <c r="F2690" s="27" t="str">
        <f aca="false">IF(B2690="","",IFERROR(INDEX(Roster!$B$5:$B$154,MATCH(B2690,Roster!$A$5:$A$154,0)),"Not on roster"))</f>
        <v/>
      </c>
      <c r="G2690" s="28" t="str">
        <f aca="false">IF(OR(B2690="",C2690=""),"",F2690&amp;" | "&amp;C2690)</f>
        <v/>
      </c>
      <c r="H2690" s="27" t="str">
        <f aca="false">IF(G2690="","",IFERROR(INDEX(Levels!$C$5:$C$94,MATCH(G2690,Levels!$G$5:$G$94,0)),"Not this class's skill"))</f>
        <v/>
      </c>
    </row>
    <row r="2691" customFormat="false" ht="15" hidden="false" customHeight="false" outlineLevel="0" collapsed="false">
      <c r="A2691" s="23"/>
      <c r="B2691" s="22"/>
      <c r="C2691" s="22"/>
      <c r="D2691" s="22"/>
      <c r="E2691" s="22"/>
      <c r="F2691" s="27" t="str">
        <f aca="false">IF(B2691="","",IFERROR(INDEX(Roster!$B$5:$B$154,MATCH(B2691,Roster!$A$5:$A$154,0)),"Not on roster"))</f>
        <v/>
      </c>
      <c r="G2691" s="28" t="str">
        <f aca="false">IF(OR(B2691="",C2691=""),"",F2691&amp;" | "&amp;C2691)</f>
        <v/>
      </c>
      <c r="H2691" s="27" t="str">
        <f aca="false">IF(G2691="","",IFERROR(INDEX(Levels!$C$5:$C$94,MATCH(G2691,Levels!$G$5:$G$94,0)),"Not this class's skill"))</f>
        <v/>
      </c>
    </row>
    <row r="2692" customFormat="false" ht="15" hidden="false" customHeight="false" outlineLevel="0" collapsed="false">
      <c r="A2692" s="23"/>
      <c r="B2692" s="22"/>
      <c r="C2692" s="22"/>
      <c r="D2692" s="22"/>
      <c r="E2692" s="22"/>
      <c r="F2692" s="27" t="str">
        <f aca="false">IF(B2692="","",IFERROR(INDEX(Roster!$B$5:$B$154,MATCH(B2692,Roster!$A$5:$A$154,0)),"Not on roster"))</f>
        <v/>
      </c>
      <c r="G2692" s="28" t="str">
        <f aca="false">IF(OR(B2692="",C2692=""),"",F2692&amp;" | "&amp;C2692)</f>
        <v/>
      </c>
      <c r="H2692" s="27" t="str">
        <f aca="false">IF(G2692="","",IFERROR(INDEX(Levels!$C$5:$C$94,MATCH(G2692,Levels!$G$5:$G$94,0)),"Not this class's skill"))</f>
        <v/>
      </c>
    </row>
    <row r="2693" customFormat="false" ht="15" hidden="false" customHeight="false" outlineLevel="0" collapsed="false">
      <c r="A2693" s="23"/>
      <c r="B2693" s="22"/>
      <c r="C2693" s="22"/>
      <c r="D2693" s="22"/>
      <c r="E2693" s="22"/>
      <c r="F2693" s="27" t="str">
        <f aca="false">IF(B2693="","",IFERROR(INDEX(Roster!$B$5:$B$154,MATCH(B2693,Roster!$A$5:$A$154,0)),"Not on roster"))</f>
        <v/>
      </c>
      <c r="G2693" s="28" t="str">
        <f aca="false">IF(OR(B2693="",C2693=""),"",F2693&amp;" | "&amp;C2693)</f>
        <v/>
      </c>
      <c r="H2693" s="27" t="str">
        <f aca="false">IF(G2693="","",IFERROR(INDEX(Levels!$C$5:$C$94,MATCH(G2693,Levels!$G$5:$G$94,0)),"Not this class's skill"))</f>
        <v/>
      </c>
    </row>
    <row r="2694" customFormat="false" ht="15" hidden="false" customHeight="false" outlineLevel="0" collapsed="false">
      <c r="A2694" s="23"/>
      <c r="B2694" s="22"/>
      <c r="C2694" s="22"/>
      <c r="D2694" s="22"/>
      <c r="E2694" s="22"/>
      <c r="F2694" s="27" t="str">
        <f aca="false">IF(B2694="","",IFERROR(INDEX(Roster!$B$5:$B$154,MATCH(B2694,Roster!$A$5:$A$154,0)),"Not on roster"))</f>
        <v/>
      </c>
      <c r="G2694" s="28" t="str">
        <f aca="false">IF(OR(B2694="",C2694=""),"",F2694&amp;" | "&amp;C2694)</f>
        <v/>
      </c>
      <c r="H2694" s="27" t="str">
        <f aca="false">IF(G2694="","",IFERROR(INDEX(Levels!$C$5:$C$94,MATCH(G2694,Levels!$G$5:$G$94,0)),"Not this class's skill"))</f>
        <v/>
      </c>
    </row>
    <row r="2695" customFormat="false" ht="15" hidden="false" customHeight="false" outlineLevel="0" collapsed="false">
      <c r="A2695" s="23"/>
      <c r="B2695" s="22"/>
      <c r="C2695" s="22"/>
      <c r="D2695" s="22"/>
      <c r="E2695" s="22"/>
      <c r="F2695" s="27" t="str">
        <f aca="false">IF(B2695="","",IFERROR(INDEX(Roster!$B$5:$B$154,MATCH(B2695,Roster!$A$5:$A$154,0)),"Not on roster"))</f>
        <v/>
      </c>
      <c r="G2695" s="28" t="str">
        <f aca="false">IF(OR(B2695="",C2695=""),"",F2695&amp;" | "&amp;C2695)</f>
        <v/>
      </c>
      <c r="H2695" s="27" t="str">
        <f aca="false">IF(G2695="","",IFERROR(INDEX(Levels!$C$5:$C$94,MATCH(G2695,Levels!$G$5:$G$94,0)),"Not this class's skill"))</f>
        <v/>
      </c>
    </row>
    <row r="2696" customFormat="false" ht="15" hidden="false" customHeight="false" outlineLevel="0" collapsed="false">
      <c r="A2696" s="23"/>
      <c r="B2696" s="22"/>
      <c r="C2696" s="22"/>
      <c r="D2696" s="22"/>
      <c r="E2696" s="22"/>
      <c r="F2696" s="27" t="str">
        <f aca="false">IF(B2696="","",IFERROR(INDEX(Roster!$B$5:$B$154,MATCH(B2696,Roster!$A$5:$A$154,0)),"Not on roster"))</f>
        <v/>
      </c>
      <c r="G2696" s="28" t="str">
        <f aca="false">IF(OR(B2696="",C2696=""),"",F2696&amp;" | "&amp;C2696)</f>
        <v/>
      </c>
      <c r="H2696" s="27" t="str">
        <f aca="false">IF(G2696="","",IFERROR(INDEX(Levels!$C$5:$C$94,MATCH(G2696,Levels!$G$5:$G$94,0)),"Not this class's skill"))</f>
        <v/>
      </c>
    </row>
    <row r="2697" customFormat="false" ht="15" hidden="false" customHeight="false" outlineLevel="0" collapsed="false">
      <c r="A2697" s="23"/>
      <c r="B2697" s="22"/>
      <c r="C2697" s="22"/>
      <c r="D2697" s="22"/>
      <c r="E2697" s="22"/>
      <c r="F2697" s="27" t="str">
        <f aca="false">IF(B2697="","",IFERROR(INDEX(Roster!$B$5:$B$154,MATCH(B2697,Roster!$A$5:$A$154,0)),"Not on roster"))</f>
        <v/>
      </c>
      <c r="G2697" s="28" t="str">
        <f aca="false">IF(OR(B2697="",C2697=""),"",F2697&amp;" | "&amp;C2697)</f>
        <v/>
      </c>
      <c r="H2697" s="27" t="str">
        <f aca="false">IF(G2697="","",IFERROR(INDEX(Levels!$C$5:$C$94,MATCH(G2697,Levels!$G$5:$G$94,0)),"Not this class's skill"))</f>
        <v/>
      </c>
    </row>
    <row r="2698" customFormat="false" ht="15" hidden="false" customHeight="false" outlineLevel="0" collapsed="false">
      <c r="A2698" s="23"/>
      <c r="B2698" s="22"/>
      <c r="C2698" s="22"/>
      <c r="D2698" s="22"/>
      <c r="E2698" s="22"/>
      <c r="F2698" s="27" t="str">
        <f aca="false">IF(B2698="","",IFERROR(INDEX(Roster!$B$5:$B$154,MATCH(B2698,Roster!$A$5:$A$154,0)),"Not on roster"))</f>
        <v/>
      </c>
      <c r="G2698" s="28" t="str">
        <f aca="false">IF(OR(B2698="",C2698=""),"",F2698&amp;" | "&amp;C2698)</f>
        <v/>
      </c>
      <c r="H2698" s="27" t="str">
        <f aca="false">IF(G2698="","",IFERROR(INDEX(Levels!$C$5:$C$94,MATCH(G2698,Levels!$G$5:$G$94,0)),"Not this class's skill"))</f>
        <v/>
      </c>
    </row>
    <row r="2699" customFormat="false" ht="15" hidden="false" customHeight="false" outlineLevel="0" collapsed="false">
      <c r="A2699" s="23"/>
      <c r="B2699" s="22"/>
      <c r="C2699" s="22"/>
      <c r="D2699" s="22"/>
      <c r="E2699" s="22"/>
      <c r="F2699" s="27" t="str">
        <f aca="false">IF(B2699="","",IFERROR(INDEX(Roster!$B$5:$B$154,MATCH(B2699,Roster!$A$5:$A$154,0)),"Not on roster"))</f>
        <v/>
      </c>
      <c r="G2699" s="28" t="str">
        <f aca="false">IF(OR(B2699="",C2699=""),"",F2699&amp;" | "&amp;C2699)</f>
        <v/>
      </c>
      <c r="H2699" s="27" t="str">
        <f aca="false">IF(G2699="","",IFERROR(INDEX(Levels!$C$5:$C$94,MATCH(G2699,Levels!$G$5:$G$94,0)),"Not this class's skill"))</f>
        <v/>
      </c>
    </row>
    <row r="2700" customFormat="false" ht="15" hidden="false" customHeight="false" outlineLevel="0" collapsed="false">
      <c r="A2700" s="23"/>
      <c r="B2700" s="22"/>
      <c r="C2700" s="22"/>
      <c r="D2700" s="22"/>
      <c r="E2700" s="22"/>
      <c r="F2700" s="27" t="str">
        <f aca="false">IF(B2700="","",IFERROR(INDEX(Roster!$B$5:$B$154,MATCH(B2700,Roster!$A$5:$A$154,0)),"Not on roster"))</f>
        <v/>
      </c>
      <c r="G2700" s="28" t="str">
        <f aca="false">IF(OR(B2700="",C2700=""),"",F2700&amp;" | "&amp;C2700)</f>
        <v/>
      </c>
      <c r="H2700" s="27" t="str">
        <f aca="false">IF(G2700="","",IFERROR(INDEX(Levels!$C$5:$C$94,MATCH(G2700,Levels!$G$5:$G$94,0)),"Not this class's skill"))</f>
        <v/>
      </c>
    </row>
    <row r="2701" customFormat="false" ht="15" hidden="false" customHeight="false" outlineLevel="0" collapsed="false">
      <c r="A2701" s="23"/>
      <c r="B2701" s="22"/>
      <c r="C2701" s="22"/>
      <c r="D2701" s="22"/>
      <c r="E2701" s="22"/>
      <c r="F2701" s="27" t="str">
        <f aca="false">IF(B2701="","",IFERROR(INDEX(Roster!$B$5:$B$154,MATCH(B2701,Roster!$A$5:$A$154,0)),"Not on roster"))</f>
        <v/>
      </c>
      <c r="G2701" s="28" t="str">
        <f aca="false">IF(OR(B2701="",C2701=""),"",F2701&amp;" | "&amp;C2701)</f>
        <v/>
      </c>
      <c r="H2701" s="27" t="str">
        <f aca="false">IF(G2701="","",IFERROR(INDEX(Levels!$C$5:$C$94,MATCH(G2701,Levels!$G$5:$G$94,0)),"Not this class's skill"))</f>
        <v/>
      </c>
    </row>
    <row r="2702" customFormat="false" ht="15" hidden="false" customHeight="false" outlineLevel="0" collapsed="false">
      <c r="A2702" s="23"/>
      <c r="B2702" s="22"/>
      <c r="C2702" s="22"/>
      <c r="D2702" s="22"/>
      <c r="E2702" s="22"/>
      <c r="F2702" s="27" t="str">
        <f aca="false">IF(B2702="","",IFERROR(INDEX(Roster!$B$5:$B$154,MATCH(B2702,Roster!$A$5:$A$154,0)),"Not on roster"))</f>
        <v/>
      </c>
      <c r="G2702" s="28" t="str">
        <f aca="false">IF(OR(B2702="",C2702=""),"",F2702&amp;" | "&amp;C2702)</f>
        <v/>
      </c>
      <c r="H2702" s="27" t="str">
        <f aca="false">IF(G2702="","",IFERROR(INDEX(Levels!$C$5:$C$94,MATCH(G2702,Levels!$G$5:$G$94,0)),"Not this class's skill"))</f>
        <v/>
      </c>
    </row>
    <row r="2703" customFormat="false" ht="15" hidden="false" customHeight="false" outlineLevel="0" collapsed="false">
      <c r="A2703" s="23"/>
      <c r="B2703" s="22"/>
      <c r="C2703" s="22"/>
      <c r="D2703" s="22"/>
      <c r="E2703" s="22"/>
      <c r="F2703" s="27" t="str">
        <f aca="false">IF(B2703="","",IFERROR(INDEX(Roster!$B$5:$B$154,MATCH(B2703,Roster!$A$5:$A$154,0)),"Not on roster"))</f>
        <v/>
      </c>
      <c r="G2703" s="28" t="str">
        <f aca="false">IF(OR(B2703="",C2703=""),"",F2703&amp;" | "&amp;C2703)</f>
        <v/>
      </c>
      <c r="H2703" s="27" t="str">
        <f aca="false">IF(G2703="","",IFERROR(INDEX(Levels!$C$5:$C$94,MATCH(G2703,Levels!$G$5:$G$94,0)),"Not this class's skill"))</f>
        <v/>
      </c>
    </row>
    <row r="2704" customFormat="false" ht="15" hidden="false" customHeight="false" outlineLevel="0" collapsed="false">
      <c r="A2704" s="23"/>
      <c r="B2704" s="22"/>
      <c r="C2704" s="22"/>
      <c r="D2704" s="22"/>
      <c r="E2704" s="22"/>
      <c r="F2704" s="27" t="str">
        <f aca="false">IF(B2704="","",IFERROR(INDEX(Roster!$B$5:$B$154,MATCH(B2704,Roster!$A$5:$A$154,0)),"Not on roster"))</f>
        <v/>
      </c>
      <c r="G2704" s="28" t="str">
        <f aca="false">IF(OR(B2704="",C2704=""),"",F2704&amp;" | "&amp;C2704)</f>
        <v/>
      </c>
      <c r="H2704" s="27" t="str">
        <f aca="false">IF(G2704="","",IFERROR(INDEX(Levels!$C$5:$C$94,MATCH(G2704,Levels!$G$5:$G$94,0)),"Not this class's skill"))</f>
        <v/>
      </c>
    </row>
    <row r="2705" customFormat="false" ht="15" hidden="false" customHeight="false" outlineLevel="0" collapsed="false">
      <c r="A2705" s="23"/>
      <c r="B2705" s="22"/>
      <c r="C2705" s="22"/>
      <c r="D2705" s="22"/>
      <c r="E2705" s="22"/>
      <c r="F2705" s="27" t="str">
        <f aca="false">IF(B2705="","",IFERROR(INDEX(Roster!$B$5:$B$154,MATCH(B2705,Roster!$A$5:$A$154,0)),"Not on roster"))</f>
        <v/>
      </c>
      <c r="G2705" s="28" t="str">
        <f aca="false">IF(OR(B2705="",C2705=""),"",F2705&amp;" | "&amp;C2705)</f>
        <v/>
      </c>
      <c r="H2705" s="27" t="str">
        <f aca="false">IF(G2705="","",IFERROR(INDEX(Levels!$C$5:$C$94,MATCH(G2705,Levels!$G$5:$G$94,0)),"Not this class's skill"))</f>
        <v/>
      </c>
    </row>
    <row r="2706" customFormat="false" ht="15" hidden="false" customHeight="false" outlineLevel="0" collapsed="false">
      <c r="A2706" s="23"/>
      <c r="B2706" s="22"/>
      <c r="C2706" s="22"/>
      <c r="D2706" s="22"/>
      <c r="E2706" s="22"/>
      <c r="F2706" s="27" t="str">
        <f aca="false">IF(B2706="","",IFERROR(INDEX(Roster!$B$5:$B$154,MATCH(B2706,Roster!$A$5:$A$154,0)),"Not on roster"))</f>
        <v/>
      </c>
      <c r="G2706" s="28" t="str">
        <f aca="false">IF(OR(B2706="",C2706=""),"",F2706&amp;" | "&amp;C2706)</f>
        <v/>
      </c>
      <c r="H2706" s="27" t="str">
        <f aca="false">IF(G2706="","",IFERROR(INDEX(Levels!$C$5:$C$94,MATCH(G2706,Levels!$G$5:$G$94,0)),"Not this class's skill"))</f>
        <v/>
      </c>
    </row>
    <row r="2707" customFormat="false" ht="15" hidden="false" customHeight="false" outlineLevel="0" collapsed="false">
      <c r="A2707" s="23"/>
      <c r="B2707" s="22"/>
      <c r="C2707" s="22"/>
      <c r="D2707" s="22"/>
      <c r="E2707" s="22"/>
      <c r="F2707" s="27" t="str">
        <f aca="false">IF(B2707="","",IFERROR(INDEX(Roster!$B$5:$B$154,MATCH(B2707,Roster!$A$5:$A$154,0)),"Not on roster"))</f>
        <v/>
      </c>
      <c r="G2707" s="28" t="str">
        <f aca="false">IF(OR(B2707="",C2707=""),"",F2707&amp;" | "&amp;C2707)</f>
        <v/>
      </c>
      <c r="H2707" s="27" t="str">
        <f aca="false">IF(G2707="","",IFERROR(INDEX(Levels!$C$5:$C$94,MATCH(G2707,Levels!$G$5:$G$94,0)),"Not this class's skill"))</f>
        <v/>
      </c>
    </row>
    <row r="2708" customFormat="false" ht="15" hidden="false" customHeight="false" outlineLevel="0" collapsed="false">
      <c r="A2708" s="23"/>
      <c r="B2708" s="22"/>
      <c r="C2708" s="22"/>
      <c r="D2708" s="22"/>
      <c r="E2708" s="22"/>
      <c r="F2708" s="27" t="str">
        <f aca="false">IF(B2708="","",IFERROR(INDEX(Roster!$B$5:$B$154,MATCH(B2708,Roster!$A$5:$A$154,0)),"Not on roster"))</f>
        <v/>
      </c>
      <c r="G2708" s="28" t="str">
        <f aca="false">IF(OR(B2708="",C2708=""),"",F2708&amp;" | "&amp;C2708)</f>
        <v/>
      </c>
      <c r="H2708" s="27" t="str">
        <f aca="false">IF(G2708="","",IFERROR(INDEX(Levels!$C$5:$C$94,MATCH(G2708,Levels!$G$5:$G$94,0)),"Not this class's skill"))</f>
        <v/>
      </c>
    </row>
    <row r="2709" customFormat="false" ht="15" hidden="false" customHeight="false" outlineLevel="0" collapsed="false">
      <c r="A2709" s="23"/>
      <c r="B2709" s="22"/>
      <c r="C2709" s="22"/>
      <c r="D2709" s="22"/>
      <c r="E2709" s="22"/>
      <c r="F2709" s="27" t="str">
        <f aca="false">IF(B2709="","",IFERROR(INDEX(Roster!$B$5:$B$154,MATCH(B2709,Roster!$A$5:$A$154,0)),"Not on roster"))</f>
        <v/>
      </c>
      <c r="G2709" s="28" t="str">
        <f aca="false">IF(OR(B2709="",C2709=""),"",F2709&amp;" | "&amp;C2709)</f>
        <v/>
      </c>
      <c r="H2709" s="27" t="str">
        <f aca="false">IF(G2709="","",IFERROR(INDEX(Levels!$C$5:$C$94,MATCH(G2709,Levels!$G$5:$G$94,0)),"Not this class's skill"))</f>
        <v/>
      </c>
    </row>
    <row r="2710" customFormat="false" ht="15" hidden="false" customHeight="false" outlineLevel="0" collapsed="false">
      <c r="A2710" s="23"/>
      <c r="B2710" s="22"/>
      <c r="C2710" s="22"/>
      <c r="D2710" s="22"/>
      <c r="E2710" s="22"/>
      <c r="F2710" s="27" t="str">
        <f aca="false">IF(B2710="","",IFERROR(INDEX(Roster!$B$5:$B$154,MATCH(B2710,Roster!$A$5:$A$154,0)),"Not on roster"))</f>
        <v/>
      </c>
      <c r="G2710" s="28" t="str">
        <f aca="false">IF(OR(B2710="",C2710=""),"",F2710&amp;" | "&amp;C2710)</f>
        <v/>
      </c>
      <c r="H2710" s="27" t="str">
        <f aca="false">IF(G2710="","",IFERROR(INDEX(Levels!$C$5:$C$94,MATCH(G2710,Levels!$G$5:$G$94,0)),"Not this class's skill"))</f>
        <v/>
      </c>
    </row>
    <row r="2711" customFormat="false" ht="15" hidden="false" customHeight="false" outlineLevel="0" collapsed="false">
      <c r="A2711" s="23"/>
      <c r="B2711" s="22"/>
      <c r="C2711" s="22"/>
      <c r="D2711" s="22"/>
      <c r="E2711" s="22"/>
      <c r="F2711" s="27" t="str">
        <f aca="false">IF(B2711="","",IFERROR(INDEX(Roster!$B$5:$B$154,MATCH(B2711,Roster!$A$5:$A$154,0)),"Not on roster"))</f>
        <v/>
      </c>
      <c r="G2711" s="28" t="str">
        <f aca="false">IF(OR(B2711="",C2711=""),"",F2711&amp;" | "&amp;C2711)</f>
        <v/>
      </c>
      <c r="H2711" s="27" t="str">
        <f aca="false">IF(G2711="","",IFERROR(INDEX(Levels!$C$5:$C$94,MATCH(G2711,Levels!$G$5:$G$94,0)),"Not this class's skill"))</f>
        <v/>
      </c>
    </row>
    <row r="2712" customFormat="false" ht="15" hidden="false" customHeight="false" outlineLevel="0" collapsed="false">
      <c r="A2712" s="23"/>
      <c r="B2712" s="22"/>
      <c r="C2712" s="22"/>
      <c r="D2712" s="22"/>
      <c r="E2712" s="22"/>
      <c r="F2712" s="27" t="str">
        <f aca="false">IF(B2712="","",IFERROR(INDEX(Roster!$B$5:$B$154,MATCH(B2712,Roster!$A$5:$A$154,0)),"Not on roster"))</f>
        <v/>
      </c>
      <c r="G2712" s="28" t="str">
        <f aca="false">IF(OR(B2712="",C2712=""),"",F2712&amp;" | "&amp;C2712)</f>
        <v/>
      </c>
      <c r="H2712" s="27" t="str">
        <f aca="false">IF(G2712="","",IFERROR(INDEX(Levels!$C$5:$C$94,MATCH(G2712,Levels!$G$5:$G$94,0)),"Not this class's skill"))</f>
        <v/>
      </c>
    </row>
    <row r="2713" customFormat="false" ht="15" hidden="false" customHeight="false" outlineLevel="0" collapsed="false">
      <c r="A2713" s="23"/>
      <c r="B2713" s="22"/>
      <c r="C2713" s="22"/>
      <c r="D2713" s="22"/>
      <c r="E2713" s="22"/>
      <c r="F2713" s="27" t="str">
        <f aca="false">IF(B2713="","",IFERROR(INDEX(Roster!$B$5:$B$154,MATCH(B2713,Roster!$A$5:$A$154,0)),"Not on roster"))</f>
        <v/>
      </c>
      <c r="G2713" s="28" t="str">
        <f aca="false">IF(OR(B2713="",C2713=""),"",F2713&amp;" | "&amp;C2713)</f>
        <v/>
      </c>
      <c r="H2713" s="27" t="str">
        <f aca="false">IF(G2713="","",IFERROR(INDEX(Levels!$C$5:$C$94,MATCH(G2713,Levels!$G$5:$G$94,0)),"Not this class's skill"))</f>
        <v/>
      </c>
    </row>
    <row r="2714" customFormat="false" ht="15" hidden="false" customHeight="false" outlineLevel="0" collapsed="false">
      <c r="A2714" s="23"/>
      <c r="B2714" s="22"/>
      <c r="C2714" s="22"/>
      <c r="D2714" s="22"/>
      <c r="E2714" s="22"/>
      <c r="F2714" s="27" t="str">
        <f aca="false">IF(B2714="","",IFERROR(INDEX(Roster!$B$5:$B$154,MATCH(B2714,Roster!$A$5:$A$154,0)),"Not on roster"))</f>
        <v/>
      </c>
      <c r="G2714" s="28" t="str">
        <f aca="false">IF(OR(B2714="",C2714=""),"",F2714&amp;" | "&amp;C2714)</f>
        <v/>
      </c>
      <c r="H2714" s="27" t="str">
        <f aca="false">IF(G2714="","",IFERROR(INDEX(Levels!$C$5:$C$94,MATCH(G2714,Levels!$G$5:$G$94,0)),"Not this class's skill"))</f>
        <v/>
      </c>
    </row>
    <row r="2715" customFormat="false" ht="15" hidden="false" customHeight="false" outlineLevel="0" collapsed="false">
      <c r="A2715" s="23"/>
      <c r="B2715" s="22"/>
      <c r="C2715" s="22"/>
      <c r="D2715" s="22"/>
      <c r="E2715" s="22"/>
      <c r="F2715" s="27" t="str">
        <f aca="false">IF(B2715="","",IFERROR(INDEX(Roster!$B$5:$B$154,MATCH(B2715,Roster!$A$5:$A$154,0)),"Not on roster"))</f>
        <v/>
      </c>
      <c r="G2715" s="28" t="str">
        <f aca="false">IF(OR(B2715="",C2715=""),"",F2715&amp;" | "&amp;C2715)</f>
        <v/>
      </c>
      <c r="H2715" s="27" t="str">
        <f aca="false">IF(G2715="","",IFERROR(INDEX(Levels!$C$5:$C$94,MATCH(G2715,Levels!$G$5:$G$94,0)),"Not this class's skill"))</f>
        <v/>
      </c>
    </row>
    <row r="2716" customFormat="false" ht="15" hidden="false" customHeight="false" outlineLevel="0" collapsed="false">
      <c r="A2716" s="23"/>
      <c r="B2716" s="22"/>
      <c r="C2716" s="22"/>
      <c r="D2716" s="22"/>
      <c r="E2716" s="22"/>
      <c r="F2716" s="27" t="str">
        <f aca="false">IF(B2716="","",IFERROR(INDEX(Roster!$B$5:$B$154,MATCH(B2716,Roster!$A$5:$A$154,0)),"Not on roster"))</f>
        <v/>
      </c>
      <c r="G2716" s="28" t="str">
        <f aca="false">IF(OR(B2716="",C2716=""),"",F2716&amp;" | "&amp;C2716)</f>
        <v/>
      </c>
      <c r="H2716" s="27" t="str">
        <f aca="false">IF(G2716="","",IFERROR(INDEX(Levels!$C$5:$C$94,MATCH(G2716,Levels!$G$5:$G$94,0)),"Not this class's skill"))</f>
        <v/>
      </c>
    </row>
    <row r="2717" customFormat="false" ht="15" hidden="false" customHeight="false" outlineLevel="0" collapsed="false">
      <c r="A2717" s="23"/>
      <c r="B2717" s="22"/>
      <c r="C2717" s="22"/>
      <c r="D2717" s="22"/>
      <c r="E2717" s="22"/>
      <c r="F2717" s="27" t="str">
        <f aca="false">IF(B2717="","",IFERROR(INDEX(Roster!$B$5:$B$154,MATCH(B2717,Roster!$A$5:$A$154,0)),"Not on roster"))</f>
        <v/>
      </c>
      <c r="G2717" s="28" t="str">
        <f aca="false">IF(OR(B2717="",C2717=""),"",F2717&amp;" | "&amp;C2717)</f>
        <v/>
      </c>
      <c r="H2717" s="27" t="str">
        <f aca="false">IF(G2717="","",IFERROR(INDEX(Levels!$C$5:$C$94,MATCH(G2717,Levels!$G$5:$G$94,0)),"Not this class's skill"))</f>
        <v/>
      </c>
    </row>
    <row r="2718" customFormat="false" ht="15" hidden="false" customHeight="false" outlineLevel="0" collapsed="false">
      <c r="A2718" s="23"/>
      <c r="B2718" s="22"/>
      <c r="C2718" s="22"/>
      <c r="D2718" s="22"/>
      <c r="E2718" s="22"/>
      <c r="F2718" s="27" t="str">
        <f aca="false">IF(B2718="","",IFERROR(INDEX(Roster!$B$5:$B$154,MATCH(B2718,Roster!$A$5:$A$154,0)),"Not on roster"))</f>
        <v/>
      </c>
      <c r="G2718" s="28" t="str">
        <f aca="false">IF(OR(B2718="",C2718=""),"",F2718&amp;" | "&amp;C2718)</f>
        <v/>
      </c>
      <c r="H2718" s="27" t="str">
        <f aca="false">IF(G2718="","",IFERROR(INDEX(Levels!$C$5:$C$94,MATCH(G2718,Levels!$G$5:$G$94,0)),"Not this class's skill"))</f>
        <v/>
      </c>
    </row>
    <row r="2719" customFormat="false" ht="15" hidden="false" customHeight="false" outlineLevel="0" collapsed="false">
      <c r="A2719" s="23"/>
      <c r="B2719" s="22"/>
      <c r="C2719" s="22"/>
      <c r="D2719" s="22"/>
      <c r="E2719" s="22"/>
      <c r="F2719" s="27" t="str">
        <f aca="false">IF(B2719="","",IFERROR(INDEX(Roster!$B$5:$B$154,MATCH(B2719,Roster!$A$5:$A$154,0)),"Not on roster"))</f>
        <v/>
      </c>
      <c r="G2719" s="28" t="str">
        <f aca="false">IF(OR(B2719="",C2719=""),"",F2719&amp;" | "&amp;C2719)</f>
        <v/>
      </c>
      <c r="H2719" s="27" t="str">
        <f aca="false">IF(G2719="","",IFERROR(INDEX(Levels!$C$5:$C$94,MATCH(G2719,Levels!$G$5:$G$94,0)),"Not this class's skill"))</f>
        <v/>
      </c>
    </row>
    <row r="2720" customFormat="false" ht="15" hidden="false" customHeight="false" outlineLevel="0" collapsed="false">
      <c r="A2720" s="23"/>
      <c r="B2720" s="22"/>
      <c r="C2720" s="22"/>
      <c r="D2720" s="22"/>
      <c r="E2720" s="22"/>
      <c r="F2720" s="27" t="str">
        <f aca="false">IF(B2720="","",IFERROR(INDEX(Roster!$B$5:$B$154,MATCH(B2720,Roster!$A$5:$A$154,0)),"Not on roster"))</f>
        <v/>
      </c>
      <c r="G2720" s="28" t="str">
        <f aca="false">IF(OR(B2720="",C2720=""),"",F2720&amp;" | "&amp;C2720)</f>
        <v/>
      </c>
      <c r="H2720" s="27" t="str">
        <f aca="false">IF(G2720="","",IFERROR(INDEX(Levels!$C$5:$C$94,MATCH(G2720,Levels!$G$5:$G$94,0)),"Not this class's skill"))</f>
        <v/>
      </c>
    </row>
    <row r="2721" customFormat="false" ht="15" hidden="false" customHeight="false" outlineLevel="0" collapsed="false">
      <c r="A2721" s="23"/>
      <c r="B2721" s="22"/>
      <c r="C2721" s="22"/>
      <c r="D2721" s="22"/>
      <c r="E2721" s="22"/>
      <c r="F2721" s="27" t="str">
        <f aca="false">IF(B2721="","",IFERROR(INDEX(Roster!$B$5:$B$154,MATCH(B2721,Roster!$A$5:$A$154,0)),"Not on roster"))</f>
        <v/>
      </c>
      <c r="G2721" s="28" t="str">
        <f aca="false">IF(OR(B2721="",C2721=""),"",F2721&amp;" | "&amp;C2721)</f>
        <v/>
      </c>
      <c r="H2721" s="27" t="str">
        <f aca="false">IF(G2721="","",IFERROR(INDEX(Levels!$C$5:$C$94,MATCH(G2721,Levels!$G$5:$G$94,0)),"Not this class's skill"))</f>
        <v/>
      </c>
    </row>
    <row r="2722" customFormat="false" ht="15" hidden="false" customHeight="false" outlineLevel="0" collapsed="false">
      <c r="A2722" s="23"/>
      <c r="B2722" s="22"/>
      <c r="C2722" s="22"/>
      <c r="D2722" s="22"/>
      <c r="E2722" s="22"/>
      <c r="F2722" s="27" t="str">
        <f aca="false">IF(B2722="","",IFERROR(INDEX(Roster!$B$5:$B$154,MATCH(B2722,Roster!$A$5:$A$154,0)),"Not on roster"))</f>
        <v/>
      </c>
      <c r="G2722" s="28" t="str">
        <f aca="false">IF(OR(B2722="",C2722=""),"",F2722&amp;" | "&amp;C2722)</f>
        <v/>
      </c>
      <c r="H2722" s="27" t="str">
        <f aca="false">IF(G2722="","",IFERROR(INDEX(Levels!$C$5:$C$94,MATCH(G2722,Levels!$G$5:$G$94,0)),"Not this class's skill"))</f>
        <v/>
      </c>
    </row>
    <row r="2723" customFormat="false" ht="15" hidden="false" customHeight="false" outlineLevel="0" collapsed="false">
      <c r="A2723" s="23"/>
      <c r="B2723" s="22"/>
      <c r="C2723" s="22"/>
      <c r="D2723" s="22"/>
      <c r="E2723" s="22"/>
      <c r="F2723" s="27" t="str">
        <f aca="false">IF(B2723="","",IFERROR(INDEX(Roster!$B$5:$B$154,MATCH(B2723,Roster!$A$5:$A$154,0)),"Not on roster"))</f>
        <v/>
      </c>
      <c r="G2723" s="28" t="str">
        <f aca="false">IF(OR(B2723="",C2723=""),"",F2723&amp;" | "&amp;C2723)</f>
        <v/>
      </c>
      <c r="H2723" s="27" t="str">
        <f aca="false">IF(G2723="","",IFERROR(INDEX(Levels!$C$5:$C$94,MATCH(G2723,Levels!$G$5:$G$94,0)),"Not this class's skill"))</f>
        <v/>
      </c>
    </row>
    <row r="2724" customFormat="false" ht="15" hidden="false" customHeight="false" outlineLevel="0" collapsed="false">
      <c r="A2724" s="23"/>
      <c r="B2724" s="22"/>
      <c r="C2724" s="22"/>
      <c r="D2724" s="22"/>
      <c r="E2724" s="22"/>
      <c r="F2724" s="27" t="str">
        <f aca="false">IF(B2724="","",IFERROR(INDEX(Roster!$B$5:$B$154,MATCH(B2724,Roster!$A$5:$A$154,0)),"Not on roster"))</f>
        <v/>
      </c>
      <c r="G2724" s="28" t="str">
        <f aca="false">IF(OR(B2724="",C2724=""),"",F2724&amp;" | "&amp;C2724)</f>
        <v/>
      </c>
      <c r="H2724" s="27" t="str">
        <f aca="false">IF(G2724="","",IFERROR(INDEX(Levels!$C$5:$C$94,MATCH(G2724,Levels!$G$5:$G$94,0)),"Not this class's skill"))</f>
        <v/>
      </c>
    </row>
    <row r="2725" customFormat="false" ht="15" hidden="false" customHeight="false" outlineLevel="0" collapsed="false">
      <c r="A2725" s="23"/>
      <c r="B2725" s="22"/>
      <c r="C2725" s="22"/>
      <c r="D2725" s="22"/>
      <c r="E2725" s="22"/>
      <c r="F2725" s="27" t="str">
        <f aca="false">IF(B2725="","",IFERROR(INDEX(Roster!$B$5:$B$154,MATCH(B2725,Roster!$A$5:$A$154,0)),"Not on roster"))</f>
        <v/>
      </c>
      <c r="G2725" s="28" t="str">
        <f aca="false">IF(OR(B2725="",C2725=""),"",F2725&amp;" | "&amp;C2725)</f>
        <v/>
      </c>
      <c r="H2725" s="27" t="str">
        <f aca="false">IF(G2725="","",IFERROR(INDEX(Levels!$C$5:$C$94,MATCH(G2725,Levels!$G$5:$G$94,0)),"Not this class's skill"))</f>
        <v/>
      </c>
    </row>
    <row r="2726" customFormat="false" ht="15" hidden="false" customHeight="false" outlineLevel="0" collapsed="false">
      <c r="A2726" s="23"/>
      <c r="B2726" s="22"/>
      <c r="C2726" s="22"/>
      <c r="D2726" s="22"/>
      <c r="E2726" s="22"/>
      <c r="F2726" s="27" t="str">
        <f aca="false">IF(B2726="","",IFERROR(INDEX(Roster!$B$5:$B$154,MATCH(B2726,Roster!$A$5:$A$154,0)),"Not on roster"))</f>
        <v/>
      </c>
      <c r="G2726" s="28" t="str">
        <f aca="false">IF(OR(B2726="",C2726=""),"",F2726&amp;" | "&amp;C2726)</f>
        <v/>
      </c>
      <c r="H2726" s="27" t="str">
        <f aca="false">IF(G2726="","",IFERROR(INDEX(Levels!$C$5:$C$94,MATCH(G2726,Levels!$G$5:$G$94,0)),"Not this class's skill"))</f>
        <v/>
      </c>
    </row>
    <row r="2727" customFormat="false" ht="15" hidden="false" customHeight="false" outlineLevel="0" collapsed="false">
      <c r="A2727" s="23"/>
      <c r="B2727" s="22"/>
      <c r="C2727" s="22"/>
      <c r="D2727" s="22"/>
      <c r="E2727" s="22"/>
      <c r="F2727" s="27" t="str">
        <f aca="false">IF(B2727="","",IFERROR(INDEX(Roster!$B$5:$B$154,MATCH(B2727,Roster!$A$5:$A$154,0)),"Not on roster"))</f>
        <v/>
      </c>
      <c r="G2727" s="28" t="str">
        <f aca="false">IF(OR(B2727="",C2727=""),"",F2727&amp;" | "&amp;C2727)</f>
        <v/>
      </c>
      <c r="H2727" s="27" t="str">
        <f aca="false">IF(G2727="","",IFERROR(INDEX(Levels!$C$5:$C$94,MATCH(G2727,Levels!$G$5:$G$94,0)),"Not this class's skill"))</f>
        <v/>
      </c>
    </row>
    <row r="2728" customFormat="false" ht="15" hidden="false" customHeight="false" outlineLevel="0" collapsed="false">
      <c r="A2728" s="23"/>
      <c r="B2728" s="22"/>
      <c r="C2728" s="22"/>
      <c r="D2728" s="22"/>
      <c r="E2728" s="22"/>
      <c r="F2728" s="27" t="str">
        <f aca="false">IF(B2728="","",IFERROR(INDEX(Roster!$B$5:$B$154,MATCH(B2728,Roster!$A$5:$A$154,0)),"Not on roster"))</f>
        <v/>
      </c>
      <c r="G2728" s="28" t="str">
        <f aca="false">IF(OR(B2728="",C2728=""),"",F2728&amp;" | "&amp;C2728)</f>
        <v/>
      </c>
      <c r="H2728" s="27" t="str">
        <f aca="false">IF(G2728="","",IFERROR(INDEX(Levels!$C$5:$C$94,MATCH(G2728,Levels!$G$5:$G$94,0)),"Not this class's skill"))</f>
        <v/>
      </c>
    </row>
    <row r="2729" customFormat="false" ht="15" hidden="false" customHeight="false" outlineLevel="0" collapsed="false">
      <c r="A2729" s="23"/>
      <c r="B2729" s="22"/>
      <c r="C2729" s="22"/>
      <c r="D2729" s="22"/>
      <c r="E2729" s="22"/>
      <c r="F2729" s="27" t="str">
        <f aca="false">IF(B2729="","",IFERROR(INDEX(Roster!$B$5:$B$154,MATCH(B2729,Roster!$A$5:$A$154,0)),"Not on roster"))</f>
        <v/>
      </c>
      <c r="G2729" s="28" t="str">
        <f aca="false">IF(OR(B2729="",C2729=""),"",F2729&amp;" | "&amp;C2729)</f>
        <v/>
      </c>
      <c r="H2729" s="27" t="str">
        <f aca="false">IF(G2729="","",IFERROR(INDEX(Levels!$C$5:$C$94,MATCH(G2729,Levels!$G$5:$G$94,0)),"Not this class's skill"))</f>
        <v/>
      </c>
    </row>
    <row r="2730" customFormat="false" ht="15" hidden="false" customHeight="false" outlineLevel="0" collapsed="false">
      <c r="A2730" s="23"/>
      <c r="B2730" s="22"/>
      <c r="C2730" s="22"/>
      <c r="D2730" s="22"/>
      <c r="E2730" s="22"/>
      <c r="F2730" s="27" t="str">
        <f aca="false">IF(B2730="","",IFERROR(INDEX(Roster!$B$5:$B$154,MATCH(B2730,Roster!$A$5:$A$154,0)),"Not on roster"))</f>
        <v/>
      </c>
      <c r="G2730" s="28" t="str">
        <f aca="false">IF(OR(B2730="",C2730=""),"",F2730&amp;" | "&amp;C2730)</f>
        <v/>
      </c>
      <c r="H2730" s="27" t="str">
        <f aca="false">IF(G2730="","",IFERROR(INDEX(Levels!$C$5:$C$94,MATCH(G2730,Levels!$G$5:$G$94,0)),"Not this class's skill"))</f>
        <v/>
      </c>
    </row>
    <row r="2731" customFormat="false" ht="15" hidden="false" customHeight="false" outlineLevel="0" collapsed="false">
      <c r="A2731" s="23"/>
      <c r="B2731" s="22"/>
      <c r="C2731" s="22"/>
      <c r="D2731" s="22"/>
      <c r="E2731" s="22"/>
      <c r="F2731" s="27" t="str">
        <f aca="false">IF(B2731="","",IFERROR(INDEX(Roster!$B$5:$B$154,MATCH(B2731,Roster!$A$5:$A$154,0)),"Not on roster"))</f>
        <v/>
      </c>
      <c r="G2731" s="28" t="str">
        <f aca="false">IF(OR(B2731="",C2731=""),"",F2731&amp;" | "&amp;C2731)</f>
        <v/>
      </c>
      <c r="H2731" s="27" t="str">
        <f aca="false">IF(G2731="","",IFERROR(INDEX(Levels!$C$5:$C$94,MATCH(G2731,Levels!$G$5:$G$94,0)),"Not this class's skill"))</f>
        <v/>
      </c>
    </row>
    <row r="2732" customFormat="false" ht="15" hidden="false" customHeight="false" outlineLevel="0" collapsed="false">
      <c r="A2732" s="23"/>
      <c r="B2732" s="22"/>
      <c r="C2732" s="22"/>
      <c r="D2732" s="22"/>
      <c r="E2732" s="22"/>
      <c r="F2732" s="27" t="str">
        <f aca="false">IF(B2732="","",IFERROR(INDEX(Roster!$B$5:$B$154,MATCH(B2732,Roster!$A$5:$A$154,0)),"Not on roster"))</f>
        <v/>
      </c>
      <c r="G2732" s="28" t="str">
        <f aca="false">IF(OR(B2732="",C2732=""),"",F2732&amp;" | "&amp;C2732)</f>
        <v/>
      </c>
      <c r="H2732" s="27" t="str">
        <f aca="false">IF(G2732="","",IFERROR(INDEX(Levels!$C$5:$C$94,MATCH(G2732,Levels!$G$5:$G$94,0)),"Not this class's skill"))</f>
        <v/>
      </c>
    </row>
    <row r="2733" customFormat="false" ht="15" hidden="false" customHeight="false" outlineLevel="0" collapsed="false">
      <c r="A2733" s="23"/>
      <c r="B2733" s="22"/>
      <c r="C2733" s="22"/>
      <c r="D2733" s="22"/>
      <c r="E2733" s="22"/>
      <c r="F2733" s="27" t="str">
        <f aca="false">IF(B2733="","",IFERROR(INDEX(Roster!$B$5:$B$154,MATCH(B2733,Roster!$A$5:$A$154,0)),"Not on roster"))</f>
        <v/>
      </c>
      <c r="G2733" s="28" t="str">
        <f aca="false">IF(OR(B2733="",C2733=""),"",F2733&amp;" | "&amp;C2733)</f>
        <v/>
      </c>
      <c r="H2733" s="27" t="str">
        <f aca="false">IF(G2733="","",IFERROR(INDEX(Levels!$C$5:$C$94,MATCH(G2733,Levels!$G$5:$G$94,0)),"Not this class's skill"))</f>
        <v/>
      </c>
    </row>
    <row r="2734" customFormat="false" ht="15" hidden="false" customHeight="false" outlineLevel="0" collapsed="false">
      <c r="A2734" s="23"/>
      <c r="B2734" s="22"/>
      <c r="C2734" s="22"/>
      <c r="D2734" s="22"/>
      <c r="E2734" s="22"/>
      <c r="F2734" s="27" t="str">
        <f aca="false">IF(B2734="","",IFERROR(INDEX(Roster!$B$5:$B$154,MATCH(B2734,Roster!$A$5:$A$154,0)),"Not on roster"))</f>
        <v/>
      </c>
      <c r="G2734" s="28" t="str">
        <f aca="false">IF(OR(B2734="",C2734=""),"",F2734&amp;" | "&amp;C2734)</f>
        <v/>
      </c>
      <c r="H2734" s="27" t="str">
        <f aca="false">IF(G2734="","",IFERROR(INDEX(Levels!$C$5:$C$94,MATCH(G2734,Levels!$G$5:$G$94,0)),"Not this class's skill"))</f>
        <v/>
      </c>
    </row>
    <row r="2735" customFormat="false" ht="15" hidden="false" customHeight="false" outlineLevel="0" collapsed="false">
      <c r="A2735" s="23"/>
      <c r="B2735" s="22"/>
      <c r="C2735" s="22"/>
      <c r="D2735" s="22"/>
      <c r="E2735" s="22"/>
      <c r="F2735" s="27" t="str">
        <f aca="false">IF(B2735="","",IFERROR(INDEX(Roster!$B$5:$B$154,MATCH(B2735,Roster!$A$5:$A$154,0)),"Not on roster"))</f>
        <v/>
      </c>
      <c r="G2735" s="28" t="str">
        <f aca="false">IF(OR(B2735="",C2735=""),"",F2735&amp;" | "&amp;C2735)</f>
        <v/>
      </c>
      <c r="H2735" s="27" t="str">
        <f aca="false">IF(G2735="","",IFERROR(INDEX(Levels!$C$5:$C$94,MATCH(G2735,Levels!$G$5:$G$94,0)),"Not this class's skill"))</f>
        <v/>
      </c>
    </row>
    <row r="2736" customFormat="false" ht="15" hidden="false" customHeight="false" outlineLevel="0" collapsed="false">
      <c r="A2736" s="23"/>
      <c r="B2736" s="22"/>
      <c r="C2736" s="22"/>
      <c r="D2736" s="22"/>
      <c r="E2736" s="22"/>
      <c r="F2736" s="27" t="str">
        <f aca="false">IF(B2736="","",IFERROR(INDEX(Roster!$B$5:$B$154,MATCH(B2736,Roster!$A$5:$A$154,0)),"Not on roster"))</f>
        <v/>
      </c>
      <c r="G2736" s="28" t="str">
        <f aca="false">IF(OR(B2736="",C2736=""),"",F2736&amp;" | "&amp;C2736)</f>
        <v/>
      </c>
      <c r="H2736" s="27" t="str">
        <f aca="false">IF(G2736="","",IFERROR(INDEX(Levels!$C$5:$C$94,MATCH(G2736,Levels!$G$5:$G$94,0)),"Not this class's skill"))</f>
        <v/>
      </c>
    </row>
    <row r="2737" customFormat="false" ht="15" hidden="false" customHeight="false" outlineLevel="0" collapsed="false">
      <c r="A2737" s="23"/>
      <c r="B2737" s="22"/>
      <c r="C2737" s="22"/>
      <c r="D2737" s="22"/>
      <c r="E2737" s="22"/>
      <c r="F2737" s="27" t="str">
        <f aca="false">IF(B2737="","",IFERROR(INDEX(Roster!$B$5:$B$154,MATCH(B2737,Roster!$A$5:$A$154,0)),"Not on roster"))</f>
        <v/>
      </c>
      <c r="G2737" s="28" t="str">
        <f aca="false">IF(OR(B2737="",C2737=""),"",F2737&amp;" | "&amp;C2737)</f>
        <v/>
      </c>
      <c r="H2737" s="27" t="str">
        <f aca="false">IF(G2737="","",IFERROR(INDEX(Levels!$C$5:$C$94,MATCH(G2737,Levels!$G$5:$G$94,0)),"Not this class's skill"))</f>
        <v/>
      </c>
    </row>
    <row r="2738" customFormat="false" ht="15" hidden="false" customHeight="false" outlineLevel="0" collapsed="false">
      <c r="A2738" s="23"/>
      <c r="B2738" s="22"/>
      <c r="C2738" s="22"/>
      <c r="D2738" s="22"/>
      <c r="E2738" s="22"/>
      <c r="F2738" s="27" t="str">
        <f aca="false">IF(B2738="","",IFERROR(INDEX(Roster!$B$5:$B$154,MATCH(B2738,Roster!$A$5:$A$154,0)),"Not on roster"))</f>
        <v/>
      </c>
      <c r="G2738" s="28" t="str">
        <f aca="false">IF(OR(B2738="",C2738=""),"",F2738&amp;" | "&amp;C2738)</f>
        <v/>
      </c>
      <c r="H2738" s="27" t="str">
        <f aca="false">IF(G2738="","",IFERROR(INDEX(Levels!$C$5:$C$94,MATCH(G2738,Levels!$G$5:$G$94,0)),"Not this class's skill"))</f>
        <v/>
      </c>
    </row>
    <row r="2739" customFormat="false" ht="15" hidden="false" customHeight="false" outlineLevel="0" collapsed="false">
      <c r="A2739" s="23"/>
      <c r="B2739" s="22"/>
      <c r="C2739" s="22"/>
      <c r="D2739" s="22"/>
      <c r="E2739" s="22"/>
      <c r="F2739" s="27" t="str">
        <f aca="false">IF(B2739="","",IFERROR(INDEX(Roster!$B$5:$B$154,MATCH(B2739,Roster!$A$5:$A$154,0)),"Not on roster"))</f>
        <v/>
      </c>
      <c r="G2739" s="28" t="str">
        <f aca="false">IF(OR(B2739="",C2739=""),"",F2739&amp;" | "&amp;C2739)</f>
        <v/>
      </c>
      <c r="H2739" s="27" t="str">
        <f aca="false">IF(G2739="","",IFERROR(INDEX(Levels!$C$5:$C$94,MATCH(G2739,Levels!$G$5:$G$94,0)),"Not this class's skill"))</f>
        <v/>
      </c>
    </row>
    <row r="2740" customFormat="false" ht="15" hidden="false" customHeight="false" outlineLevel="0" collapsed="false">
      <c r="A2740" s="23"/>
      <c r="B2740" s="22"/>
      <c r="C2740" s="22"/>
      <c r="D2740" s="22"/>
      <c r="E2740" s="22"/>
      <c r="F2740" s="27" t="str">
        <f aca="false">IF(B2740="","",IFERROR(INDEX(Roster!$B$5:$B$154,MATCH(B2740,Roster!$A$5:$A$154,0)),"Not on roster"))</f>
        <v/>
      </c>
      <c r="G2740" s="28" t="str">
        <f aca="false">IF(OR(B2740="",C2740=""),"",F2740&amp;" | "&amp;C2740)</f>
        <v/>
      </c>
      <c r="H2740" s="27" t="str">
        <f aca="false">IF(G2740="","",IFERROR(INDEX(Levels!$C$5:$C$94,MATCH(G2740,Levels!$G$5:$G$94,0)),"Not this class's skill"))</f>
        <v/>
      </c>
    </row>
    <row r="2741" customFormat="false" ht="15" hidden="false" customHeight="false" outlineLevel="0" collapsed="false">
      <c r="A2741" s="23"/>
      <c r="B2741" s="22"/>
      <c r="C2741" s="22"/>
      <c r="D2741" s="22"/>
      <c r="E2741" s="22"/>
      <c r="F2741" s="27" t="str">
        <f aca="false">IF(B2741="","",IFERROR(INDEX(Roster!$B$5:$B$154,MATCH(B2741,Roster!$A$5:$A$154,0)),"Not on roster"))</f>
        <v/>
      </c>
      <c r="G2741" s="28" t="str">
        <f aca="false">IF(OR(B2741="",C2741=""),"",F2741&amp;" | "&amp;C2741)</f>
        <v/>
      </c>
      <c r="H2741" s="27" t="str">
        <f aca="false">IF(G2741="","",IFERROR(INDEX(Levels!$C$5:$C$94,MATCH(G2741,Levels!$G$5:$G$94,0)),"Not this class's skill"))</f>
        <v/>
      </c>
    </row>
    <row r="2742" customFormat="false" ht="15" hidden="false" customHeight="false" outlineLevel="0" collapsed="false">
      <c r="A2742" s="23"/>
      <c r="B2742" s="22"/>
      <c r="C2742" s="22"/>
      <c r="D2742" s="22"/>
      <c r="E2742" s="22"/>
      <c r="F2742" s="27" t="str">
        <f aca="false">IF(B2742="","",IFERROR(INDEX(Roster!$B$5:$B$154,MATCH(B2742,Roster!$A$5:$A$154,0)),"Not on roster"))</f>
        <v/>
      </c>
      <c r="G2742" s="28" t="str">
        <f aca="false">IF(OR(B2742="",C2742=""),"",F2742&amp;" | "&amp;C2742)</f>
        <v/>
      </c>
      <c r="H2742" s="27" t="str">
        <f aca="false">IF(G2742="","",IFERROR(INDEX(Levels!$C$5:$C$94,MATCH(G2742,Levels!$G$5:$G$94,0)),"Not this class's skill"))</f>
        <v/>
      </c>
    </row>
    <row r="2743" customFormat="false" ht="15" hidden="false" customHeight="false" outlineLevel="0" collapsed="false">
      <c r="A2743" s="23"/>
      <c r="B2743" s="22"/>
      <c r="C2743" s="22"/>
      <c r="D2743" s="22"/>
      <c r="E2743" s="22"/>
      <c r="F2743" s="27" t="str">
        <f aca="false">IF(B2743="","",IFERROR(INDEX(Roster!$B$5:$B$154,MATCH(B2743,Roster!$A$5:$A$154,0)),"Not on roster"))</f>
        <v/>
      </c>
      <c r="G2743" s="28" t="str">
        <f aca="false">IF(OR(B2743="",C2743=""),"",F2743&amp;" | "&amp;C2743)</f>
        <v/>
      </c>
      <c r="H2743" s="27" t="str">
        <f aca="false">IF(G2743="","",IFERROR(INDEX(Levels!$C$5:$C$94,MATCH(G2743,Levels!$G$5:$G$94,0)),"Not this class's skill"))</f>
        <v/>
      </c>
    </row>
    <row r="2744" customFormat="false" ht="15" hidden="false" customHeight="false" outlineLevel="0" collapsed="false">
      <c r="A2744" s="23"/>
      <c r="B2744" s="22"/>
      <c r="C2744" s="22"/>
      <c r="D2744" s="22"/>
      <c r="E2744" s="22"/>
      <c r="F2744" s="27" t="str">
        <f aca="false">IF(B2744="","",IFERROR(INDEX(Roster!$B$5:$B$154,MATCH(B2744,Roster!$A$5:$A$154,0)),"Not on roster"))</f>
        <v/>
      </c>
      <c r="G2744" s="28" t="str">
        <f aca="false">IF(OR(B2744="",C2744=""),"",F2744&amp;" | "&amp;C2744)</f>
        <v/>
      </c>
      <c r="H2744" s="27" t="str">
        <f aca="false">IF(G2744="","",IFERROR(INDEX(Levels!$C$5:$C$94,MATCH(G2744,Levels!$G$5:$G$94,0)),"Not this class's skill"))</f>
        <v/>
      </c>
    </row>
    <row r="2745" customFormat="false" ht="15" hidden="false" customHeight="false" outlineLevel="0" collapsed="false">
      <c r="A2745" s="23"/>
      <c r="B2745" s="22"/>
      <c r="C2745" s="22"/>
      <c r="D2745" s="22"/>
      <c r="E2745" s="22"/>
      <c r="F2745" s="27" t="str">
        <f aca="false">IF(B2745="","",IFERROR(INDEX(Roster!$B$5:$B$154,MATCH(B2745,Roster!$A$5:$A$154,0)),"Not on roster"))</f>
        <v/>
      </c>
      <c r="G2745" s="28" t="str">
        <f aca="false">IF(OR(B2745="",C2745=""),"",F2745&amp;" | "&amp;C2745)</f>
        <v/>
      </c>
      <c r="H2745" s="27" t="str">
        <f aca="false">IF(G2745="","",IFERROR(INDEX(Levels!$C$5:$C$94,MATCH(G2745,Levels!$G$5:$G$94,0)),"Not this class's skill"))</f>
        <v/>
      </c>
    </row>
    <row r="2746" customFormat="false" ht="15" hidden="false" customHeight="false" outlineLevel="0" collapsed="false">
      <c r="A2746" s="23"/>
      <c r="B2746" s="22"/>
      <c r="C2746" s="22"/>
      <c r="D2746" s="22"/>
      <c r="E2746" s="22"/>
      <c r="F2746" s="27" t="str">
        <f aca="false">IF(B2746="","",IFERROR(INDEX(Roster!$B$5:$B$154,MATCH(B2746,Roster!$A$5:$A$154,0)),"Not on roster"))</f>
        <v/>
      </c>
      <c r="G2746" s="28" t="str">
        <f aca="false">IF(OR(B2746="",C2746=""),"",F2746&amp;" | "&amp;C2746)</f>
        <v/>
      </c>
      <c r="H2746" s="27" t="str">
        <f aca="false">IF(G2746="","",IFERROR(INDEX(Levels!$C$5:$C$94,MATCH(G2746,Levels!$G$5:$G$94,0)),"Not this class's skill"))</f>
        <v/>
      </c>
    </row>
    <row r="2747" customFormat="false" ht="15" hidden="false" customHeight="false" outlineLevel="0" collapsed="false">
      <c r="A2747" s="23"/>
      <c r="B2747" s="22"/>
      <c r="C2747" s="22"/>
      <c r="D2747" s="22"/>
      <c r="E2747" s="22"/>
      <c r="F2747" s="27" t="str">
        <f aca="false">IF(B2747="","",IFERROR(INDEX(Roster!$B$5:$B$154,MATCH(B2747,Roster!$A$5:$A$154,0)),"Not on roster"))</f>
        <v/>
      </c>
      <c r="G2747" s="28" t="str">
        <f aca="false">IF(OR(B2747="",C2747=""),"",F2747&amp;" | "&amp;C2747)</f>
        <v/>
      </c>
      <c r="H2747" s="27" t="str">
        <f aca="false">IF(G2747="","",IFERROR(INDEX(Levels!$C$5:$C$94,MATCH(G2747,Levels!$G$5:$G$94,0)),"Not this class's skill"))</f>
        <v/>
      </c>
    </row>
    <row r="2748" customFormat="false" ht="15" hidden="false" customHeight="false" outlineLevel="0" collapsed="false">
      <c r="A2748" s="23"/>
      <c r="B2748" s="22"/>
      <c r="C2748" s="22"/>
      <c r="D2748" s="22"/>
      <c r="E2748" s="22"/>
      <c r="F2748" s="27" t="str">
        <f aca="false">IF(B2748="","",IFERROR(INDEX(Roster!$B$5:$B$154,MATCH(B2748,Roster!$A$5:$A$154,0)),"Not on roster"))</f>
        <v/>
      </c>
      <c r="G2748" s="28" t="str">
        <f aca="false">IF(OR(B2748="",C2748=""),"",F2748&amp;" | "&amp;C2748)</f>
        <v/>
      </c>
      <c r="H2748" s="27" t="str">
        <f aca="false">IF(G2748="","",IFERROR(INDEX(Levels!$C$5:$C$94,MATCH(G2748,Levels!$G$5:$G$94,0)),"Not this class's skill"))</f>
        <v/>
      </c>
    </row>
    <row r="2749" customFormat="false" ht="15" hidden="false" customHeight="false" outlineLevel="0" collapsed="false">
      <c r="A2749" s="23"/>
      <c r="B2749" s="22"/>
      <c r="C2749" s="22"/>
      <c r="D2749" s="22"/>
      <c r="E2749" s="22"/>
      <c r="F2749" s="27" t="str">
        <f aca="false">IF(B2749="","",IFERROR(INDEX(Roster!$B$5:$B$154,MATCH(B2749,Roster!$A$5:$A$154,0)),"Not on roster"))</f>
        <v/>
      </c>
      <c r="G2749" s="28" t="str">
        <f aca="false">IF(OR(B2749="",C2749=""),"",F2749&amp;" | "&amp;C2749)</f>
        <v/>
      </c>
      <c r="H2749" s="27" t="str">
        <f aca="false">IF(G2749="","",IFERROR(INDEX(Levels!$C$5:$C$94,MATCH(G2749,Levels!$G$5:$G$94,0)),"Not this class's skill"))</f>
        <v/>
      </c>
    </row>
    <row r="2750" customFormat="false" ht="15" hidden="false" customHeight="false" outlineLevel="0" collapsed="false">
      <c r="A2750" s="23"/>
      <c r="B2750" s="22"/>
      <c r="C2750" s="22"/>
      <c r="D2750" s="22"/>
      <c r="E2750" s="22"/>
      <c r="F2750" s="27" t="str">
        <f aca="false">IF(B2750="","",IFERROR(INDEX(Roster!$B$5:$B$154,MATCH(B2750,Roster!$A$5:$A$154,0)),"Not on roster"))</f>
        <v/>
      </c>
      <c r="G2750" s="28" t="str">
        <f aca="false">IF(OR(B2750="",C2750=""),"",F2750&amp;" | "&amp;C2750)</f>
        <v/>
      </c>
      <c r="H2750" s="27" t="str">
        <f aca="false">IF(G2750="","",IFERROR(INDEX(Levels!$C$5:$C$94,MATCH(G2750,Levels!$G$5:$G$94,0)),"Not this class's skill"))</f>
        <v/>
      </c>
    </row>
    <row r="2751" customFormat="false" ht="15" hidden="false" customHeight="false" outlineLevel="0" collapsed="false">
      <c r="A2751" s="23"/>
      <c r="B2751" s="22"/>
      <c r="C2751" s="22"/>
      <c r="D2751" s="22"/>
      <c r="E2751" s="22"/>
      <c r="F2751" s="27" t="str">
        <f aca="false">IF(B2751="","",IFERROR(INDEX(Roster!$B$5:$B$154,MATCH(B2751,Roster!$A$5:$A$154,0)),"Not on roster"))</f>
        <v/>
      </c>
      <c r="G2751" s="28" t="str">
        <f aca="false">IF(OR(B2751="",C2751=""),"",F2751&amp;" | "&amp;C2751)</f>
        <v/>
      </c>
      <c r="H2751" s="27" t="str">
        <f aca="false">IF(G2751="","",IFERROR(INDEX(Levels!$C$5:$C$94,MATCH(G2751,Levels!$G$5:$G$94,0)),"Not this class's skill"))</f>
        <v/>
      </c>
    </row>
    <row r="2752" customFormat="false" ht="15" hidden="false" customHeight="false" outlineLevel="0" collapsed="false">
      <c r="A2752" s="23"/>
      <c r="B2752" s="22"/>
      <c r="C2752" s="22"/>
      <c r="D2752" s="22"/>
      <c r="E2752" s="22"/>
      <c r="F2752" s="27" t="str">
        <f aca="false">IF(B2752="","",IFERROR(INDEX(Roster!$B$5:$B$154,MATCH(B2752,Roster!$A$5:$A$154,0)),"Not on roster"))</f>
        <v/>
      </c>
      <c r="G2752" s="28" t="str">
        <f aca="false">IF(OR(B2752="",C2752=""),"",F2752&amp;" | "&amp;C2752)</f>
        <v/>
      </c>
      <c r="H2752" s="27" t="str">
        <f aca="false">IF(G2752="","",IFERROR(INDEX(Levels!$C$5:$C$94,MATCH(G2752,Levels!$G$5:$G$94,0)),"Not this class's skill"))</f>
        <v/>
      </c>
    </row>
    <row r="2753" customFormat="false" ht="15" hidden="false" customHeight="false" outlineLevel="0" collapsed="false">
      <c r="A2753" s="23"/>
      <c r="B2753" s="22"/>
      <c r="C2753" s="22"/>
      <c r="D2753" s="22"/>
      <c r="E2753" s="22"/>
      <c r="F2753" s="27" t="str">
        <f aca="false">IF(B2753="","",IFERROR(INDEX(Roster!$B$5:$B$154,MATCH(B2753,Roster!$A$5:$A$154,0)),"Not on roster"))</f>
        <v/>
      </c>
      <c r="G2753" s="28" t="str">
        <f aca="false">IF(OR(B2753="",C2753=""),"",F2753&amp;" | "&amp;C2753)</f>
        <v/>
      </c>
      <c r="H2753" s="27" t="str">
        <f aca="false">IF(G2753="","",IFERROR(INDEX(Levels!$C$5:$C$94,MATCH(G2753,Levels!$G$5:$G$94,0)),"Not this class's skill"))</f>
        <v/>
      </c>
    </row>
    <row r="2754" customFormat="false" ht="15" hidden="false" customHeight="false" outlineLevel="0" collapsed="false">
      <c r="A2754" s="23"/>
      <c r="B2754" s="22"/>
      <c r="C2754" s="22"/>
      <c r="D2754" s="22"/>
      <c r="E2754" s="22"/>
      <c r="F2754" s="27" t="str">
        <f aca="false">IF(B2754="","",IFERROR(INDEX(Roster!$B$5:$B$154,MATCH(B2754,Roster!$A$5:$A$154,0)),"Not on roster"))</f>
        <v/>
      </c>
      <c r="G2754" s="28" t="str">
        <f aca="false">IF(OR(B2754="",C2754=""),"",F2754&amp;" | "&amp;C2754)</f>
        <v/>
      </c>
      <c r="H2754" s="27" t="str">
        <f aca="false">IF(G2754="","",IFERROR(INDEX(Levels!$C$5:$C$94,MATCH(G2754,Levels!$G$5:$G$94,0)),"Not this class's skill"))</f>
        <v/>
      </c>
    </row>
    <row r="2755" customFormat="false" ht="15" hidden="false" customHeight="false" outlineLevel="0" collapsed="false">
      <c r="A2755" s="23"/>
      <c r="B2755" s="22"/>
      <c r="C2755" s="22"/>
      <c r="D2755" s="22"/>
      <c r="E2755" s="22"/>
      <c r="F2755" s="27" t="str">
        <f aca="false">IF(B2755="","",IFERROR(INDEX(Roster!$B$5:$B$154,MATCH(B2755,Roster!$A$5:$A$154,0)),"Not on roster"))</f>
        <v/>
      </c>
      <c r="G2755" s="28" t="str">
        <f aca="false">IF(OR(B2755="",C2755=""),"",F2755&amp;" | "&amp;C2755)</f>
        <v/>
      </c>
      <c r="H2755" s="27" t="str">
        <f aca="false">IF(G2755="","",IFERROR(INDEX(Levels!$C$5:$C$94,MATCH(G2755,Levels!$G$5:$G$94,0)),"Not this class's skill"))</f>
        <v/>
      </c>
    </row>
    <row r="2756" customFormat="false" ht="15" hidden="false" customHeight="false" outlineLevel="0" collapsed="false">
      <c r="A2756" s="23"/>
      <c r="B2756" s="22"/>
      <c r="C2756" s="22"/>
      <c r="D2756" s="22"/>
      <c r="E2756" s="22"/>
      <c r="F2756" s="27" t="str">
        <f aca="false">IF(B2756="","",IFERROR(INDEX(Roster!$B$5:$B$154,MATCH(B2756,Roster!$A$5:$A$154,0)),"Not on roster"))</f>
        <v/>
      </c>
      <c r="G2756" s="28" t="str">
        <f aca="false">IF(OR(B2756="",C2756=""),"",F2756&amp;" | "&amp;C2756)</f>
        <v/>
      </c>
      <c r="H2756" s="27" t="str">
        <f aca="false">IF(G2756="","",IFERROR(INDEX(Levels!$C$5:$C$94,MATCH(G2756,Levels!$G$5:$G$94,0)),"Not this class's skill"))</f>
        <v/>
      </c>
    </row>
    <row r="2757" customFormat="false" ht="15" hidden="false" customHeight="false" outlineLevel="0" collapsed="false">
      <c r="A2757" s="23"/>
      <c r="B2757" s="22"/>
      <c r="C2757" s="22"/>
      <c r="D2757" s="22"/>
      <c r="E2757" s="22"/>
      <c r="F2757" s="27" t="str">
        <f aca="false">IF(B2757="","",IFERROR(INDEX(Roster!$B$5:$B$154,MATCH(B2757,Roster!$A$5:$A$154,0)),"Not on roster"))</f>
        <v/>
      </c>
      <c r="G2757" s="28" t="str">
        <f aca="false">IF(OR(B2757="",C2757=""),"",F2757&amp;" | "&amp;C2757)</f>
        <v/>
      </c>
      <c r="H2757" s="27" t="str">
        <f aca="false">IF(G2757="","",IFERROR(INDEX(Levels!$C$5:$C$94,MATCH(G2757,Levels!$G$5:$G$94,0)),"Not this class's skill"))</f>
        <v/>
      </c>
    </row>
    <row r="2758" customFormat="false" ht="15" hidden="false" customHeight="false" outlineLevel="0" collapsed="false">
      <c r="A2758" s="23"/>
      <c r="B2758" s="22"/>
      <c r="C2758" s="22"/>
      <c r="D2758" s="22"/>
      <c r="E2758" s="22"/>
      <c r="F2758" s="27" t="str">
        <f aca="false">IF(B2758="","",IFERROR(INDEX(Roster!$B$5:$B$154,MATCH(B2758,Roster!$A$5:$A$154,0)),"Not on roster"))</f>
        <v/>
      </c>
      <c r="G2758" s="28" t="str">
        <f aca="false">IF(OR(B2758="",C2758=""),"",F2758&amp;" | "&amp;C2758)</f>
        <v/>
      </c>
      <c r="H2758" s="27" t="str">
        <f aca="false">IF(G2758="","",IFERROR(INDEX(Levels!$C$5:$C$94,MATCH(G2758,Levels!$G$5:$G$94,0)),"Not this class's skill"))</f>
        <v/>
      </c>
    </row>
    <row r="2759" customFormat="false" ht="15" hidden="false" customHeight="false" outlineLevel="0" collapsed="false">
      <c r="A2759" s="23"/>
      <c r="B2759" s="22"/>
      <c r="C2759" s="22"/>
      <c r="D2759" s="22"/>
      <c r="E2759" s="22"/>
      <c r="F2759" s="27" t="str">
        <f aca="false">IF(B2759="","",IFERROR(INDEX(Roster!$B$5:$B$154,MATCH(B2759,Roster!$A$5:$A$154,0)),"Not on roster"))</f>
        <v/>
      </c>
      <c r="G2759" s="28" t="str">
        <f aca="false">IF(OR(B2759="",C2759=""),"",F2759&amp;" | "&amp;C2759)</f>
        <v/>
      </c>
      <c r="H2759" s="27" t="str">
        <f aca="false">IF(G2759="","",IFERROR(INDEX(Levels!$C$5:$C$94,MATCH(G2759,Levels!$G$5:$G$94,0)),"Not this class's skill"))</f>
        <v/>
      </c>
    </row>
    <row r="2760" customFormat="false" ht="15" hidden="false" customHeight="false" outlineLevel="0" collapsed="false">
      <c r="A2760" s="23"/>
      <c r="B2760" s="22"/>
      <c r="C2760" s="22"/>
      <c r="D2760" s="22"/>
      <c r="E2760" s="22"/>
      <c r="F2760" s="27" t="str">
        <f aca="false">IF(B2760="","",IFERROR(INDEX(Roster!$B$5:$B$154,MATCH(B2760,Roster!$A$5:$A$154,0)),"Not on roster"))</f>
        <v/>
      </c>
      <c r="G2760" s="28" t="str">
        <f aca="false">IF(OR(B2760="",C2760=""),"",F2760&amp;" | "&amp;C2760)</f>
        <v/>
      </c>
      <c r="H2760" s="27" t="str">
        <f aca="false">IF(G2760="","",IFERROR(INDEX(Levels!$C$5:$C$94,MATCH(G2760,Levels!$G$5:$G$94,0)),"Not this class's skill"))</f>
        <v/>
      </c>
    </row>
    <row r="2761" customFormat="false" ht="15" hidden="false" customHeight="false" outlineLevel="0" collapsed="false">
      <c r="A2761" s="23"/>
      <c r="B2761" s="22"/>
      <c r="C2761" s="22"/>
      <c r="D2761" s="22"/>
      <c r="E2761" s="22"/>
      <c r="F2761" s="27" t="str">
        <f aca="false">IF(B2761="","",IFERROR(INDEX(Roster!$B$5:$B$154,MATCH(B2761,Roster!$A$5:$A$154,0)),"Not on roster"))</f>
        <v/>
      </c>
      <c r="G2761" s="28" t="str">
        <f aca="false">IF(OR(B2761="",C2761=""),"",F2761&amp;" | "&amp;C2761)</f>
        <v/>
      </c>
      <c r="H2761" s="27" t="str">
        <f aca="false">IF(G2761="","",IFERROR(INDEX(Levels!$C$5:$C$94,MATCH(G2761,Levels!$G$5:$G$94,0)),"Not this class's skill"))</f>
        <v/>
      </c>
    </row>
    <row r="2762" customFormat="false" ht="15" hidden="false" customHeight="false" outlineLevel="0" collapsed="false">
      <c r="A2762" s="23"/>
      <c r="B2762" s="22"/>
      <c r="C2762" s="22"/>
      <c r="D2762" s="22"/>
      <c r="E2762" s="22"/>
      <c r="F2762" s="27" t="str">
        <f aca="false">IF(B2762="","",IFERROR(INDEX(Roster!$B$5:$B$154,MATCH(B2762,Roster!$A$5:$A$154,0)),"Not on roster"))</f>
        <v/>
      </c>
      <c r="G2762" s="28" t="str">
        <f aca="false">IF(OR(B2762="",C2762=""),"",F2762&amp;" | "&amp;C2762)</f>
        <v/>
      </c>
      <c r="H2762" s="27" t="str">
        <f aca="false">IF(G2762="","",IFERROR(INDEX(Levels!$C$5:$C$94,MATCH(G2762,Levels!$G$5:$G$94,0)),"Not this class's skill"))</f>
        <v/>
      </c>
    </row>
    <row r="2763" customFormat="false" ht="15" hidden="false" customHeight="false" outlineLevel="0" collapsed="false">
      <c r="A2763" s="23"/>
      <c r="B2763" s="22"/>
      <c r="C2763" s="22"/>
      <c r="D2763" s="22"/>
      <c r="E2763" s="22"/>
      <c r="F2763" s="27" t="str">
        <f aca="false">IF(B2763="","",IFERROR(INDEX(Roster!$B$5:$B$154,MATCH(B2763,Roster!$A$5:$A$154,0)),"Not on roster"))</f>
        <v/>
      </c>
      <c r="G2763" s="28" t="str">
        <f aca="false">IF(OR(B2763="",C2763=""),"",F2763&amp;" | "&amp;C2763)</f>
        <v/>
      </c>
      <c r="H2763" s="27" t="str">
        <f aca="false">IF(G2763="","",IFERROR(INDEX(Levels!$C$5:$C$94,MATCH(G2763,Levels!$G$5:$G$94,0)),"Not this class's skill"))</f>
        <v/>
      </c>
    </row>
    <row r="2764" customFormat="false" ht="15" hidden="false" customHeight="false" outlineLevel="0" collapsed="false">
      <c r="A2764" s="23"/>
      <c r="B2764" s="22"/>
      <c r="C2764" s="22"/>
      <c r="D2764" s="22"/>
      <c r="E2764" s="22"/>
      <c r="F2764" s="27" t="str">
        <f aca="false">IF(B2764="","",IFERROR(INDEX(Roster!$B$5:$B$154,MATCH(B2764,Roster!$A$5:$A$154,0)),"Not on roster"))</f>
        <v/>
      </c>
      <c r="G2764" s="28" t="str">
        <f aca="false">IF(OR(B2764="",C2764=""),"",F2764&amp;" | "&amp;C2764)</f>
        <v/>
      </c>
      <c r="H2764" s="27" t="str">
        <f aca="false">IF(G2764="","",IFERROR(INDEX(Levels!$C$5:$C$94,MATCH(G2764,Levels!$G$5:$G$94,0)),"Not this class's skill"))</f>
        <v/>
      </c>
    </row>
    <row r="2765" customFormat="false" ht="15" hidden="false" customHeight="false" outlineLevel="0" collapsed="false">
      <c r="A2765" s="23"/>
      <c r="B2765" s="22"/>
      <c r="C2765" s="22"/>
      <c r="D2765" s="22"/>
      <c r="E2765" s="22"/>
      <c r="F2765" s="27" t="str">
        <f aca="false">IF(B2765="","",IFERROR(INDEX(Roster!$B$5:$B$154,MATCH(B2765,Roster!$A$5:$A$154,0)),"Not on roster"))</f>
        <v/>
      </c>
      <c r="G2765" s="28" t="str">
        <f aca="false">IF(OR(B2765="",C2765=""),"",F2765&amp;" | "&amp;C2765)</f>
        <v/>
      </c>
      <c r="H2765" s="27" t="str">
        <f aca="false">IF(G2765="","",IFERROR(INDEX(Levels!$C$5:$C$94,MATCH(G2765,Levels!$G$5:$G$94,0)),"Not this class's skill"))</f>
        <v/>
      </c>
    </row>
    <row r="2766" customFormat="false" ht="15" hidden="false" customHeight="false" outlineLevel="0" collapsed="false">
      <c r="A2766" s="23"/>
      <c r="B2766" s="22"/>
      <c r="C2766" s="22"/>
      <c r="D2766" s="22"/>
      <c r="E2766" s="22"/>
      <c r="F2766" s="27" t="str">
        <f aca="false">IF(B2766="","",IFERROR(INDEX(Roster!$B$5:$B$154,MATCH(B2766,Roster!$A$5:$A$154,0)),"Not on roster"))</f>
        <v/>
      </c>
      <c r="G2766" s="28" t="str">
        <f aca="false">IF(OR(B2766="",C2766=""),"",F2766&amp;" | "&amp;C2766)</f>
        <v/>
      </c>
      <c r="H2766" s="27" t="str">
        <f aca="false">IF(G2766="","",IFERROR(INDEX(Levels!$C$5:$C$94,MATCH(G2766,Levels!$G$5:$G$94,0)),"Not this class's skill"))</f>
        <v/>
      </c>
    </row>
    <row r="2767" customFormat="false" ht="15" hidden="false" customHeight="false" outlineLevel="0" collapsed="false">
      <c r="A2767" s="23"/>
      <c r="B2767" s="22"/>
      <c r="C2767" s="22"/>
      <c r="D2767" s="22"/>
      <c r="E2767" s="22"/>
      <c r="F2767" s="27" t="str">
        <f aca="false">IF(B2767="","",IFERROR(INDEX(Roster!$B$5:$B$154,MATCH(B2767,Roster!$A$5:$A$154,0)),"Not on roster"))</f>
        <v/>
      </c>
      <c r="G2767" s="28" t="str">
        <f aca="false">IF(OR(B2767="",C2767=""),"",F2767&amp;" | "&amp;C2767)</f>
        <v/>
      </c>
      <c r="H2767" s="27" t="str">
        <f aca="false">IF(G2767="","",IFERROR(INDEX(Levels!$C$5:$C$94,MATCH(G2767,Levels!$G$5:$G$94,0)),"Not this class's skill"))</f>
        <v/>
      </c>
    </row>
    <row r="2768" customFormat="false" ht="15" hidden="false" customHeight="false" outlineLevel="0" collapsed="false">
      <c r="A2768" s="23"/>
      <c r="B2768" s="22"/>
      <c r="C2768" s="22"/>
      <c r="D2768" s="22"/>
      <c r="E2768" s="22"/>
      <c r="F2768" s="27" t="str">
        <f aca="false">IF(B2768="","",IFERROR(INDEX(Roster!$B$5:$B$154,MATCH(B2768,Roster!$A$5:$A$154,0)),"Not on roster"))</f>
        <v/>
      </c>
      <c r="G2768" s="28" t="str">
        <f aca="false">IF(OR(B2768="",C2768=""),"",F2768&amp;" | "&amp;C2768)</f>
        <v/>
      </c>
      <c r="H2768" s="27" t="str">
        <f aca="false">IF(G2768="","",IFERROR(INDEX(Levels!$C$5:$C$94,MATCH(G2768,Levels!$G$5:$G$94,0)),"Not this class's skill"))</f>
        <v/>
      </c>
    </row>
    <row r="2769" customFormat="false" ht="15" hidden="false" customHeight="false" outlineLevel="0" collapsed="false">
      <c r="A2769" s="23"/>
      <c r="B2769" s="22"/>
      <c r="C2769" s="22"/>
      <c r="D2769" s="22"/>
      <c r="E2769" s="22"/>
      <c r="F2769" s="27" t="str">
        <f aca="false">IF(B2769="","",IFERROR(INDEX(Roster!$B$5:$B$154,MATCH(B2769,Roster!$A$5:$A$154,0)),"Not on roster"))</f>
        <v/>
      </c>
      <c r="G2769" s="28" t="str">
        <f aca="false">IF(OR(B2769="",C2769=""),"",F2769&amp;" | "&amp;C2769)</f>
        <v/>
      </c>
      <c r="H2769" s="27" t="str">
        <f aca="false">IF(G2769="","",IFERROR(INDEX(Levels!$C$5:$C$94,MATCH(G2769,Levels!$G$5:$G$94,0)),"Not this class's skill"))</f>
        <v/>
      </c>
    </row>
    <row r="2770" customFormat="false" ht="15" hidden="false" customHeight="false" outlineLevel="0" collapsed="false">
      <c r="A2770" s="23"/>
      <c r="B2770" s="22"/>
      <c r="C2770" s="22"/>
      <c r="D2770" s="22"/>
      <c r="E2770" s="22"/>
      <c r="F2770" s="27" t="str">
        <f aca="false">IF(B2770="","",IFERROR(INDEX(Roster!$B$5:$B$154,MATCH(B2770,Roster!$A$5:$A$154,0)),"Not on roster"))</f>
        <v/>
      </c>
      <c r="G2770" s="28" t="str">
        <f aca="false">IF(OR(B2770="",C2770=""),"",F2770&amp;" | "&amp;C2770)</f>
        <v/>
      </c>
      <c r="H2770" s="27" t="str">
        <f aca="false">IF(G2770="","",IFERROR(INDEX(Levels!$C$5:$C$94,MATCH(G2770,Levels!$G$5:$G$94,0)),"Not this class's skill"))</f>
        <v/>
      </c>
    </row>
    <row r="2771" customFormat="false" ht="15" hidden="false" customHeight="false" outlineLevel="0" collapsed="false">
      <c r="A2771" s="23"/>
      <c r="B2771" s="22"/>
      <c r="C2771" s="22"/>
      <c r="D2771" s="22"/>
      <c r="E2771" s="22"/>
      <c r="F2771" s="27" t="str">
        <f aca="false">IF(B2771="","",IFERROR(INDEX(Roster!$B$5:$B$154,MATCH(B2771,Roster!$A$5:$A$154,0)),"Not on roster"))</f>
        <v/>
      </c>
      <c r="G2771" s="28" t="str">
        <f aca="false">IF(OR(B2771="",C2771=""),"",F2771&amp;" | "&amp;C2771)</f>
        <v/>
      </c>
      <c r="H2771" s="27" t="str">
        <f aca="false">IF(G2771="","",IFERROR(INDEX(Levels!$C$5:$C$94,MATCH(G2771,Levels!$G$5:$G$94,0)),"Not this class's skill"))</f>
        <v/>
      </c>
    </row>
    <row r="2772" customFormat="false" ht="15" hidden="false" customHeight="false" outlineLevel="0" collapsed="false">
      <c r="A2772" s="23"/>
      <c r="B2772" s="22"/>
      <c r="C2772" s="22"/>
      <c r="D2772" s="22"/>
      <c r="E2772" s="22"/>
      <c r="F2772" s="27" t="str">
        <f aca="false">IF(B2772="","",IFERROR(INDEX(Roster!$B$5:$B$154,MATCH(B2772,Roster!$A$5:$A$154,0)),"Not on roster"))</f>
        <v/>
      </c>
      <c r="G2772" s="28" t="str">
        <f aca="false">IF(OR(B2772="",C2772=""),"",F2772&amp;" | "&amp;C2772)</f>
        <v/>
      </c>
      <c r="H2772" s="27" t="str">
        <f aca="false">IF(G2772="","",IFERROR(INDEX(Levels!$C$5:$C$94,MATCH(G2772,Levels!$G$5:$G$94,0)),"Not this class's skill"))</f>
        <v/>
      </c>
    </row>
    <row r="2773" customFormat="false" ht="15" hidden="false" customHeight="false" outlineLevel="0" collapsed="false">
      <c r="A2773" s="23"/>
      <c r="B2773" s="22"/>
      <c r="C2773" s="22"/>
      <c r="D2773" s="22"/>
      <c r="E2773" s="22"/>
      <c r="F2773" s="27" t="str">
        <f aca="false">IF(B2773="","",IFERROR(INDEX(Roster!$B$5:$B$154,MATCH(B2773,Roster!$A$5:$A$154,0)),"Not on roster"))</f>
        <v/>
      </c>
      <c r="G2773" s="28" t="str">
        <f aca="false">IF(OR(B2773="",C2773=""),"",F2773&amp;" | "&amp;C2773)</f>
        <v/>
      </c>
      <c r="H2773" s="27" t="str">
        <f aca="false">IF(G2773="","",IFERROR(INDEX(Levels!$C$5:$C$94,MATCH(G2773,Levels!$G$5:$G$94,0)),"Not this class's skill"))</f>
        <v/>
      </c>
    </row>
    <row r="2774" customFormat="false" ht="15" hidden="false" customHeight="false" outlineLevel="0" collapsed="false">
      <c r="A2774" s="23"/>
      <c r="B2774" s="22"/>
      <c r="C2774" s="22"/>
      <c r="D2774" s="22"/>
      <c r="E2774" s="22"/>
      <c r="F2774" s="27" t="str">
        <f aca="false">IF(B2774="","",IFERROR(INDEX(Roster!$B$5:$B$154,MATCH(B2774,Roster!$A$5:$A$154,0)),"Not on roster"))</f>
        <v/>
      </c>
      <c r="G2774" s="28" t="str">
        <f aca="false">IF(OR(B2774="",C2774=""),"",F2774&amp;" | "&amp;C2774)</f>
        <v/>
      </c>
      <c r="H2774" s="27" t="str">
        <f aca="false">IF(G2774="","",IFERROR(INDEX(Levels!$C$5:$C$94,MATCH(G2774,Levels!$G$5:$G$94,0)),"Not this class's skill"))</f>
        <v/>
      </c>
    </row>
    <row r="2775" customFormat="false" ht="15" hidden="false" customHeight="false" outlineLevel="0" collapsed="false">
      <c r="A2775" s="23"/>
      <c r="B2775" s="22"/>
      <c r="C2775" s="22"/>
      <c r="D2775" s="22"/>
      <c r="E2775" s="22"/>
      <c r="F2775" s="27" t="str">
        <f aca="false">IF(B2775="","",IFERROR(INDEX(Roster!$B$5:$B$154,MATCH(B2775,Roster!$A$5:$A$154,0)),"Not on roster"))</f>
        <v/>
      </c>
      <c r="G2775" s="28" t="str">
        <f aca="false">IF(OR(B2775="",C2775=""),"",F2775&amp;" | "&amp;C2775)</f>
        <v/>
      </c>
      <c r="H2775" s="27" t="str">
        <f aca="false">IF(G2775="","",IFERROR(INDEX(Levels!$C$5:$C$94,MATCH(G2775,Levels!$G$5:$G$94,0)),"Not this class's skill"))</f>
        <v/>
      </c>
    </row>
    <row r="2776" customFormat="false" ht="15" hidden="false" customHeight="false" outlineLevel="0" collapsed="false">
      <c r="A2776" s="23"/>
      <c r="B2776" s="22"/>
      <c r="C2776" s="22"/>
      <c r="D2776" s="22"/>
      <c r="E2776" s="22"/>
      <c r="F2776" s="27" t="str">
        <f aca="false">IF(B2776="","",IFERROR(INDEX(Roster!$B$5:$B$154,MATCH(B2776,Roster!$A$5:$A$154,0)),"Not on roster"))</f>
        <v/>
      </c>
      <c r="G2776" s="28" t="str">
        <f aca="false">IF(OR(B2776="",C2776=""),"",F2776&amp;" | "&amp;C2776)</f>
        <v/>
      </c>
      <c r="H2776" s="27" t="str">
        <f aca="false">IF(G2776="","",IFERROR(INDEX(Levels!$C$5:$C$94,MATCH(G2776,Levels!$G$5:$G$94,0)),"Not this class's skill"))</f>
        <v/>
      </c>
    </row>
    <row r="2777" customFormat="false" ht="15" hidden="false" customHeight="false" outlineLevel="0" collapsed="false">
      <c r="A2777" s="23"/>
      <c r="B2777" s="22"/>
      <c r="C2777" s="22"/>
      <c r="D2777" s="22"/>
      <c r="E2777" s="22"/>
      <c r="F2777" s="27" t="str">
        <f aca="false">IF(B2777="","",IFERROR(INDEX(Roster!$B$5:$B$154,MATCH(B2777,Roster!$A$5:$A$154,0)),"Not on roster"))</f>
        <v/>
      </c>
      <c r="G2777" s="28" t="str">
        <f aca="false">IF(OR(B2777="",C2777=""),"",F2777&amp;" | "&amp;C2777)</f>
        <v/>
      </c>
      <c r="H2777" s="27" t="str">
        <f aca="false">IF(G2777="","",IFERROR(INDEX(Levels!$C$5:$C$94,MATCH(G2777,Levels!$G$5:$G$94,0)),"Not this class's skill"))</f>
        <v/>
      </c>
    </row>
    <row r="2778" customFormat="false" ht="15" hidden="false" customHeight="false" outlineLevel="0" collapsed="false">
      <c r="A2778" s="23"/>
      <c r="B2778" s="22"/>
      <c r="C2778" s="22"/>
      <c r="D2778" s="22"/>
      <c r="E2778" s="22"/>
      <c r="F2778" s="27" t="str">
        <f aca="false">IF(B2778="","",IFERROR(INDEX(Roster!$B$5:$B$154,MATCH(B2778,Roster!$A$5:$A$154,0)),"Not on roster"))</f>
        <v/>
      </c>
      <c r="G2778" s="28" t="str">
        <f aca="false">IF(OR(B2778="",C2778=""),"",F2778&amp;" | "&amp;C2778)</f>
        <v/>
      </c>
      <c r="H2778" s="27" t="str">
        <f aca="false">IF(G2778="","",IFERROR(INDEX(Levels!$C$5:$C$94,MATCH(G2778,Levels!$G$5:$G$94,0)),"Not this class's skill"))</f>
        <v/>
      </c>
    </row>
    <row r="2779" customFormat="false" ht="15" hidden="false" customHeight="false" outlineLevel="0" collapsed="false">
      <c r="A2779" s="23"/>
      <c r="B2779" s="22"/>
      <c r="C2779" s="22"/>
      <c r="D2779" s="22"/>
      <c r="E2779" s="22"/>
      <c r="F2779" s="27" t="str">
        <f aca="false">IF(B2779="","",IFERROR(INDEX(Roster!$B$5:$B$154,MATCH(B2779,Roster!$A$5:$A$154,0)),"Not on roster"))</f>
        <v/>
      </c>
      <c r="G2779" s="28" t="str">
        <f aca="false">IF(OR(B2779="",C2779=""),"",F2779&amp;" | "&amp;C2779)</f>
        <v/>
      </c>
      <c r="H2779" s="27" t="str">
        <f aca="false">IF(G2779="","",IFERROR(INDEX(Levels!$C$5:$C$94,MATCH(G2779,Levels!$G$5:$G$94,0)),"Not this class's skill"))</f>
        <v/>
      </c>
    </row>
    <row r="2780" customFormat="false" ht="15" hidden="false" customHeight="false" outlineLevel="0" collapsed="false">
      <c r="A2780" s="23"/>
      <c r="B2780" s="22"/>
      <c r="C2780" s="22"/>
      <c r="D2780" s="22"/>
      <c r="E2780" s="22"/>
      <c r="F2780" s="27" t="str">
        <f aca="false">IF(B2780="","",IFERROR(INDEX(Roster!$B$5:$B$154,MATCH(B2780,Roster!$A$5:$A$154,0)),"Not on roster"))</f>
        <v/>
      </c>
      <c r="G2780" s="28" t="str">
        <f aca="false">IF(OR(B2780="",C2780=""),"",F2780&amp;" | "&amp;C2780)</f>
        <v/>
      </c>
      <c r="H2780" s="27" t="str">
        <f aca="false">IF(G2780="","",IFERROR(INDEX(Levels!$C$5:$C$94,MATCH(G2780,Levels!$G$5:$G$94,0)),"Not this class's skill"))</f>
        <v/>
      </c>
    </row>
    <row r="2781" customFormat="false" ht="15" hidden="false" customHeight="false" outlineLevel="0" collapsed="false">
      <c r="A2781" s="23"/>
      <c r="B2781" s="22"/>
      <c r="C2781" s="22"/>
      <c r="D2781" s="22"/>
      <c r="E2781" s="22"/>
      <c r="F2781" s="27" t="str">
        <f aca="false">IF(B2781="","",IFERROR(INDEX(Roster!$B$5:$B$154,MATCH(B2781,Roster!$A$5:$A$154,0)),"Not on roster"))</f>
        <v/>
      </c>
      <c r="G2781" s="28" t="str">
        <f aca="false">IF(OR(B2781="",C2781=""),"",F2781&amp;" | "&amp;C2781)</f>
        <v/>
      </c>
      <c r="H2781" s="27" t="str">
        <f aca="false">IF(G2781="","",IFERROR(INDEX(Levels!$C$5:$C$94,MATCH(G2781,Levels!$G$5:$G$94,0)),"Not this class's skill"))</f>
        <v/>
      </c>
    </row>
    <row r="2782" customFormat="false" ht="15" hidden="false" customHeight="false" outlineLevel="0" collapsed="false">
      <c r="A2782" s="23"/>
      <c r="B2782" s="22"/>
      <c r="C2782" s="22"/>
      <c r="D2782" s="22"/>
      <c r="E2782" s="22"/>
      <c r="F2782" s="27" t="str">
        <f aca="false">IF(B2782="","",IFERROR(INDEX(Roster!$B$5:$B$154,MATCH(B2782,Roster!$A$5:$A$154,0)),"Not on roster"))</f>
        <v/>
      </c>
      <c r="G2782" s="28" t="str">
        <f aca="false">IF(OR(B2782="",C2782=""),"",F2782&amp;" | "&amp;C2782)</f>
        <v/>
      </c>
      <c r="H2782" s="27" t="str">
        <f aca="false">IF(G2782="","",IFERROR(INDEX(Levels!$C$5:$C$94,MATCH(G2782,Levels!$G$5:$G$94,0)),"Not this class's skill"))</f>
        <v/>
      </c>
    </row>
    <row r="2783" customFormat="false" ht="15" hidden="false" customHeight="false" outlineLevel="0" collapsed="false">
      <c r="A2783" s="23"/>
      <c r="B2783" s="22"/>
      <c r="C2783" s="22"/>
      <c r="D2783" s="22"/>
      <c r="E2783" s="22"/>
      <c r="F2783" s="27" t="str">
        <f aca="false">IF(B2783="","",IFERROR(INDEX(Roster!$B$5:$B$154,MATCH(B2783,Roster!$A$5:$A$154,0)),"Not on roster"))</f>
        <v/>
      </c>
      <c r="G2783" s="28" t="str">
        <f aca="false">IF(OR(B2783="",C2783=""),"",F2783&amp;" | "&amp;C2783)</f>
        <v/>
      </c>
      <c r="H2783" s="27" t="str">
        <f aca="false">IF(G2783="","",IFERROR(INDEX(Levels!$C$5:$C$94,MATCH(G2783,Levels!$G$5:$G$94,0)),"Not this class's skill"))</f>
        <v/>
      </c>
    </row>
    <row r="2784" customFormat="false" ht="15" hidden="false" customHeight="false" outlineLevel="0" collapsed="false">
      <c r="A2784" s="23"/>
      <c r="B2784" s="22"/>
      <c r="C2784" s="22"/>
      <c r="D2784" s="22"/>
      <c r="E2784" s="22"/>
      <c r="F2784" s="27" t="str">
        <f aca="false">IF(B2784="","",IFERROR(INDEX(Roster!$B$5:$B$154,MATCH(B2784,Roster!$A$5:$A$154,0)),"Not on roster"))</f>
        <v/>
      </c>
      <c r="G2784" s="28" t="str">
        <f aca="false">IF(OR(B2784="",C2784=""),"",F2784&amp;" | "&amp;C2784)</f>
        <v/>
      </c>
      <c r="H2784" s="27" t="str">
        <f aca="false">IF(G2784="","",IFERROR(INDEX(Levels!$C$5:$C$94,MATCH(G2784,Levels!$G$5:$G$94,0)),"Not this class's skill"))</f>
        <v/>
      </c>
    </row>
    <row r="2785" customFormat="false" ht="15" hidden="false" customHeight="false" outlineLevel="0" collapsed="false">
      <c r="A2785" s="23"/>
      <c r="B2785" s="22"/>
      <c r="C2785" s="22"/>
      <c r="D2785" s="22"/>
      <c r="E2785" s="22"/>
      <c r="F2785" s="27" t="str">
        <f aca="false">IF(B2785="","",IFERROR(INDEX(Roster!$B$5:$B$154,MATCH(B2785,Roster!$A$5:$A$154,0)),"Not on roster"))</f>
        <v/>
      </c>
      <c r="G2785" s="28" t="str">
        <f aca="false">IF(OR(B2785="",C2785=""),"",F2785&amp;" | "&amp;C2785)</f>
        <v/>
      </c>
      <c r="H2785" s="27" t="str">
        <f aca="false">IF(G2785="","",IFERROR(INDEX(Levels!$C$5:$C$94,MATCH(G2785,Levels!$G$5:$G$94,0)),"Not this class's skill"))</f>
        <v/>
      </c>
    </row>
    <row r="2786" customFormat="false" ht="15" hidden="false" customHeight="false" outlineLevel="0" collapsed="false">
      <c r="A2786" s="23"/>
      <c r="B2786" s="22"/>
      <c r="C2786" s="22"/>
      <c r="D2786" s="22"/>
      <c r="E2786" s="22"/>
      <c r="F2786" s="27" t="str">
        <f aca="false">IF(B2786="","",IFERROR(INDEX(Roster!$B$5:$B$154,MATCH(B2786,Roster!$A$5:$A$154,0)),"Not on roster"))</f>
        <v/>
      </c>
      <c r="G2786" s="28" t="str">
        <f aca="false">IF(OR(B2786="",C2786=""),"",F2786&amp;" | "&amp;C2786)</f>
        <v/>
      </c>
      <c r="H2786" s="27" t="str">
        <f aca="false">IF(G2786="","",IFERROR(INDEX(Levels!$C$5:$C$94,MATCH(G2786,Levels!$G$5:$G$94,0)),"Not this class's skill"))</f>
        <v/>
      </c>
    </row>
    <row r="2787" customFormat="false" ht="15" hidden="false" customHeight="false" outlineLevel="0" collapsed="false">
      <c r="A2787" s="23"/>
      <c r="B2787" s="22"/>
      <c r="C2787" s="22"/>
      <c r="D2787" s="22"/>
      <c r="E2787" s="22"/>
      <c r="F2787" s="27" t="str">
        <f aca="false">IF(B2787="","",IFERROR(INDEX(Roster!$B$5:$B$154,MATCH(B2787,Roster!$A$5:$A$154,0)),"Not on roster"))</f>
        <v/>
      </c>
      <c r="G2787" s="28" t="str">
        <f aca="false">IF(OR(B2787="",C2787=""),"",F2787&amp;" | "&amp;C2787)</f>
        <v/>
      </c>
      <c r="H2787" s="27" t="str">
        <f aca="false">IF(G2787="","",IFERROR(INDEX(Levels!$C$5:$C$94,MATCH(G2787,Levels!$G$5:$G$94,0)),"Not this class's skill"))</f>
        <v/>
      </c>
    </row>
    <row r="2788" customFormat="false" ht="15" hidden="false" customHeight="false" outlineLevel="0" collapsed="false">
      <c r="A2788" s="23"/>
      <c r="B2788" s="22"/>
      <c r="C2788" s="22"/>
      <c r="D2788" s="22"/>
      <c r="E2788" s="22"/>
      <c r="F2788" s="27" t="str">
        <f aca="false">IF(B2788="","",IFERROR(INDEX(Roster!$B$5:$B$154,MATCH(B2788,Roster!$A$5:$A$154,0)),"Not on roster"))</f>
        <v/>
      </c>
      <c r="G2788" s="28" t="str">
        <f aca="false">IF(OR(B2788="",C2788=""),"",F2788&amp;" | "&amp;C2788)</f>
        <v/>
      </c>
      <c r="H2788" s="27" t="str">
        <f aca="false">IF(G2788="","",IFERROR(INDEX(Levels!$C$5:$C$94,MATCH(G2788,Levels!$G$5:$G$94,0)),"Not this class's skill"))</f>
        <v/>
      </c>
    </row>
    <row r="2789" customFormat="false" ht="15" hidden="false" customHeight="false" outlineLevel="0" collapsed="false">
      <c r="A2789" s="23"/>
      <c r="B2789" s="22"/>
      <c r="C2789" s="22"/>
      <c r="D2789" s="22"/>
      <c r="E2789" s="22"/>
      <c r="F2789" s="27" t="str">
        <f aca="false">IF(B2789="","",IFERROR(INDEX(Roster!$B$5:$B$154,MATCH(B2789,Roster!$A$5:$A$154,0)),"Not on roster"))</f>
        <v/>
      </c>
      <c r="G2789" s="28" t="str">
        <f aca="false">IF(OR(B2789="",C2789=""),"",F2789&amp;" | "&amp;C2789)</f>
        <v/>
      </c>
      <c r="H2789" s="27" t="str">
        <f aca="false">IF(G2789="","",IFERROR(INDEX(Levels!$C$5:$C$94,MATCH(G2789,Levels!$G$5:$G$94,0)),"Not this class's skill"))</f>
        <v/>
      </c>
    </row>
    <row r="2790" customFormat="false" ht="15" hidden="false" customHeight="false" outlineLevel="0" collapsed="false">
      <c r="A2790" s="23"/>
      <c r="B2790" s="22"/>
      <c r="C2790" s="22"/>
      <c r="D2790" s="22"/>
      <c r="E2790" s="22"/>
      <c r="F2790" s="27" t="str">
        <f aca="false">IF(B2790="","",IFERROR(INDEX(Roster!$B$5:$B$154,MATCH(B2790,Roster!$A$5:$A$154,0)),"Not on roster"))</f>
        <v/>
      </c>
      <c r="G2790" s="28" t="str">
        <f aca="false">IF(OR(B2790="",C2790=""),"",F2790&amp;" | "&amp;C2790)</f>
        <v/>
      </c>
      <c r="H2790" s="27" t="str">
        <f aca="false">IF(G2790="","",IFERROR(INDEX(Levels!$C$5:$C$94,MATCH(G2790,Levels!$G$5:$G$94,0)),"Not this class's skill"))</f>
        <v/>
      </c>
    </row>
    <row r="2791" customFormat="false" ht="15" hidden="false" customHeight="false" outlineLevel="0" collapsed="false">
      <c r="A2791" s="23"/>
      <c r="B2791" s="22"/>
      <c r="C2791" s="22"/>
      <c r="D2791" s="22"/>
      <c r="E2791" s="22"/>
      <c r="F2791" s="27" t="str">
        <f aca="false">IF(B2791="","",IFERROR(INDEX(Roster!$B$5:$B$154,MATCH(B2791,Roster!$A$5:$A$154,0)),"Not on roster"))</f>
        <v/>
      </c>
      <c r="G2791" s="28" t="str">
        <f aca="false">IF(OR(B2791="",C2791=""),"",F2791&amp;" | "&amp;C2791)</f>
        <v/>
      </c>
      <c r="H2791" s="27" t="str">
        <f aca="false">IF(G2791="","",IFERROR(INDEX(Levels!$C$5:$C$94,MATCH(G2791,Levels!$G$5:$G$94,0)),"Not this class's skill"))</f>
        <v/>
      </c>
    </row>
    <row r="2792" customFormat="false" ht="15" hidden="false" customHeight="false" outlineLevel="0" collapsed="false">
      <c r="A2792" s="23"/>
      <c r="B2792" s="22"/>
      <c r="C2792" s="22"/>
      <c r="D2792" s="22"/>
      <c r="E2792" s="22"/>
      <c r="F2792" s="27" t="str">
        <f aca="false">IF(B2792="","",IFERROR(INDEX(Roster!$B$5:$B$154,MATCH(B2792,Roster!$A$5:$A$154,0)),"Not on roster"))</f>
        <v/>
      </c>
      <c r="G2792" s="28" t="str">
        <f aca="false">IF(OR(B2792="",C2792=""),"",F2792&amp;" | "&amp;C2792)</f>
        <v/>
      </c>
      <c r="H2792" s="27" t="str">
        <f aca="false">IF(G2792="","",IFERROR(INDEX(Levels!$C$5:$C$94,MATCH(G2792,Levels!$G$5:$G$94,0)),"Not this class's skill"))</f>
        <v/>
      </c>
    </row>
    <row r="2793" customFormat="false" ht="15" hidden="false" customHeight="false" outlineLevel="0" collapsed="false">
      <c r="A2793" s="23"/>
      <c r="B2793" s="22"/>
      <c r="C2793" s="22"/>
      <c r="D2793" s="22"/>
      <c r="E2793" s="22"/>
      <c r="F2793" s="27" t="str">
        <f aca="false">IF(B2793="","",IFERROR(INDEX(Roster!$B$5:$B$154,MATCH(B2793,Roster!$A$5:$A$154,0)),"Not on roster"))</f>
        <v/>
      </c>
      <c r="G2793" s="28" t="str">
        <f aca="false">IF(OR(B2793="",C2793=""),"",F2793&amp;" | "&amp;C2793)</f>
        <v/>
      </c>
      <c r="H2793" s="27" t="str">
        <f aca="false">IF(G2793="","",IFERROR(INDEX(Levels!$C$5:$C$94,MATCH(G2793,Levels!$G$5:$G$94,0)),"Not this class's skill"))</f>
        <v/>
      </c>
    </row>
    <row r="2794" customFormat="false" ht="15" hidden="false" customHeight="false" outlineLevel="0" collapsed="false">
      <c r="A2794" s="23"/>
      <c r="B2794" s="22"/>
      <c r="C2794" s="22"/>
      <c r="D2794" s="22"/>
      <c r="E2794" s="22"/>
      <c r="F2794" s="27" t="str">
        <f aca="false">IF(B2794="","",IFERROR(INDEX(Roster!$B$5:$B$154,MATCH(B2794,Roster!$A$5:$A$154,0)),"Not on roster"))</f>
        <v/>
      </c>
      <c r="G2794" s="28" t="str">
        <f aca="false">IF(OR(B2794="",C2794=""),"",F2794&amp;" | "&amp;C2794)</f>
        <v/>
      </c>
      <c r="H2794" s="27" t="str">
        <f aca="false">IF(G2794="","",IFERROR(INDEX(Levels!$C$5:$C$94,MATCH(G2794,Levels!$G$5:$G$94,0)),"Not this class's skill"))</f>
        <v/>
      </c>
    </row>
    <row r="2795" customFormat="false" ht="15" hidden="false" customHeight="false" outlineLevel="0" collapsed="false">
      <c r="A2795" s="23"/>
      <c r="B2795" s="22"/>
      <c r="C2795" s="22"/>
      <c r="D2795" s="22"/>
      <c r="E2795" s="22"/>
      <c r="F2795" s="27" t="str">
        <f aca="false">IF(B2795="","",IFERROR(INDEX(Roster!$B$5:$B$154,MATCH(B2795,Roster!$A$5:$A$154,0)),"Not on roster"))</f>
        <v/>
      </c>
      <c r="G2795" s="28" t="str">
        <f aca="false">IF(OR(B2795="",C2795=""),"",F2795&amp;" | "&amp;C2795)</f>
        <v/>
      </c>
      <c r="H2795" s="27" t="str">
        <f aca="false">IF(G2795="","",IFERROR(INDEX(Levels!$C$5:$C$94,MATCH(G2795,Levels!$G$5:$G$94,0)),"Not this class's skill"))</f>
        <v/>
      </c>
    </row>
    <row r="2796" customFormat="false" ht="15" hidden="false" customHeight="false" outlineLevel="0" collapsed="false">
      <c r="A2796" s="23"/>
      <c r="B2796" s="22"/>
      <c r="C2796" s="22"/>
      <c r="D2796" s="22"/>
      <c r="E2796" s="22"/>
      <c r="F2796" s="27" t="str">
        <f aca="false">IF(B2796="","",IFERROR(INDEX(Roster!$B$5:$B$154,MATCH(B2796,Roster!$A$5:$A$154,0)),"Not on roster"))</f>
        <v/>
      </c>
      <c r="G2796" s="28" t="str">
        <f aca="false">IF(OR(B2796="",C2796=""),"",F2796&amp;" | "&amp;C2796)</f>
        <v/>
      </c>
      <c r="H2796" s="27" t="str">
        <f aca="false">IF(G2796="","",IFERROR(INDEX(Levels!$C$5:$C$94,MATCH(G2796,Levels!$G$5:$G$94,0)),"Not this class's skill"))</f>
        <v/>
      </c>
    </row>
    <row r="2797" customFormat="false" ht="15" hidden="false" customHeight="false" outlineLevel="0" collapsed="false">
      <c r="A2797" s="23"/>
      <c r="B2797" s="22"/>
      <c r="C2797" s="22"/>
      <c r="D2797" s="22"/>
      <c r="E2797" s="22"/>
      <c r="F2797" s="27" t="str">
        <f aca="false">IF(B2797="","",IFERROR(INDEX(Roster!$B$5:$B$154,MATCH(B2797,Roster!$A$5:$A$154,0)),"Not on roster"))</f>
        <v/>
      </c>
      <c r="G2797" s="28" t="str">
        <f aca="false">IF(OR(B2797="",C2797=""),"",F2797&amp;" | "&amp;C2797)</f>
        <v/>
      </c>
      <c r="H2797" s="27" t="str">
        <f aca="false">IF(G2797="","",IFERROR(INDEX(Levels!$C$5:$C$94,MATCH(G2797,Levels!$G$5:$G$94,0)),"Not this class's skill"))</f>
        <v/>
      </c>
    </row>
    <row r="2798" customFormat="false" ht="15" hidden="false" customHeight="false" outlineLevel="0" collapsed="false">
      <c r="A2798" s="23"/>
      <c r="B2798" s="22"/>
      <c r="C2798" s="22"/>
      <c r="D2798" s="22"/>
      <c r="E2798" s="22"/>
      <c r="F2798" s="27" t="str">
        <f aca="false">IF(B2798="","",IFERROR(INDEX(Roster!$B$5:$B$154,MATCH(B2798,Roster!$A$5:$A$154,0)),"Not on roster"))</f>
        <v/>
      </c>
      <c r="G2798" s="28" t="str">
        <f aca="false">IF(OR(B2798="",C2798=""),"",F2798&amp;" | "&amp;C2798)</f>
        <v/>
      </c>
      <c r="H2798" s="27" t="str">
        <f aca="false">IF(G2798="","",IFERROR(INDEX(Levels!$C$5:$C$94,MATCH(G2798,Levels!$G$5:$G$94,0)),"Not this class's skill"))</f>
        <v/>
      </c>
    </row>
    <row r="2799" customFormat="false" ht="15" hidden="false" customHeight="false" outlineLevel="0" collapsed="false">
      <c r="A2799" s="23"/>
      <c r="B2799" s="22"/>
      <c r="C2799" s="22"/>
      <c r="D2799" s="22"/>
      <c r="E2799" s="22"/>
      <c r="F2799" s="27" t="str">
        <f aca="false">IF(B2799="","",IFERROR(INDEX(Roster!$B$5:$B$154,MATCH(B2799,Roster!$A$5:$A$154,0)),"Not on roster"))</f>
        <v/>
      </c>
      <c r="G2799" s="28" t="str">
        <f aca="false">IF(OR(B2799="",C2799=""),"",F2799&amp;" | "&amp;C2799)</f>
        <v/>
      </c>
      <c r="H2799" s="27" t="str">
        <f aca="false">IF(G2799="","",IFERROR(INDEX(Levels!$C$5:$C$94,MATCH(G2799,Levels!$G$5:$G$94,0)),"Not this class's skill"))</f>
        <v/>
      </c>
    </row>
    <row r="2800" customFormat="false" ht="15" hidden="false" customHeight="false" outlineLevel="0" collapsed="false">
      <c r="A2800" s="23"/>
      <c r="B2800" s="22"/>
      <c r="C2800" s="22"/>
      <c r="D2800" s="22"/>
      <c r="E2800" s="22"/>
      <c r="F2800" s="27" t="str">
        <f aca="false">IF(B2800="","",IFERROR(INDEX(Roster!$B$5:$B$154,MATCH(B2800,Roster!$A$5:$A$154,0)),"Not on roster"))</f>
        <v/>
      </c>
      <c r="G2800" s="28" t="str">
        <f aca="false">IF(OR(B2800="",C2800=""),"",F2800&amp;" | "&amp;C2800)</f>
        <v/>
      </c>
      <c r="H2800" s="27" t="str">
        <f aca="false">IF(G2800="","",IFERROR(INDEX(Levels!$C$5:$C$94,MATCH(G2800,Levels!$G$5:$G$94,0)),"Not this class's skill"))</f>
        <v/>
      </c>
    </row>
    <row r="2801" customFormat="false" ht="15" hidden="false" customHeight="false" outlineLevel="0" collapsed="false">
      <c r="A2801" s="23"/>
      <c r="B2801" s="22"/>
      <c r="C2801" s="22"/>
      <c r="D2801" s="22"/>
      <c r="E2801" s="22"/>
      <c r="F2801" s="27" t="str">
        <f aca="false">IF(B2801="","",IFERROR(INDEX(Roster!$B$5:$B$154,MATCH(B2801,Roster!$A$5:$A$154,0)),"Not on roster"))</f>
        <v/>
      </c>
      <c r="G2801" s="28" t="str">
        <f aca="false">IF(OR(B2801="",C2801=""),"",F2801&amp;" | "&amp;C2801)</f>
        <v/>
      </c>
      <c r="H2801" s="27" t="str">
        <f aca="false">IF(G2801="","",IFERROR(INDEX(Levels!$C$5:$C$94,MATCH(G2801,Levels!$G$5:$G$94,0)),"Not this class's skill"))</f>
        <v/>
      </c>
    </row>
    <row r="2802" customFormat="false" ht="15" hidden="false" customHeight="false" outlineLevel="0" collapsed="false">
      <c r="A2802" s="23"/>
      <c r="B2802" s="22"/>
      <c r="C2802" s="22"/>
      <c r="D2802" s="22"/>
      <c r="E2802" s="22"/>
      <c r="F2802" s="27" t="str">
        <f aca="false">IF(B2802="","",IFERROR(INDEX(Roster!$B$5:$B$154,MATCH(B2802,Roster!$A$5:$A$154,0)),"Not on roster"))</f>
        <v/>
      </c>
      <c r="G2802" s="28" t="str">
        <f aca="false">IF(OR(B2802="",C2802=""),"",F2802&amp;" | "&amp;C2802)</f>
        <v/>
      </c>
      <c r="H2802" s="27" t="str">
        <f aca="false">IF(G2802="","",IFERROR(INDEX(Levels!$C$5:$C$94,MATCH(G2802,Levels!$G$5:$G$94,0)),"Not this class's skill"))</f>
        <v/>
      </c>
    </row>
    <row r="2803" customFormat="false" ht="15" hidden="false" customHeight="false" outlineLevel="0" collapsed="false">
      <c r="A2803" s="23"/>
      <c r="B2803" s="22"/>
      <c r="C2803" s="22"/>
      <c r="D2803" s="22"/>
      <c r="E2803" s="22"/>
      <c r="F2803" s="27" t="str">
        <f aca="false">IF(B2803="","",IFERROR(INDEX(Roster!$B$5:$B$154,MATCH(B2803,Roster!$A$5:$A$154,0)),"Not on roster"))</f>
        <v/>
      </c>
      <c r="G2803" s="28" t="str">
        <f aca="false">IF(OR(B2803="",C2803=""),"",F2803&amp;" | "&amp;C2803)</f>
        <v/>
      </c>
      <c r="H2803" s="27" t="str">
        <f aca="false">IF(G2803="","",IFERROR(INDEX(Levels!$C$5:$C$94,MATCH(G2803,Levels!$G$5:$G$94,0)),"Not this class's skill"))</f>
        <v/>
      </c>
    </row>
    <row r="2804" customFormat="false" ht="15" hidden="false" customHeight="false" outlineLevel="0" collapsed="false">
      <c r="A2804" s="23"/>
      <c r="B2804" s="22"/>
      <c r="C2804" s="22"/>
      <c r="D2804" s="22"/>
      <c r="E2804" s="22"/>
      <c r="F2804" s="27" t="str">
        <f aca="false">IF(B2804="","",IFERROR(INDEX(Roster!$B$5:$B$154,MATCH(B2804,Roster!$A$5:$A$154,0)),"Not on roster"))</f>
        <v/>
      </c>
      <c r="G2804" s="28" t="str">
        <f aca="false">IF(OR(B2804="",C2804=""),"",F2804&amp;" | "&amp;C2804)</f>
        <v/>
      </c>
      <c r="H2804" s="27" t="str">
        <f aca="false">IF(G2804="","",IFERROR(INDEX(Levels!$C$5:$C$94,MATCH(G2804,Levels!$G$5:$G$94,0)),"Not this class's skill"))</f>
        <v/>
      </c>
    </row>
    <row r="2805" customFormat="false" ht="15" hidden="false" customHeight="false" outlineLevel="0" collapsed="false">
      <c r="A2805" s="23"/>
      <c r="B2805" s="22"/>
      <c r="C2805" s="22"/>
      <c r="D2805" s="22"/>
      <c r="E2805" s="22"/>
      <c r="F2805" s="27" t="str">
        <f aca="false">IF(B2805="","",IFERROR(INDEX(Roster!$B$5:$B$154,MATCH(B2805,Roster!$A$5:$A$154,0)),"Not on roster"))</f>
        <v/>
      </c>
      <c r="G2805" s="28" t="str">
        <f aca="false">IF(OR(B2805="",C2805=""),"",F2805&amp;" | "&amp;C2805)</f>
        <v/>
      </c>
      <c r="H2805" s="27" t="str">
        <f aca="false">IF(G2805="","",IFERROR(INDEX(Levels!$C$5:$C$94,MATCH(G2805,Levels!$G$5:$G$94,0)),"Not this class's skill"))</f>
        <v/>
      </c>
    </row>
    <row r="2806" customFormat="false" ht="15" hidden="false" customHeight="false" outlineLevel="0" collapsed="false">
      <c r="A2806" s="23"/>
      <c r="B2806" s="22"/>
      <c r="C2806" s="22"/>
      <c r="D2806" s="22"/>
      <c r="E2806" s="22"/>
      <c r="F2806" s="27" t="str">
        <f aca="false">IF(B2806="","",IFERROR(INDEX(Roster!$B$5:$B$154,MATCH(B2806,Roster!$A$5:$A$154,0)),"Not on roster"))</f>
        <v/>
      </c>
      <c r="G2806" s="28" t="str">
        <f aca="false">IF(OR(B2806="",C2806=""),"",F2806&amp;" | "&amp;C2806)</f>
        <v/>
      </c>
      <c r="H2806" s="27" t="str">
        <f aca="false">IF(G2806="","",IFERROR(INDEX(Levels!$C$5:$C$94,MATCH(G2806,Levels!$G$5:$G$94,0)),"Not this class's skill"))</f>
        <v/>
      </c>
    </row>
    <row r="2807" customFormat="false" ht="15" hidden="false" customHeight="false" outlineLevel="0" collapsed="false">
      <c r="A2807" s="23"/>
      <c r="B2807" s="22"/>
      <c r="C2807" s="22"/>
      <c r="D2807" s="22"/>
      <c r="E2807" s="22"/>
      <c r="F2807" s="27" t="str">
        <f aca="false">IF(B2807="","",IFERROR(INDEX(Roster!$B$5:$B$154,MATCH(B2807,Roster!$A$5:$A$154,0)),"Not on roster"))</f>
        <v/>
      </c>
      <c r="G2807" s="28" t="str">
        <f aca="false">IF(OR(B2807="",C2807=""),"",F2807&amp;" | "&amp;C2807)</f>
        <v/>
      </c>
      <c r="H2807" s="27" t="str">
        <f aca="false">IF(G2807="","",IFERROR(INDEX(Levels!$C$5:$C$94,MATCH(G2807,Levels!$G$5:$G$94,0)),"Not this class's skill"))</f>
        <v/>
      </c>
    </row>
    <row r="2808" customFormat="false" ht="15" hidden="false" customHeight="false" outlineLevel="0" collapsed="false">
      <c r="A2808" s="23"/>
      <c r="B2808" s="22"/>
      <c r="C2808" s="22"/>
      <c r="D2808" s="22"/>
      <c r="E2808" s="22"/>
      <c r="F2808" s="27" t="str">
        <f aca="false">IF(B2808="","",IFERROR(INDEX(Roster!$B$5:$B$154,MATCH(B2808,Roster!$A$5:$A$154,0)),"Not on roster"))</f>
        <v/>
      </c>
      <c r="G2808" s="28" t="str">
        <f aca="false">IF(OR(B2808="",C2808=""),"",F2808&amp;" | "&amp;C2808)</f>
        <v/>
      </c>
      <c r="H2808" s="27" t="str">
        <f aca="false">IF(G2808="","",IFERROR(INDEX(Levels!$C$5:$C$94,MATCH(G2808,Levels!$G$5:$G$94,0)),"Not this class's skill"))</f>
        <v/>
      </c>
    </row>
    <row r="2809" customFormat="false" ht="15" hidden="false" customHeight="false" outlineLevel="0" collapsed="false">
      <c r="A2809" s="23"/>
      <c r="B2809" s="22"/>
      <c r="C2809" s="22"/>
      <c r="D2809" s="22"/>
      <c r="E2809" s="22"/>
      <c r="F2809" s="27" t="str">
        <f aca="false">IF(B2809="","",IFERROR(INDEX(Roster!$B$5:$B$154,MATCH(B2809,Roster!$A$5:$A$154,0)),"Not on roster"))</f>
        <v/>
      </c>
      <c r="G2809" s="28" t="str">
        <f aca="false">IF(OR(B2809="",C2809=""),"",F2809&amp;" | "&amp;C2809)</f>
        <v/>
      </c>
      <c r="H2809" s="27" t="str">
        <f aca="false">IF(G2809="","",IFERROR(INDEX(Levels!$C$5:$C$94,MATCH(G2809,Levels!$G$5:$G$94,0)),"Not this class's skill"))</f>
        <v/>
      </c>
    </row>
    <row r="2810" customFormat="false" ht="15" hidden="false" customHeight="false" outlineLevel="0" collapsed="false">
      <c r="A2810" s="23"/>
      <c r="B2810" s="22"/>
      <c r="C2810" s="22"/>
      <c r="D2810" s="22"/>
      <c r="E2810" s="22"/>
      <c r="F2810" s="27" t="str">
        <f aca="false">IF(B2810="","",IFERROR(INDEX(Roster!$B$5:$B$154,MATCH(B2810,Roster!$A$5:$A$154,0)),"Not on roster"))</f>
        <v/>
      </c>
      <c r="G2810" s="28" t="str">
        <f aca="false">IF(OR(B2810="",C2810=""),"",F2810&amp;" | "&amp;C2810)</f>
        <v/>
      </c>
      <c r="H2810" s="27" t="str">
        <f aca="false">IF(G2810="","",IFERROR(INDEX(Levels!$C$5:$C$94,MATCH(G2810,Levels!$G$5:$G$94,0)),"Not this class's skill"))</f>
        <v/>
      </c>
    </row>
    <row r="2811" customFormat="false" ht="15" hidden="false" customHeight="false" outlineLevel="0" collapsed="false">
      <c r="A2811" s="23"/>
      <c r="B2811" s="22"/>
      <c r="C2811" s="22"/>
      <c r="D2811" s="22"/>
      <c r="E2811" s="22"/>
      <c r="F2811" s="27" t="str">
        <f aca="false">IF(B2811="","",IFERROR(INDEX(Roster!$B$5:$B$154,MATCH(B2811,Roster!$A$5:$A$154,0)),"Not on roster"))</f>
        <v/>
      </c>
      <c r="G2811" s="28" t="str">
        <f aca="false">IF(OR(B2811="",C2811=""),"",F2811&amp;" | "&amp;C2811)</f>
        <v/>
      </c>
      <c r="H2811" s="27" t="str">
        <f aca="false">IF(G2811="","",IFERROR(INDEX(Levels!$C$5:$C$94,MATCH(G2811,Levels!$G$5:$G$94,0)),"Not this class's skill"))</f>
        <v/>
      </c>
    </row>
    <row r="2812" customFormat="false" ht="15" hidden="false" customHeight="false" outlineLevel="0" collapsed="false">
      <c r="A2812" s="23"/>
      <c r="B2812" s="22"/>
      <c r="C2812" s="22"/>
      <c r="D2812" s="22"/>
      <c r="E2812" s="22"/>
      <c r="F2812" s="27" t="str">
        <f aca="false">IF(B2812="","",IFERROR(INDEX(Roster!$B$5:$B$154,MATCH(B2812,Roster!$A$5:$A$154,0)),"Not on roster"))</f>
        <v/>
      </c>
      <c r="G2812" s="28" t="str">
        <f aca="false">IF(OR(B2812="",C2812=""),"",F2812&amp;" | "&amp;C2812)</f>
        <v/>
      </c>
      <c r="H2812" s="27" t="str">
        <f aca="false">IF(G2812="","",IFERROR(INDEX(Levels!$C$5:$C$94,MATCH(G2812,Levels!$G$5:$G$94,0)),"Not this class's skill"))</f>
        <v/>
      </c>
    </row>
    <row r="2813" customFormat="false" ht="15" hidden="false" customHeight="false" outlineLevel="0" collapsed="false">
      <c r="A2813" s="23"/>
      <c r="B2813" s="22"/>
      <c r="C2813" s="22"/>
      <c r="D2813" s="22"/>
      <c r="E2813" s="22"/>
      <c r="F2813" s="27" t="str">
        <f aca="false">IF(B2813="","",IFERROR(INDEX(Roster!$B$5:$B$154,MATCH(B2813,Roster!$A$5:$A$154,0)),"Not on roster"))</f>
        <v/>
      </c>
      <c r="G2813" s="28" t="str">
        <f aca="false">IF(OR(B2813="",C2813=""),"",F2813&amp;" | "&amp;C2813)</f>
        <v/>
      </c>
      <c r="H2813" s="27" t="str">
        <f aca="false">IF(G2813="","",IFERROR(INDEX(Levels!$C$5:$C$94,MATCH(G2813,Levels!$G$5:$G$94,0)),"Not this class's skill"))</f>
        <v/>
      </c>
    </row>
    <row r="2814" customFormat="false" ht="15" hidden="false" customHeight="false" outlineLevel="0" collapsed="false">
      <c r="A2814" s="23"/>
      <c r="B2814" s="22"/>
      <c r="C2814" s="22"/>
      <c r="D2814" s="22"/>
      <c r="E2814" s="22"/>
      <c r="F2814" s="27" t="str">
        <f aca="false">IF(B2814="","",IFERROR(INDEX(Roster!$B$5:$B$154,MATCH(B2814,Roster!$A$5:$A$154,0)),"Not on roster"))</f>
        <v/>
      </c>
      <c r="G2814" s="28" t="str">
        <f aca="false">IF(OR(B2814="",C2814=""),"",F2814&amp;" | "&amp;C2814)</f>
        <v/>
      </c>
      <c r="H2814" s="27" t="str">
        <f aca="false">IF(G2814="","",IFERROR(INDEX(Levels!$C$5:$C$94,MATCH(G2814,Levels!$G$5:$G$94,0)),"Not this class's skill"))</f>
        <v/>
      </c>
    </row>
    <row r="2815" customFormat="false" ht="15" hidden="false" customHeight="false" outlineLevel="0" collapsed="false">
      <c r="A2815" s="23"/>
      <c r="B2815" s="22"/>
      <c r="C2815" s="22"/>
      <c r="D2815" s="22"/>
      <c r="E2815" s="22"/>
      <c r="F2815" s="27" t="str">
        <f aca="false">IF(B2815="","",IFERROR(INDEX(Roster!$B$5:$B$154,MATCH(B2815,Roster!$A$5:$A$154,0)),"Not on roster"))</f>
        <v/>
      </c>
      <c r="G2815" s="28" t="str">
        <f aca="false">IF(OR(B2815="",C2815=""),"",F2815&amp;" | "&amp;C2815)</f>
        <v/>
      </c>
      <c r="H2815" s="27" t="str">
        <f aca="false">IF(G2815="","",IFERROR(INDEX(Levels!$C$5:$C$94,MATCH(G2815,Levels!$G$5:$G$94,0)),"Not this class's skill"))</f>
        <v/>
      </c>
    </row>
    <row r="2816" customFormat="false" ht="15" hidden="false" customHeight="false" outlineLevel="0" collapsed="false">
      <c r="A2816" s="23"/>
      <c r="B2816" s="22"/>
      <c r="C2816" s="22"/>
      <c r="D2816" s="22"/>
      <c r="E2816" s="22"/>
      <c r="F2816" s="27" t="str">
        <f aca="false">IF(B2816="","",IFERROR(INDEX(Roster!$B$5:$B$154,MATCH(B2816,Roster!$A$5:$A$154,0)),"Not on roster"))</f>
        <v/>
      </c>
      <c r="G2816" s="28" t="str">
        <f aca="false">IF(OR(B2816="",C2816=""),"",F2816&amp;" | "&amp;C2816)</f>
        <v/>
      </c>
      <c r="H2816" s="27" t="str">
        <f aca="false">IF(G2816="","",IFERROR(INDEX(Levels!$C$5:$C$94,MATCH(G2816,Levels!$G$5:$G$94,0)),"Not this class's skill"))</f>
        <v/>
      </c>
    </row>
    <row r="2817" customFormat="false" ht="15" hidden="false" customHeight="false" outlineLevel="0" collapsed="false">
      <c r="A2817" s="23"/>
      <c r="B2817" s="22"/>
      <c r="C2817" s="22"/>
      <c r="D2817" s="22"/>
      <c r="E2817" s="22"/>
      <c r="F2817" s="27" t="str">
        <f aca="false">IF(B2817="","",IFERROR(INDEX(Roster!$B$5:$B$154,MATCH(B2817,Roster!$A$5:$A$154,0)),"Not on roster"))</f>
        <v/>
      </c>
      <c r="G2817" s="28" t="str">
        <f aca="false">IF(OR(B2817="",C2817=""),"",F2817&amp;" | "&amp;C2817)</f>
        <v/>
      </c>
      <c r="H2817" s="27" t="str">
        <f aca="false">IF(G2817="","",IFERROR(INDEX(Levels!$C$5:$C$94,MATCH(G2817,Levels!$G$5:$G$94,0)),"Not this class's skill"))</f>
        <v/>
      </c>
    </row>
    <row r="2818" customFormat="false" ht="15" hidden="false" customHeight="false" outlineLevel="0" collapsed="false">
      <c r="A2818" s="23"/>
      <c r="B2818" s="22"/>
      <c r="C2818" s="22"/>
      <c r="D2818" s="22"/>
      <c r="E2818" s="22"/>
      <c r="F2818" s="27" t="str">
        <f aca="false">IF(B2818="","",IFERROR(INDEX(Roster!$B$5:$B$154,MATCH(B2818,Roster!$A$5:$A$154,0)),"Not on roster"))</f>
        <v/>
      </c>
      <c r="G2818" s="28" t="str">
        <f aca="false">IF(OR(B2818="",C2818=""),"",F2818&amp;" | "&amp;C2818)</f>
        <v/>
      </c>
      <c r="H2818" s="27" t="str">
        <f aca="false">IF(G2818="","",IFERROR(INDEX(Levels!$C$5:$C$94,MATCH(G2818,Levels!$G$5:$G$94,0)),"Not this class's skill"))</f>
        <v/>
      </c>
    </row>
    <row r="2819" customFormat="false" ht="15" hidden="false" customHeight="false" outlineLevel="0" collapsed="false">
      <c r="A2819" s="23"/>
      <c r="B2819" s="22"/>
      <c r="C2819" s="22"/>
      <c r="D2819" s="22"/>
      <c r="E2819" s="22"/>
      <c r="F2819" s="27" t="str">
        <f aca="false">IF(B2819="","",IFERROR(INDEX(Roster!$B$5:$B$154,MATCH(B2819,Roster!$A$5:$A$154,0)),"Not on roster"))</f>
        <v/>
      </c>
      <c r="G2819" s="28" t="str">
        <f aca="false">IF(OR(B2819="",C2819=""),"",F2819&amp;" | "&amp;C2819)</f>
        <v/>
      </c>
      <c r="H2819" s="27" t="str">
        <f aca="false">IF(G2819="","",IFERROR(INDEX(Levels!$C$5:$C$94,MATCH(G2819,Levels!$G$5:$G$94,0)),"Not this class's skill"))</f>
        <v/>
      </c>
    </row>
    <row r="2820" customFormat="false" ht="15" hidden="false" customHeight="false" outlineLevel="0" collapsed="false">
      <c r="A2820" s="23"/>
      <c r="B2820" s="22"/>
      <c r="C2820" s="22"/>
      <c r="D2820" s="22"/>
      <c r="E2820" s="22"/>
      <c r="F2820" s="27" t="str">
        <f aca="false">IF(B2820="","",IFERROR(INDEX(Roster!$B$5:$B$154,MATCH(B2820,Roster!$A$5:$A$154,0)),"Not on roster"))</f>
        <v/>
      </c>
      <c r="G2820" s="28" t="str">
        <f aca="false">IF(OR(B2820="",C2820=""),"",F2820&amp;" | "&amp;C2820)</f>
        <v/>
      </c>
      <c r="H2820" s="27" t="str">
        <f aca="false">IF(G2820="","",IFERROR(INDEX(Levels!$C$5:$C$94,MATCH(G2820,Levels!$G$5:$G$94,0)),"Not this class's skill"))</f>
        <v/>
      </c>
    </row>
    <row r="2821" customFormat="false" ht="15" hidden="false" customHeight="false" outlineLevel="0" collapsed="false">
      <c r="A2821" s="23"/>
      <c r="B2821" s="22"/>
      <c r="C2821" s="22"/>
      <c r="D2821" s="22"/>
      <c r="E2821" s="22"/>
      <c r="F2821" s="27" t="str">
        <f aca="false">IF(B2821="","",IFERROR(INDEX(Roster!$B$5:$B$154,MATCH(B2821,Roster!$A$5:$A$154,0)),"Not on roster"))</f>
        <v/>
      </c>
      <c r="G2821" s="28" t="str">
        <f aca="false">IF(OR(B2821="",C2821=""),"",F2821&amp;" | "&amp;C2821)</f>
        <v/>
      </c>
      <c r="H2821" s="27" t="str">
        <f aca="false">IF(G2821="","",IFERROR(INDEX(Levels!$C$5:$C$94,MATCH(G2821,Levels!$G$5:$G$94,0)),"Not this class's skill"))</f>
        <v/>
      </c>
    </row>
    <row r="2822" customFormat="false" ht="15" hidden="false" customHeight="false" outlineLevel="0" collapsed="false">
      <c r="A2822" s="23"/>
      <c r="B2822" s="22"/>
      <c r="C2822" s="22"/>
      <c r="D2822" s="22"/>
      <c r="E2822" s="22"/>
      <c r="F2822" s="27" t="str">
        <f aca="false">IF(B2822="","",IFERROR(INDEX(Roster!$B$5:$B$154,MATCH(B2822,Roster!$A$5:$A$154,0)),"Not on roster"))</f>
        <v/>
      </c>
      <c r="G2822" s="28" t="str">
        <f aca="false">IF(OR(B2822="",C2822=""),"",F2822&amp;" | "&amp;C2822)</f>
        <v/>
      </c>
      <c r="H2822" s="27" t="str">
        <f aca="false">IF(G2822="","",IFERROR(INDEX(Levels!$C$5:$C$94,MATCH(G2822,Levels!$G$5:$G$94,0)),"Not this class's skill"))</f>
        <v/>
      </c>
    </row>
    <row r="2823" customFormat="false" ht="15" hidden="false" customHeight="false" outlineLevel="0" collapsed="false">
      <c r="A2823" s="23"/>
      <c r="B2823" s="22"/>
      <c r="C2823" s="22"/>
      <c r="D2823" s="22"/>
      <c r="E2823" s="22"/>
      <c r="F2823" s="27" t="str">
        <f aca="false">IF(B2823="","",IFERROR(INDEX(Roster!$B$5:$B$154,MATCH(B2823,Roster!$A$5:$A$154,0)),"Not on roster"))</f>
        <v/>
      </c>
      <c r="G2823" s="28" t="str">
        <f aca="false">IF(OR(B2823="",C2823=""),"",F2823&amp;" | "&amp;C2823)</f>
        <v/>
      </c>
      <c r="H2823" s="27" t="str">
        <f aca="false">IF(G2823="","",IFERROR(INDEX(Levels!$C$5:$C$94,MATCH(G2823,Levels!$G$5:$G$94,0)),"Not this class's skill"))</f>
        <v/>
      </c>
    </row>
    <row r="2824" customFormat="false" ht="15" hidden="false" customHeight="false" outlineLevel="0" collapsed="false">
      <c r="A2824" s="23"/>
      <c r="B2824" s="22"/>
      <c r="C2824" s="22"/>
      <c r="D2824" s="22"/>
      <c r="E2824" s="22"/>
      <c r="F2824" s="27" t="str">
        <f aca="false">IF(B2824="","",IFERROR(INDEX(Roster!$B$5:$B$154,MATCH(B2824,Roster!$A$5:$A$154,0)),"Not on roster"))</f>
        <v/>
      </c>
      <c r="G2824" s="28" t="str">
        <f aca="false">IF(OR(B2824="",C2824=""),"",F2824&amp;" | "&amp;C2824)</f>
        <v/>
      </c>
      <c r="H2824" s="27" t="str">
        <f aca="false">IF(G2824="","",IFERROR(INDEX(Levels!$C$5:$C$94,MATCH(G2824,Levels!$G$5:$G$94,0)),"Not this class's skill"))</f>
        <v/>
      </c>
    </row>
    <row r="2825" customFormat="false" ht="15" hidden="false" customHeight="false" outlineLevel="0" collapsed="false">
      <c r="A2825" s="23"/>
      <c r="B2825" s="22"/>
      <c r="C2825" s="22"/>
      <c r="D2825" s="22"/>
      <c r="E2825" s="22"/>
      <c r="F2825" s="27" t="str">
        <f aca="false">IF(B2825="","",IFERROR(INDEX(Roster!$B$5:$B$154,MATCH(B2825,Roster!$A$5:$A$154,0)),"Not on roster"))</f>
        <v/>
      </c>
      <c r="G2825" s="28" t="str">
        <f aca="false">IF(OR(B2825="",C2825=""),"",F2825&amp;" | "&amp;C2825)</f>
        <v/>
      </c>
      <c r="H2825" s="27" t="str">
        <f aca="false">IF(G2825="","",IFERROR(INDEX(Levels!$C$5:$C$94,MATCH(G2825,Levels!$G$5:$G$94,0)),"Not this class's skill"))</f>
        <v/>
      </c>
    </row>
    <row r="2826" customFormat="false" ht="15" hidden="false" customHeight="false" outlineLevel="0" collapsed="false">
      <c r="A2826" s="23"/>
      <c r="B2826" s="22"/>
      <c r="C2826" s="22"/>
      <c r="D2826" s="22"/>
      <c r="E2826" s="22"/>
      <c r="F2826" s="27" t="str">
        <f aca="false">IF(B2826="","",IFERROR(INDEX(Roster!$B$5:$B$154,MATCH(B2826,Roster!$A$5:$A$154,0)),"Not on roster"))</f>
        <v/>
      </c>
      <c r="G2826" s="28" t="str">
        <f aca="false">IF(OR(B2826="",C2826=""),"",F2826&amp;" | "&amp;C2826)</f>
        <v/>
      </c>
      <c r="H2826" s="27" t="str">
        <f aca="false">IF(G2826="","",IFERROR(INDEX(Levels!$C$5:$C$94,MATCH(G2826,Levels!$G$5:$G$94,0)),"Not this class's skill"))</f>
        <v/>
      </c>
    </row>
    <row r="2827" customFormat="false" ht="15" hidden="false" customHeight="false" outlineLevel="0" collapsed="false">
      <c r="A2827" s="23"/>
      <c r="B2827" s="22"/>
      <c r="C2827" s="22"/>
      <c r="D2827" s="22"/>
      <c r="E2827" s="22"/>
      <c r="F2827" s="27" t="str">
        <f aca="false">IF(B2827="","",IFERROR(INDEX(Roster!$B$5:$B$154,MATCH(B2827,Roster!$A$5:$A$154,0)),"Not on roster"))</f>
        <v/>
      </c>
      <c r="G2827" s="28" t="str">
        <f aca="false">IF(OR(B2827="",C2827=""),"",F2827&amp;" | "&amp;C2827)</f>
        <v/>
      </c>
      <c r="H2827" s="27" t="str">
        <f aca="false">IF(G2827="","",IFERROR(INDEX(Levels!$C$5:$C$94,MATCH(G2827,Levels!$G$5:$G$94,0)),"Not this class's skill"))</f>
        <v/>
      </c>
    </row>
    <row r="2828" customFormat="false" ht="15" hidden="false" customHeight="false" outlineLevel="0" collapsed="false">
      <c r="A2828" s="23"/>
      <c r="B2828" s="22"/>
      <c r="C2828" s="22"/>
      <c r="D2828" s="22"/>
      <c r="E2828" s="22"/>
      <c r="F2828" s="27" t="str">
        <f aca="false">IF(B2828="","",IFERROR(INDEX(Roster!$B$5:$B$154,MATCH(B2828,Roster!$A$5:$A$154,0)),"Not on roster"))</f>
        <v/>
      </c>
      <c r="G2828" s="28" t="str">
        <f aca="false">IF(OR(B2828="",C2828=""),"",F2828&amp;" | "&amp;C2828)</f>
        <v/>
      </c>
      <c r="H2828" s="27" t="str">
        <f aca="false">IF(G2828="","",IFERROR(INDEX(Levels!$C$5:$C$94,MATCH(G2828,Levels!$G$5:$G$94,0)),"Not this class's skill"))</f>
        <v/>
      </c>
    </row>
    <row r="2829" customFormat="false" ht="15" hidden="false" customHeight="false" outlineLevel="0" collapsed="false">
      <c r="A2829" s="23"/>
      <c r="B2829" s="22"/>
      <c r="C2829" s="22"/>
      <c r="D2829" s="22"/>
      <c r="E2829" s="22"/>
      <c r="F2829" s="27" t="str">
        <f aca="false">IF(B2829="","",IFERROR(INDEX(Roster!$B$5:$B$154,MATCH(B2829,Roster!$A$5:$A$154,0)),"Not on roster"))</f>
        <v/>
      </c>
      <c r="G2829" s="28" t="str">
        <f aca="false">IF(OR(B2829="",C2829=""),"",F2829&amp;" | "&amp;C2829)</f>
        <v/>
      </c>
      <c r="H2829" s="27" t="str">
        <f aca="false">IF(G2829="","",IFERROR(INDEX(Levels!$C$5:$C$94,MATCH(G2829,Levels!$G$5:$G$94,0)),"Not this class's skill"))</f>
        <v/>
      </c>
    </row>
    <row r="2830" customFormat="false" ht="15" hidden="false" customHeight="false" outlineLevel="0" collapsed="false">
      <c r="A2830" s="23"/>
      <c r="B2830" s="22"/>
      <c r="C2830" s="22"/>
      <c r="D2830" s="22"/>
      <c r="E2830" s="22"/>
      <c r="F2830" s="27" t="str">
        <f aca="false">IF(B2830="","",IFERROR(INDEX(Roster!$B$5:$B$154,MATCH(B2830,Roster!$A$5:$A$154,0)),"Not on roster"))</f>
        <v/>
      </c>
      <c r="G2830" s="28" t="str">
        <f aca="false">IF(OR(B2830="",C2830=""),"",F2830&amp;" | "&amp;C2830)</f>
        <v/>
      </c>
      <c r="H2830" s="27" t="str">
        <f aca="false">IF(G2830="","",IFERROR(INDEX(Levels!$C$5:$C$94,MATCH(G2830,Levels!$G$5:$G$94,0)),"Not this class's skill"))</f>
        <v/>
      </c>
    </row>
    <row r="2831" customFormat="false" ht="15" hidden="false" customHeight="false" outlineLevel="0" collapsed="false">
      <c r="A2831" s="23"/>
      <c r="B2831" s="22"/>
      <c r="C2831" s="22"/>
      <c r="D2831" s="22"/>
      <c r="E2831" s="22"/>
      <c r="F2831" s="27" t="str">
        <f aca="false">IF(B2831="","",IFERROR(INDEX(Roster!$B$5:$B$154,MATCH(B2831,Roster!$A$5:$A$154,0)),"Not on roster"))</f>
        <v/>
      </c>
      <c r="G2831" s="28" t="str">
        <f aca="false">IF(OR(B2831="",C2831=""),"",F2831&amp;" | "&amp;C2831)</f>
        <v/>
      </c>
      <c r="H2831" s="27" t="str">
        <f aca="false">IF(G2831="","",IFERROR(INDEX(Levels!$C$5:$C$94,MATCH(G2831,Levels!$G$5:$G$94,0)),"Not this class's skill"))</f>
        <v/>
      </c>
    </row>
    <row r="2832" customFormat="false" ht="15" hidden="false" customHeight="false" outlineLevel="0" collapsed="false">
      <c r="A2832" s="23"/>
      <c r="B2832" s="22"/>
      <c r="C2832" s="22"/>
      <c r="D2832" s="22"/>
      <c r="E2832" s="22"/>
      <c r="F2832" s="27" t="str">
        <f aca="false">IF(B2832="","",IFERROR(INDEX(Roster!$B$5:$B$154,MATCH(B2832,Roster!$A$5:$A$154,0)),"Not on roster"))</f>
        <v/>
      </c>
      <c r="G2832" s="28" t="str">
        <f aca="false">IF(OR(B2832="",C2832=""),"",F2832&amp;" | "&amp;C2832)</f>
        <v/>
      </c>
      <c r="H2832" s="27" t="str">
        <f aca="false">IF(G2832="","",IFERROR(INDEX(Levels!$C$5:$C$94,MATCH(G2832,Levels!$G$5:$G$94,0)),"Not this class's skill"))</f>
        <v/>
      </c>
    </row>
    <row r="2833" customFormat="false" ht="15" hidden="false" customHeight="false" outlineLevel="0" collapsed="false">
      <c r="A2833" s="23"/>
      <c r="B2833" s="22"/>
      <c r="C2833" s="22"/>
      <c r="D2833" s="22"/>
      <c r="E2833" s="22"/>
      <c r="F2833" s="27" t="str">
        <f aca="false">IF(B2833="","",IFERROR(INDEX(Roster!$B$5:$B$154,MATCH(B2833,Roster!$A$5:$A$154,0)),"Not on roster"))</f>
        <v/>
      </c>
      <c r="G2833" s="28" t="str">
        <f aca="false">IF(OR(B2833="",C2833=""),"",F2833&amp;" | "&amp;C2833)</f>
        <v/>
      </c>
      <c r="H2833" s="27" t="str">
        <f aca="false">IF(G2833="","",IFERROR(INDEX(Levels!$C$5:$C$94,MATCH(G2833,Levels!$G$5:$G$94,0)),"Not this class's skill"))</f>
        <v/>
      </c>
    </row>
    <row r="2834" customFormat="false" ht="15" hidden="false" customHeight="false" outlineLevel="0" collapsed="false">
      <c r="A2834" s="23"/>
      <c r="B2834" s="22"/>
      <c r="C2834" s="22"/>
      <c r="D2834" s="22"/>
      <c r="E2834" s="22"/>
      <c r="F2834" s="27" t="str">
        <f aca="false">IF(B2834="","",IFERROR(INDEX(Roster!$B$5:$B$154,MATCH(B2834,Roster!$A$5:$A$154,0)),"Not on roster"))</f>
        <v/>
      </c>
      <c r="G2834" s="28" t="str">
        <f aca="false">IF(OR(B2834="",C2834=""),"",F2834&amp;" | "&amp;C2834)</f>
        <v/>
      </c>
      <c r="H2834" s="27" t="str">
        <f aca="false">IF(G2834="","",IFERROR(INDEX(Levels!$C$5:$C$94,MATCH(G2834,Levels!$G$5:$G$94,0)),"Not this class's skill"))</f>
        <v/>
      </c>
    </row>
    <row r="2835" customFormat="false" ht="15" hidden="false" customHeight="false" outlineLevel="0" collapsed="false">
      <c r="A2835" s="23"/>
      <c r="B2835" s="22"/>
      <c r="C2835" s="22"/>
      <c r="D2835" s="22"/>
      <c r="E2835" s="22"/>
      <c r="F2835" s="27" t="str">
        <f aca="false">IF(B2835="","",IFERROR(INDEX(Roster!$B$5:$B$154,MATCH(B2835,Roster!$A$5:$A$154,0)),"Not on roster"))</f>
        <v/>
      </c>
      <c r="G2835" s="28" t="str">
        <f aca="false">IF(OR(B2835="",C2835=""),"",F2835&amp;" | "&amp;C2835)</f>
        <v/>
      </c>
      <c r="H2835" s="27" t="str">
        <f aca="false">IF(G2835="","",IFERROR(INDEX(Levels!$C$5:$C$94,MATCH(G2835,Levels!$G$5:$G$94,0)),"Not this class's skill"))</f>
        <v/>
      </c>
    </row>
    <row r="2836" customFormat="false" ht="15" hidden="false" customHeight="false" outlineLevel="0" collapsed="false">
      <c r="A2836" s="23"/>
      <c r="B2836" s="22"/>
      <c r="C2836" s="22"/>
      <c r="D2836" s="22"/>
      <c r="E2836" s="22"/>
      <c r="F2836" s="27" t="str">
        <f aca="false">IF(B2836="","",IFERROR(INDEX(Roster!$B$5:$B$154,MATCH(B2836,Roster!$A$5:$A$154,0)),"Not on roster"))</f>
        <v/>
      </c>
      <c r="G2836" s="28" t="str">
        <f aca="false">IF(OR(B2836="",C2836=""),"",F2836&amp;" | "&amp;C2836)</f>
        <v/>
      </c>
      <c r="H2836" s="27" t="str">
        <f aca="false">IF(G2836="","",IFERROR(INDEX(Levels!$C$5:$C$94,MATCH(G2836,Levels!$G$5:$G$94,0)),"Not this class's skill"))</f>
        <v/>
      </c>
    </row>
    <row r="2837" customFormat="false" ht="15" hidden="false" customHeight="false" outlineLevel="0" collapsed="false">
      <c r="A2837" s="23"/>
      <c r="B2837" s="22"/>
      <c r="C2837" s="22"/>
      <c r="D2837" s="22"/>
      <c r="E2837" s="22"/>
      <c r="F2837" s="27" t="str">
        <f aca="false">IF(B2837="","",IFERROR(INDEX(Roster!$B$5:$B$154,MATCH(B2837,Roster!$A$5:$A$154,0)),"Not on roster"))</f>
        <v/>
      </c>
      <c r="G2837" s="28" t="str">
        <f aca="false">IF(OR(B2837="",C2837=""),"",F2837&amp;" | "&amp;C2837)</f>
        <v/>
      </c>
      <c r="H2837" s="27" t="str">
        <f aca="false">IF(G2837="","",IFERROR(INDEX(Levels!$C$5:$C$94,MATCH(G2837,Levels!$G$5:$G$94,0)),"Not this class's skill"))</f>
        <v/>
      </c>
    </row>
    <row r="2838" customFormat="false" ht="15" hidden="false" customHeight="false" outlineLevel="0" collapsed="false">
      <c r="A2838" s="23"/>
      <c r="B2838" s="22"/>
      <c r="C2838" s="22"/>
      <c r="D2838" s="22"/>
      <c r="E2838" s="22"/>
      <c r="F2838" s="27" t="str">
        <f aca="false">IF(B2838="","",IFERROR(INDEX(Roster!$B$5:$B$154,MATCH(B2838,Roster!$A$5:$A$154,0)),"Not on roster"))</f>
        <v/>
      </c>
      <c r="G2838" s="28" t="str">
        <f aca="false">IF(OR(B2838="",C2838=""),"",F2838&amp;" | "&amp;C2838)</f>
        <v/>
      </c>
      <c r="H2838" s="27" t="str">
        <f aca="false">IF(G2838="","",IFERROR(INDEX(Levels!$C$5:$C$94,MATCH(G2838,Levels!$G$5:$G$94,0)),"Not this class's skill"))</f>
        <v/>
      </c>
    </row>
    <row r="2839" customFormat="false" ht="15" hidden="false" customHeight="false" outlineLevel="0" collapsed="false">
      <c r="A2839" s="23"/>
      <c r="B2839" s="22"/>
      <c r="C2839" s="22"/>
      <c r="D2839" s="22"/>
      <c r="E2839" s="22"/>
      <c r="F2839" s="27" t="str">
        <f aca="false">IF(B2839="","",IFERROR(INDEX(Roster!$B$5:$B$154,MATCH(B2839,Roster!$A$5:$A$154,0)),"Not on roster"))</f>
        <v/>
      </c>
      <c r="G2839" s="28" t="str">
        <f aca="false">IF(OR(B2839="",C2839=""),"",F2839&amp;" | "&amp;C2839)</f>
        <v/>
      </c>
      <c r="H2839" s="27" t="str">
        <f aca="false">IF(G2839="","",IFERROR(INDEX(Levels!$C$5:$C$94,MATCH(G2839,Levels!$G$5:$G$94,0)),"Not this class's skill"))</f>
        <v/>
      </c>
    </row>
    <row r="2840" customFormat="false" ht="15" hidden="false" customHeight="false" outlineLevel="0" collapsed="false">
      <c r="A2840" s="23"/>
      <c r="B2840" s="22"/>
      <c r="C2840" s="22"/>
      <c r="D2840" s="22"/>
      <c r="E2840" s="22"/>
      <c r="F2840" s="27" t="str">
        <f aca="false">IF(B2840="","",IFERROR(INDEX(Roster!$B$5:$B$154,MATCH(B2840,Roster!$A$5:$A$154,0)),"Not on roster"))</f>
        <v/>
      </c>
      <c r="G2840" s="28" t="str">
        <f aca="false">IF(OR(B2840="",C2840=""),"",F2840&amp;" | "&amp;C2840)</f>
        <v/>
      </c>
      <c r="H2840" s="27" t="str">
        <f aca="false">IF(G2840="","",IFERROR(INDEX(Levels!$C$5:$C$94,MATCH(G2840,Levels!$G$5:$G$94,0)),"Not this class's skill"))</f>
        <v/>
      </c>
    </row>
    <row r="2841" customFormat="false" ht="15" hidden="false" customHeight="false" outlineLevel="0" collapsed="false">
      <c r="A2841" s="23"/>
      <c r="B2841" s="22"/>
      <c r="C2841" s="22"/>
      <c r="D2841" s="22"/>
      <c r="E2841" s="22"/>
      <c r="F2841" s="27" t="str">
        <f aca="false">IF(B2841="","",IFERROR(INDEX(Roster!$B$5:$B$154,MATCH(B2841,Roster!$A$5:$A$154,0)),"Not on roster"))</f>
        <v/>
      </c>
      <c r="G2841" s="28" t="str">
        <f aca="false">IF(OR(B2841="",C2841=""),"",F2841&amp;" | "&amp;C2841)</f>
        <v/>
      </c>
      <c r="H2841" s="27" t="str">
        <f aca="false">IF(G2841="","",IFERROR(INDEX(Levels!$C$5:$C$94,MATCH(G2841,Levels!$G$5:$G$94,0)),"Not this class's skill"))</f>
        <v/>
      </c>
    </row>
    <row r="2842" customFormat="false" ht="15" hidden="false" customHeight="false" outlineLevel="0" collapsed="false">
      <c r="A2842" s="23"/>
      <c r="B2842" s="22"/>
      <c r="C2842" s="22"/>
      <c r="D2842" s="22"/>
      <c r="E2842" s="22"/>
      <c r="F2842" s="27" t="str">
        <f aca="false">IF(B2842="","",IFERROR(INDEX(Roster!$B$5:$B$154,MATCH(B2842,Roster!$A$5:$A$154,0)),"Not on roster"))</f>
        <v/>
      </c>
      <c r="G2842" s="28" t="str">
        <f aca="false">IF(OR(B2842="",C2842=""),"",F2842&amp;" | "&amp;C2842)</f>
        <v/>
      </c>
      <c r="H2842" s="27" t="str">
        <f aca="false">IF(G2842="","",IFERROR(INDEX(Levels!$C$5:$C$94,MATCH(G2842,Levels!$G$5:$G$94,0)),"Not this class's skill"))</f>
        <v/>
      </c>
    </row>
    <row r="2843" customFormat="false" ht="15" hidden="false" customHeight="false" outlineLevel="0" collapsed="false">
      <c r="A2843" s="23"/>
      <c r="B2843" s="22"/>
      <c r="C2843" s="22"/>
      <c r="D2843" s="22"/>
      <c r="E2843" s="22"/>
      <c r="F2843" s="27" t="str">
        <f aca="false">IF(B2843="","",IFERROR(INDEX(Roster!$B$5:$B$154,MATCH(B2843,Roster!$A$5:$A$154,0)),"Not on roster"))</f>
        <v/>
      </c>
      <c r="G2843" s="28" t="str">
        <f aca="false">IF(OR(B2843="",C2843=""),"",F2843&amp;" | "&amp;C2843)</f>
        <v/>
      </c>
      <c r="H2843" s="27" t="str">
        <f aca="false">IF(G2843="","",IFERROR(INDEX(Levels!$C$5:$C$94,MATCH(G2843,Levels!$G$5:$G$94,0)),"Not this class's skill"))</f>
        <v/>
      </c>
    </row>
    <row r="2844" customFormat="false" ht="15" hidden="false" customHeight="false" outlineLevel="0" collapsed="false">
      <c r="A2844" s="23"/>
      <c r="B2844" s="22"/>
      <c r="C2844" s="22"/>
      <c r="D2844" s="22"/>
      <c r="E2844" s="22"/>
      <c r="F2844" s="27" t="str">
        <f aca="false">IF(B2844="","",IFERROR(INDEX(Roster!$B$5:$B$154,MATCH(B2844,Roster!$A$5:$A$154,0)),"Not on roster"))</f>
        <v/>
      </c>
      <c r="G2844" s="28" t="str">
        <f aca="false">IF(OR(B2844="",C2844=""),"",F2844&amp;" | "&amp;C2844)</f>
        <v/>
      </c>
      <c r="H2844" s="27" t="str">
        <f aca="false">IF(G2844="","",IFERROR(INDEX(Levels!$C$5:$C$94,MATCH(G2844,Levels!$G$5:$G$94,0)),"Not this class's skill"))</f>
        <v/>
      </c>
    </row>
    <row r="2845" customFormat="false" ht="15" hidden="false" customHeight="false" outlineLevel="0" collapsed="false">
      <c r="A2845" s="23"/>
      <c r="B2845" s="22"/>
      <c r="C2845" s="22"/>
      <c r="D2845" s="22"/>
      <c r="E2845" s="22"/>
      <c r="F2845" s="27" t="str">
        <f aca="false">IF(B2845="","",IFERROR(INDEX(Roster!$B$5:$B$154,MATCH(B2845,Roster!$A$5:$A$154,0)),"Not on roster"))</f>
        <v/>
      </c>
      <c r="G2845" s="28" t="str">
        <f aca="false">IF(OR(B2845="",C2845=""),"",F2845&amp;" | "&amp;C2845)</f>
        <v/>
      </c>
      <c r="H2845" s="27" t="str">
        <f aca="false">IF(G2845="","",IFERROR(INDEX(Levels!$C$5:$C$94,MATCH(G2845,Levels!$G$5:$G$94,0)),"Not this class's skill"))</f>
        <v/>
      </c>
    </row>
    <row r="2846" customFormat="false" ht="15" hidden="false" customHeight="false" outlineLevel="0" collapsed="false">
      <c r="A2846" s="23"/>
      <c r="B2846" s="22"/>
      <c r="C2846" s="22"/>
      <c r="D2846" s="22"/>
      <c r="E2846" s="22"/>
      <c r="F2846" s="27" t="str">
        <f aca="false">IF(B2846="","",IFERROR(INDEX(Roster!$B$5:$B$154,MATCH(B2846,Roster!$A$5:$A$154,0)),"Not on roster"))</f>
        <v/>
      </c>
      <c r="G2846" s="28" t="str">
        <f aca="false">IF(OR(B2846="",C2846=""),"",F2846&amp;" | "&amp;C2846)</f>
        <v/>
      </c>
      <c r="H2846" s="27" t="str">
        <f aca="false">IF(G2846="","",IFERROR(INDEX(Levels!$C$5:$C$94,MATCH(G2846,Levels!$G$5:$G$94,0)),"Not this class's skill"))</f>
        <v/>
      </c>
    </row>
    <row r="2847" customFormat="false" ht="15" hidden="false" customHeight="false" outlineLevel="0" collapsed="false">
      <c r="A2847" s="23"/>
      <c r="B2847" s="22"/>
      <c r="C2847" s="22"/>
      <c r="D2847" s="22"/>
      <c r="E2847" s="22"/>
      <c r="F2847" s="27" t="str">
        <f aca="false">IF(B2847="","",IFERROR(INDEX(Roster!$B$5:$B$154,MATCH(B2847,Roster!$A$5:$A$154,0)),"Not on roster"))</f>
        <v/>
      </c>
      <c r="G2847" s="28" t="str">
        <f aca="false">IF(OR(B2847="",C2847=""),"",F2847&amp;" | "&amp;C2847)</f>
        <v/>
      </c>
      <c r="H2847" s="27" t="str">
        <f aca="false">IF(G2847="","",IFERROR(INDEX(Levels!$C$5:$C$94,MATCH(G2847,Levels!$G$5:$G$94,0)),"Not this class's skill"))</f>
        <v/>
      </c>
    </row>
    <row r="2848" customFormat="false" ht="15" hidden="false" customHeight="false" outlineLevel="0" collapsed="false">
      <c r="A2848" s="23"/>
      <c r="B2848" s="22"/>
      <c r="C2848" s="22"/>
      <c r="D2848" s="22"/>
      <c r="E2848" s="22"/>
      <c r="F2848" s="27" t="str">
        <f aca="false">IF(B2848="","",IFERROR(INDEX(Roster!$B$5:$B$154,MATCH(B2848,Roster!$A$5:$A$154,0)),"Not on roster"))</f>
        <v/>
      </c>
      <c r="G2848" s="28" t="str">
        <f aca="false">IF(OR(B2848="",C2848=""),"",F2848&amp;" | "&amp;C2848)</f>
        <v/>
      </c>
      <c r="H2848" s="27" t="str">
        <f aca="false">IF(G2848="","",IFERROR(INDEX(Levels!$C$5:$C$94,MATCH(G2848,Levels!$G$5:$G$94,0)),"Not this class's skill"))</f>
        <v/>
      </c>
    </row>
    <row r="2849" customFormat="false" ht="15" hidden="false" customHeight="false" outlineLevel="0" collapsed="false">
      <c r="A2849" s="23"/>
      <c r="B2849" s="22"/>
      <c r="C2849" s="22"/>
      <c r="D2849" s="22"/>
      <c r="E2849" s="22"/>
      <c r="F2849" s="27" t="str">
        <f aca="false">IF(B2849="","",IFERROR(INDEX(Roster!$B$5:$B$154,MATCH(B2849,Roster!$A$5:$A$154,0)),"Not on roster"))</f>
        <v/>
      </c>
      <c r="G2849" s="28" t="str">
        <f aca="false">IF(OR(B2849="",C2849=""),"",F2849&amp;" | "&amp;C2849)</f>
        <v/>
      </c>
      <c r="H2849" s="27" t="str">
        <f aca="false">IF(G2849="","",IFERROR(INDEX(Levels!$C$5:$C$94,MATCH(G2849,Levels!$G$5:$G$94,0)),"Not this class's skill"))</f>
        <v/>
      </c>
    </row>
    <row r="2850" customFormat="false" ht="15" hidden="false" customHeight="false" outlineLevel="0" collapsed="false">
      <c r="A2850" s="23"/>
      <c r="B2850" s="22"/>
      <c r="C2850" s="22"/>
      <c r="D2850" s="22"/>
      <c r="E2850" s="22"/>
      <c r="F2850" s="27" t="str">
        <f aca="false">IF(B2850="","",IFERROR(INDEX(Roster!$B$5:$B$154,MATCH(B2850,Roster!$A$5:$A$154,0)),"Not on roster"))</f>
        <v/>
      </c>
      <c r="G2850" s="28" t="str">
        <f aca="false">IF(OR(B2850="",C2850=""),"",F2850&amp;" | "&amp;C2850)</f>
        <v/>
      </c>
      <c r="H2850" s="27" t="str">
        <f aca="false">IF(G2850="","",IFERROR(INDEX(Levels!$C$5:$C$94,MATCH(G2850,Levels!$G$5:$G$94,0)),"Not this class's skill"))</f>
        <v/>
      </c>
    </row>
    <row r="2851" customFormat="false" ht="15" hidden="false" customHeight="false" outlineLevel="0" collapsed="false">
      <c r="A2851" s="23"/>
      <c r="B2851" s="22"/>
      <c r="C2851" s="22"/>
      <c r="D2851" s="22"/>
      <c r="E2851" s="22"/>
      <c r="F2851" s="27" t="str">
        <f aca="false">IF(B2851="","",IFERROR(INDEX(Roster!$B$5:$B$154,MATCH(B2851,Roster!$A$5:$A$154,0)),"Not on roster"))</f>
        <v/>
      </c>
      <c r="G2851" s="28" t="str">
        <f aca="false">IF(OR(B2851="",C2851=""),"",F2851&amp;" | "&amp;C2851)</f>
        <v/>
      </c>
      <c r="H2851" s="27" t="str">
        <f aca="false">IF(G2851="","",IFERROR(INDEX(Levels!$C$5:$C$94,MATCH(G2851,Levels!$G$5:$G$94,0)),"Not this class's skill"))</f>
        <v/>
      </c>
    </row>
    <row r="2852" customFormat="false" ht="15" hidden="false" customHeight="false" outlineLevel="0" collapsed="false">
      <c r="A2852" s="23"/>
      <c r="B2852" s="22"/>
      <c r="C2852" s="22"/>
      <c r="D2852" s="22"/>
      <c r="E2852" s="22"/>
      <c r="F2852" s="27" t="str">
        <f aca="false">IF(B2852="","",IFERROR(INDEX(Roster!$B$5:$B$154,MATCH(B2852,Roster!$A$5:$A$154,0)),"Not on roster"))</f>
        <v/>
      </c>
      <c r="G2852" s="28" t="str">
        <f aca="false">IF(OR(B2852="",C2852=""),"",F2852&amp;" | "&amp;C2852)</f>
        <v/>
      </c>
      <c r="H2852" s="27" t="str">
        <f aca="false">IF(G2852="","",IFERROR(INDEX(Levels!$C$5:$C$94,MATCH(G2852,Levels!$G$5:$G$94,0)),"Not this class's skill"))</f>
        <v/>
      </c>
    </row>
    <row r="2853" customFormat="false" ht="15" hidden="false" customHeight="false" outlineLevel="0" collapsed="false">
      <c r="A2853" s="23"/>
      <c r="B2853" s="22"/>
      <c r="C2853" s="22"/>
      <c r="D2853" s="22"/>
      <c r="E2853" s="22"/>
      <c r="F2853" s="27" t="str">
        <f aca="false">IF(B2853="","",IFERROR(INDEX(Roster!$B$5:$B$154,MATCH(B2853,Roster!$A$5:$A$154,0)),"Not on roster"))</f>
        <v/>
      </c>
      <c r="G2853" s="28" t="str">
        <f aca="false">IF(OR(B2853="",C2853=""),"",F2853&amp;" | "&amp;C2853)</f>
        <v/>
      </c>
      <c r="H2853" s="27" t="str">
        <f aca="false">IF(G2853="","",IFERROR(INDEX(Levels!$C$5:$C$94,MATCH(G2853,Levels!$G$5:$G$94,0)),"Not this class's skill"))</f>
        <v/>
      </c>
    </row>
    <row r="2854" customFormat="false" ht="15" hidden="false" customHeight="false" outlineLevel="0" collapsed="false">
      <c r="A2854" s="23"/>
      <c r="B2854" s="22"/>
      <c r="C2854" s="22"/>
      <c r="D2854" s="22"/>
      <c r="E2854" s="22"/>
      <c r="F2854" s="27" t="str">
        <f aca="false">IF(B2854="","",IFERROR(INDEX(Roster!$B$5:$B$154,MATCH(B2854,Roster!$A$5:$A$154,0)),"Not on roster"))</f>
        <v/>
      </c>
      <c r="G2854" s="28" t="str">
        <f aca="false">IF(OR(B2854="",C2854=""),"",F2854&amp;" | "&amp;C2854)</f>
        <v/>
      </c>
      <c r="H2854" s="27" t="str">
        <f aca="false">IF(G2854="","",IFERROR(INDEX(Levels!$C$5:$C$94,MATCH(G2854,Levels!$G$5:$G$94,0)),"Not this class's skill"))</f>
        <v/>
      </c>
    </row>
    <row r="2855" customFormat="false" ht="15" hidden="false" customHeight="false" outlineLevel="0" collapsed="false">
      <c r="A2855" s="23"/>
      <c r="B2855" s="22"/>
      <c r="C2855" s="22"/>
      <c r="D2855" s="22"/>
      <c r="E2855" s="22"/>
      <c r="F2855" s="27" t="str">
        <f aca="false">IF(B2855="","",IFERROR(INDEX(Roster!$B$5:$B$154,MATCH(B2855,Roster!$A$5:$A$154,0)),"Not on roster"))</f>
        <v/>
      </c>
      <c r="G2855" s="28" t="str">
        <f aca="false">IF(OR(B2855="",C2855=""),"",F2855&amp;" | "&amp;C2855)</f>
        <v/>
      </c>
      <c r="H2855" s="27" t="str">
        <f aca="false">IF(G2855="","",IFERROR(INDEX(Levels!$C$5:$C$94,MATCH(G2855,Levels!$G$5:$G$94,0)),"Not this class's skill"))</f>
        <v/>
      </c>
    </row>
    <row r="2856" customFormat="false" ht="15" hidden="false" customHeight="false" outlineLevel="0" collapsed="false">
      <c r="A2856" s="23"/>
      <c r="B2856" s="22"/>
      <c r="C2856" s="22"/>
      <c r="D2856" s="22"/>
      <c r="E2856" s="22"/>
      <c r="F2856" s="27" t="str">
        <f aca="false">IF(B2856="","",IFERROR(INDEX(Roster!$B$5:$B$154,MATCH(B2856,Roster!$A$5:$A$154,0)),"Not on roster"))</f>
        <v/>
      </c>
      <c r="G2856" s="28" t="str">
        <f aca="false">IF(OR(B2856="",C2856=""),"",F2856&amp;" | "&amp;C2856)</f>
        <v/>
      </c>
      <c r="H2856" s="27" t="str">
        <f aca="false">IF(G2856="","",IFERROR(INDEX(Levels!$C$5:$C$94,MATCH(G2856,Levels!$G$5:$G$94,0)),"Not this class's skill"))</f>
        <v/>
      </c>
    </row>
    <row r="2857" customFormat="false" ht="15" hidden="false" customHeight="false" outlineLevel="0" collapsed="false">
      <c r="A2857" s="23"/>
      <c r="B2857" s="22"/>
      <c r="C2857" s="22"/>
      <c r="D2857" s="22"/>
      <c r="E2857" s="22"/>
      <c r="F2857" s="27" t="str">
        <f aca="false">IF(B2857="","",IFERROR(INDEX(Roster!$B$5:$B$154,MATCH(B2857,Roster!$A$5:$A$154,0)),"Not on roster"))</f>
        <v/>
      </c>
      <c r="G2857" s="28" t="str">
        <f aca="false">IF(OR(B2857="",C2857=""),"",F2857&amp;" | "&amp;C2857)</f>
        <v/>
      </c>
      <c r="H2857" s="27" t="str">
        <f aca="false">IF(G2857="","",IFERROR(INDEX(Levels!$C$5:$C$94,MATCH(G2857,Levels!$G$5:$G$94,0)),"Not this class's skill"))</f>
        <v/>
      </c>
    </row>
    <row r="2858" customFormat="false" ht="15" hidden="false" customHeight="false" outlineLevel="0" collapsed="false">
      <c r="A2858" s="23"/>
      <c r="B2858" s="22"/>
      <c r="C2858" s="22"/>
      <c r="D2858" s="22"/>
      <c r="E2858" s="22"/>
      <c r="F2858" s="27" t="str">
        <f aca="false">IF(B2858="","",IFERROR(INDEX(Roster!$B$5:$B$154,MATCH(B2858,Roster!$A$5:$A$154,0)),"Not on roster"))</f>
        <v/>
      </c>
      <c r="G2858" s="28" t="str">
        <f aca="false">IF(OR(B2858="",C2858=""),"",F2858&amp;" | "&amp;C2858)</f>
        <v/>
      </c>
      <c r="H2858" s="27" t="str">
        <f aca="false">IF(G2858="","",IFERROR(INDEX(Levels!$C$5:$C$94,MATCH(G2858,Levels!$G$5:$G$94,0)),"Not this class's skill"))</f>
        <v/>
      </c>
    </row>
    <row r="2859" customFormat="false" ht="15" hidden="false" customHeight="false" outlineLevel="0" collapsed="false">
      <c r="A2859" s="23"/>
      <c r="B2859" s="22"/>
      <c r="C2859" s="22"/>
      <c r="D2859" s="22"/>
      <c r="E2859" s="22"/>
      <c r="F2859" s="27" t="str">
        <f aca="false">IF(B2859="","",IFERROR(INDEX(Roster!$B$5:$B$154,MATCH(B2859,Roster!$A$5:$A$154,0)),"Not on roster"))</f>
        <v/>
      </c>
      <c r="G2859" s="28" t="str">
        <f aca="false">IF(OR(B2859="",C2859=""),"",F2859&amp;" | "&amp;C2859)</f>
        <v/>
      </c>
      <c r="H2859" s="27" t="str">
        <f aca="false">IF(G2859="","",IFERROR(INDEX(Levels!$C$5:$C$94,MATCH(G2859,Levels!$G$5:$G$94,0)),"Not this class's skill"))</f>
        <v/>
      </c>
    </row>
    <row r="2860" customFormat="false" ht="15" hidden="false" customHeight="false" outlineLevel="0" collapsed="false">
      <c r="A2860" s="23"/>
      <c r="B2860" s="22"/>
      <c r="C2860" s="22"/>
      <c r="D2860" s="22"/>
      <c r="E2860" s="22"/>
      <c r="F2860" s="27" t="str">
        <f aca="false">IF(B2860="","",IFERROR(INDEX(Roster!$B$5:$B$154,MATCH(B2860,Roster!$A$5:$A$154,0)),"Not on roster"))</f>
        <v/>
      </c>
      <c r="G2860" s="28" t="str">
        <f aca="false">IF(OR(B2860="",C2860=""),"",F2860&amp;" | "&amp;C2860)</f>
        <v/>
      </c>
      <c r="H2860" s="27" t="str">
        <f aca="false">IF(G2860="","",IFERROR(INDEX(Levels!$C$5:$C$94,MATCH(G2860,Levels!$G$5:$G$94,0)),"Not this class's skill"))</f>
        <v/>
      </c>
    </row>
    <row r="2861" customFormat="false" ht="15" hidden="false" customHeight="false" outlineLevel="0" collapsed="false">
      <c r="A2861" s="23"/>
      <c r="B2861" s="22"/>
      <c r="C2861" s="22"/>
      <c r="D2861" s="22"/>
      <c r="E2861" s="22"/>
      <c r="F2861" s="27" t="str">
        <f aca="false">IF(B2861="","",IFERROR(INDEX(Roster!$B$5:$B$154,MATCH(B2861,Roster!$A$5:$A$154,0)),"Not on roster"))</f>
        <v/>
      </c>
      <c r="G2861" s="28" t="str">
        <f aca="false">IF(OR(B2861="",C2861=""),"",F2861&amp;" | "&amp;C2861)</f>
        <v/>
      </c>
      <c r="H2861" s="27" t="str">
        <f aca="false">IF(G2861="","",IFERROR(INDEX(Levels!$C$5:$C$94,MATCH(G2861,Levels!$G$5:$G$94,0)),"Not this class's skill"))</f>
        <v/>
      </c>
    </row>
    <row r="2862" customFormat="false" ht="15" hidden="false" customHeight="false" outlineLevel="0" collapsed="false">
      <c r="A2862" s="23"/>
      <c r="B2862" s="22"/>
      <c r="C2862" s="22"/>
      <c r="D2862" s="22"/>
      <c r="E2862" s="22"/>
      <c r="F2862" s="27" t="str">
        <f aca="false">IF(B2862="","",IFERROR(INDEX(Roster!$B$5:$B$154,MATCH(B2862,Roster!$A$5:$A$154,0)),"Not on roster"))</f>
        <v/>
      </c>
      <c r="G2862" s="28" t="str">
        <f aca="false">IF(OR(B2862="",C2862=""),"",F2862&amp;" | "&amp;C2862)</f>
        <v/>
      </c>
      <c r="H2862" s="27" t="str">
        <f aca="false">IF(G2862="","",IFERROR(INDEX(Levels!$C$5:$C$94,MATCH(G2862,Levels!$G$5:$G$94,0)),"Not this class's skill"))</f>
        <v/>
      </c>
    </row>
    <row r="2863" customFormat="false" ht="15" hidden="false" customHeight="false" outlineLevel="0" collapsed="false">
      <c r="A2863" s="23"/>
      <c r="B2863" s="22"/>
      <c r="C2863" s="22"/>
      <c r="D2863" s="22"/>
      <c r="E2863" s="22"/>
      <c r="F2863" s="27" t="str">
        <f aca="false">IF(B2863="","",IFERROR(INDEX(Roster!$B$5:$B$154,MATCH(B2863,Roster!$A$5:$A$154,0)),"Not on roster"))</f>
        <v/>
      </c>
      <c r="G2863" s="28" t="str">
        <f aca="false">IF(OR(B2863="",C2863=""),"",F2863&amp;" | "&amp;C2863)</f>
        <v/>
      </c>
      <c r="H2863" s="27" t="str">
        <f aca="false">IF(G2863="","",IFERROR(INDEX(Levels!$C$5:$C$94,MATCH(G2863,Levels!$G$5:$G$94,0)),"Not this class's skill"))</f>
        <v/>
      </c>
    </row>
    <row r="2864" customFormat="false" ht="15" hidden="false" customHeight="false" outlineLevel="0" collapsed="false">
      <c r="A2864" s="23"/>
      <c r="B2864" s="22"/>
      <c r="C2864" s="22"/>
      <c r="D2864" s="22"/>
      <c r="E2864" s="22"/>
      <c r="F2864" s="27" t="str">
        <f aca="false">IF(B2864="","",IFERROR(INDEX(Roster!$B$5:$B$154,MATCH(B2864,Roster!$A$5:$A$154,0)),"Not on roster"))</f>
        <v/>
      </c>
      <c r="G2864" s="28" t="str">
        <f aca="false">IF(OR(B2864="",C2864=""),"",F2864&amp;" | "&amp;C2864)</f>
        <v/>
      </c>
      <c r="H2864" s="27" t="str">
        <f aca="false">IF(G2864="","",IFERROR(INDEX(Levels!$C$5:$C$94,MATCH(G2864,Levels!$G$5:$G$94,0)),"Not this class's skill"))</f>
        <v/>
      </c>
    </row>
    <row r="2865" customFormat="false" ht="15" hidden="false" customHeight="false" outlineLevel="0" collapsed="false">
      <c r="A2865" s="23"/>
      <c r="B2865" s="22"/>
      <c r="C2865" s="22"/>
      <c r="D2865" s="22"/>
      <c r="E2865" s="22"/>
      <c r="F2865" s="27" t="str">
        <f aca="false">IF(B2865="","",IFERROR(INDEX(Roster!$B$5:$B$154,MATCH(B2865,Roster!$A$5:$A$154,0)),"Not on roster"))</f>
        <v/>
      </c>
      <c r="G2865" s="28" t="str">
        <f aca="false">IF(OR(B2865="",C2865=""),"",F2865&amp;" | "&amp;C2865)</f>
        <v/>
      </c>
      <c r="H2865" s="27" t="str">
        <f aca="false">IF(G2865="","",IFERROR(INDEX(Levels!$C$5:$C$94,MATCH(G2865,Levels!$G$5:$G$94,0)),"Not this class's skill"))</f>
        <v/>
      </c>
    </row>
    <row r="2866" customFormat="false" ht="15" hidden="false" customHeight="false" outlineLevel="0" collapsed="false">
      <c r="A2866" s="23"/>
      <c r="B2866" s="22"/>
      <c r="C2866" s="22"/>
      <c r="D2866" s="22"/>
      <c r="E2866" s="22"/>
      <c r="F2866" s="27" t="str">
        <f aca="false">IF(B2866="","",IFERROR(INDEX(Roster!$B$5:$B$154,MATCH(B2866,Roster!$A$5:$A$154,0)),"Not on roster"))</f>
        <v/>
      </c>
      <c r="G2866" s="28" t="str">
        <f aca="false">IF(OR(B2866="",C2866=""),"",F2866&amp;" | "&amp;C2866)</f>
        <v/>
      </c>
      <c r="H2866" s="27" t="str">
        <f aca="false">IF(G2866="","",IFERROR(INDEX(Levels!$C$5:$C$94,MATCH(G2866,Levels!$G$5:$G$94,0)),"Not this class's skill"))</f>
        <v/>
      </c>
    </row>
    <row r="2867" customFormat="false" ht="15" hidden="false" customHeight="false" outlineLevel="0" collapsed="false">
      <c r="A2867" s="23"/>
      <c r="B2867" s="22"/>
      <c r="C2867" s="22"/>
      <c r="D2867" s="22"/>
      <c r="E2867" s="22"/>
      <c r="F2867" s="27" t="str">
        <f aca="false">IF(B2867="","",IFERROR(INDEX(Roster!$B$5:$B$154,MATCH(B2867,Roster!$A$5:$A$154,0)),"Not on roster"))</f>
        <v/>
      </c>
      <c r="G2867" s="28" t="str">
        <f aca="false">IF(OR(B2867="",C2867=""),"",F2867&amp;" | "&amp;C2867)</f>
        <v/>
      </c>
      <c r="H2867" s="27" t="str">
        <f aca="false">IF(G2867="","",IFERROR(INDEX(Levels!$C$5:$C$94,MATCH(G2867,Levels!$G$5:$G$94,0)),"Not this class's skill"))</f>
        <v/>
      </c>
    </row>
    <row r="2868" customFormat="false" ht="15" hidden="false" customHeight="false" outlineLevel="0" collapsed="false">
      <c r="A2868" s="23"/>
      <c r="B2868" s="22"/>
      <c r="C2868" s="22"/>
      <c r="D2868" s="22"/>
      <c r="E2868" s="22"/>
      <c r="F2868" s="27" t="str">
        <f aca="false">IF(B2868="","",IFERROR(INDEX(Roster!$B$5:$B$154,MATCH(B2868,Roster!$A$5:$A$154,0)),"Not on roster"))</f>
        <v/>
      </c>
      <c r="G2868" s="28" t="str">
        <f aca="false">IF(OR(B2868="",C2868=""),"",F2868&amp;" | "&amp;C2868)</f>
        <v/>
      </c>
      <c r="H2868" s="27" t="str">
        <f aca="false">IF(G2868="","",IFERROR(INDEX(Levels!$C$5:$C$94,MATCH(G2868,Levels!$G$5:$G$94,0)),"Not this class's skill"))</f>
        <v/>
      </c>
    </row>
    <row r="2869" customFormat="false" ht="15" hidden="false" customHeight="false" outlineLevel="0" collapsed="false">
      <c r="A2869" s="23"/>
      <c r="B2869" s="22"/>
      <c r="C2869" s="22"/>
      <c r="D2869" s="22"/>
      <c r="E2869" s="22"/>
      <c r="F2869" s="27" t="str">
        <f aca="false">IF(B2869="","",IFERROR(INDEX(Roster!$B$5:$B$154,MATCH(B2869,Roster!$A$5:$A$154,0)),"Not on roster"))</f>
        <v/>
      </c>
      <c r="G2869" s="28" t="str">
        <f aca="false">IF(OR(B2869="",C2869=""),"",F2869&amp;" | "&amp;C2869)</f>
        <v/>
      </c>
      <c r="H2869" s="27" t="str">
        <f aca="false">IF(G2869="","",IFERROR(INDEX(Levels!$C$5:$C$94,MATCH(G2869,Levels!$G$5:$G$94,0)),"Not this class's skill"))</f>
        <v/>
      </c>
    </row>
    <row r="2870" customFormat="false" ht="15" hidden="false" customHeight="false" outlineLevel="0" collapsed="false">
      <c r="A2870" s="23"/>
      <c r="B2870" s="22"/>
      <c r="C2870" s="22"/>
      <c r="D2870" s="22"/>
      <c r="E2870" s="22"/>
      <c r="F2870" s="27" t="str">
        <f aca="false">IF(B2870="","",IFERROR(INDEX(Roster!$B$5:$B$154,MATCH(B2870,Roster!$A$5:$A$154,0)),"Not on roster"))</f>
        <v/>
      </c>
      <c r="G2870" s="28" t="str">
        <f aca="false">IF(OR(B2870="",C2870=""),"",F2870&amp;" | "&amp;C2870)</f>
        <v/>
      </c>
      <c r="H2870" s="27" t="str">
        <f aca="false">IF(G2870="","",IFERROR(INDEX(Levels!$C$5:$C$94,MATCH(G2870,Levels!$G$5:$G$94,0)),"Not this class's skill"))</f>
        <v/>
      </c>
    </row>
    <row r="2871" customFormat="false" ht="15" hidden="false" customHeight="false" outlineLevel="0" collapsed="false">
      <c r="A2871" s="23"/>
      <c r="B2871" s="22"/>
      <c r="C2871" s="22"/>
      <c r="D2871" s="22"/>
      <c r="E2871" s="22"/>
      <c r="F2871" s="27" t="str">
        <f aca="false">IF(B2871="","",IFERROR(INDEX(Roster!$B$5:$B$154,MATCH(B2871,Roster!$A$5:$A$154,0)),"Not on roster"))</f>
        <v/>
      </c>
      <c r="G2871" s="28" t="str">
        <f aca="false">IF(OR(B2871="",C2871=""),"",F2871&amp;" | "&amp;C2871)</f>
        <v/>
      </c>
      <c r="H2871" s="27" t="str">
        <f aca="false">IF(G2871="","",IFERROR(INDEX(Levels!$C$5:$C$94,MATCH(G2871,Levels!$G$5:$G$94,0)),"Not this class's skill"))</f>
        <v/>
      </c>
    </row>
    <row r="2872" customFormat="false" ht="15" hidden="false" customHeight="false" outlineLevel="0" collapsed="false">
      <c r="A2872" s="23"/>
      <c r="B2872" s="22"/>
      <c r="C2872" s="22"/>
      <c r="D2872" s="22"/>
      <c r="E2872" s="22"/>
      <c r="F2872" s="27" t="str">
        <f aca="false">IF(B2872="","",IFERROR(INDEX(Roster!$B$5:$B$154,MATCH(B2872,Roster!$A$5:$A$154,0)),"Not on roster"))</f>
        <v/>
      </c>
      <c r="G2872" s="28" t="str">
        <f aca="false">IF(OR(B2872="",C2872=""),"",F2872&amp;" | "&amp;C2872)</f>
        <v/>
      </c>
      <c r="H2872" s="27" t="str">
        <f aca="false">IF(G2872="","",IFERROR(INDEX(Levels!$C$5:$C$94,MATCH(G2872,Levels!$G$5:$G$94,0)),"Not this class's skill"))</f>
        <v/>
      </c>
    </row>
    <row r="2873" customFormat="false" ht="15" hidden="false" customHeight="false" outlineLevel="0" collapsed="false">
      <c r="A2873" s="23"/>
      <c r="B2873" s="22"/>
      <c r="C2873" s="22"/>
      <c r="D2873" s="22"/>
      <c r="E2873" s="22"/>
      <c r="F2873" s="27" t="str">
        <f aca="false">IF(B2873="","",IFERROR(INDEX(Roster!$B$5:$B$154,MATCH(B2873,Roster!$A$5:$A$154,0)),"Not on roster"))</f>
        <v/>
      </c>
      <c r="G2873" s="28" t="str">
        <f aca="false">IF(OR(B2873="",C2873=""),"",F2873&amp;" | "&amp;C2873)</f>
        <v/>
      </c>
      <c r="H2873" s="27" t="str">
        <f aca="false">IF(G2873="","",IFERROR(INDEX(Levels!$C$5:$C$94,MATCH(G2873,Levels!$G$5:$G$94,0)),"Not this class's skill"))</f>
        <v/>
      </c>
    </row>
    <row r="2874" customFormat="false" ht="15" hidden="false" customHeight="false" outlineLevel="0" collapsed="false">
      <c r="A2874" s="23"/>
      <c r="B2874" s="22"/>
      <c r="C2874" s="22"/>
      <c r="D2874" s="22"/>
      <c r="E2874" s="22"/>
      <c r="F2874" s="27" t="str">
        <f aca="false">IF(B2874="","",IFERROR(INDEX(Roster!$B$5:$B$154,MATCH(B2874,Roster!$A$5:$A$154,0)),"Not on roster"))</f>
        <v/>
      </c>
      <c r="G2874" s="28" t="str">
        <f aca="false">IF(OR(B2874="",C2874=""),"",F2874&amp;" | "&amp;C2874)</f>
        <v/>
      </c>
      <c r="H2874" s="27" t="str">
        <f aca="false">IF(G2874="","",IFERROR(INDEX(Levels!$C$5:$C$94,MATCH(G2874,Levels!$G$5:$G$94,0)),"Not this class's skill"))</f>
        <v/>
      </c>
    </row>
    <row r="2875" customFormat="false" ht="15" hidden="false" customHeight="false" outlineLevel="0" collapsed="false">
      <c r="A2875" s="23"/>
      <c r="B2875" s="22"/>
      <c r="C2875" s="22"/>
      <c r="D2875" s="22"/>
      <c r="E2875" s="22"/>
      <c r="F2875" s="27" t="str">
        <f aca="false">IF(B2875="","",IFERROR(INDEX(Roster!$B$5:$B$154,MATCH(B2875,Roster!$A$5:$A$154,0)),"Not on roster"))</f>
        <v/>
      </c>
      <c r="G2875" s="28" t="str">
        <f aca="false">IF(OR(B2875="",C2875=""),"",F2875&amp;" | "&amp;C2875)</f>
        <v/>
      </c>
      <c r="H2875" s="27" t="str">
        <f aca="false">IF(G2875="","",IFERROR(INDEX(Levels!$C$5:$C$94,MATCH(G2875,Levels!$G$5:$G$94,0)),"Not this class's skill"))</f>
        <v/>
      </c>
    </row>
    <row r="2876" customFormat="false" ht="15" hidden="false" customHeight="false" outlineLevel="0" collapsed="false">
      <c r="A2876" s="23"/>
      <c r="B2876" s="22"/>
      <c r="C2876" s="22"/>
      <c r="D2876" s="22"/>
      <c r="E2876" s="22"/>
      <c r="F2876" s="27" t="str">
        <f aca="false">IF(B2876="","",IFERROR(INDEX(Roster!$B$5:$B$154,MATCH(B2876,Roster!$A$5:$A$154,0)),"Not on roster"))</f>
        <v/>
      </c>
      <c r="G2876" s="28" t="str">
        <f aca="false">IF(OR(B2876="",C2876=""),"",F2876&amp;" | "&amp;C2876)</f>
        <v/>
      </c>
      <c r="H2876" s="27" t="str">
        <f aca="false">IF(G2876="","",IFERROR(INDEX(Levels!$C$5:$C$94,MATCH(G2876,Levels!$G$5:$G$94,0)),"Not this class's skill"))</f>
        <v/>
      </c>
    </row>
    <row r="2877" customFormat="false" ht="15" hidden="false" customHeight="false" outlineLevel="0" collapsed="false">
      <c r="A2877" s="23"/>
      <c r="B2877" s="22"/>
      <c r="C2877" s="22"/>
      <c r="D2877" s="22"/>
      <c r="E2877" s="22"/>
      <c r="F2877" s="27" t="str">
        <f aca="false">IF(B2877="","",IFERROR(INDEX(Roster!$B$5:$B$154,MATCH(B2877,Roster!$A$5:$A$154,0)),"Not on roster"))</f>
        <v/>
      </c>
      <c r="G2877" s="28" t="str">
        <f aca="false">IF(OR(B2877="",C2877=""),"",F2877&amp;" | "&amp;C2877)</f>
        <v/>
      </c>
      <c r="H2877" s="27" t="str">
        <f aca="false">IF(G2877="","",IFERROR(INDEX(Levels!$C$5:$C$94,MATCH(G2877,Levels!$G$5:$G$94,0)),"Not this class's skill"))</f>
        <v/>
      </c>
    </row>
    <row r="2878" customFormat="false" ht="15" hidden="false" customHeight="false" outlineLevel="0" collapsed="false">
      <c r="A2878" s="23"/>
      <c r="B2878" s="22"/>
      <c r="C2878" s="22"/>
      <c r="D2878" s="22"/>
      <c r="E2878" s="22"/>
      <c r="F2878" s="27" t="str">
        <f aca="false">IF(B2878="","",IFERROR(INDEX(Roster!$B$5:$B$154,MATCH(B2878,Roster!$A$5:$A$154,0)),"Not on roster"))</f>
        <v/>
      </c>
      <c r="G2878" s="28" t="str">
        <f aca="false">IF(OR(B2878="",C2878=""),"",F2878&amp;" | "&amp;C2878)</f>
        <v/>
      </c>
      <c r="H2878" s="27" t="str">
        <f aca="false">IF(G2878="","",IFERROR(INDEX(Levels!$C$5:$C$94,MATCH(G2878,Levels!$G$5:$G$94,0)),"Not this class's skill"))</f>
        <v/>
      </c>
    </row>
    <row r="2879" customFormat="false" ht="15" hidden="false" customHeight="false" outlineLevel="0" collapsed="false">
      <c r="A2879" s="23"/>
      <c r="B2879" s="22"/>
      <c r="C2879" s="22"/>
      <c r="D2879" s="22"/>
      <c r="E2879" s="22"/>
      <c r="F2879" s="27" t="str">
        <f aca="false">IF(B2879="","",IFERROR(INDEX(Roster!$B$5:$B$154,MATCH(B2879,Roster!$A$5:$A$154,0)),"Not on roster"))</f>
        <v/>
      </c>
      <c r="G2879" s="28" t="str">
        <f aca="false">IF(OR(B2879="",C2879=""),"",F2879&amp;" | "&amp;C2879)</f>
        <v/>
      </c>
      <c r="H2879" s="27" t="str">
        <f aca="false">IF(G2879="","",IFERROR(INDEX(Levels!$C$5:$C$94,MATCH(G2879,Levels!$G$5:$G$94,0)),"Not this class's skill"))</f>
        <v/>
      </c>
    </row>
    <row r="2880" customFormat="false" ht="15" hidden="false" customHeight="false" outlineLevel="0" collapsed="false">
      <c r="A2880" s="23"/>
      <c r="B2880" s="22"/>
      <c r="C2880" s="22"/>
      <c r="D2880" s="22"/>
      <c r="E2880" s="22"/>
      <c r="F2880" s="27" t="str">
        <f aca="false">IF(B2880="","",IFERROR(INDEX(Roster!$B$5:$B$154,MATCH(B2880,Roster!$A$5:$A$154,0)),"Not on roster"))</f>
        <v/>
      </c>
      <c r="G2880" s="28" t="str">
        <f aca="false">IF(OR(B2880="",C2880=""),"",F2880&amp;" | "&amp;C2880)</f>
        <v/>
      </c>
      <c r="H2880" s="27" t="str">
        <f aca="false">IF(G2880="","",IFERROR(INDEX(Levels!$C$5:$C$94,MATCH(G2880,Levels!$G$5:$G$94,0)),"Not this class's skill"))</f>
        <v/>
      </c>
    </row>
    <row r="2881" customFormat="false" ht="15" hidden="false" customHeight="false" outlineLevel="0" collapsed="false">
      <c r="A2881" s="23"/>
      <c r="B2881" s="22"/>
      <c r="C2881" s="22"/>
      <c r="D2881" s="22"/>
      <c r="E2881" s="22"/>
      <c r="F2881" s="27" t="str">
        <f aca="false">IF(B2881="","",IFERROR(INDEX(Roster!$B$5:$B$154,MATCH(B2881,Roster!$A$5:$A$154,0)),"Not on roster"))</f>
        <v/>
      </c>
      <c r="G2881" s="28" t="str">
        <f aca="false">IF(OR(B2881="",C2881=""),"",F2881&amp;" | "&amp;C2881)</f>
        <v/>
      </c>
      <c r="H2881" s="27" t="str">
        <f aca="false">IF(G2881="","",IFERROR(INDEX(Levels!$C$5:$C$94,MATCH(G2881,Levels!$G$5:$G$94,0)),"Not this class's skill"))</f>
        <v/>
      </c>
    </row>
    <row r="2882" customFormat="false" ht="15" hidden="false" customHeight="false" outlineLevel="0" collapsed="false">
      <c r="A2882" s="23"/>
      <c r="B2882" s="22"/>
      <c r="C2882" s="22"/>
      <c r="D2882" s="22"/>
      <c r="E2882" s="22"/>
      <c r="F2882" s="27" t="str">
        <f aca="false">IF(B2882="","",IFERROR(INDEX(Roster!$B$5:$B$154,MATCH(B2882,Roster!$A$5:$A$154,0)),"Not on roster"))</f>
        <v/>
      </c>
      <c r="G2882" s="28" t="str">
        <f aca="false">IF(OR(B2882="",C2882=""),"",F2882&amp;" | "&amp;C2882)</f>
        <v/>
      </c>
      <c r="H2882" s="27" t="str">
        <f aca="false">IF(G2882="","",IFERROR(INDEX(Levels!$C$5:$C$94,MATCH(G2882,Levels!$G$5:$G$94,0)),"Not this class's skill"))</f>
        <v/>
      </c>
    </row>
    <row r="2883" customFormat="false" ht="15" hidden="false" customHeight="false" outlineLevel="0" collapsed="false">
      <c r="A2883" s="23"/>
      <c r="B2883" s="22"/>
      <c r="C2883" s="22"/>
      <c r="D2883" s="22"/>
      <c r="E2883" s="22"/>
      <c r="F2883" s="27" t="str">
        <f aca="false">IF(B2883="","",IFERROR(INDEX(Roster!$B$5:$B$154,MATCH(B2883,Roster!$A$5:$A$154,0)),"Not on roster"))</f>
        <v/>
      </c>
      <c r="G2883" s="28" t="str">
        <f aca="false">IF(OR(B2883="",C2883=""),"",F2883&amp;" | "&amp;C2883)</f>
        <v/>
      </c>
      <c r="H2883" s="27" t="str">
        <f aca="false">IF(G2883="","",IFERROR(INDEX(Levels!$C$5:$C$94,MATCH(G2883,Levels!$G$5:$G$94,0)),"Not this class's skill"))</f>
        <v/>
      </c>
    </row>
    <row r="2884" customFormat="false" ht="15" hidden="false" customHeight="false" outlineLevel="0" collapsed="false">
      <c r="A2884" s="23"/>
      <c r="B2884" s="22"/>
      <c r="C2884" s="22"/>
      <c r="D2884" s="22"/>
      <c r="E2884" s="22"/>
      <c r="F2884" s="27" t="str">
        <f aca="false">IF(B2884="","",IFERROR(INDEX(Roster!$B$5:$B$154,MATCH(B2884,Roster!$A$5:$A$154,0)),"Not on roster"))</f>
        <v/>
      </c>
      <c r="G2884" s="28" t="str">
        <f aca="false">IF(OR(B2884="",C2884=""),"",F2884&amp;" | "&amp;C2884)</f>
        <v/>
      </c>
      <c r="H2884" s="27" t="str">
        <f aca="false">IF(G2884="","",IFERROR(INDEX(Levels!$C$5:$C$94,MATCH(G2884,Levels!$G$5:$G$94,0)),"Not this class's skill"))</f>
        <v/>
      </c>
    </row>
    <row r="2885" customFormat="false" ht="15" hidden="false" customHeight="false" outlineLevel="0" collapsed="false">
      <c r="A2885" s="23"/>
      <c r="B2885" s="22"/>
      <c r="C2885" s="22"/>
      <c r="D2885" s="22"/>
      <c r="E2885" s="22"/>
      <c r="F2885" s="27" t="str">
        <f aca="false">IF(B2885="","",IFERROR(INDEX(Roster!$B$5:$B$154,MATCH(B2885,Roster!$A$5:$A$154,0)),"Not on roster"))</f>
        <v/>
      </c>
      <c r="G2885" s="28" t="str">
        <f aca="false">IF(OR(B2885="",C2885=""),"",F2885&amp;" | "&amp;C2885)</f>
        <v/>
      </c>
      <c r="H2885" s="27" t="str">
        <f aca="false">IF(G2885="","",IFERROR(INDEX(Levels!$C$5:$C$94,MATCH(G2885,Levels!$G$5:$G$94,0)),"Not this class's skill"))</f>
        <v/>
      </c>
    </row>
    <row r="2886" customFormat="false" ht="15" hidden="false" customHeight="false" outlineLevel="0" collapsed="false">
      <c r="A2886" s="23"/>
      <c r="B2886" s="22"/>
      <c r="C2886" s="22"/>
      <c r="D2886" s="22"/>
      <c r="E2886" s="22"/>
      <c r="F2886" s="27" t="str">
        <f aca="false">IF(B2886="","",IFERROR(INDEX(Roster!$B$5:$B$154,MATCH(B2886,Roster!$A$5:$A$154,0)),"Not on roster"))</f>
        <v/>
      </c>
      <c r="G2886" s="28" t="str">
        <f aca="false">IF(OR(B2886="",C2886=""),"",F2886&amp;" | "&amp;C2886)</f>
        <v/>
      </c>
      <c r="H2886" s="27" t="str">
        <f aca="false">IF(G2886="","",IFERROR(INDEX(Levels!$C$5:$C$94,MATCH(G2886,Levels!$G$5:$G$94,0)),"Not this class's skill"))</f>
        <v/>
      </c>
    </row>
    <row r="2887" customFormat="false" ht="15" hidden="false" customHeight="false" outlineLevel="0" collapsed="false">
      <c r="A2887" s="23"/>
      <c r="B2887" s="22"/>
      <c r="C2887" s="22"/>
      <c r="D2887" s="22"/>
      <c r="E2887" s="22"/>
      <c r="F2887" s="27" t="str">
        <f aca="false">IF(B2887="","",IFERROR(INDEX(Roster!$B$5:$B$154,MATCH(B2887,Roster!$A$5:$A$154,0)),"Not on roster"))</f>
        <v/>
      </c>
      <c r="G2887" s="28" t="str">
        <f aca="false">IF(OR(B2887="",C2887=""),"",F2887&amp;" | "&amp;C2887)</f>
        <v/>
      </c>
      <c r="H2887" s="27" t="str">
        <f aca="false">IF(G2887="","",IFERROR(INDEX(Levels!$C$5:$C$94,MATCH(G2887,Levels!$G$5:$G$94,0)),"Not this class's skill"))</f>
        <v/>
      </c>
    </row>
    <row r="2888" customFormat="false" ht="15" hidden="false" customHeight="false" outlineLevel="0" collapsed="false">
      <c r="A2888" s="23"/>
      <c r="B2888" s="22"/>
      <c r="C2888" s="22"/>
      <c r="D2888" s="22"/>
      <c r="E2888" s="22"/>
      <c r="F2888" s="27" t="str">
        <f aca="false">IF(B2888="","",IFERROR(INDEX(Roster!$B$5:$B$154,MATCH(B2888,Roster!$A$5:$A$154,0)),"Not on roster"))</f>
        <v/>
      </c>
      <c r="G2888" s="28" t="str">
        <f aca="false">IF(OR(B2888="",C2888=""),"",F2888&amp;" | "&amp;C2888)</f>
        <v/>
      </c>
      <c r="H2888" s="27" t="str">
        <f aca="false">IF(G2888="","",IFERROR(INDEX(Levels!$C$5:$C$94,MATCH(G2888,Levels!$G$5:$G$94,0)),"Not this class's skill"))</f>
        <v/>
      </c>
    </row>
    <row r="2889" customFormat="false" ht="15" hidden="false" customHeight="false" outlineLevel="0" collapsed="false">
      <c r="A2889" s="23"/>
      <c r="B2889" s="22"/>
      <c r="C2889" s="22"/>
      <c r="D2889" s="22"/>
      <c r="E2889" s="22"/>
      <c r="F2889" s="27" t="str">
        <f aca="false">IF(B2889="","",IFERROR(INDEX(Roster!$B$5:$B$154,MATCH(B2889,Roster!$A$5:$A$154,0)),"Not on roster"))</f>
        <v/>
      </c>
      <c r="G2889" s="28" t="str">
        <f aca="false">IF(OR(B2889="",C2889=""),"",F2889&amp;" | "&amp;C2889)</f>
        <v/>
      </c>
      <c r="H2889" s="27" t="str">
        <f aca="false">IF(G2889="","",IFERROR(INDEX(Levels!$C$5:$C$94,MATCH(G2889,Levels!$G$5:$G$94,0)),"Not this class's skill"))</f>
        <v/>
      </c>
    </row>
    <row r="2890" customFormat="false" ht="15" hidden="false" customHeight="false" outlineLevel="0" collapsed="false">
      <c r="A2890" s="23"/>
      <c r="B2890" s="22"/>
      <c r="C2890" s="22"/>
      <c r="D2890" s="22"/>
      <c r="E2890" s="22"/>
      <c r="F2890" s="27" t="str">
        <f aca="false">IF(B2890="","",IFERROR(INDEX(Roster!$B$5:$B$154,MATCH(B2890,Roster!$A$5:$A$154,0)),"Not on roster"))</f>
        <v/>
      </c>
      <c r="G2890" s="28" t="str">
        <f aca="false">IF(OR(B2890="",C2890=""),"",F2890&amp;" | "&amp;C2890)</f>
        <v/>
      </c>
      <c r="H2890" s="27" t="str">
        <f aca="false">IF(G2890="","",IFERROR(INDEX(Levels!$C$5:$C$94,MATCH(G2890,Levels!$G$5:$G$94,0)),"Not this class's skill"))</f>
        <v/>
      </c>
    </row>
    <row r="2891" customFormat="false" ht="15" hidden="false" customHeight="false" outlineLevel="0" collapsed="false">
      <c r="A2891" s="23"/>
      <c r="B2891" s="22"/>
      <c r="C2891" s="22"/>
      <c r="D2891" s="22"/>
      <c r="E2891" s="22"/>
      <c r="F2891" s="27" t="str">
        <f aca="false">IF(B2891="","",IFERROR(INDEX(Roster!$B$5:$B$154,MATCH(B2891,Roster!$A$5:$A$154,0)),"Not on roster"))</f>
        <v/>
      </c>
      <c r="G2891" s="28" t="str">
        <f aca="false">IF(OR(B2891="",C2891=""),"",F2891&amp;" | "&amp;C2891)</f>
        <v/>
      </c>
      <c r="H2891" s="27" t="str">
        <f aca="false">IF(G2891="","",IFERROR(INDEX(Levels!$C$5:$C$94,MATCH(G2891,Levels!$G$5:$G$94,0)),"Not this class's skill"))</f>
        <v/>
      </c>
    </row>
    <row r="2892" customFormat="false" ht="15" hidden="false" customHeight="false" outlineLevel="0" collapsed="false">
      <c r="A2892" s="23"/>
      <c r="B2892" s="22"/>
      <c r="C2892" s="22"/>
      <c r="D2892" s="22"/>
      <c r="E2892" s="22"/>
      <c r="F2892" s="27" t="str">
        <f aca="false">IF(B2892="","",IFERROR(INDEX(Roster!$B$5:$B$154,MATCH(B2892,Roster!$A$5:$A$154,0)),"Not on roster"))</f>
        <v/>
      </c>
      <c r="G2892" s="28" t="str">
        <f aca="false">IF(OR(B2892="",C2892=""),"",F2892&amp;" | "&amp;C2892)</f>
        <v/>
      </c>
      <c r="H2892" s="27" t="str">
        <f aca="false">IF(G2892="","",IFERROR(INDEX(Levels!$C$5:$C$94,MATCH(G2892,Levels!$G$5:$G$94,0)),"Not this class's skill"))</f>
        <v/>
      </c>
    </row>
    <row r="2893" customFormat="false" ht="15" hidden="false" customHeight="false" outlineLevel="0" collapsed="false">
      <c r="A2893" s="23"/>
      <c r="B2893" s="22"/>
      <c r="C2893" s="22"/>
      <c r="D2893" s="22"/>
      <c r="E2893" s="22"/>
      <c r="F2893" s="27" t="str">
        <f aca="false">IF(B2893="","",IFERROR(INDEX(Roster!$B$5:$B$154,MATCH(B2893,Roster!$A$5:$A$154,0)),"Not on roster"))</f>
        <v/>
      </c>
      <c r="G2893" s="28" t="str">
        <f aca="false">IF(OR(B2893="",C2893=""),"",F2893&amp;" | "&amp;C2893)</f>
        <v/>
      </c>
      <c r="H2893" s="27" t="str">
        <f aca="false">IF(G2893="","",IFERROR(INDEX(Levels!$C$5:$C$94,MATCH(G2893,Levels!$G$5:$G$94,0)),"Not this class's skill"))</f>
        <v/>
      </c>
    </row>
    <row r="2894" customFormat="false" ht="15" hidden="false" customHeight="false" outlineLevel="0" collapsed="false">
      <c r="A2894" s="23"/>
      <c r="B2894" s="22"/>
      <c r="C2894" s="22"/>
      <c r="D2894" s="22"/>
      <c r="E2894" s="22"/>
      <c r="F2894" s="27" t="str">
        <f aca="false">IF(B2894="","",IFERROR(INDEX(Roster!$B$5:$B$154,MATCH(B2894,Roster!$A$5:$A$154,0)),"Not on roster"))</f>
        <v/>
      </c>
      <c r="G2894" s="28" t="str">
        <f aca="false">IF(OR(B2894="",C2894=""),"",F2894&amp;" | "&amp;C2894)</f>
        <v/>
      </c>
      <c r="H2894" s="27" t="str">
        <f aca="false">IF(G2894="","",IFERROR(INDEX(Levels!$C$5:$C$94,MATCH(G2894,Levels!$G$5:$G$94,0)),"Not this class's skill"))</f>
        <v/>
      </c>
    </row>
    <row r="2895" customFormat="false" ht="15" hidden="false" customHeight="false" outlineLevel="0" collapsed="false">
      <c r="A2895" s="23"/>
      <c r="B2895" s="22"/>
      <c r="C2895" s="22"/>
      <c r="D2895" s="22"/>
      <c r="E2895" s="22"/>
      <c r="F2895" s="27" t="str">
        <f aca="false">IF(B2895="","",IFERROR(INDEX(Roster!$B$5:$B$154,MATCH(B2895,Roster!$A$5:$A$154,0)),"Not on roster"))</f>
        <v/>
      </c>
      <c r="G2895" s="28" t="str">
        <f aca="false">IF(OR(B2895="",C2895=""),"",F2895&amp;" | "&amp;C2895)</f>
        <v/>
      </c>
      <c r="H2895" s="27" t="str">
        <f aca="false">IF(G2895="","",IFERROR(INDEX(Levels!$C$5:$C$94,MATCH(G2895,Levels!$G$5:$G$94,0)),"Not this class's skill"))</f>
        <v/>
      </c>
    </row>
    <row r="2896" customFormat="false" ht="15" hidden="false" customHeight="false" outlineLevel="0" collapsed="false">
      <c r="A2896" s="23"/>
      <c r="B2896" s="22"/>
      <c r="C2896" s="22"/>
      <c r="D2896" s="22"/>
      <c r="E2896" s="22"/>
      <c r="F2896" s="27" t="str">
        <f aca="false">IF(B2896="","",IFERROR(INDEX(Roster!$B$5:$B$154,MATCH(B2896,Roster!$A$5:$A$154,0)),"Not on roster"))</f>
        <v/>
      </c>
      <c r="G2896" s="28" t="str">
        <f aca="false">IF(OR(B2896="",C2896=""),"",F2896&amp;" | "&amp;C2896)</f>
        <v/>
      </c>
      <c r="H2896" s="27" t="str">
        <f aca="false">IF(G2896="","",IFERROR(INDEX(Levels!$C$5:$C$94,MATCH(G2896,Levels!$G$5:$G$94,0)),"Not this class's skill"))</f>
        <v/>
      </c>
    </row>
    <row r="2897" customFormat="false" ht="15" hidden="false" customHeight="false" outlineLevel="0" collapsed="false">
      <c r="A2897" s="23"/>
      <c r="B2897" s="22"/>
      <c r="C2897" s="22"/>
      <c r="D2897" s="22"/>
      <c r="E2897" s="22"/>
      <c r="F2897" s="27" t="str">
        <f aca="false">IF(B2897="","",IFERROR(INDEX(Roster!$B$5:$B$154,MATCH(B2897,Roster!$A$5:$A$154,0)),"Not on roster"))</f>
        <v/>
      </c>
      <c r="G2897" s="28" t="str">
        <f aca="false">IF(OR(B2897="",C2897=""),"",F2897&amp;" | "&amp;C2897)</f>
        <v/>
      </c>
      <c r="H2897" s="27" t="str">
        <f aca="false">IF(G2897="","",IFERROR(INDEX(Levels!$C$5:$C$94,MATCH(G2897,Levels!$G$5:$G$94,0)),"Not this class's skill"))</f>
        <v/>
      </c>
    </row>
    <row r="2898" customFormat="false" ht="15" hidden="false" customHeight="false" outlineLevel="0" collapsed="false">
      <c r="A2898" s="23"/>
      <c r="B2898" s="22"/>
      <c r="C2898" s="22"/>
      <c r="D2898" s="22"/>
      <c r="E2898" s="22"/>
      <c r="F2898" s="27" t="str">
        <f aca="false">IF(B2898="","",IFERROR(INDEX(Roster!$B$5:$B$154,MATCH(B2898,Roster!$A$5:$A$154,0)),"Not on roster"))</f>
        <v/>
      </c>
      <c r="G2898" s="28" t="str">
        <f aca="false">IF(OR(B2898="",C2898=""),"",F2898&amp;" | "&amp;C2898)</f>
        <v/>
      </c>
      <c r="H2898" s="27" t="str">
        <f aca="false">IF(G2898="","",IFERROR(INDEX(Levels!$C$5:$C$94,MATCH(G2898,Levels!$G$5:$G$94,0)),"Not this class's skill"))</f>
        <v/>
      </c>
    </row>
    <row r="2899" customFormat="false" ht="15" hidden="false" customHeight="false" outlineLevel="0" collapsed="false">
      <c r="A2899" s="23"/>
      <c r="B2899" s="22"/>
      <c r="C2899" s="22"/>
      <c r="D2899" s="22"/>
      <c r="E2899" s="22"/>
      <c r="F2899" s="27" t="str">
        <f aca="false">IF(B2899="","",IFERROR(INDEX(Roster!$B$5:$B$154,MATCH(B2899,Roster!$A$5:$A$154,0)),"Not on roster"))</f>
        <v/>
      </c>
      <c r="G2899" s="28" t="str">
        <f aca="false">IF(OR(B2899="",C2899=""),"",F2899&amp;" | "&amp;C2899)</f>
        <v/>
      </c>
      <c r="H2899" s="27" t="str">
        <f aca="false">IF(G2899="","",IFERROR(INDEX(Levels!$C$5:$C$94,MATCH(G2899,Levels!$G$5:$G$94,0)),"Not this class's skill"))</f>
        <v/>
      </c>
    </row>
    <row r="2900" customFormat="false" ht="15" hidden="false" customHeight="false" outlineLevel="0" collapsed="false">
      <c r="A2900" s="23"/>
      <c r="B2900" s="22"/>
      <c r="C2900" s="22"/>
      <c r="D2900" s="22"/>
      <c r="E2900" s="22"/>
      <c r="F2900" s="27" t="str">
        <f aca="false">IF(B2900="","",IFERROR(INDEX(Roster!$B$5:$B$154,MATCH(B2900,Roster!$A$5:$A$154,0)),"Not on roster"))</f>
        <v/>
      </c>
      <c r="G2900" s="28" t="str">
        <f aca="false">IF(OR(B2900="",C2900=""),"",F2900&amp;" | "&amp;C2900)</f>
        <v/>
      </c>
      <c r="H2900" s="27" t="str">
        <f aca="false">IF(G2900="","",IFERROR(INDEX(Levels!$C$5:$C$94,MATCH(G2900,Levels!$G$5:$G$94,0)),"Not this class's skill"))</f>
        <v/>
      </c>
    </row>
    <row r="2901" customFormat="false" ht="15" hidden="false" customHeight="false" outlineLevel="0" collapsed="false">
      <c r="A2901" s="23"/>
      <c r="B2901" s="22"/>
      <c r="C2901" s="22"/>
      <c r="D2901" s="22"/>
      <c r="E2901" s="22"/>
      <c r="F2901" s="27" t="str">
        <f aca="false">IF(B2901="","",IFERROR(INDEX(Roster!$B$5:$B$154,MATCH(B2901,Roster!$A$5:$A$154,0)),"Not on roster"))</f>
        <v/>
      </c>
      <c r="G2901" s="28" t="str">
        <f aca="false">IF(OR(B2901="",C2901=""),"",F2901&amp;" | "&amp;C2901)</f>
        <v/>
      </c>
      <c r="H2901" s="27" t="str">
        <f aca="false">IF(G2901="","",IFERROR(INDEX(Levels!$C$5:$C$94,MATCH(G2901,Levels!$G$5:$G$94,0)),"Not this class's skill"))</f>
        <v/>
      </c>
    </row>
    <row r="2902" customFormat="false" ht="15" hidden="false" customHeight="false" outlineLevel="0" collapsed="false">
      <c r="A2902" s="23"/>
      <c r="B2902" s="22"/>
      <c r="C2902" s="22"/>
      <c r="D2902" s="22"/>
      <c r="E2902" s="22"/>
      <c r="F2902" s="27" t="str">
        <f aca="false">IF(B2902="","",IFERROR(INDEX(Roster!$B$5:$B$154,MATCH(B2902,Roster!$A$5:$A$154,0)),"Not on roster"))</f>
        <v/>
      </c>
      <c r="G2902" s="28" t="str">
        <f aca="false">IF(OR(B2902="",C2902=""),"",F2902&amp;" | "&amp;C2902)</f>
        <v/>
      </c>
      <c r="H2902" s="27" t="str">
        <f aca="false">IF(G2902="","",IFERROR(INDEX(Levels!$C$5:$C$94,MATCH(G2902,Levels!$G$5:$G$94,0)),"Not this class's skill"))</f>
        <v/>
      </c>
    </row>
    <row r="2903" customFormat="false" ht="15" hidden="false" customHeight="false" outlineLevel="0" collapsed="false">
      <c r="A2903" s="23"/>
      <c r="B2903" s="22"/>
      <c r="C2903" s="22"/>
      <c r="D2903" s="22"/>
      <c r="E2903" s="22"/>
      <c r="F2903" s="27" t="str">
        <f aca="false">IF(B2903="","",IFERROR(INDEX(Roster!$B$5:$B$154,MATCH(B2903,Roster!$A$5:$A$154,0)),"Not on roster"))</f>
        <v/>
      </c>
      <c r="G2903" s="28" t="str">
        <f aca="false">IF(OR(B2903="",C2903=""),"",F2903&amp;" | "&amp;C2903)</f>
        <v/>
      </c>
      <c r="H2903" s="27" t="str">
        <f aca="false">IF(G2903="","",IFERROR(INDEX(Levels!$C$5:$C$94,MATCH(G2903,Levels!$G$5:$G$94,0)),"Not this class's skill"))</f>
        <v/>
      </c>
    </row>
    <row r="2904" customFormat="false" ht="15" hidden="false" customHeight="false" outlineLevel="0" collapsed="false">
      <c r="A2904" s="23"/>
      <c r="B2904" s="22"/>
      <c r="C2904" s="22"/>
      <c r="D2904" s="22"/>
      <c r="E2904" s="22"/>
      <c r="F2904" s="27" t="str">
        <f aca="false">IF(B2904="","",IFERROR(INDEX(Roster!$B$5:$B$154,MATCH(B2904,Roster!$A$5:$A$154,0)),"Not on roster"))</f>
        <v/>
      </c>
      <c r="G2904" s="28" t="str">
        <f aca="false">IF(OR(B2904="",C2904=""),"",F2904&amp;" | "&amp;C2904)</f>
        <v/>
      </c>
      <c r="H2904" s="27" t="str">
        <f aca="false">IF(G2904="","",IFERROR(INDEX(Levels!$C$5:$C$94,MATCH(G2904,Levels!$G$5:$G$94,0)),"Not this class's skill"))</f>
        <v/>
      </c>
    </row>
    <row r="2905" customFormat="false" ht="15" hidden="false" customHeight="false" outlineLevel="0" collapsed="false">
      <c r="A2905" s="23"/>
      <c r="B2905" s="22"/>
      <c r="C2905" s="22"/>
      <c r="D2905" s="22"/>
      <c r="E2905" s="22"/>
      <c r="F2905" s="27" t="str">
        <f aca="false">IF(B2905="","",IFERROR(INDEX(Roster!$B$5:$B$154,MATCH(B2905,Roster!$A$5:$A$154,0)),"Not on roster"))</f>
        <v/>
      </c>
      <c r="G2905" s="28" t="str">
        <f aca="false">IF(OR(B2905="",C2905=""),"",F2905&amp;" | "&amp;C2905)</f>
        <v/>
      </c>
      <c r="H2905" s="27" t="str">
        <f aca="false">IF(G2905="","",IFERROR(INDEX(Levels!$C$5:$C$94,MATCH(G2905,Levels!$G$5:$G$94,0)),"Not this class's skill"))</f>
        <v/>
      </c>
    </row>
    <row r="2906" customFormat="false" ht="15" hidden="false" customHeight="false" outlineLevel="0" collapsed="false">
      <c r="A2906" s="23"/>
      <c r="B2906" s="22"/>
      <c r="C2906" s="22"/>
      <c r="D2906" s="22"/>
      <c r="E2906" s="22"/>
      <c r="F2906" s="27" t="str">
        <f aca="false">IF(B2906="","",IFERROR(INDEX(Roster!$B$5:$B$154,MATCH(B2906,Roster!$A$5:$A$154,0)),"Not on roster"))</f>
        <v/>
      </c>
      <c r="G2906" s="28" t="str">
        <f aca="false">IF(OR(B2906="",C2906=""),"",F2906&amp;" | "&amp;C2906)</f>
        <v/>
      </c>
      <c r="H2906" s="27" t="str">
        <f aca="false">IF(G2906="","",IFERROR(INDEX(Levels!$C$5:$C$94,MATCH(G2906,Levels!$G$5:$G$94,0)),"Not this class's skill"))</f>
        <v/>
      </c>
    </row>
    <row r="2907" customFormat="false" ht="15" hidden="false" customHeight="false" outlineLevel="0" collapsed="false">
      <c r="A2907" s="23"/>
      <c r="B2907" s="22"/>
      <c r="C2907" s="22"/>
      <c r="D2907" s="22"/>
      <c r="E2907" s="22"/>
      <c r="F2907" s="27" t="str">
        <f aca="false">IF(B2907="","",IFERROR(INDEX(Roster!$B$5:$B$154,MATCH(B2907,Roster!$A$5:$A$154,0)),"Not on roster"))</f>
        <v/>
      </c>
      <c r="G2907" s="28" t="str">
        <f aca="false">IF(OR(B2907="",C2907=""),"",F2907&amp;" | "&amp;C2907)</f>
        <v/>
      </c>
      <c r="H2907" s="27" t="str">
        <f aca="false">IF(G2907="","",IFERROR(INDEX(Levels!$C$5:$C$94,MATCH(G2907,Levels!$G$5:$G$94,0)),"Not this class's skill"))</f>
        <v/>
      </c>
    </row>
    <row r="2908" customFormat="false" ht="15" hidden="false" customHeight="false" outlineLevel="0" collapsed="false">
      <c r="A2908" s="23"/>
      <c r="B2908" s="22"/>
      <c r="C2908" s="22"/>
      <c r="D2908" s="22"/>
      <c r="E2908" s="22"/>
      <c r="F2908" s="27" t="str">
        <f aca="false">IF(B2908="","",IFERROR(INDEX(Roster!$B$5:$B$154,MATCH(B2908,Roster!$A$5:$A$154,0)),"Not on roster"))</f>
        <v/>
      </c>
      <c r="G2908" s="28" t="str">
        <f aca="false">IF(OR(B2908="",C2908=""),"",F2908&amp;" | "&amp;C2908)</f>
        <v/>
      </c>
      <c r="H2908" s="27" t="str">
        <f aca="false">IF(G2908="","",IFERROR(INDEX(Levels!$C$5:$C$94,MATCH(G2908,Levels!$G$5:$G$94,0)),"Not this class's skill"))</f>
        <v/>
      </c>
    </row>
    <row r="2909" customFormat="false" ht="15" hidden="false" customHeight="false" outlineLevel="0" collapsed="false">
      <c r="A2909" s="23"/>
      <c r="B2909" s="22"/>
      <c r="C2909" s="22"/>
      <c r="D2909" s="22"/>
      <c r="E2909" s="22"/>
      <c r="F2909" s="27" t="str">
        <f aca="false">IF(B2909="","",IFERROR(INDEX(Roster!$B$5:$B$154,MATCH(B2909,Roster!$A$5:$A$154,0)),"Not on roster"))</f>
        <v/>
      </c>
      <c r="G2909" s="28" t="str">
        <f aca="false">IF(OR(B2909="",C2909=""),"",F2909&amp;" | "&amp;C2909)</f>
        <v/>
      </c>
      <c r="H2909" s="27" t="str">
        <f aca="false">IF(G2909="","",IFERROR(INDEX(Levels!$C$5:$C$94,MATCH(G2909,Levels!$G$5:$G$94,0)),"Not this class's skill"))</f>
        <v/>
      </c>
    </row>
    <row r="2910" customFormat="false" ht="15" hidden="false" customHeight="false" outlineLevel="0" collapsed="false">
      <c r="A2910" s="23"/>
      <c r="B2910" s="22"/>
      <c r="C2910" s="22"/>
      <c r="D2910" s="22"/>
      <c r="E2910" s="22"/>
      <c r="F2910" s="27" t="str">
        <f aca="false">IF(B2910="","",IFERROR(INDEX(Roster!$B$5:$B$154,MATCH(B2910,Roster!$A$5:$A$154,0)),"Not on roster"))</f>
        <v/>
      </c>
      <c r="G2910" s="28" t="str">
        <f aca="false">IF(OR(B2910="",C2910=""),"",F2910&amp;" | "&amp;C2910)</f>
        <v/>
      </c>
      <c r="H2910" s="27" t="str">
        <f aca="false">IF(G2910="","",IFERROR(INDEX(Levels!$C$5:$C$94,MATCH(G2910,Levels!$G$5:$G$94,0)),"Not this class's skill"))</f>
        <v/>
      </c>
    </row>
    <row r="2911" customFormat="false" ht="15" hidden="false" customHeight="false" outlineLevel="0" collapsed="false">
      <c r="A2911" s="23"/>
      <c r="B2911" s="22"/>
      <c r="C2911" s="22"/>
      <c r="D2911" s="22"/>
      <c r="E2911" s="22"/>
      <c r="F2911" s="27" t="str">
        <f aca="false">IF(B2911="","",IFERROR(INDEX(Roster!$B$5:$B$154,MATCH(B2911,Roster!$A$5:$A$154,0)),"Not on roster"))</f>
        <v/>
      </c>
      <c r="G2911" s="28" t="str">
        <f aca="false">IF(OR(B2911="",C2911=""),"",F2911&amp;" | "&amp;C2911)</f>
        <v/>
      </c>
      <c r="H2911" s="27" t="str">
        <f aca="false">IF(G2911="","",IFERROR(INDEX(Levels!$C$5:$C$94,MATCH(G2911,Levels!$G$5:$G$94,0)),"Not this class's skill"))</f>
        <v/>
      </c>
    </row>
    <row r="2912" customFormat="false" ht="15" hidden="false" customHeight="false" outlineLevel="0" collapsed="false">
      <c r="A2912" s="23"/>
      <c r="B2912" s="22"/>
      <c r="C2912" s="22"/>
      <c r="D2912" s="22"/>
      <c r="E2912" s="22"/>
      <c r="F2912" s="27" t="str">
        <f aca="false">IF(B2912="","",IFERROR(INDEX(Roster!$B$5:$B$154,MATCH(B2912,Roster!$A$5:$A$154,0)),"Not on roster"))</f>
        <v/>
      </c>
      <c r="G2912" s="28" t="str">
        <f aca="false">IF(OR(B2912="",C2912=""),"",F2912&amp;" | "&amp;C2912)</f>
        <v/>
      </c>
      <c r="H2912" s="27" t="str">
        <f aca="false">IF(G2912="","",IFERROR(INDEX(Levels!$C$5:$C$94,MATCH(G2912,Levels!$G$5:$G$94,0)),"Not this class's skill"))</f>
        <v/>
      </c>
    </row>
    <row r="2913" customFormat="false" ht="15" hidden="false" customHeight="false" outlineLevel="0" collapsed="false">
      <c r="A2913" s="23"/>
      <c r="B2913" s="22"/>
      <c r="C2913" s="22"/>
      <c r="D2913" s="22"/>
      <c r="E2913" s="22"/>
      <c r="F2913" s="27" t="str">
        <f aca="false">IF(B2913="","",IFERROR(INDEX(Roster!$B$5:$B$154,MATCH(B2913,Roster!$A$5:$A$154,0)),"Not on roster"))</f>
        <v/>
      </c>
      <c r="G2913" s="28" t="str">
        <f aca="false">IF(OR(B2913="",C2913=""),"",F2913&amp;" | "&amp;C2913)</f>
        <v/>
      </c>
      <c r="H2913" s="27" t="str">
        <f aca="false">IF(G2913="","",IFERROR(INDEX(Levels!$C$5:$C$94,MATCH(G2913,Levels!$G$5:$G$94,0)),"Not this class's skill"))</f>
        <v/>
      </c>
    </row>
    <row r="2914" customFormat="false" ht="15" hidden="false" customHeight="false" outlineLevel="0" collapsed="false">
      <c r="A2914" s="23"/>
      <c r="B2914" s="22"/>
      <c r="C2914" s="22"/>
      <c r="D2914" s="22"/>
      <c r="E2914" s="22"/>
      <c r="F2914" s="27" t="str">
        <f aca="false">IF(B2914="","",IFERROR(INDEX(Roster!$B$5:$B$154,MATCH(B2914,Roster!$A$5:$A$154,0)),"Not on roster"))</f>
        <v/>
      </c>
      <c r="G2914" s="28" t="str">
        <f aca="false">IF(OR(B2914="",C2914=""),"",F2914&amp;" | "&amp;C2914)</f>
        <v/>
      </c>
      <c r="H2914" s="27" t="str">
        <f aca="false">IF(G2914="","",IFERROR(INDEX(Levels!$C$5:$C$94,MATCH(G2914,Levels!$G$5:$G$94,0)),"Not this class's skill"))</f>
        <v/>
      </c>
    </row>
    <row r="2915" customFormat="false" ht="15" hidden="false" customHeight="false" outlineLevel="0" collapsed="false">
      <c r="A2915" s="23"/>
      <c r="B2915" s="22"/>
      <c r="C2915" s="22"/>
      <c r="D2915" s="22"/>
      <c r="E2915" s="22"/>
      <c r="F2915" s="27" t="str">
        <f aca="false">IF(B2915="","",IFERROR(INDEX(Roster!$B$5:$B$154,MATCH(B2915,Roster!$A$5:$A$154,0)),"Not on roster"))</f>
        <v/>
      </c>
      <c r="G2915" s="28" t="str">
        <f aca="false">IF(OR(B2915="",C2915=""),"",F2915&amp;" | "&amp;C2915)</f>
        <v/>
      </c>
      <c r="H2915" s="27" t="str">
        <f aca="false">IF(G2915="","",IFERROR(INDEX(Levels!$C$5:$C$94,MATCH(G2915,Levels!$G$5:$G$94,0)),"Not this class's skill"))</f>
        <v/>
      </c>
    </row>
    <row r="2916" customFormat="false" ht="15" hidden="false" customHeight="false" outlineLevel="0" collapsed="false">
      <c r="A2916" s="23"/>
      <c r="B2916" s="22"/>
      <c r="C2916" s="22"/>
      <c r="D2916" s="22"/>
      <c r="E2916" s="22"/>
      <c r="F2916" s="27" t="str">
        <f aca="false">IF(B2916="","",IFERROR(INDEX(Roster!$B$5:$B$154,MATCH(B2916,Roster!$A$5:$A$154,0)),"Not on roster"))</f>
        <v/>
      </c>
      <c r="G2916" s="28" t="str">
        <f aca="false">IF(OR(B2916="",C2916=""),"",F2916&amp;" | "&amp;C2916)</f>
        <v/>
      </c>
      <c r="H2916" s="27" t="str">
        <f aca="false">IF(G2916="","",IFERROR(INDEX(Levels!$C$5:$C$94,MATCH(G2916,Levels!$G$5:$G$94,0)),"Not this class's skill"))</f>
        <v/>
      </c>
    </row>
    <row r="2917" customFormat="false" ht="15" hidden="false" customHeight="false" outlineLevel="0" collapsed="false">
      <c r="A2917" s="23"/>
      <c r="B2917" s="22"/>
      <c r="C2917" s="22"/>
      <c r="D2917" s="22"/>
      <c r="E2917" s="22"/>
      <c r="F2917" s="27" t="str">
        <f aca="false">IF(B2917="","",IFERROR(INDEX(Roster!$B$5:$B$154,MATCH(B2917,Roster!$A$5:$A$154,0)),"Not on roster"))</f>
        <v/>
      </c>
      <c r="G2917" s="28" t="str">
        <f aca="false">IF(OR(B2917="",C2917=""),"",F2917&amp;" | "&amp;C2917)</f>
        <v/>
      </c>
      <c r="H2917" s="27" t="str">
        <f aca="false">IF(G2917="","",IFERROR(INDEX(Levels!$C$5:$C$94,MATCH(G2917,Levels!$G$5:$G$94,0)),"Not this class's skill"))</f>
        <v/>
      </c>
    </row>
    <row r="2918" customFormat="false" ht="15" hidden="false" customHeight="false" outlineLevel="0" collapsed="false">
      <c r="A2918" s="23"/>
      <c r="B2918" s="22"/>
      <c r="C2918" s="22"/>
      <c r="D2918" s="22"/>
      <c r="E2918" s="22"/>
      <c r="F2918" s="27" t="str">
        <f aca="false">IF(B2918="","",IFERROR(INDEX(Roster!$B$5:$B$154,MATCH(B2918,Roster!$A$5:$A$154,0)),"Not on roster"))</f>
        <v/>
      </c>
      <c r="G2918" s="28" t="str">
        <f aca="false">IF(OR(B2918="",C2918=""),"",F2918&amp;" | "&amp;C2918)</f>
        <v/>
      </c>
      <c r="H2918" s="27" t="str">
        <f aca="false">IF(G2918="","",IFERROR(INDEX(Levels!$C$5:$C$94,MATCH(G2918,Levels!$G$5:$G$94,0)),"Not this class's skill"))</f>
        <v/>
      </c>
    </row>
    <row r="2919" customFormat="false" ht="15" hidden="false" customHeight="false" outlineLevel="0" collapsed="false">
      <c r="A2919" s="23"/>
      <c r="B2919" s="22"/>
      <c r="C2919" s="22"/>
      <c r="D2919" s="22"/>
      <c r="E2919" s="22"/>
      <c r="F2919" s="27" t="str">
        <f aca="false">IF(B2919="","",IFERROR(INDEX(Roster!$B$5:$B$154,MATCH(B2919,Roster!$A$5:$A$154,0)),"Not on roster"))</f>
        <v/>
      </c>
      <c r="G2919" s="28" t="str">
        <f aca="false">IF(OR(B2919="",C2919=""),"",F2919&amp;" | "&amp;C2919)</f>
        <v/>
      </c>
      <c r="H2919" s="27" t="str">
        <f aca="false">IF(G2919="","",IFERROR(INDEX(Levels!$C$5:$C$94,MATCH(G2919,Levels!$G$5:$G$94,0)),"Not this class's skill"))</f>
        <v/>
      </c>
    </row>
    <row r="2920" customFormat="false" ht="15" hidden="false" customHeight="false" outlineLevel="0" collapsed="false">
      <c r="A2920" s="23"/>
      <c r="B2920" s="22"/>
      <c r="C2920" s="22"/>
      <c r="D2920" s="22"/>
      <c r="E2920" s="22"/>
      <c r="F2920" s="27" t="str">
        <f aca="false">IF(B2920="","",IFERROR(INDEX(Roster!$B$5:$B$154,MATCH(B2920,Roster!$A$5:$A$154,0)),"Not on roster"))</f>
        <v/>
      </c>
      <c r="G2920" s="28" t="str">
        <f aca="false">IF(OR(B2920="",C2920=""),"",F2920&amp;" | "&amp;C2920)</f>
        <v/>
      </c>
      <c r="H2920" s="27" t="str">
        <f aca="false">IF(G2920="","",IFERROR(INDEX(Levels!$C$5:$C$94,MATCH(G2920,Levels!$G$5:$G$94,0)),"Not this class's skill"))</f>
        <v/>
      </c>
    </row>
    <row r="2921" customFormat="false" ht="15" hidden="false" customHeight="false" outlineLevel="0" collapsed="false">
      <c r="A2921" s="23"/>
      <c r="B2921" s="22"/>
      <c r="C2921" s="22"/>
      <c r="D2921" s="22"/>
      <c r="E2921" s="22"/>
      <c r="F2921" s="27" t="str">
        <f aca="false">IF(B2921="","",IFERROR(INDEX(Roster!$B$5:$B$154,MATCH(B2921,Roster!$A$5:$A$154,0)),"Not on roster"))</f>
        <v/>
      </c>
      <c r="G2921" s="28" t="str">
        <f aca="false">IF(OR(B2921="",C2921=""),"",F2921&amp;" | "&amp;C2921)</f>
        <v/>
      </c>
      <c r="H2921" s="27" t="str">
        <f aca="false">IF(G2921="","",IFERROR(INDEX(Levels!$C$5:$C$94,MATCH(G2921,Levels!$G$5:$G$94,0)),"Not this class's skill"))</f>
        <v/>
      </c>
    </row>
    <row r="2922" customFormat="false" ht="15" hidden="false" customHeight="false" outlineLevel="0" collapsed="false">
      <c r="A2922" s="23"/>
      <c r="B2922" s="22"/>
      <c r="C2922" s="22"/>
      <c r="D2922" s="22"/>
      <c r="E2922" s="22"/>
      <c r="F2922" s="27" t="str">
        <f aca="false">IF(B2922="","",IFERROR(INDEX(Roster!$B$5:$B$154,MATCH(B2922,Roster!$A$5:$A$154,0)),"Not on roster"))</f>
        <v/>
      </c>
      <c r="G2922" s="28" t="str">
        <f aca="false">IF(OR(B2922="",C2922=""),"",F2922&amp;" | "&amp;C2922)</f>
        <v/>
      </c>
      <c r="H2922" s="27" t="str">
        <f aca="false">IF(G2922="","",IFERROR(INDEX(Levels!$C$5:$C$94,MATCH(G2922,Levels!$G$5:$G$94,0)),"Not this class's skill"))</f>
        <v/>
      </c>
    </row>
    <row r="2923" customFormat="false" ht="15" hidden="false" customHeight="false" outlineLevel="0" collapsed="false">
      <c r="A2923" s="23"/>
      <c r="B2923" s="22"/>
      <c r="C2923" s="22"/>
      <c r="D2923" s="22"/>
      <c r="E2923" s="22"/>
      <c r="F2923" s="27" t="str">
        <f aca="false">IF(B2923="","",IFERROR(INDEX(Roster!$B$5:$B$154,MATCH(B2923,Roster!$A$5:$A$154,0)),"Not on roster"))</f>
        <v/>
      </c>
      <c r="G2923" s="28" t="str">
        <f aca="false">IF(OR(B2923="",C2923=""),"",F2923&amp;" | "&amp;C2923)</f>
        <v/>
      </c>
      <c r="H2923" s="27" t="str">
        <f aca="false">IF(G2923="","",IFERROR(INDEX(Levels!$C$5:$C$94,MATCH(G2923,Levels!$G$5:$G$94,0)),"Not this class's skill"))</f>
        <v/>
      </c>
    </row>
    <row r="2924" customFormat="false" ht="15" hidden="false" customHeight="false" outlineLevel="0" collapsed="false">
      <c r="A2924" s="23"/>
      <c r="B2924" s="22"/>
      <c r="C2924" s="22"/>
      <c r="D2924" s="22"/>
      <c r="E2924" s="22"/>
      <c r="F2924" s="27" t="str">
        <f aca="false">IF(B2924="","",IFERROR(INDEX(Roster!$B$5:$B$154,MATCH(B2924,Roster!$A$5:$A$154,0)),"Not on roster"))</f>
        <v/>
      </c>
      <c r="G2924" s="28" t="str">
        <f aca="false">IF(OR(B2924="",C2924=""),"",F2924&amp;" | "&amp;C2924)</f>
        <v/>
      </c>
      <c r="H2924" s="27" t="str">
        <f aca="false">IF(G2924="","",IFERROR(INDEX(Levels!$C$5:$C$94,MATCH(G2924,Levels!$G$5:$G$94,0)),"Not this class's skill"))</f>
        <v/>
      </c>
    </row>
    <row r="2925" customFormat="false" ht="15" hidden="false" customHeight="false" outlineLevel="0" collapsed="false">
      <c r="A2925" s="23"/>
      <c r="B2925" s="22"/>
      <c r="C2925" s="22"/>
      <c r="D2925" s="22"/>
      <c r="E2925" s="22"/>
      <c r="F2925" s="27" t="str">
        <f aca="false">IF(B2925="","",IFERROR(INDEX(Roster!$B$5:$B$154,MATCH(B2925,Roster!$A$5:$A$154,0)),"Not on roster"))</f>
        <v/>
      </c>
      <c r="G2925" s="28" t="str">
        <f aca="false">IF(OR(B2925="",C2925=""),"",F2925&amp;" | "&amp;C2925)</f>
        <v/>
      </c>
      <c r="H2925" s="27" t="str">
        <f aca="false">IF(G2925="","",IFERROR(INDEX(Levels!$C$5:$C$94,MATCH(G2925,Levels!$G$5:$G$94,0)),"Not this class's skill"))</f>
        <v/>
      </c>
    </row>
    <row r="2926" customFormat="false" ht="15" hidden="false" customHeight="false" outlineLevel="0" collapsed="false">
      <c r="A2926" s="23"/>
      <c r="B2926" s="22"/>
      <c r="C2926" s="22"/>
      <c r="D2926" s="22"/>
      <c r="E2926" s="22"/>
      <c r="F2926" s="27" t="str">
        <f aca="false">IF(B2926="","",IFERROR(INDEX(Roster!$B$5:$B$154,MATCH(B2926,Roster!$A$5:$A$154,0)),"Not on roster"))</f>
        <v/>
      </c>
      <c r="G2926" s="28" t="str">
        <f aca="false">IF(OR(B2926="",C2926=""),"",F2926&amp;" | "&amp;C2926)</f>
        <v/>
      </c>
      <c r="H2926" s="27" t="str">
        <f aca="false">IF(G2926="","",IFERROR(INDEX(Levels!$C$5:$C$94,MATCH(G2926,Levels!$G$5:$G$94,0)),"Not this class's skill"))</f>
        <v/>
      </c>
    </row>
    <row r="2927" customFormat="false" ht="15" hidden="false" customHeight="false" outlineLevel="0" collapsed="false">
      <c r="A2927" s="23"/>
      <c r="B2927" s="22"/>
      <c r="C2927" s="22"/>
      <c r="D2927" s="22"/>
      <c r="E2927" s="22"/>
      <c r="F2927" s="27" t="str">
        <f aca="false">IF(B2927="","",IFERROR(INDEX(Roster!$B$5:$B$154,MATCH(B2927,Roster!$A$5:$A$154,0)),"Not on roster"))</f>
        <v/>
      </c>
      <c r="G2927" s="28" t="str">
        <f aca="false">IF(OR(B2927="",C2927=""),"",F2927&amp;" | "&amp;C2927)</f>
        <v/>
      </c>
      <c r="H2927" s="27" t="str">
        <f aca="false">IF(G2927="","",IFERROR(INDEX(Levels!$C$5:$C$94,MATCH(G2927,Levels!$G$5:$G$94,0)),"Not this class's skill"))</f>
        <v/>
      </c>
    </row>
    <row r="2928" customFormat="false" ht="15" hidden="false" customHeight="false" outlineLevel="0" collapsed="false">
      <c r="A2928" s="23"/>
      <c r="B2928" s="22"/>
      <c r="C2928" s="22"/>
      <c r="D2928" s="22"/>
      <c r="E2928" s="22"/>
      <c r="F2928" s="27" t="str">
        <f aca="false">IF(B2928="","",IFERROR(INDEX(Roster!$B$5:$B$154,MATCH(B2928,Roster!$A$5:$A$154,0)),"Not on roster"))</f>
        <v/>
      </c>
      <c r="G2928" s="28" t="str">
        <f aca="false">IF(OR(B2928="",C2928=""),"",F2928&amp;" | "&amp;C2928)</f>
        <v/>
      </c>
      <c r="H2928" s="27" t="str">
        <f aca="false">IF(G2928="","",IFERROR(INDEX(Levels!$C$5:$C$94,MATCH(G2928,Levels!$G$5:$G$94,0)),"Not this class's skill"))</f>
        <v/>
      </c>
    </row>
    <row r="2929" customFormat="false" ht="15" hidden="false" customHeight="false" outlineLevel="0" collapsed="false">
      <c r="A2929" s="23"/>
      <c r="B2929" s="22"/>
      <c r="C2929" s="22"/>
      <c r="D2929" s="22"/>
      <c r="E2929" s="22"/>
      <c r="F2929" s="27" t="str">
        <f aca="false">IF(B2929="","",IFERROR(INDEX(Roster!$B$5:$B$154,MATCH(B2929,Roster!$A$5:$A$154,0)),"Not on roster"))</f>
        <v/>
      </c>
      <c r="G2929" s="28" t="str">
        <f aca="false">IF(OR(B2929="",C2929=""),"",F2929&amp;" | "&amp;C2929)</f>
        <v/>
      </c>
      <c r="H2929" s="27" t="str">
        <f aca="false">IF(G2929="","",IFERROR(INDEX(Levels!$C$5:$C$94,MATCH(G2929,Levels!$G$5:$G$94,0)),"Not this class's skill"))</f>
        <v/>
      </c>
    </row>
    <row r="2930" customFormat="false" ht="15" hidden="false" customHeight="false" outlineLevel="0" collapsed="false">
      <c r="A2930" s="23"/>
      <c r="B2930" s="22"/>
      <c r="C2930" s="22"/>
      <c r="D2930" s="22"/>
      <c r="E2930" s="22"/>
      <c r="F2930" s="27" t="str">
        <f aca="false">IF(B2930="","",IFERROR(INDEX(Roster!$B$5:$B$154,MATCH(B2930,Roster!$A$5:$A$154,0)),"Not on roster"))</f>
        <v/>
      </c>
      <c r="G2930" s="28" t="str">
        <f aca="false">IF(OR(B2930="",C2930=""),"",F2930&amp;" | "&amp;C2930)</f>
        <v/>
      </c>
      <c r="H2930" s="27" t="str">
        <f aca="false">IF(G2930="","",IFERROR(INDEX(Levels!$C$5:$C$94,MATCH(G2930,Levels!$G$5:$G$94,0)),"Not this class's skill"))</f>
        <v/>
      </c>
    </row>
    <row r="2931" customFormat="false" ht="15" hidden="false" customHeight="false" outlineLevel="0" collapsed="false">
      <c r="A2931" s="23"/>
      <c r="B2931" s="22"/>
      <c r="C2931" s="22"/>
      <c r="D2931" s="22"/>
      <c r="E2931" s="22"/>
      <c r="F2931" s="27" t="str">
        <f aca="false">IF(B2931="","",IFERROR(INDEX(Roster!$B$5:$B$154,MATCH(B2931,Roster!$A$5:$A$154,0)),"Not on roster"))</f>
        <v/>
      </c>
      <c r="G2931" s="28" t="str">
        <f aca="false">IF(OR(B2931="",C2931=""),"",F2931&amp;" | "&amp;C2931)</f>
        <v/>
      </c>
      <c r="H2931" s="27" t="str">
        <f aca="false">IF(G2931="","",IFERROR(INDEX(Levels!$C$5:$C$94,MATCH(G2931,Levels!$G$5:$G$94,0)),"Not this class's skill"))</f>
        <v/>
      </c>
    </row>
    <row r="2932" customFormat="false" ht="15" hidden="false" customHeight="false" outlineLevel="0" collapsed="false">
      <c r="A2932" s="23"/>
      <c r="B2932" s="22"/>
      <c r="C2932" s="22"/>
      <c r="D2932" s="22"/>
      <c r="E2932" s="22"/>
      <c r="F2932" s="27" t="str">
        <f aca="false">IF(B2932="","",IFERROR(INDEX(Roster!$B$5:$B$154,MATCH(B2932,Roster!$A$5:$A$154,0)),"Not on roster"))</f>
        <v/>
      </c>
      <c r="G2932" s="28" t="str">
        <f aca="false">IF(OR(B2932="",C2932=""),"",F2932&amp;" | "&amp;C2932)</f>
        <v/>
      </c>
      <c r="H2932" s="27" t="str">
        <f aca="false">IF(G2932="","",IFERROR(INDEX(Levels!$C$5:$C$94,MATCH(G2932,Levels!$G$5:$G$94,0)),"Not this class's skill"))</f>
        <v/>
      </c>
    </row>
    <row r="2933" customFormat="false" ht="15" hidden="false" customHeight="false" outlineLevel="0" collapsed="false">
      <c r="A2933" s="23"/>
      <c r="B2933" s="22"/>
      <c r="C2933" s="22"/>
      <c r="D2933" s="22"/>
      <c r="E2933" s="22"/>
      <c r="F2933" s="27" t="str">
        <f aca="false">IF(B2933="","",IFERROR(INDEX(Roster!$B$5:$B$154,MATCH(B2933,Roster!$A$5:$A$154,0)),"Not on roster"))</f>
        <v/>
      </c>
      <c r="G2933" s="28" t="str">
        <f aca="false">IF(OR(B2933="",C2933=""),"",F2933&amp;" | "&amp;C2933)</f>
        <v/>
      </c>
      <c r="H2933" s="27" t="str">
        <f aca="false">IF(G2933="","",IFERROR(INDEX(Levels!$C$5:$C$94,MATCH(G2933,Levels!$G$5:$G$94,0)),"Not this class's skill"))</f>
        <v/>
      </c>
    </row>
    <row r="2934" customFormat="false" ht="15" hidden="false" customHeight="false" outlineLevel="0" collapsed="false">
      <c r="A2934" s="23"/>
      <c r="B2934" s="22"/>
      <c r="C2934" s="22"/>
      <c r="D2934" s="22"/>
      <c r="E2934" s="22"/>
      <c r="F2934" s="27" t="str">
        <f aca="false">IF(B2934="","",IFERROR(INDEX(Roster!$B$5:$B$154,MATCH(B2934,Roster!$A$5:$A$154,0)),"Not on roster"))</f>
        <v/>
      </c>
      <c r="G2934" s="28" t="str">
        <f aca="false">IF(OR(B2934="",C2934=""),"",F2934&amp;" | "&amp;C2934)</f>
        <v/>
      </c>
      <c r="H2934" s="27" t="str">
        <f aca="false">IF(G2934="","",IFERROR(INDEX(Levels!$C$5:$C$94,MATCH(G2934,Levels!$G$5:$G$94,0)),"Not this class's skill"))</f>
        <v/>
      </c>
    </row>
    <row r="2935" customFormat="false" ht="15" hidden="false" customHeight="false" outlineLevel="0" collapsed="false">
      <c r="A2935" s="23"/>
      <c r="B2935" s="22"/>
      <c r="C2935" s="22"/>
      <c r="D2935" s="22"/>
      <c r="E2935" s="22"/>
      <c r="F2935" s="27" t="str">
        <f aca="false">IF(B2935="","",IFERROR(INDEX(Roster!$B$5:$B$154,MATCH(B2935,Roster!$A$5:$A$154,0)),"Not on roster"))</f>
        <v/>
      </c>
      <c r="G2935" s="28" t="str">
        <f aca="false">IF(OR(B2935="",C2935=""),"",F2935&amp;" | "&amp;C2935)</f>
        <v/>
      </c>
      <c r="H2935" s="27" t="str">
        <f aca="false">IF(G2935="","",IFERROR(INDEX(Levels!$C$5:$C$94,MATCH(G2935,Levels!$G$5:$G$94,0)),"Not this class's skill"))</f>
        <v/>
      </c>
    </row>
    <row r="2936" customFormat="false" ht="15" hidden="false" customHeight="false" outlineLevel="0" collapsed="false">
      <c r="A2936" s="23"/>
      <c r="B2936" s="22"/>
      <c r="C2936" s="22"/>
      <c r="D2936" s="22"/>
      <c r="E2936" s="22"/>
      <c r="F2936" s="27" t="str">
        <f aca="false">IF(B2936="","",IFERROR(INDEX(Roster!$B$5:$B$154,MATCH(B2936,Roster!$A$5:$A$154,0)),"Not on roster"))</f>
        <v/>
      </c>
      <c r="G2936" s="28" t="str">
        <f aca="false">IF(OR(B2936="",C2936=""),"",F2936&amp;" | "&amp;C2936)</f>
        <v/>
      </c>
      <c r="H2936" s="27" t="str">
        <f aca="false">IF(G2936="","",IFERROR(INDEX(Levels!$C$5:$C$94,MATCH(G2936,Levels!$G$5:$G$94,0)),"Not this class's skill"))</f>
        <v/>
      </c>
    </row>
    <row r="2937" customFormat="false" ht="15" hidden="false" customHeight="false" outlineLevel="0" collapsed="false">
      <c r="A2937" s="23"/>
      <c r="B2937" s="22"/>
      <c r="C2937" s="22"/>
      <c r="D2937" s="22"/>
      <c r="E2937" s="22"/>
      <c r="F2937" s="27" t="str">
        <f aca="false">IF(B2937="","",IFERROR(INDEX(Roster!$B$5:$B$154,MATCH(B2937,Roster!$A$5:$A$154,0)),"Not on roster"))</f>
        <v/>
      </c>
      <c r="G2937" s="28" t="str">
        <f aca="false">IF(OR(B2937="",C2937=""),"",F2937&amp;" | "&amp;C2937)</f>
        <v/>
      </c>
      <c r="H2937" s="27" t="str">
        <f aca="false">IF(G2937="","",IFERROR(INDEX(Levels!$C$5:$C$94,MATCH(G2937,Levels!$G$5:$G$94,0)),"Not this class's skill"))</f>
        <v/>
      </c>
    </row>
    <row r="2938" customFormat="false" ht="15" hidden="false" customHeight="false" outlineLevel="0" collapsed="false">
      <c r="A2938" s="23"/>
      <c r="B2938" s="22"/>
      <c r="C2938" s="22"/>
      <c r="D2938" s="22"/>
      <c r="E2938" s="22"/>
      <c r="F2938" s="27" t="str">
        <f aca="false">IF(B2938="","",IFERROR(INDEX(Roster!$B$5:$B$154,MATCH(B2938,Roster!$A$5:$A$154,0)),"Not on roster"))</f>
        <v/>
      </c>
      <c r="G2938" s="28" t="str">
        <f aca="false">IF(OR(B2938="",C2938=""),"",F2938&amp;" | "&amp;C2938)</f>
        <v/>
      </c>
      <c r="H2938" s="27" t="str">
        <f aca="false">IF(G2938="","",IFERROR(INDEX(Levels!$C$5:$C$94,MATCH(G2938,Levels!$G$5:$G$94,0)),"Not this class's skill"))</f>
        <v/>
      </c>
    </row>
    <row r="2939" customFormat="false" ht="15" hidden="false" customHeight="false" outlineLevel="0" collapsed="false">
      <c r="A2939" s="23"/>
      <c r="B2939" s="22"/>
      <c r="C2939" s="22"/>
      <c r="D2939" s="22"/>
      <c r="E2939" s="22"/>
      <c r="F2939" s="27" t="str">
        <f aca="false">IF(B2939="","",IFERROR(INDEX(Roster!$B$5:$B$154,MATCH(B2939,Roster!$A$5:$A$154,0)),"Not on roster"))</f>
        <v/>
      </c>
      <c r="G2939" s="28" t="str">
        <f aca="false">IF(OR(B2939="",C2939=""),"",F2939&amp;" | "&amp;C2939)</f>
        <v/>
      </c>
      <c r="H2939" s="27" t="str">
        <f aca="false">IF(G2939="","",IFERROR(INDEX(Levels!$C$5:$C$94,MATCH(G2939,Levels!$G$5:$G$94,0)),"Not this class's skill"))</f>
        <v/>
      </c>
    </row>
    <row r="2940" customFormat="false" ht="15" hidden="false" customHeight="false" outlineLevel="0" collapsed="false">
      <c r="A2940" s="23"/>
      <c r="B2940" s="22"/>
      <c r="C2940" s="22"/>
      <c r="D2940" s="22"/>
      <c r="E2940" s="22"/>
      <c r="F2940" s="27" t="str">
        <f aca="false">IF(B2940="","",IFERROR(INDEX(Roster!$B$5:$B$154,MATCH(B2940,Roster!$A$5:$A$154,0)),"Not on roster"))</f>
        <v/>
      </c>
      <c r="G2940" s="28" t="str">
        <f aca="false">IF(OR(B2940="",C2940=""),"",F2940&amp;" | "&amp;C2940)</f>
        <v/>
      </c>
      <c r="H2940" s="27" t="str">
        <f aca="false">IF(G2940="","",IFERROR(INDEX(Levels!$C$5:$C$94,MATCH(G2940,Levels!$G$5:$G$94,0)),"Not this class's skill"))</f>
        <v/>
      </c>
    </row>
    <row r="2941" customFormat="false" ht="15" hidden="false" customHeight="false" outlineLevel="0" collapsed="false">
      <c r="A2941" s="23"/>
      <c r="B2941" s="22"/>
      <c r="C2941" s="22"/>
      <c r="D2941" s="22"/>
      <c r="E2941" s="22"/>
      <c r="F2941" s="27" t="str">
        <f aca="false">IF(B2941="","",IFERROR(INDEX(Roster!$B$5:$B$154,MATCH(B2941,Roster!$A$5:$A$154,0)),"Not on roster"))</f>
        <v/>
      </c>
      <c r="G2941" s="28" t="str">
        <f aca="false">IF(OR(B2941="",C2941=""),"",F2941&amp;" | "&amp;C2941)</f>
        <v/>
      </c>
      <c r="H2941" s="27" t="str">
        <f aca="false">IF(G2941="","",IFERROR(INDEX(Levels!$C$5:$C$94,MATCH(G2941,Levels!$G$5:$G$94,0)),"Not this class's skill"))</f>
        <v/>
      </c>
    </row>
    <row r="2942" customFormat="false" ht="15" hidden="false" customHeight="false" outlineLevel="0" collapsed="false">
      <c r="A2942" s="23"/>
      <c r="B2942" s="22"/>
      <c r="C2942" s="22"/>
      <c r="D2942" s="22"/>
      <c r="E2942" s="22"/>
      <c r="F2942" s="27" t="str">
        <f aca="false">IF(B2942="","",IFERROR(INDEX(Roster!$B$5:$B$154,MATCH(B2942,Roster!$A$5:$A$154,0)),"Not on roster"))</f>
        <v/>
      </c>
      <c r="G2942" s="28" t="str">
        <f aca="false">IF(OR(B2942="",C2942=""),"",F2942&amp;" | "&amp;C2942)</f>
        <v/>
      </c>
      <c r="H2942" s="27" t="str">
        <f aca="false">IF(G2942="","",IFERROR(INDEX(Levels!$C$5:$C$94,MATCH(G2942,Levels!$G$5:$G$94,0)),"Not this class's skill"))</f>
        <v/>
      </c>
    </row>
    <row r="2943" customFormat="false" ht="15" hidden="false" customHeight="false" outlineLevel="0" collapsed="false">
      <c r="A2943" s="23"/>
      <c r="B2943" s="22"/>
      <c r="C2943" s="22"/>
      <c r="D2943" s="22"/>
      <c r="E2943" s="22"/>
      <c r="F2943" s="27" t="str">
        <f aca="false">IF(B2943="","",IFERROR(INDEX(Roster!$B$5:$B$154,MATCH(B2943,Roster!$A$5:$A$154,0)),"Not on roster"))</f>
        <v/>
      </c>
      <c r="G2943" s="28" t="str">
        <f aca="false">IF(OR(B2943="",C2943=""),"",F2943&amp;" | "&amp;C2943)</f>
        <v/>
      </c>
      <c r="H2943" s="27" t="str">
        <f aca="false">IF(G2943="","",IFERROR(INDEX(Levels!$C$5:$C$94,MATCH(G2943,Levels!$G$5:$G$94,0)),"Not this class's skill"))</f>
        <v/>
      </c>
    </row>
    <row r="2944" customFormat="false" ht="15" hidden="false" customHeight="false" outlineLevel="0" collapsed="false">
      <c r="A2944" s="23"/>
      <c r="B2944" s="22"/>
      <c r="C2944" s="22"/>
      <c r="D2944" s="22"/>
      <c r="E2944" s="22"/>
      <c r="F2944" s="27" t="str">
        <f aca="false">IF(B2944="","",IFERROR(INDEX(Roster!$B$5:$B$154,MATCH(B2944,Roster!$A$5:$A$154,0)),"Not on roster"))</f>
        <v/>
      </c>
      <c r="G2944" s="28" t="str">
        <f aca="false">IF(OR(B2944="",C2944=""),"",F2944&amp;" | "&amp;C2944)</f>
        <v/>
      </c>
      <c r="H2944" s="27" t="str">
        <f aca="false">IF(G2944="","",IFERROR(INDEX(Levels!$C$5:$C$94,MATCH(G2944,Levels!$G$5:$G$94,0)),"Not this class's skill"))</f>
        <v/>
      </c>
    </row>
    <row r="2945" customFormat="false" ht="15" hidden="false" customHeight="false" outlineLevel="0" collapsed="false">
      <c r="A2945" s="23"/>
      <c r="B2945" s="22"/>
      <c r="C2945" s="22"/>
      <c r="D2945" s="22"/>
      <c r="E2945" s="22"/>
      <c r="F2945" s="27" t="str">
        <f aca="false">IF(B2945="","",IFERROR(INDEX(Roster!$B$5:$B$154,MATCH(B2945,Roster!$A$5:$A$154,0)),"Not on roster"))</f>
        <v/>
      </c>
      <c r="G2945" s="28" t="str">
        <f aca="false">IF(OR(B2945="",C2945=""),"",F2945&amp;" | "&amp;C2945)</f>
        <v/>
      </c>
      <c r="H2945" s="27" t="str">
        <f aca="false">IF(G2945="","",IFERROR(INDEX(Levels!$C$5:$C$94,MATCH(G2945,Levels!$G$5:$G$94,0)),"Not this class's skill"))</f>
        <v/>
      </c>
    </row>
    <row r="2946" customFormat="false" ht="15" hidden="false" customHeight="false" outlineLevel="0" collapsed="false">
      <c r="A2946" s="23"/>
      <c r="B2946" s="22"/>
      <c r="C2946" s="22"/>
      <c r="D2946" s="22"/>
      <c r="E2946" s="22"/>
      <c r="F2946" s="27" t="str">
        <f aca="false">IF(B2946="","",IFERROR(INDEX(Roster!$B$5:$B$154,MATCH(B2946,Roster!$A$5:$A$154,0)),"Not on roster"))</f>
        <v/>
      </c>
      <c r="G2946" s="28" t="str">
        <f aca="false">IF(OR(B2946="",C2946=""),"",F2946&amp;" | "&amp;C2946)</f>
        <v/>
      </c>
      <c r="H2946" s="27" t="str">
        <f aca="false">IF(G2946="","",IFERROR(INDEX(Levels!$C$5:$C$94,MATCH(G2946,Levels!$G$5:$G$94,0)),"Not this class's skill"))</f>
        <v/>
      </c>
    </row>
    <row r="2947" customFormat="false" ht="15" hidden="false" customHeight="false" outlineLevel="0" collapsed="false">
      <c r="A2947" s="23"/>
      <c r="B2947" s="22"/>
      <c r="C2947" s="22"/>
      <c r="D2947" s="22"/>
      <c r="E2947" s="22"/>
      <c r="F2947" s="27" t="str">
        <f aca="false">IF(B2947="","",IFERROR(INDEX(Roster!$B$5:$B$154,MATCH(B2947,Roster!$A$5:$A$154,0)),"Not on roster"))</f>
        <v/>
      </c>
      <c r="G2947" s="28" t="str">
        <f aca="false">IF(OR(B2947="",C2947=""),"",F2947&amp;" | "&amp;C2947)</f>
        <v/>
      </c>
      <c r="H2947" s="27" t="str">
        <f aca="false">IF(G2947="","",IFERROR(INDEX(Levels!$C$5:$C$94,MATCH(G2947,Levels!$G$5:$G$94,0)),"Not this class's skill"))</f>
        <v/>
      </c>
    </row>
    <row r="2948" customFormat="false" ht="15" hidden="false" customHeight="false" outlineLevel="0" collapsed="false">
      <c r="A2948" s="23"/>
      <c r="B2948" s="22"/>
      <c r="C2948" s="22"/>
      <c r="D2948" s="22"/>
      <c r="E2948" s="22"/>
      <c r="F2948" s="27" t="str">
        <f aca="false">IF(B2948="","",IFERROR(INDEX(Roster!$B$5:$B$154,MATCH(B2948,Roster!$A$5:$A$154,0)),"Not on roster"))</f>
        <v/>
      </c>
      <c r="G2948" s="28" t="str">
        <f aca="false">IF(OR(B2948="",C2948=""),"",F2948&amp;" | "&amp;C2948)</f>
        <v/>
      </c>
      <c r="H2948" s="27" t="str">
        <f aca="false">IF(G2948="","",IFERROR(INDEX(Levels!$C$5:$C$94,MATCH(G2948,Levels!$G$5:$G$94,0)),"Not this class's skill"))</f>
        <v/>
      </c>
    </row>
    <row r="2949" customFormat="false" ht="15" hidden="false" customHeight="false" outlineLevel="0" collapsed="false">
      <c r="A2949" s="23"/>
      <c r="B2949" s="22"/>
      <c r="C2949" s="22"/>
      <c r="D2949" s="22"/>
      <c r="E2949" s="22"/>
      <c r="F2949" s="27" t="str">
        <f aca="false">IF(B2949="","",IFERROR(INDEX(Roster!$B$5:$B$154,MATCH(B2949,Roster!$A$5:$A$154,0)),"Not on roster"))</f>
        <v/>
      </c>
      <c r="G2949" s="28" t="str">
        <f aca="false">IF(OR(B2949="",C2949=""),"",F2949&amp;" | "&amp;C2949)</f>
        <v/>
      </c>
      <c r="H2949" s="27" t="str">
        <f aca="false">IF(G2949="","",IFERROR(INDEX(Levels!$C$5:$C$94,MATCH(G2949,Levels!$G$5:$G$94,0)),"Not this class's skill"))</f>
        <v/>
      </c>
    </row>
    <row r="2950" customFormat="false" ht="15" hidden="false" customHeight="false" outlineLevel="0" collapsed="false">
      <c r="A2950" s="23"/>
      <c r="B2950" s="22"/>
      <c r="C2950" s="22"/>
      <c r="D2950" s="22"/>
      <c r="E2950" s="22"/>
      <c r="F2950" s="27" t="str">
        <f aca="false">IF(B2950="","",IFERROR(INDEX(Roster!$B$5:$B$154,MATCH(B2950,Roster!$A$5:$A$154,0)),"Not on roster"))</f>
        <v/>
      </c>
      <c r="G2950" s="28" t="str">
        <f aca="false">IF(OR(B2950="",C2950=""),"",F2950&amp;" | "&amp;C2950)</f>
        <v/>
      </c>
      <c r="H2950" s="27" t="str">
        <f aca="false">IF(G2950="","",IFERROR(INDEX(Levels!$C$5:$C$94,MATCH(G2950,Levels!$G$5:$G$94,0)),"Not this class's skill"))</f>
        <v/>
      </c>
    </row>
    <row r="2951" customFormat="false" ht="15" hidden="false" customHeight="false" outlineLevel="0" collapsed="false">
      <c r="A2951" s="23"/>
      <c r="B2951" s="22"/>
      <c r="C2951" s="22"/>
      <c r="D2951" s="22"/>
      <c r="E2951" s="22"/>
      <c r="F2951" s="27" t="str">
        <f aca="false">IF(B2951="","",IFERROR(INDEX(Roster!$B$5:$B$154,MATCH(B2951,Roster!$A$5:$A$154,0)),"Not on roster"))</f>
        <v/>
      </c>
      <c r="G2951" s="28" t="str">
        <f aca="false">IF(OR(B2951="",C2951=""),"",F2951&amp;" | "&amp;C2951)</f>
        <v/>
      </c>
      <c r="H2951" s="27" t="str">
        <f aca="false">IF(G2951="","",IFERROR(INDEX(Levels!$C$5:$C$94,MATCH(G2951,Levels!$G$5:$G$94,0)),"Not this class's skill"))</f>
        <v/>
      </c>
    </row>
    <row r="2952" customFormat="false" ht="15" hidden="false" customHeight="false" outlineLevel="0" collapsed="false">
      <c r="A2952" s="23"/>
      <c r="B2952" s="22"/>
      <c r="C2952" s="22"/>
      <c r="D2952" s="22"/>
      <c r="E2952" s="22"/>
      <c r="F2952" s="27" t="str">
        <f aca="false">IF(B2952="","",IFERROR(INDEX(Roster!$B$5:$B$154,MATCH(B2952,Roster!$A$5:$A$154,0)),"Not on roster"))</f>
        <v/>
      </c>
      <c r="G2952" s="28" t="str">
        <f aca="false">IF(OR(B2952="",C2952=""),"",F2952&amp;" | "&amp;C2952)</f>
        <v/>
      </c>
      <c r="H2952" s="27" t="str">
        <f aca="false">IF(G2952="","",IFERROR(INDEX(Levels!$C$5:$C$94,MATCH(G2952,Levels!$G$5:$G$94,0)),"Not this class's skill"))</f>
        <v/>
      </c>
    </row>
    <row r="2953" customFormat="false" ht="15" hidden="false" customHeight="false" outlineLevel="0" collapsed="false">
      <c r="A2953" s="23"/>
      <c r="B2953" s="22"/>
      <c r="C2953" s="22"/>
      <c r="D2953" s="22"/>
      <c r="E2953" s="22"/>
      <c r="F2953" s="27" t="str">
        <f aca="false">IF(B2953="","",IFERROR(INDEX(Roster!$B$5:$B$154,MATCH(B2953,Roster!$A$5:$A$154,0)),"Not on roster"))</f>
        <v/>
      </c>
      <c r="G2953" s="28" t="str">
        <f aca="false">IF(OR(B2953="",C2953=""),"",F2953&amp;" | "&amp;C2953)</f>
        <v/>
      </c>
      <c r="H2953" s="27" t="str">
        <f aca="false">IF(G2953="","",IFERROR(INDEX(Levels!$C$5:$C$94,MATCH(G2953,Levels!$G$5:$G$94,0)),"Not this class's skill"))</f>
        <v/>
      </c>
    </row>
    <row r="2954" customFormat="false" ht="15" hidden="false" customHeight="false" outlineLevel="0" collapsed="false">
      <c r="A2954" s="23"/>
      <c r="B2954" s="22"/>
      <c r="C2954" s="22"/>
      <c r="D2954" s="22"/>
      <c r="E2954" s="22"/>
      <c r="F2954" s="27" t="str">
        <f aca="false">IF(B2954="","",IFERROR(INDEX(Roster!$B$5:$B$154,MATCH(B2954,Roster!$A$5:$A$154,0)),"Not on roster"))</f>
        <v/>
      </c>
      <c r="G2954" s="28" t="str">
        <f aca="false">IF(OR(B2954="",C2954=""),"",F2954&amp;" | "&amp;C2954)</f>
        <v/>
      </c>
      <c r="H2954" s="27" t="str">
        <f aca="false">IF(G2954="","",IFERROR(INDEX(Levels!$C$5:$C$94,MATCH(G2954,Levels!$G$5:$G$94,0)),"Not this class's skill"))</f>
        <v/>
      </c>
    </row>
    <row r="2955" customFormat="false" ht="15" hidden="false" customHeight="false" outlineLevel="0" collapsed="false">
      <c r="A2955" s="23"/>
      <c r="B2955" s="22"/>
      <c r="C2955" s="22"/>
      <c r="D2955" s="22"/>
      <c r="E2955" s="22"/>
      <c r="F2955" s="27" t="str">
        <f aca="false">IF(B2955="","",IFERROR(INDEX(Roster!$B$5:$B$154,MATCH(B2955,Roster!$A$5:$A$154,0)),"Not on roster"))</f>
        <v/>
      </c>
      <c r="G2955" s="28" t="str">
        <f aca="false">IF(OR(B2955="",C2955=""),"",F2955&amp;" | "&amp;C2955)</f>
        <v/>
      </c>
      <c r="H2955" s="27" t="str">
        <f aca="false">IF(G2955="","",IFERROR(INDEX(Levels!$C$5:$C$94,MATCH(G2955,Levels!$G$5:$G$94,0)),"Not this class's skill"))</f>
        <v/>
      </c>
    </row>
    <row r="2956" customFormat="false" ht="15" hidden="false" customHeight="false" outlineLevel="0" collapsed="false">
      <c r="A2956" s="23"/>
      <c r="B2956" s="22"/>
      <c r="C2956" s="22"/>
      <c r="D2956" s="22"/>
      <c r="E2956" s="22"/>
      <c r="F2956" s="27" t="str">
        <f aca="false">IF(B2956="","",IFERROR(INDEX(Roster!$B$5:$B$154,MATCH(B2956,Roster!$A$5:$A$154,0)),"Not on roster"))</f>
        <v/>
      </c>
      <c r="G2956" s="28" t="str">
        <f aca="false">IF(OR(B2956="",C2956=""),"",F2956&amp;" | "&amp;C2956)</f>
        <v/>
      </c>
      <c r="H2956" s="27" t="str">
        <f aca="false">IF(G2956="","",IFERROR(INDEX(Levels!$C$5:$C$94,MATCH(G2956,Levels!$G$5:$G$94,0)),"Not this class's skill"))</f>
        <v/>
      </c>
    </row>
    <row r="2957" customFormat="false" ht="15" hidden="false" customHeight="false" outlineLevel="0" collapsed="false">
      <c r="A2957" s="23"/>
      <c r="B2957" s="22"/>
      <c r="C2957" s="22"/>
      <c r="D2957" s="22"/>
      <c r="E2957" s="22"/>
      <c r="F2957" s="27" t="str">
        <f aca="false">IF(B2957="","",IFERROR(INDEX(Roster!$B$5:$B$154,MATCH(B2957,Roster!$A$5:$A$154,0)),"Not on roster"))</f>
        <v/>
      </c>
      <c r="G2957" s="28" t="str">
        <f aca="false">IF(OR(B2957="",C2957=""),"",F2957&amp;" | "&amp;C2957)</f>
        <v/>
      </c>
      <c r="H2957" s="27" t="str">
        <f aca="false">IF(G2957="","",IFERROR(INDEX(Levels!$C$5:$C$94,MATCH(G2957,Levels!$G$5:$G$94,0)),"Not this class's skill"))</f>
        <v/>
      </c>
    </row>
    <row r="2958" customFormat="false" ht="15" hidden="false" customHeight="false" outlineLevel="0" collapsed="false">
      <c r="A2958" s="23"/>
      <c r="B2958" s="22"/>
      <c r="C2958" s="22"/>
      <c r="D2958" s="22"/>
      <c r="E2958" s="22"/>
      <c r="F2958" s="27" t="str">
        <f aca="false">IF(B2958="","",IFERROR(INDEX(Roster!$B$5:$B$154,MATCH(B2958,Roster!$A$5:$A$154,0)),"Not on roster"))</f>
        <v/>
      </c>
      <c r="G2958" s="28" t="str">
        <f aca="false">IF(OR(B2958="",C2958=""),"",F2958&amp;" | "&amp;C2958)</f>
        <v/>
      </c>
      <c r="H2958" s="27" t="str">
        <f aca="false">IF(G2958="","",IFERROR(INDEX(Levels!$C$5:$C$94,MATCH(G2958,Levels!$G$5:$G$94,0)),"Not this class's skill"))</f>
        <v/>
      </c>
    </row>
    <row r="2959" customFormat="false" ht="15" hidden="false" customHeight="false" outlineLevel="0" collapsed="false">
      <c r="A2959" s="23"/>
      <c r="B2959" s="22"/>
      <c r="C2959" s="22"/>
      <c r="D2959" s="22"/>
      <c r="E2959" s="22"/>
      <c r="F2959" s="27" t="str">
        <f aca="false">IF(B2959="","",IFERROR(INDEX(Roster!$B$5:$B$154,MATCH(B2959,Roster!$A$5:$A$154,0)),"Not on roster"))</f>
        <v/>
      </c>
      <c r="G2959" s="28" t="str">
        <f aca="false">IF(OR(B2959="",C2959=""),"",F2959&amp;" | "&amp;C2959)</f>
        <v/>
      </c>
      <c r="H2959" s="27" t="str">
        <f aca="false">IF(G2959="","",IFERROR(INDEX(Levels!$C$5:$C$94,MATCH(G2959,Levels!$G$5:$G$94,0)),"Not this class's skill"))</f>
        <v/>
      </c>
    </row>
    <row r="2960" customFormat="false" ht="15" hidden="false" customHeight="false" outlineLevel="0" collapsed="false">
      <c r="A2960" s="23"/>
      <c r="B2960" s="22"/>
      <c r="C2960" s="22"/>
      <c r="D2960" s="22"/>
      <c r="E2960" s="22"/>
      <c r="F2960" s="27" t="str">
        <f aca="false">IF(B2960="","",IFERROR(INDEX(Roster!$B$5:$B$154,MATCH(B2960,Roster!$A$5:$A$154,0)),"Not on roster"))</f>
        <v/>
      </c>
      <c r="G2960" s="28" t="str">
        <f aca="false">IF(OR(B2960="",C2960=""),"",F2960&amp;" | "&amp;C2960)</f>
        <v/>
      </c>
      <c r="H2960" s="27" t="str">
        <f aca="false">IF(G2960="","",IFERROR(INDEX(Levels!$C$5:$C$94,MATCH(G2960,Levels!$G$5:$G$94,0)),"Not this class's skill"))</f>
        <v/>
      </c>
    </row>
    <row r="2961" customFormat="false" ht="15" hidden="false" customHeight="false" outlineLevel="0" collapsed="false">
      <c r="A2961" s="23"/>
      <c r="B2961" s="22"/>
      <c r="C2961" s="22"/>
      <c r="D2961" s="22"/>
      <c r="E2961" s="22"/>
      <c r="F2961" s="27" t="str">
        <f aca="false">IF(B2961="","",IFERROR(INDEX(Roster!$B$5:$B$154,MATCH(B2961,Roster!$A$5:$A$154,0)),"Not on roster"))</f>
        <v/>
      </c>
      <c r="G2961" s="28" t="str">
        <f aca="false">IF(OR(B2961="",C2961=""),"",F2961&amp;" | "&amp;C2961)</f>
        <v/>
      </c>
      <c r="H2961" s="27" t="str">
        <f aca="false">IF(G2961="","",IFERROR(INDEX(Levels!$C$5:$C$94,MATCH(G2961,Levels!$G$5:$G$94,0)),"Not this class's skill"))</f>
        <v/>
      </c>
    </row>
    <row r="2962" customFormat="false" ht="15" hidden="false" customHeight="false" outlineLevel="0" collapsed="false">
      <c r="A2962" s="23"/>
      <c r="B2962" s="22"/>
      <c r="C2962" s="22"/>
      <c r="D2962" s="22"/>
      <c r="E2962" s="22"/>
      <c r="F2962" s="27" t="str">
        <f aca="false">IF(B2962="","",IFERROR(INDEX(Roster!$B$5:$B$154,MATCH(B2962,Roster!$A$5:$A$154,0)),"Not on roster"))</f>
        <v/>
      </c>
      <c r="G2962" s="28" t="str">
        <f aca="false">IF(OR(B2962="",C2962=""),"",F2962&amp;" | "&amp;C2962)</f>
        <v/>
      </c>
      <c r="H2962" s="27" t="str">
        <f aca="false">IF(G2962="","",IFERROR(INDEX(Levels!$C$5:$C$94,MATCH(G2962,Levels!$G$5:$G$94,0)),"Not this class's skill"))</f>
        <v/>
      </c>
    </row>
    <row r="2963" customFormat="false" ht="15" hidden="false" customHeight="false" outlineLevel="0" collapsed="false">
      <c r="A2963" s="23"/>
      <c r="B2963" s="22"/>
      <c r="C2963" s="22"/>
      <c r="D2963" s="22"/>
      <c r="E2963" s="22"/>
      <c r="F2963" s="27" t="str">
        <f aca="false">IF(B2963="","",IFERROR(INDEX(Roster!$B$5:$B$154,MATCH(B2963,Roster!$A$5:$A$154,0)),"Not on roster"))</f>
        <v/>
      </c>
      <c r="G2963" s="28" t="str">
        <f aca="false">IF(OR(B2963="",C2963=""),"",F2963&amp;" | "&amp;C2963)</f>
        <v/>
      </c>
      <c r="H2963" s="27" t="str">
        <f aca="false">IF(G2963="","",IFERROR(INDEX(Levels!$C$5:$C$94,MATCH(G2963,Levels!$G$5:$G$94,0)),"Not this class's skill"))</f>
        <v/>
      </c>
    </row>
    <row r="2964" customFormat="false" ht="15" hidden="false" customHeight="false" outlineLevel="0" collapsed="false">
      <c r="A2964" s="23"/>
      <c r="B2964" s="22"/>
      <c r="C2964" s="22"/>
      <c r="D2964" s="22"/>
      <c r="E2964" s="22"/>
      <c r="F2964" s="27" t="str">
        <f aca="false">IF(B2964="","",IFERROR(INDEX(Roster!$B$5:$B$154,MATCH(B2964,Roster!$A$5:$A$154,0)),"Not on roster"))</f>
        <v/>
      </c>
      <c r="G2964" s="28" t="str">
        <f aca="false">IF(OR(B2964="",C2964=""),"",F2964&amp;" | "&amp;C2964)</f>
        <v/>
      </c>
      <c r="H2964" s="27" t="str">
        <f aca="false">IF(G2964="","",IFERROR(INDEX(Levels!$C$5:$C$94,MATCH(G2964,Levels!$G$5:$G$94,0)),"Not this class's skill"))</f>
        <v/>
      </c>
    </row>
    <row r="2965" customFormat="false" ht="15" hidden="false" customHeight="false" outlineLevel="0" collapsed="false">
      <c r="A2965" s="23"/>
      <c r="B2965" s="22"/>
      <c r="C2965" s="22"/>
      <c r="D2965" s="22"/>
      <c r="E2965" s="22"/>
      <c r="F2965" s="27" t="str">
        <f aca="false">IF(B2965="","",IFERROR(INDEX(Roster!$B$5:$B$154,MATCH(B2965,Roster!$A$5:$A$154,0)),"Not on roster"))</f>
        <v/>
      </c>
      <c r="G2965" s="28" t="str">
        <f aca="false">IF(OR(B2965="",C2965=""),"",F2965&amp;" | "&amp;C2965)</f>
        <v/>
      </c>
      <c r="H2965" s="27" t="str">
        <f aca="false">IF(G2965="","",IFERROR(INDEX(Levels!$C$5:$C$94,MATCH(G2965,Levels!$G$5:$G$94,0)),"Not this class's skill"))</f>
        <v/>
      </c>
    </row>
    <row r="2966" customFormat="false" ht="15" hidden="false" customHeight="false" outlineLevel="0" collapsed="false">
      <c r="A2966" s="23"/>
      <c r="B2966" s="22"/>
      <c r="C2966" s="22"/>
      <c r="D2966" s="22"/>
      <c r="E2966" s="22"/>
      <c r="F2966" s="27" t="str">
        <f aca="false">IF(B2966="","",IFERROR(INDEX(Roster!$B$5:$B$154,MATCH(B2966,Roster!$A$5:$A$154,0)),"Not on roster"))</f>
        <v/>
      </c>
      <c r="G2966" s="28" t="str">
        <f aca="false">IF(OR(B2966="",C2966=""),"",F2966&amp;" | "&amp;C2966)</f>
        <v/>
      </c>
      <c r="H2966" s="27" t="str">
        <f aca="false">IF(G2966="","",IFERROR(INDEX(Levels!$C$5:$C$94,MATCH(G2966,Levels!$G$5:$G$94,0)),"Not this class's skill"))</f>
        <v/>
      </c>
    </row>
    <row r="2967" customFormat="false" ht="15" hidden="false" customHeight="false" outlineLevel="0" collapsed="false">
      <c r="A2967" s="23"/>
      <c r="B2967" s="22"/>
      <c r="C2967" s="22"/>
      <c r="D2967" s="22"/>
      <c r="E2967" s="22"/>
      <c r="F2967" s="27" t="str">
        <f aca="false">IF(B2967="","",IFERROR(INDEX(Roster!$B$5:$B$154,MATCH(B2967,Roster!$A$5:$A$154,0)),"Not on roster"))</f>
        <v/>
      </c>
      <c r="G2967" s="28" t="str">
        <f aca="false">IF(OR(B2967="",C2967=""),"",F2967&amp;" | "&amp;C2967)</f>
        <v/>
      </c>
      <c r="H2967" s="27" t="str">
        <f aca="false">IF(G2967="","",IFERROR(INDEX(Levels!$C$5:$C$94,MATCH(G2967,Levels!$G$5:$G$94,0)),"Not this class's skill"))</f>
        <v/>
      </c>
    </row>
    <row r="2968" customFormat="false" ht="15" hidden="false" customHeight="false" outlineLevel="0" collapsed="false">
      <c r="A2968" s="23"/>
      <c r="B2968" s="22"/>
      <c r="C2968" s="22"/>
      <c r="D2968" s="22"/>
      <c r="E2968" s="22"/>
      <c r="F2968" s="27" t="str">
        <f aca="false">IF(B2968="","",IFERROR(INDEX(Roster!$B$5:$B$154,MATCH(B2968,Roster!$A$5:$A$154,0)),"Not on roster"))</f>
        <v/>
      </c>
      <c r="G2968" s="28" t="str">
        <f aca="false">IF(OR(B2968="",C2968=""),"",F2968&amp;" | "&amp;C2968)</f>
        <v/>
      </c>
      <c r="H2968" s="27" t="str">
        <f aca="false">IF(G2968="","",IFERROR(INDEX(Levels!$C$5:$C$94,MATCH(G2968,Levels!$G$5:$G$94,0)),"Not this class's skill"))</f>
        <v/>
      </c>
    </row>
    <row r="2969" customFormat="false" ht="15" hidden="false" customHeight="false" outlineLevel="0" collapsed="false">
      <c r="A2969" s="23"/>
      <c r="B2969" s="22"/>
      <c r="C2969" s="22"/>
      <c r="D2969" s="22"/>
      <c r="E2969" s="22"/>
      <c r="F2969" s="27" t="str">
        <f aca="false">IF(B2969="","",IFERROR(INDEX(Roster!$B$5:$B$154,MATCH(B2969,Roster!$A$5:$A$154,0)),"Not on roster"))</f>
        <v/>
      </c>
      <c r="G2969" s="28" t="str">
        <f aca="false">IF(OR(B2969="",C2969=""),"",F2969&amp;" | "&amp;C2969)</f>
        <v/>
      </c>
      <c r="H2969" s="27" t="str">
        <f aca="false">IF(G2969="","",IFERROR(INDEX(Levels!$C$5:$C$94,MATCH(G2969,Levels!$G$5:$G$94,0)),"Not this class's skill"))</f>
        <v/>
      </c>
    </row>
    <row r="2970" customFormat="false" ht="15" hidden="false" customHeight="false" outlineLevel="0" collapsed="false">
      <c r="A2970" s="23"/>
      <c r="B2970" s="22"/>
      <c r="C2970" s="22"/>
      <c r="D2970" s="22"/>
      <c r="E2970" s="22"/>
      <c r="F2970" s="27" t="str">
        <f aca="false">IF(B2970="","",IFERROR(INDEX(Roster!$B$5:$B$154,MATCH(B2970,Roster!$A$5:$A$154,0)),"Not on roster"))</f>
        <v/>
      </c>
      <c r="G2970" s="28" t="str">
        <f aca="false">IF(OR(B2970="",C2970=""),"",F2970&amp;" | "&amp;C2970)</f>
        <v/>
      </c>
      <c r="H2970" s="27" t="str">
        <f aca="false">IF(G2970="","",IFERROR(INDEX(Levels!$C$5:$C$94,MATCH(G2970,Levels!$G$5:$G$94,0)),"Not this class's skill"))</f>
        <v/>
      </c>
    </row>
    <row r="2971" customFormat="false" ht="15" hidden="false" customHeight="false" outlineLevel="0" collapsed="false">
      <c r="A2971" s="23"/>
      <c r="B2971" s="22"/>
      <c r="C2971" s="22"/>
      <c r="D2971" s="22"/>
      <c r="E2971" s="22"/>
      <c r="F2971" s="27" t="str">
        <f aca="false">IF(B2971="","",IFERROR(INDEX(Roster!$B$5:$B$154,MATCH(B2971,Roster!$A$5:$A$154,0)),"Not on roster"))</f>
        <v/>
      </c>
      <c r="G2971" s="28" t="str">
        <f aca="false">IF(OR(B2971="",C2971=""),"",F2971&amp;" | "&amp;C2971)</f>
        <v/>
      </c>
      <c r="H2971" s="27" t="str">
        <f aca="false">IF(G2971="","",IFERROR(INDEX(Levels!$C$5:$C$94,MATCH(G2971,Levels!$G$5:$G$94,0)),"Not this class's skill"))</f>
        <v/>
      </c>
    </row>
    <row r="2972" customFormat="false" ht="15" hidden="false" customHeight="false" outlineLevel="0" collapsed="false">
      <c r="A2972" s="23"/>
      <c r="B2972" s="22"/>
      <c r="C2972" s="22"/>
      <c r="D2972" s="22"/>
      <c r="E2972" s="22"/>
      <c r="F2972" s="27" t="str">
        <f aca="false">IF(B2972="","",IFERROR(INDEX(Roster!$B$5:$B$154,MATCH(B2972,Roster!$A$5:$A$154,0)),"Not on roster"))</f>
        <v/>
      </c>
      <c r="G2972" s="28" t="str">
        <f aca="false">IF(OR(B2972="",C2972=""),"",F2972&amp;" | "&amp;C2972)</f>
        <v/>
      </c>
      <c r="H2972" s="27" t="str">
        <f aca="false">IF(G2972="","",IFERROR(INDEX(Levels!$C$5:$C$94,MATCH(G2972,Levels!$G$5:$G$94,0)),"Not this class's skill"))</f>
        <v/>
      </c>
    </row>
    <row r="2973" customFormat="false" ht="15" hidden="false" customHeight="false" outlineLevel="0" collapsed="false">
      <c r="A2973" s="23"/>
      <c r="B2973" s="22"/>
      <c r="C2973" s="22"/>
      <c r="D2973" s="22"/>
      <c r="E2973" s="22"/>
      <c r="F2973" s="27" t="str">
        <f aca="false">IF(B2973="","",IFERROR(INDEX(Roster!$B$5:$B$154,MATCH(B2973,Roster!$A$5:$A$154,0)),"Not on roster"))</f>
        <v/>
      </c>
      <c r="G2973" s="28" t="str">
        <f aca="false">IF(OR(B2973="",C2973=""),"",F2973&amp;" | "&amp;C2973)</f>
        <v/>
      </c>
      <c r="H2973" s="27" t="str">
        <f aca="false">IF(G2973="","",IFERROR(INDEX(Levels!$C$5:$C$94,MATCH(G2973,Levels!$G$5:$G$94,0)),"Not this class's skill"))</f>
        <v/>
      </c>
    </row>
    <row r="2974" customFormat="false" ht="15" hidden="false" customHeight="false" outlineLevel="0" collapsed="false">
      <c r="A2974" s="23"/>
      <c r="B2974" s="22"/>
      <c r="C2974" s="22"/>
      <c r="D2974" s="22"/>
      <c r="E2974" s="22"/>
      <c r="F2974" s="27" t="str">
        <f aca="false">IF(B2974="","",IFERROR(INDEX(Roster!$B$5:$B$154,MATCH(B2974,Roster!$A$5:$A$154,0)),"Not on roster"))</f>
        <v/>
      </c>
      <c r="G2974" s="28" t="str">
        <f aca="false">IF(OR(B2974="",C2974=""),"",F2974&amp;" | "&amp;C2974)</f>
        <v/>
      </c>
      <c r="H2974" s="27" t="str">
        <f aca="false">IF(G2974="","",IFERROR(INDEX(Levels!$C$5:$C$94,MATCH(G2974,Levels!$G$5:$G$94,0)),"Not this class's skill"))</f>
        <v/>
      </c>
    </row>
    <row r="2975" customFormat="false" ht="15" hidden="false" customHeight="false" outlineLevel="0" collapsed="false">
      <c r="A2975" s="23"/>
      <c r="B2975" s="22"/>
      <c r="C2975" s="22"/>
      <c r="D2975" s="22"/>
      <c r="E2975" s="22"/>
      <c r="F2975" s="27" t="str">
        <f aca="false">IF(B2975="","",IFERROR(INDEX(Roster!$B$5:$B$154,MATCH(B2975,Roster!$A$5:$A$154,0)),"Not on roster"))</f>
        <v/>
      </c>
      <c r="G2975" s="28" t="str">
        <f aca="false">IF(OR(B2975="",C2975=""),"",F2975&amp;" | "&amp;C2975)</f>
        <v/>
      </c>
      <c r="H2975" s="27" t="str">
        <f aca="false">IF(G2975="","",IFERROR(INDEX(Levels!$C$5:$C$94,MATCH(G2975,Levels!$G$5:$G$94,0)),"Not this class's skill"))</f>
        <v/>
      </c>
    </row>
    <row r="2976" customFormat="false" ht="15" hidden="false" customHeight="false" outlineLevel="0" collapsed="false">
      <c r="A2976" s="23"/>
      <c r="B2976" s="22"/>
      <c r="C2976" s="22"/>
      <c r="D2976" s="22"/>
      <c r="E2976" s="22"/>
      <c r="F2976" s="27" t="str">
        <f aca="false">IF(B2976="","",IFERROR(INDEX(Roster!$B$5:$B$154,MATCH(B2976,Roster!$A$5:$A$154,0)),"Not on roster"))</f>
        <v/>
      </c>
      <c r="G2976" s="28" t="str">
        <f aca="false">IF(OR(B2976="",C2976=""),"",F2976&amp;" | "&amp;C2976)</f>
        <v/>
      </c>
      <c r="H2976" s="27" t="str">
        <f aca="false">IF(G2976="","",IFERROR(INDEX(Levels!$C$5:$C$94,MATCH(G2976,Levels!$G$5:$G$94,0)),"Not this class's skill"))</f>
        <v/>
      </c>
    </row>
    <row r="2977" customFormat="false" ht="15" hidden="false" customHeight="false" outlineLevel="0" collapsed="false">
      <c r="A2977" s="23"/>
      <c r="B2977" s="22"/>
      <c r="C2977" s="22"/>
      <c r="D2977" s="22"/>
      <c r="E2977" s="22"/>
      <c r="F2977" s="27" t="str">
        <f aca="false">IF(B2977="","",IFERROR(INDEX(Roster!$B$5:$B$154,MATCH(B2977,Roster!$A$5:$A$154,0)),"Not on roster"))</f>
        <v/>
      </c>
      <c r="G2977" s="28" t="str">
        <f aca="false">IF(OR(B2977="",C2977=""),"",F2977&amp;" | "&amp;C2977)</f>
        <v/>
      </c>
      <c r="H2977" s="27" t="str">
        <f aca="false">IF(G2977="","",IFERROR(INDEX(Levels!$C$5:$C$94,MATCH(G2977,Levels!$G$5:$G$94,0)),"Not this class's skill"))</f>
        <v/>
      </c>
    </row>
    <row r="2978" customFormat="false" ht="15" hidden="false" customHeight="false" outlineLevel="0" collapsed="false">
      <c r="A2978" s="23"/>
      <c r="B2978" s="22"/>
      <c r="C2978" s="22"/>
      <c r="D2978" s="22"/>
      <c r="E2978" s="22"/>
      <c r="F2978" s="27" t="str">
        <f aca="false">IF(B2978="","",IFERROR(INDEX(Roster!$B$5:$B$154,MATCH(B2978,Roster!$A$5:$A$154,0)),"Not on roster"))</f>
        <v/>
      </c>
      <c r="G2978" s="28" t="str">
        <f aca="false">IF(OR(B2978="",C2978=""),"",F2978&amp;" | "&amp;C2978)</f>
        <v/>
      </c>
      <c r="H2978" s="27" t="str">
        <f aca="false">IF(G2978="","",IFERROR(INDEX(Levels!$C$5:$C$94,MATCH(G2978,Levels!$G$5:$G$94,0)),"Not this class's skill"))</f>
        <v/>
      </c>
    </row>
    <row r="2979" customFormat="false" ht="15" hidden="false" customHeight="false" outlineLevel="0" collapsed="false">
      <c r="A2979" s="23"/>
      <c r="B2979" s="22"/>
      <c r="C2979" s="22"/>
      <c r="D2979" s="22"/>
      <c r="E2979" s="22"/>
      <c r="F2979" s="27" t="str">
        <f aca="false">IF(B2979="","",IFERROR(INDEX(Roster!$B$5:$B$154,MATCH(B2979,Roster!$A$5:$A$154,0)),"Not on roster"))</f>
        <v/>
      </c>
      <c r="G2979" s="28" t="str">
        <f aca="false">IF(OR(B2979="",C2979=""),"",F2979&amp;" | "&amp;C2979)</f>
        <v/>
      </c>
      <c r="H2979" s="27" t="str">
        <f aca="false">IF(G2979="","",IFERROR(INDEX(Levels!$C$5:$C$94,MATCH(G2979,Levels!$G$5:$G$94,0)),"Not this class's skill"))</f>
        <v/>
      </c>
    </row>
    <row r="2980" customFormat="false" ht="15" hidden="false" customHeight="false" outlineLevel="0" collapsed="false">
      <c r="A2980" s="23"/>
      <c r="B2980" s="22"/>
      <c r="C2980" s="22"/>
      <c r="D2980" s="22"/>
      <c r="E2980" s="22"/>
      <c r="F2980" s="27" t="str">
        <f aca="false">IF(B2980="","",IFERROR(INDEX(Roster!$B$5:$B$154,MATCH(B2980,Roster!$A$5:$A$154,0)),"Not on roster"))</f>
        <v/>
      </c>
      <c r="G2980" s="28" t="str">
        <f aca="false">IF(OR(B2980="",C2980=""),"",F2980&amp;" | "&amp;C2980)</f>
        <v/>
      </c>
      <c r="H2980" s="27" t="str">
        <f aca="false">IF(G2980="","",IFERROR(INDEX(Levels!$C$5:$C$94,MATCH(G2980,Levels!$G$5:$G$94,0)),"Not this class's skill"))</f>
        <v/>
      </c>
    </row>
    <row r="2981" customFormat="false" ht="15" hidden="false" customHeight="false" outlineLevel="0" collapsed="false">
      <c r="A2981" s="23"/>
      <c r="B2981" s="22"/>
      <c r="C2981" s="22"/>
      <c r="D2981" s="22"/>
      <c r="E2981" s="22"/>
      <c r="F2981" s="27" t="str">
        <f aca="false">IF(B2981="","",IFERROR(INDEX(Roster!$B$5:$B$154,MATCH(B2981,Roster!$A$5:$A$154,0)),"Not on roster"))</f>
        <v/>
      </c>
      <c r="G2981" s="28" t="str">
        <f aca="false">IF(OR(B2981="",C2981=""),"",F2981&amp;" | "&amp;C2981)</f>
        <v/>
      </c>
      <c r="H2981" s="27" t="str">
        <f aca="false">IF(G2981="","",IFERROR(INDEX(Levels!$C$5:$C$94,MATCH(G2981,Levels!$G$5:$G$94,0)),"Not this class's skill"))</f>
        <v/>
      </c>
    </row>
    <row r="2982" customFormat="false" ht="15" hidden="false" customHeight="false" outlineLevel="0" collapsed="false">
      <c r="A2982" s="23"/>
      <c r="B2982" s="22"/>
      <c r="C2982" s="22"/>
      <c r="D2982" s="22"/>
      <c r="E2982" s="22"/>
      <c r="F2982" s="27" t="str">
        <f aca="false">IF(B2982="","",IFERROR(INDEX(Roster!$B$5:$B$154,MATCH(B2982,Roster!$A$5:$A$154,0)),"Not on roster"))</f>
        <v/>
      </c>
      <c r="G2982" s="28" t="str">
        <f aca="false">IF(OR(B2982="",C2982=""),"",F2982&amp;" | "&amp;C2982)</f>
        <v/>
      </c>
      <c r="H2982" s="27" t="str">
        <f aca="false">IF(G2982="","",IFERROR(INDEX(Levels!$C$5:$C$94,MATCH(G2982,Levels!$G$5:$G$94,0)),"Not this class's skill"))</f>
        <v/>
      </c>
    </row>
    <row r="2983" customFormat="false" ht="15" hidden="false" customHeight="false" outlineLevel="0" collapsed="false">
      <c r="A2983" s="23"/>
      <c r="B2983" s="22"/>
      <c r="C2983" s="22"/>
      <c r="D2983" s="22"/>
      <c r="E2983" s="22"/>
      <c r="F2983" s="27" t="str">
        <f aca="false">IF(B2983="","",IFERROR(INDEX(Roster!$B$5:$B$154,MATCH(B2983,Roster!$A$5:$A$154,0)),"Not on roster"))</f>
        <v/>
      </c>
      <c r="G2983" s="28" t="str">
        <f aca="false">IF(OR(B2983="",C2983=""),"",F2983&amp;" | "&amp;C2983)</f>
        <v/>
      </c>
      <c r="H2983" s="27" t="str">
        <f aca="false">IF(G2983="","",IFERROR(INDEX(Levels!$C$5:$C$94,MATCH(G2983,Levels!$G$5:$G$94,0)),"Not this class's skill"))</f>
        <v/>
      </c>
    </row>
    <row r="2984" customFormat="false" ht="15" hidden="false" customHeight="false" outlineLevel="0" collapsed="false">
      <c r="A2984" s="23"/>
      <c r="B2984" s="22"/>
      <c r="C2984" s="22"/>
      <c r="D2984" s="22"/>
      <c r="E2984" s="22"/>
      <c r="F2984" s="27" t="str">
        <f aca="false">IF(B2984="","",IFERROR(INDEX(Roster!$B$5:$B$154,MATCH(B2984,Roster!$A$5:$A$154,0)),"Not on roster"))</f>
        <v/>
      </c>
      <c r="G2984" s="28" t="str">
        <f aca="false">IF(OR(B2984="",C2984=""),"",F2984&amp;" | "&amp;C2984)</f>
        <v/>
      </c>
      <c r="H2984" s="27" t="str">
        <f aca="false">IF(G2984="","",IFERROR(INDEX(Levels!$C$5:$C$94,MATCH(G2984,Levels!$G$5:$G$94,0)),"Not this class's skill"))</f>
        <v/>
      </c>
    </row>
    <row r="2985" customFormat="false" ht="15" hidden="false" customHeight="false" outlineLevel="0" collapsed="false">
      <c r="A2985" s="23"/>
      <c r="B2985" s="22"/>
      <c r="C2985" s="22"/>
      <c r="D2985" s="22"/>
      <c r="E2985" s="22"/>
      <c r="F2985" s="27" t="str">
        <f aca="false">IF(B2985="","",IFERROR(INDEX(Roster!$B$5:$B$154,MATCH(B2985,Roster!$A$5:$A$154,0)),"Not on roster"))</f>
        <v/>
      </c>
      <c r="G2985" s="28" t="str">
        <f aca="false">IF(OR(B2985="",C2985=""),"",F2985&amp;" | "&amp;C2985)</f>
        <v/>
      </c>
      <c r="H2985" s="27" t="str">
        <f aca="false">IF(G2985="","",IFERROR(INDEX(Levels!$C$5:$C$94,MATCH(G2985,Levels!$G$5:$G$94,0)),"Not this class's skill"))</f>
        <v/>
      </c>
    </row>
    <row r="2986" customFormat="false" ht="15" hidden="false" customHeight="false" outlineLevel="0" collapsed="false">
      <c r="A2986" s="23"/>
      <c r="B2986" s="22"/>
      <c r="C2986" s="22"/>
      <c r="D2986" s="22"/>
      <c r="E2986" s="22"/>
      <c r="F2986" s="27" t="str">
        <f aca="false">IF(B2986="","",IFERROR(INDEX(Roster!$B$5:$B$154,MATCH(B2986,Roster!$A$5:$A$154,0)),"Not on roster"))</f>
        <v/>
      </c>
      <c r="G2986" s="28" t="str">
        <f aca="false">IF(OR(B2986="",C2986=""),"",F2986&amp;" | "&amp;C2986)</f>
        <v/>
      </c>
      <c r="H2986" s="27" t="str">
        <f aca="false">IF(G2986="","",IFERROR(INDEX(Levels!$C$5:$C$94,MATCH(G2986,Levels!$G$5:$G$94,0)),"Not this class's skill"))</f>
        <v/>
      </c>
    </row>
    <row r="2987" customFormat="false" ht="15" hidden="false" customHeight="false" outlineLevel="0" collapsed="false">
      <c r="A2987" s="23"/>
      <c r="B2987" s="22"/>
      <c r="C2987" s="22"/>
      <c r="D2987" s="22"/>
      <c r="E2987" s="22"/>
      <c r="F2987" s="27" t="str">
        <f aca="false">IF(B2987="","",IFERROR(INDEX(Roster!$B$5:$B$154,MATCH(B2987,Roster!$A$5:$A$154,0)),"Not on roster"))</f>
        <v/>
      </c>
      <c r="G2987" s="28" t="str">
        <f aca="false">IF(OR(B2987="",C2987=""),"",F2987&amp;" | "&amp;C2987)</f>
        <v/>
      </c>
      <c r="H2987" s="27" t="str">
        <f aca="false">IF(G2987="","",IFERROR(INDEX(Levels!$C$5:$C$94,MATCH(G2987,Levels!$G$5:$G$94,0)),"Not this class's skill"))</f>
        <v/>
      </c>
    </row>
    <row r="2988" customFormat="false" ht="15" hidden="false" customHeight="false" outlineLevel="0" collapsed="false">
      <c r="A2988" s="23"/>
      <c r="B2988" s="22"/>
      <c r="C2988" s="22"/>
      <c r="D2988" s="22"/>
      <c r="E2988" s="22"/>
      <c r="F2988" s="27" t="str">
        <f aca="false">IF(B2988="","",IFERROR(INDEX(Roster!$B$5:$B$154,MATCH(B2988,Roster!$A$5:$A$154,0)),"Not on roster"))</f>
        <v/>
      </c>
      <c r="G2988" s="28" t="str">
        <f aca="false">IF(OR(B2988="",C2988=""),"",F2988&amp;" | "&amp;C2988)</f>
        <v/>
      </c>
      <c r="H2988" s="27" t="str">
        <f aca="false">IF(G2988="","",IFERROR(INDEX(Levels!$C$5:$C$94,MATCH(G2988,Levels!$G$5:$G$94,0)),"Not this class's skill"))</f>
        <v/>
      </c>
    </row>
    <row r="2989" customFormat="false" ht="15" hidden="false" customHeight="false" outlineLevel="0" collapsed="false">
      <c r="A2989" s="23"/>
      <c r="B2989" s="22"/>
      <c r="C2989" s="22"/>
      <c r="D2989" s="22"/>
      <c r="E2989" s="22"/>
      <c r="F2989" s="27" t="str">
        <f aca="false">IF(B2989="","",IFERROR(INDEX(Roster!$B$5:$B$154,MATCH(B2989,Roster!$A$5:$A$154,0)),"Not on roster"))</f>
        <v/>
      </c>
      <c r="G2989" s="28" t="str">
        <f aca="false">IF(OR(B2989="",C2989=""),"",F2989&amp;" | "&amp;C2989)</f>
        <v/>
      </c>
      <c r="H2989" s="27" t="str">
        <f aca="false">IF(G2989="","",IFERROR(INDEX(Levels!$C$5:$C$94,MATCH(G2989,Levels!$G$5:$G$94,0)),"Not this class's skill"))</f>
        <v/>
      </c>
    </row>
    <row r="2990" customFormat="false" ht="15" hidden="false" customHeight="false" outlineLevel="0" collapsed="false">
      <c r="A2990" s="23"/>
      <c r="B2990" s="22"/>
      <c r="C2990" s="22"/>
      <c r="D2990" s="22"/>
      <c r="E2990" s="22"/>
      <c r="F2990" s="27" t="str">
        <f aca="false">IF(B2990="","",IFERROR(INDEX(Roster!$B$5:$B$154,MATCH(B2990,Roster!$A$5:$A$154,0)),"Not on roster"))</f>
        <v/>
      </c>
      <c r="G2990" s="28" t="str">
        <f aca="false">IF(OR(B2990="",C2990=""),"",F2990&amp;" | "&amp;C2990)</f>
        <v/>
      </c>
      <c r="H2990" s="27" t="str">
        <f aca="false">IF(G2990="","",IFERROR(INDEX(Levels!$C$5:$C$94,MATCH(G2990,Levels!$G$5:$G$94,0)),"Not this class's skill"))</f>
        <v/>
      </c>
    </row>
    <row r="2991" customFormat="false" ht="15" hidden="false" customHeight="false" outlineLevel="0" collapsed="false">
      <c r="A2991" s="23"/>
      <c r="B2991" s="22"/>
      <c r="C2991" s="22"/>
      <c r="D2991" s="22"/>
      <c r="E2991" s="22"/>
      <c r="F2991" s="27" t="str">
        <f aca="false">IF(B2991="","",IFERROR(INDEX(Roster!$B$5:$B$154,MATCH(B2991,Roster!$A$5:$A$154,0)),"Not on roster"))</f>
        <v/>
      </c>
      <c r="G2991" s="28" t="str">
        <f aca="false">IF(OR(B2991="",C2991=""),"",F2991&amp;" | "&amp;C2991)</f>
        <v/>
      </c>
      <c r="H2991" s="27" t="str">
        <f aca="false">IF(G2991="","",IFERROR(INDEX(Levels!$C$5:$C$94,MATCH(G2991,Levels!$G$5:$G$94,0)),"Not this class's skill"))</f>
        <v/>
      </c>
    </row>
    <row r="2992" customFormat="false" ht="15" hidden="false" customHeight="false" outlineLevel="0" collapsed="false">
      <c r="A2992" s="23"/>
      <c r="B2992" s="22"/>
      <c r="C2992" s="22"/>
      <c r="D2992" s="22"/>
      <c r="E2992" s="22"/>
      <c r="F2992" s="27" t="str">
        <f aca="false">IF(B2992="","",IFERROR(INDEX(Roster!$B$5:$B$154,MATCH(B2992,Roster!$A$5:$A$154,0)),"Not on roster"))</f>
        <v/>
      </c>
      <c r="G2992" s="28" t="str">
        <f aca="false">IF(OR(B2992="",C2992=""),"",F2992&amp;" | "&amp;C2992)</f>
        <v/>
      </c>
      <c r="H2992" s="27" t="str">
        <f aca="false">IF(G2992="","",IFERROR(INDEX(Levels!$C$5:$C$94,MATCH(G2992,Levels!$G$5:$G$94,0)),"Not this class's skill"))</f>
        <v/>
      </c>
    </row>
    <row r="2993" customFormat="false" ht="15" hidden="false" customHeight="false" outlineLevel="0" collapsed="false">
      <c r="A2993" s="23"/>
      <c r="B2993" s="22"/>
      <c r="C2993" s="22"/>
      <c r="D2993" s="22"/>
      <c r="E2993" s="22"/>
      <c r="F2993" s="27" t="str">
        <f aca="false">IF(B2993="","",IFERROR(INDEX(Roster!$B$5:$B$154,MATCH(B2993,Roster!$A$5:$A$154,0)),"Not on roster"))</f>
        <v/>
      </c>
      <c r="G2993" s="28" t="str">
        <f aca="false">IF(OR(B2993="",C2993=""),"",F2993&amp;" | "&amp;C2993)</f>
        <v/>
      </c>
      <c r="H2993" s="27" t="str">
        <f aca="false">IF(G2993="","",IFERROR(INDEX(Levels!$C$5:$C$94,MATCH(G2993,Levels!$G$5:$G$94,0)),"Not this class's skill"))</f>
        <v/>
      </c>
    </row>
    <row r="2994" customFormat="false" ht="15" hidden="false" customHeight="false" outlineLevel="0" collapsed="false">
      <c r="A2994" s="23"/>
      <c r="B2994" s="22"/>
      <c r="C2994" s="22"/>
      <c r="D2994" s="22"/>
      <c r="E2994" s="22"/>
      <c r="F2994" s="27" t="str">
        <f aca="false">IF(B2994="","",IFERROR(INDEX(Roster!$B$5:$B$154,MATCH(B2994,Roster!$A$5:$A$154,0)),"Not on roster"))</f>
        <v/>
      </c>
      <c r="G2994" s="28" t="str">
        <f aca="false">IF(OR(B2994="",C2994=""),"",F2994&amp;" | "&amp;C2994)</f>
        <v/>
      </c>
      <c r="H2994" s="27" t="str">
        <f aca="false">IF(G2994="","",IFERROR(INDEX(Levels!$C$5:$C$94,MATCH(G2994,Levels!$G$5:$G$94,0)),"Not this class's skill"))</f>
        <v/>
      </c>
    </row>
    <row r="2995" customFormat="false" ht="15" hidden="false" customHeight="false" outlineLevel="0" collapsed="false">
      <c r="A2995" s="23"/>
      <c r="B2995" s="22"/>
      <c r="C2995" s="22"/>
      <c r="D2995" s="22"/>
      <c r="E2995" s="22"/>
      <c r="F2995" s="27" t="str">
        <f aca="false">IF(B2995="","",IFERROR(INDEX(Roster!$B$5:$B$154,MATCH(B2995,Roster!$A$5:$A$154,0)),"Not on roster"))</f>
        <v/>
      </c>
      <c r="G2995" s="28" t="str">
        <f aca="false">IF(OR(B2995="",C2995=""),"",F2995&amp;" | "&amp;C2995)</f>
        <v/>
      </c>
      <c r="H2995" s="27" t="str">
        <f aca="false">IF(G2995="","",IFERROR(INDEX(Levels!$C$5:$C$94,MATCH(G2995,Levels!$G$5:$G$94,0)),"Not this class's skill"))</f>
        <v/>
      </c>
    </row>
    <row r="2996" customFormat="false" ht="15" hidden="false" customHeight="false" outlineLevel="0" collapsed="false">
      <c r="A2996" s="23"/>
      <c r="B2996" s="22"/>
      <c r="C2996" s="22"/>
      <c r="D2996" s="22"/>
      <c r="E2996" s="22"/>
      <c r="F2996" s="27" t="str">
        <f aca="false">IF(B2996="","",IFERROR(INDEX(Roster!$B$5:$B$154,MATCH(B2996,Roster!$A$5:$A$154,0)),"Not on roster"))</f>
        <v/>
      </c>
      <c r="G2996" s="28" t="str">
        <f aca="false">IF(OR(B2996="",C2996=""),"",F2996&amp;" | "&amp;C2996)</f>
        <v/>
      </c>
      <c r="H2996" s="27" t="str">
        <f aca="false">IF(G2996="","",IFERROR(INDEX(Levels!$C$5:$C$94,MATCH(G2996,Levels!$G$5:$G$94,0)),"Not this class's skill"))</f>
        <v/>
      </c>
    </row>
    <row r="2997" customFormat="false" ht="15" hidden="false" customHeight="false" outlineLevel="0" collapsed="false">
      <c r="A2997" s="23"/>
      <c r="B2997" s="22"/>
      <c r="C2997" s="22"/>
      <c r="D2997" s="22"/>
      <c r="E2997" s="22"/>
      <c r="F2997" s="27" t="str">
        <f aca="false">IF(B2997="","",IFERROR(INDEX(Roster!$B$5:$B$154,MATCH(B2997,Roster!$A$5:$A$154,0)),"Not on roster"))</f>
        <v/>
      </c>
      <c r="G2997" s="28" t="str">
        <f aca="false">IF(OR(B2997="",C2997=""),"",F2997&amp;" | "&amp;C2997)</f>
        <v/>
      </c>
      <c r="H2997" s="27" t="str">
        <f aca="false">IF(G2997="","",IFERROR(INDEX(Levels!$C$5:$C$94,MATCH(G2997,Levels!$G$5:$G$94,0)),"Not this class's skill"))</f>
        <v/>
      </c>
    </row>
    <row r="2998" customFormat="false" ht="15" hidden="false" customHeight="false" outlineLevel="0" collapsed="false">
      <c r="A2998" s="23"/>
      <c r="B2998" s="22"/>
      <c r="C2998" s="22"/>
      <c r="D2998" s="22"/>
      <c r="E2998" s="22"/>
      <c r="F2998" s="27" t="str">
        <f aca="false">IF(B2998="","",IFERROR(INDEX(Roster!$B$5:$B$154,MATCH(B2998,Roster!$A$5:$A$154,0)),"Not on roster"))</f>
        <v/>
      </c>
      <c r="G2998" s="28" t="str">
        <f aca="false">IF(OR(B2998="",C2998=""),"",F2998&amp;" | "&amp;C2998)</f>
        <v/>
      </c>
      <c r="H2998" s="27" t="str">
        <f aca="false">IF(G2998="","",IFERROR(INDEX(Levels!$C$5:$C$94,MATCH(G2998,Levels!$G$5:$G$94,0)),"Not this class's skill"))</f>
        <v/>
      </c>
    </row>
    <row r="2999" customFormat="false" ht="15" hidden="false" customHeight="false" outlineLevel="0" collapsed="false">
      <c r="A2999" s="23"/>
      <c r="B2999" s="22"/>
      <c r="C2999" s="22"/>
      <c r="D2999" s="22"/>
      <c r="E2999" s="22"/>
      <c r="F2999" s="27" t="str">
        <f aca="false">IF(B2999="","",IFERROR(INDEX(Roster!$B$5:$B$154,MATCH(B2999,Roster!$A$5:$A$154,0)),"Not on roster"))</f>
        <v/>
      </c>
      <c r="G2999" s="28" t="str">
        <f aca="false">IF(OR(B2999="",C2999=""),"",F2999&amp;" | "&amp;C2999)</f>
        <v/>
      </c>
      <c r="H2999" s="27" t="str">
        <f aca="false">IF(G2999="","",IFERROR(INDEX(Levels!$C$5:$C$94,MATCH(G2999,Levels!$G$5:$G$94,0)),"Not this class's skill"))</f>
        <v/>
      </c>
    </row>
    <row r="3000" customFormat="false" ht="15" hidden="false" customHeight="false" outlineLevel="0" collapsed="false">
      <c r="A3000" s="23"/>
      <c r="B3000" s="22"/>
      <c r="C3000" s="22"/>
      <c r="D3000" s="22"/>
      <c r="E3000" s="22"/>
      <c r="F3000" s="27" t="str">
        <f aca="false">IF(B3000="","",IFERROR(INDEX(Roster!$B$5:$B$154,MATCH(B3000,Roster!$A$5:$A$154,0)),"Not on roster"))</f>
        <v/>
      </c>
      <c r="G3000" s="28" t="str">
        <f aca="false">IF(OR(B3000="",C3000=""),"",F3000&amp;" | "&amp;C3000)</f>
        <v/>
      </c>
      <c r="H3000" s="27" t="str">
        <f aca="false">IF(G3000="","",IFERROR(INDEX(Levels!$C$5:$C$94,MATCH(G3000,Levels!$G$5:$G$94,0)),"Not this class's skill"))</f>
        <v/>
      </c>
    </row>
  </sheetData>
  <mergeCells count="2">
    <mergeCell ref="A1:H1"/>
    <mergeCell ref="A2:H2"/>
  </mergeCells>
  <conditionalFormatting sqref="F5:H3000">
    <cfRule type="expression" priority="2" aboveAverage="0" equalAverage="0" bottom="0" percent="0" rank="0" text="" dxfId="3">
      <formula>OR(F5="Not on roster",H5="Not this class's skill")</formula>
    </cfRule>
  </conditionalFormatting>
  <dataValidations count="4">
    <dataValidation allowBlank="true" errorStyle="stop" operator="between" showDropDown="false" showErrorMessage="false" showInputMessage="false" sqref="B5:B3000" type="list">
      <formula1>Roster!$A$5:$A$154</formula1>
      <formula2>0</formula2>
    </dataValidation>
    <dataValidation allowBlank="true" errorStyle="stop" operator="between" showDropDown="false" showErrorMessage="false" showInputMessage="false" sqref="C5:C3000" type="list">
      <formula1>Levels!$D$5:$D$94</formula1>
      <formula2>0</formula2>
    </dataValidation>
    <dataValidation allowBlank="true" errorStyle="stop" operator="between" showDropDown="false" showErrorMessage="false" showInputMessage="false" sqref="D5:D3000" type="list">
      <formula1>"Cody,Sean,Jordan"</formula1>
      <formula2>0</formula2>
    </dataValidation>
    <dataValidation allowBlank="true" errorStyle="stop" operator="between" showDropDown="false" showErrorMessage="false" showInputMessage="false" sqref="A5:A3000" type="dat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7"/>
    <col collapsed="false" customWidth="true" hidden="false" outlineLevel="0" max="3" min="3" style="0" width="12"/>
    <col collapsed="false" customWidth="true" hidden="false" outlineLevel="0" max="4" min="4" style="0" width="24"/>
    <col collapsed="false" customWidth="true" hidden="false" outlineLevel="0" max="5" min="5" style="0" width="60"/>
    <col collapsed="false" customWidth="true" hidden="false" outlineLevel="0" max="6" min="6" style="0" width="30"/>
    <col collapsed="false" customWidth="true" hidden="true" outlineLevel="0" max="7" min="7" style="0" width="6"/>
  </cols>
  <sheetData>
    <row r="1" customFormat="false" ht="30" hidden="false" customHeight="true" outlineLevel="0" collapsed="false">
      <c r="A1" s="1" t="s">
        <v>51</v>
      </c>
      <c r="B1" s="1"/>
      <c r="C1" s="1"/>
      <c r="D1" s="1"/>
      <c r="E1" s="1"/>
      <c r="F1" s="1"/>
      <c r="G1" s="1"/>
    </row>
    <row r="2" customFormat="false" ht="31.5" hidden="false" customHeight="true" outlineLevel="0" collapsed="false">
      <c r="A2" s="2" t="s">
        <v>52</v>
      </c>
      <c r="B2" s="2"/>
      <c r="C2" s="2"/>
      <c r="D2" s="2"/>
      <c r="E2" s="2"/>
      <c r="F2" s="2"/>
      <c r="G2" s="2"/>
    </row>
    <row r="4" customFormat="false" ht="30" hidden="false" customHeight="true" outlineLevel="0" collapsed="false">
      <c r="A4" s="19" t="s">
        <v>27</v>
      </c>
      <c r="B4" s="19" t="s">
        <v>29</v>
      </c>
      <c r="C4" s="19" t="s">
        <v>53</v>
      </c>
      <c r="D4" s="19" t="s">
        <v>30</v>
      </c>
      <c r="E4" s="19" t="s">
        <v>54</v>
      </c>
      <c r="F4" s="19" t="s">
        <v>55</v>
      </c>
      <c r="G4" s="19" t="s">
        <v>50</v>
      </c>
    </row>
    <row r="5" customFormat="false" ht="27.75" hidden="false" customHeight="true" outlineLevel="0" collapsed="false">
      <c r="A5" s="22" t="s">
        <v>56</v>
      </c>
      <c r="B5" s="22" t="n">
        <v>1</v>
      </c>
      <c r="C5" s="22" t="s">
        <v>38</v>
      </c>
      <c r="D5" s="22" t="s">
        <v>57</v>
      </c>
      <c r="E5" s="22" t="s">
        <v>58</v>
      </c>
      <c r="F5" s="22" t="s">
        <v>57</v>
      </c>
      <c r="G5" s="28" t="str">
        <f aca="false">IF(D5="","",A5&amp;" | "&amp;D5)</f>
        <v>Kids Boxing | Stance and guard</v>
      </c>
    </row>
    <row r="6" customFormat="false" ht="27.75" hidden="false" customHeight="true" outlineLevel="0" collapsed="false">
      <c r="A6" s="22" t="s">
        <v>56</v>
      </c>
      <c r="B6" s="22" t="n">
        <v>1</v>
      </c>
      <c r="C6" s="22" t="s">
        <v>38</v>
      </c>
      <c r="D6" s="22" t="s">
        <v>59</v>
      </c>
      <c r="E6" s="22" t="s">
        <v>60</v>
      </c>
      <c r="F6" s="22" t="s">
        <v>59</v>
      </c>
      <c r="G6" s="28" t="str">
        <f aca="false">IF(D6="","",A6&amp;" | "&amp;D6)</f>
        <v>Kids Boxing | Step-drag footwork</v>
      </c>
    </row>
    <row r="7" customFormat="false" ht="27.75" hidden="false" customHeight="true" outlineLevel="0" collapsed="false">
      <c r="A7" s="22" t="s">
        <v>56</v>
      </c>
      <c r="B7" s="22" t="n">
        <v>1</v>
      </c>
      <c r="C7" s="22" t="s">
        <v>38</v>
      </c>
      <c r="D7" s="22" t="s">
        <v>61</v>
      </c>
      <c r="E7" s="22" t="s">
        <v>62</v>
      </c>
      <c r="F7" s="22" t="s">
        <v>61</v>
      </c>
      <c r="G7" s="28" t="str">
        <f aca="false">IF(D7="","",A7&amp;" | "&amp;D7)</f>
        <v>Kids Boxing | Jab on pads</v>
      </c>
    </row>
    <row r="8" customFormat="false" ht="27.75" hidden="false" customHeight="true" outlineLevel="0" collapsed="false">
      <c r="A8" s="22" t="s">
        <v>56</v>
      </c>
      <c r="B8" s="22" t="n">
        <v>1</v>
      </c>
      <c r="C8" s="22" t="s">
        <v>38</v>
      </c>
      <c r="D8" s="22" t="s">
        <v>63</v>
      </c>
      <c r="E8" s="22" t="s">
        <v>64</v>
      </c>
      <c r="F8" s="22" t="s">
        <v>65</v>
      </c>
      <c r="G8" s="28" t="str">
        <f aca="false">IF(D8="","",A8&amp;" | "&amp;D8)</f>
        <v>Kids Boxing | Rope-less skipping</v>
      </c>
    </row>
    <row r="9" customFormat="false" ht="27.75" hidden="false" customHeight="true" outlineLevel="0" collapsed="false">
      <c r="A9" s="22" t="s">
        <v>56</v>
      </c>
      <c r="B9" s="22" t="n">
        <v>1</v>
      </c>
      <c r="C9" s="22" t="s">
        <v>38</v>
      </c>
      <c r="D9" s="22" t="s">
        <v>66</v>
      </c>
      <c r="E9" s="22" t="s">
        <v>67</v>
      </c>
      <c r="F9" s="22"/>
      <c r="G9" s="28" t="str">
        <f aca="false">IF(D9="","",A9&amp;" | "&amp;D9)</f>
        <v>Kids Boxing | Gym rules</v>
      </c>
    </row>
    <row r="10" customFormat="false" ht="27.75" hidden="false" customHeight="true" outlineLevel="0" collapsed="false">
      <c r="A10" s="22" t="s">
        <v>56</v>
      </c>
      <c r="B10" s="22" t="n">
        <v>2</v>
      </c>
      <c r="C10" s="22" t="s">
        <v>39</v>
      </c>
      <c r="D10" s="22" t="s">
        <v>68</v>
      </c>
      <c r="E10" s="22" t="s">
        <v>69</v>
      </c>
      <c r="F10" s="22" t="s">
        <v>68</v>
      </c>
      <c r="G10" s="28" t="str">
        <f aca="false">IF(D10="","",A10&amp;" | "&amp;D10)</f>
        <v>Kids Boxing | 1-2 on pads</v>
      </c>
    </row>
    <row r="11" customFormat="false" ht="27.75" hidden="false" customHeight="true" outlineLevel="0" collapsed="false">
      <c r="A11" s="22" t="s">
        <v>56</v>
      </c>
      <c r="B11" s="22" t="n">
        <v>2</v>
      </c>
      <c r="C11" s="22" t="s">
        <v>39</v>
      </c>
      <c r="D11" s="22" t="s">
        <v>70</v>
      </c>
      <c r="E11" s="22" t="s">
        <v>71</v>
      </c>
      <c r="F11" s="22" t="s">
        <v>72</v>
      </c>
      <c r="G11" s="28" t="str">
        <f aca="false">IF(D11="","",A11&amp;" | "&amp;D11)</f>
        <v>Kids Boxing | Footwork ladder</v>
      </c>
    </row>
    <row r="12" customFormat="false" ht="27.75" hidden="false" customHeight="true" outlineLevel="0" collapsed="false">
      <c r="A12" s="22" t="s">
        <v>56</v>
      </c>
      <c r="B12" s="22" t="n">
        <v>2</v>
      </c>
      <c r="C12" s="22" t="s">
        <v>39</v>
      </c>
      <c r="D12" s="22" t="s">
        <v>73</v>
      </c>
      <c r="E12" s="22" t="s">
        <v>74</v>
      </c>
      <c r="F12" s="22" t="s">
        <v>75</v>
      </c>
      <c r="G12" s="28" t="str">
        <f aca="false">IF(D12="","",A12&amp;" | "&amp;D12)</f>
        <v>Kids Boxing | Slips</v>
      </c>
    </row>
    <row r="13" customFormat="false" ht="27.75" hidden="false" customHeight="true" outlineLevel="0" collapsed="false">
      <c r="A13" s="22" t="s">
        <v>56</v>
      </c>
      <c r="B13" s="22" t="n">
        <v>2</v>
      </c>
      <c r="C13" s="22" t="s">
        <v>39</v>
      </c>
      <c r="D13" s="22" t="s">
        <v>76</v>
      </c>
      <c r="E13" s="22" t="s">
        <v>77</v>
      </c>
      <c r="F13" s="22" t="s">
        <v>78</v>
      </c>
      <c r="G13" s="28" t="str">
        <f aca="false">IF(D13="","",A13&amp;" | "&amp;D13)</f>
        <v>Kids Boxing | Bag round</v>
      </c>
    </row>
    <row r="14" customFormat="false" ht="27.75" hidden="false" customHeight="true" outlineLevel="0" collapsed="false">
      <c r="A14" s="22" t="s">
        <v>56</v>
      </c>
      <c r="B14" s="22" t="n">
        <v>2</v>
      </c>
      <c r="C14" s="22" t="s">
        <v>39</v>
      </c>
      <c r="D14" s="22" t="s">
        <v>79</v>
      </c>
      <c r="E14" s="22" t="s">
        <v>80</v>
      </c>
      <c r="F14" s="22" t="s">
        <v>79</v>
      </c>
      <c r="G14" s="28" t="str">
        <f aca="false">IF(D14="","",A14&amp;" | "&amp;D14)</f>
        <v>Kids Boxing | Glove tag</v>
      </c>
    </row>
    <row r="15" customFormat="false" ht="27.75" hidden="false" customHeight="true" outlineLevel="0" collapsed="false">
      <c r="A15" s="22" t="s">
        <v>56</v>
      </c>
      <c r="B15" s="22" t="n">
        <v>3</v>
      </c>
      <c r="C15" s="22" t="s">
        <v>40</v>
      </c>
      <c r="D15" s="22" t="s">
        <v>81</v>
      </c>
      <c r="E15" s="22" t="s">
        <v>82</v>
      </c>
      <c r="F15" s="22" t="s">
        <v>61</v>
      </c>
      <c r="G15" s="28" t="str">
        <f aca="false">IF(D15="","",A15&amp;" | "&amp;D15)</f>
        <v>Kids Boxing | Jab-step-jab</v>
      </c>
    </row>
    <row r="16" customFormat="false" ht="27.75" hidden="false" customHeight="true" outlineLevel="0" collapsed="false">
      <c r="A16" s="22" t="s">
        <v>56</v>
      </c>
      <c r="B16" s="22" t="n">
        <v>3</v>
      </c>
      <c r="C16" s="22" t="s">
        <v>40</v>
      </c>
      <c r="D16" s="22" t="s">
        <v>83</v>
      </c>
      <c r="E16" s="22" t="s">
        <v>84</v>
      </c>
      <c r="F16" s="22" t="s">
        <v>75</v>
      </c>
      <c r="G16" s="28" t="str">
        <f aca="false">IF(D16="","",A16&amp;" | "&amp;D16)</f>
        <v>Kids Boxing | Slip and counter</v>
      </c>
    </row>
    <row r="17" customFormat="false" ht="27.75" hidden="false" customHeight="true" outlineLevel="0" collapsed="false">
      <c r="A17" s="22" t="s">
        <v>56</v>
      </c>
      <c r="B17" s="22" t="n">
        <v>3</v>
      </c>
      <c r="C17" s="22" t="s">
        <v>40</v>
      </c>
      <c r="D17" s="22" t="s">
        <v>85</v>
      </c>
      <c r="E17" s="22" t="s">
        <v>86</v>
      </c>
      <c r="F17" s="22" t="s">
        <v>87</v>
      </c>
      <c r="G17" s="28" t="str">
        <f aca="false">IF(D17="","",A17&amp;" | "&amp;D17)</f>
        <v>Kids Boxing | Bob and weave</v>
      </c>
    </row>
    <row r="18" customFormat="false" ht="27.75" hidden="false" customHeight="true" outlineLevel="0" collapsed="false">
      <c r="A18" s="22" t="s">
        <v>56</v>
      </c>
      <c r="B18" s="22" t="n">
        <v>3</v>
      </c>
      <c r="C18" s="22" t="s">
        <v>40</v>
      </c>
      <c r="D18" s="22" t="s">
        <v>88</v>
      </c>
      <c r="E18" s="22" t="s">
        <v>89</v>
      </c>
      <c r="F18" s="22" t="s">
        <v>90</v>
      </c>
      <c r="G18" s="28" t="str">
        <f aca="false">IF(D18="","",A18&amp;" | "&amp;D18)</f>
        <v>Kids Boxing | Pad target speed</v>
      </c>
    </row>
    <row r="19" customFormat="false" ht="27.75" hidden="false" customHeight="true" outlineLevel="0" collapsed="false">
      <c r="A19" s="22" t="s">
        <v>56</v>
      </c>
      <c r="B19" s="22" t="n">
        <v>3</v>
      </c>
      <c r="C19" s="22" t="s">
        <v>40</v>
      </c>
      <c r="D19" s="22" t="s">
        <v>91</v>
      </c>
      <c r="E19" s="22" t="s">
        <v>92</v>
      </c>
      <c r="F19" s="22" t="s">
        <v>78</v>
      </c>
      <c r="G19" s="28" t="str">
        <f aca="false">IF(D19="","",A19&amp;" | "&amp;D19)</f>
        <v>Kids Boxing | Two bag rounds</v>
      </c>
    </row>
    <row r="20" customFormat="false" ht="27.75" hidden="false" customHeight="true" outlineLevel="0" collapsed="false">
      <c r="A20" s="22" t="s">
        <v>56</v>
      </c>
      <c r="B20" s="22" t="n">
        <v>4</v>
      </c>
      <c r="C20" s="22" t="s">
        <v>41</v>
      </c>
      <c r="D20" s="22" t="s">
        <v>93</v>
      </c>
      <c r="E20" s="22" t="s">
        <v>94</v>
      </c>
      <c r="F20" s="22" t="s">
        <v>68</v>
      </c>
      <c r="G20" s="28" t="str">
        <f aca="false">IF(D20="","",A20&amp;" | "&amp;D20)</f>
        <v>Kids Boxing | Combination</v>
      </c>
    </row>
    <row r="21" customFormat="false" ht="27.75" hidden="false" customHeight="true" outlineLevel="0" collapsed="false">
      <c r="A21" s="22" t="s">
        <v>56</v>
      </c>
      <c r="B21" s="22" t="n">
        <v>4</v>
      </c>
      <c r="C21" s="22" t="s">
        <v>41</v>
      </c>
      <c r="D21" s="22" t="s">
        <v>95</v>
      </c>
      <c r="E21" s="22" t="s">
        <v>96</v>
      </c>
      <c r="F21" s="22" t="s">
        <v>97</v>
      </c>
      <c r="G21" s="28" t="str">
        <f aca="false">IF(D21="","",A21&amp;" | "&amp;D21)</f>
        <v>Kids Boxing | Pivots</v>
      </c>
    </row>
    <row r="22" customFormat="false" ht="27.75" hidden="false" customHeight="true" outlineLevel="0" collapsed="false">
      <c r="A22" s="22" t="s">
        <v>56</v>
      </c>
      <c r="B22" s="22" t="n">
        <v>4</v>
      </c>
      <c r="C22" s="22" t="s">
        <v>41</v>
      </c>
      <c r="D22" s="22" t="s">
        <v>98</v>
      </c>
      <c r="E22" s="22" t="s">
        <v>99</v>
      </c>
      <c r="F22" s="22" t="s">
        <v>78</v>
      </c>
      <c r="G22" s="28" t="str">
        <f aca="false">IF(D22="","",A22&amp;" | "&amp;D22)</f>
        <v>Kids Boxing | Three bag rounds</v>
      </c>
    </row>
    <row r="23" customFormat="false" ht="27.75" hidden="false" customHeight="true" outlineLevel="0" collapsed="false">
      <c r="A23" s="22" t="s">
        <v>56</v>
      </c>
      <c r="B23" s="22" t="n">
        <v>4</v>
      </c>
      <c r="C23" s="22" t="s">
        <v>41</v>
      </c>
      <c r="D23" s="22" t="s">
        <v>100</v>
      </c>
      <c r="E23" s="22" t="s">
        <v>101</v>
      </c>
      <c r="F23" s="22" t="s">
        <v>57</v>
      </c>
      <c r="G23" s="28" t="str">
        <f aca="false">IF(D23="","",A23&amp;" | "&amp;D23)</f>
        <v>Kids Boxing | Helps a newer kid</v>
      </c>
    </row>
    <row r="24" customFormat="false" ht="27.75" hidden="false" customHeight="true" outlineLevel="0" collapsed="false">
      <c r="A24" s="22" t="s">
        <v>56</v>
      </c>
      <c r="B24" s="22" t="n">
        <v>4</v>
      </c>
      <c r="C24" s="22" t="s">
        <v>41</v>
      </c>
      <c r="D24" s="22" t="s">
        <v>102</v>
      </c>
      <c r="E24" s="22" t="s">
        <v>103</v>
      </c>
      <c r="F24" s="22" t="s">
        <v>104</v>
      </c>
      <c r="G24" s="28" t="str">
        <f aca="false">IF(D24="","",A24&amp;" | "&amp;D24)</f>
        <v>Kids Boxing | Leads the warm-up</v>
      </c>
    </row>
    <row r="25" customFormat="false" ht="27.75" hidden="false" customHeight="true" outlineLevel="0" collapsed="false">
      <c r="A25" s="22" t="s">
        <v>105</v>
      </c>
      <c r="B25" s="22" t="n">
        <v>1</v>
      </c>
      <c r="C25" s="22" t="s">
        <v>38</v>
      </c>
      <c r="D25" s="22" t="s">
        <v>106</v>
      </c>
      <c r="E25" s="22" t="s">
        <v>107</v>
      </c>
      <c r="F25" s="22" t="s">
        <v>106</v>
      </c>
      <c r="G25" s="28" t="str">
        <f aca="false">IF(D25="","",A25&amp;" | "&amp;D25)</f>
        <v>Wrestling | Stance and motion</v>
      </c>
    </row>
    <row r="26" customFormat="false" ht="27.75" hidden="false" customHeight="true" outlineLevel="0" collapsed="false">
      <c r="A26" s="22" t="s">
        <v>105</v>
      </c>
      <c r="B26" s="22" t="n">
        <v>1</v>
      </c>
      <c r="C26" s="22" t="s">
        <v>38</v>
      </c>
      <c r="D26" s="22" t="s">
        <v>108</v>
      </c>
      <c r="E26" s="22" t="s">
        <v>109</v>
      </c>
      <c r="F26" s="22" t="s">
        <v>110</v>
      </c>
      <c r="G26" s="28" t="str">
        <f aca="false">IF(D26="","",A26&amp;" | "&amp;D26)</f>
        <v>Wrestling | Back breakfall</v>
      </c>
    </row>
    <row r="27" customFormat="false" ht="27.75" hidden="false" customHeight="true" outlineLevel="0" collapsed="false">
      <c r="A27" s="22" t="s">
        <v>105</v>
      </c>
      <c r="B27" s="22" t="n">
        <v>1</v>
      </c>
      <c r="C27" s="22" t="s">
        <v>38</v>
      </c>
      <c r="D27" s="22" t="s">
        <v>111</v>
      </c>
      <c r="E27" s="22" t="s">
        <v>112</v>
      </c>
      <c r="F27" s="22" t="s">
        <v>110</v>
      </c>
      <c r="G27" s="28" t="str">
        <f aca="false">IF(D27="","",A27&amp;" | "&amp;D27)</f>
        <v>Wrestling | Side breakfall</v>
      </c>
    </row>
    <row r="28" customFormat="false" ht="27.75" hidden="false" customHeight="true" outlineLevel="0" collapsed="false">
      <c r="A28" s="22" t="s">
        <v>105</v>
      </c>
      <c r="B28" s="22" t="n">
        <v>1</v>
      </c>
      <c r="C28" s="22" t="s">
        <v>38</v>
      </c>
      <c r="D28" s="22" t="s">
        <v>113</v>
      </c>
      <c r="E28" s="22" t="s">
        <v>114</v>
      </c>
      <c r="F28" s="22" t="s">
        <v>115</v>
      </c>
      <c r="G28" s="28" t="str">
        <f aca="false">IF(D28="","",A28&amp;" | "&amp;D28)</f>
        <v>Wrestling | Sprawl</v>
      </c>
    </row>
    <row r="29" customFormat="false" ht="27.75" hidden="false" customHeight="true" outlineLevel="0" collapsed="false">
      <c r="A29" s="22" t="s">
        <v>105</v>
      </c>
      <c r="B29" s="22" t="n">
        <v>1</v>
      </c>
      <c r="C29" s="22" t="s">
        <v>38</v>
      </c>
      <c r="D29" s="22" t="s">
        <v>116</v>
      </c>
      <c r="E29" s="22" t="s">
        <v>117</v>
      </c>
      <c r="F29" s="22" t="s">
        <v>118</v>
      </c>
      <c r="G29" s="28" t="str">
        <f aca="false">IF(D29="","",A29&amp;" | "&amp;D29)</f>
        <v>Wrestling | Shoulder roll</v>
      </c>
    </row>
    <row r="30" customFormat="false" ht="27.75" hidden="false" customHeight="true" outlineLevel="0" collapsed="false">
      <c r="A30" s="22" t="s">
        <v>105</v>
      </c>
      <c r="B30" s="22" t="n">
        <v>2</v>
      </c>
      <c r="C30" s="22" t="s">
        <v>39</v>
      </c>
      <c r="D30" s="22" t="s">
        <v>119</v>
      </c>
      <c r="E30" s="22" t="s">
        <v>120</v>
      </c>
      <c r="F30" s="22" t="s">
        <v>121</v>
      </c>
      <c r="G30" s="28" t="str">
        <f aca="false">IF(D30="","",A30&amp;" | "&amp;D30)</f>
        <v>Wrestling | Penetration step (knees)</v>
      </c>
    </row>
    <row r="31" customFormat="false" ht="27.75" hidden="false" customHeight="true" outlineLevel="0" collapsed="false">
      <c r="A31" s="22" t="s">
        <v>105</v>
      </c>
      <c r="B31" s="22" t="n">
        <v>2</v>
      </c>
      <c r="C31" s="22" t="s">
        <v>39</v>
      </c>
      <c r="D31" s="22" t="s">
        <v>122</v>
      </c>
      <c r="E31" s="22" t="s">
        <v>123</v>
      </c>
      <c r="F31" s="22" t="s">
        <v>122</v>
      </c>
      <c r="G31" s="28" t="str">
        <f aca="false">IF(D31="","",A31&amp;" | "&amp;D31)</f>
        <v>Wrestling | Knee tag</v>
      </c>
    </row>
    <row r="32" customFormat="false" ht="27.75" hidden="false" customHeight="true" outlineLevel="0" collapsed="false">
      <c r="A32" s="22" t="s">
        <v>105</v>
      </c>
      <c r="B32" s="22" t="n">
        <v>2</v>
      </c>
      <c r="C32" s="22" t="s">
        <v>39</v>
      </c>
      <c r="D32" s="22" t="s">
        <v>124</v>
      </c>
      <c r="E32" s="22" t="s">
        <v>125</v>
      </c>
      <c r="F32" s="22" t="s">
        <v>124</v>
      </c>
      <c r="G32" s="28" t="str">
        <f aca="false">IF(D32="","",A32&amp;" | "&amp;D32)</f>
        <v>Wrestling | Sumo push</v>
      </c>
    </row>
    <row r="33" customFormat="false" ht="27.75" hidden="false" customHeight="true" outlineLevel="0" collapsed="false">
      <c r="A33" s="22" t="s">
        <v>105</v>
      </c>
      <c r="B33" s="22" t="n">
        <v>2</v>
      </c>
      <c r="C33" s="22" t="s">
        <v>39</v>
      </c>
      <c r="D33" s="22" t="s">
        <v>126</v>
      </c>
      <c r="E33" s="22" t="s">
        <v>127</v>
      </c>
      <c r="F33" s="22" t="s">
        <v>126</v>
      </c>
      <c r="G33" s="28" t="str">
        <f aca="false">IF(D33="","",A33&amp;" | "&amp;D33)</f>
        <v>Wrestling | Technical stand-up</v>
      </c>
    </row>
    <row r="34" customFormat="false" ht="27.75" hidden="false" customHeight="true" outlineLevel="0" collapsed="false">
      <c r="A34" s="22" t="s">
        <v>105</v>
      </c>
      <c r="B34" s="22" t="n">
        <v>2</v>
      </c>
      <c r="C34" s="22" t="s">
        <v>39</v>
      </c>
      <c r="D34" s="22" t="s">
        <v>128</v>
      </c>
      <c r="E34" s="22" t="s">
        <v>129</v>
      </c>
      <c r="F34" s="22" t="s">
        <v>130</v>
      </c>
      <c r="G34" s="28" t="str">
        <f aca="false">IF(D34="","",A34&amp;" | "&amp;D34)</f>
        <v>Wrestling | The tap</v>
      </c>
    </row>
    <row r="35" customFormat="false" ht="27.75" hidden="false" customHeight="true" outlineLevel="0" collapsed="false">
      <c r="A35" s="22" t="s">
        <v>105</v>
      </c>
      <c r="B35" s="22" t="n">
        <v>3</v>
      </c>
      <c r="C35" s="22" t="s">
        <v>40</v>
      </c>
      <c r="D35" s="22" t="s">
        <v>131</v>
      </c>
      <c r="E35" s="22" t="s">
        <v>132</v>
      </c>
      <c r="F35" s="22" t="s">
        <v>121</v>
      </c>
      <c r="G35" s="28" t="str">
        <f aca="false">IF(D35="","",A35&amp;" | "&amp;D35)</f>
        <v>Wrestling | Penetration step (standing)</v>
      </c>
    </row>
    <row r="36" customFormat="false" ht="27.75" hidden="false" customHeight="true" outlineLevel="0" collapsed="false">
      <c r="A36" s="22" t="s">
        <v>105</v>
      </c>
      <c r="B36" s="22" t="n">
        <v>3</v>
      </c>
      <c r="C36" s="22" t="s">
        <v>40</v>
      </c>
      <c r="D36" s="22" t="s">
        <v>133</v>
      </c>
      <c r="E36" s="22" t="s">
        <v>134</v>
      </c>
      <c r="F36" s="22" t="s">
        <v>133</v>
      </c>
      <c r="G36" s="28" t="str">
        <f aca="false">IF(D36="","",A36&amp;" | "&amp;D36)</f>
        <v>Wrestling | Half nelson turn</v>
      </c>
    </row>
    <row r="37" customFormat="false" ht="27.75" hidden="false" customHeight="true" outlineLevel="0" collapsed="false">
      <c r="A37" s="22" t="s">
        <v>105</v>
      </c>
      <c r="B37" s="22" t="n">
        <v>3</v>
      </c>
      <c r="C37" s="22" t="s">
        <v>40</v>
      </c>
      <c r="D37" s="22" t="s">
        <v>135</v>
      </c>
      <c r="E37" s="22" t="s">
        <v>136</v>
      </c>
      <c r="F37" s="22" t="s">
        <v>137</v>
      </c>
      <c r="G37" s="28" t="str">
        <f aca="false">IF(D37="","",A37&amp;" | "&amp;D37)</f>
        <v>Wrestling | Turtle defence</v>
      </c>
    </row>
    <row r="38" customFormat="false" ht="27.75" hidden="false" customHeight="true" outlineLevel="0" collapsed="false">
      <c r="A38" s="22" t="s">
        <v>105</v>
      </c>
      <c r="B38" s="22" t="n">
        <v>3</v>
      </c>
      <c r="C38" s="22" t="s">
        <v>40</v>
      </c>
      <c r="D38" s="22" t="s">
        <v>138</v>
      </c>
      <c r="E38" s="22" t="s">
        <v>139</v>
      </c>
      <c r="F38" s="22" t="s">
        <v>140</v>
      </c>
      <c r="G38" s="28" t="str">
        <f aca="false">IF(D38="","",A38&amp;" | "&amp;D38)</f>
        <v>Wrestling | Hip escape</v>
      </c>
    </row>
    <row r="39" customFormat="false" ht="27.75" hidden="false" customHeight="true" outlineLevel="0" collapsed="false">
      <c r="A39" s="22" t="s">
        <v>105</v>
      </c>
      <c r="B39" s="22" t="n">
        <v>3</v>
      </c>
      <c r="C39" s="22" t="s">
        <v>40</v>
      </c>
      <c r="D39" s="22" t="s">
        <v>141</v>
      </c>
      <c r="E39" s="22" t="s">
        <v>142</v>
      </c>
      <c r="F39" s="22" t="s">
        <v>143</v>
      </c>
      <c r="G39" s="28" t="str">
        <f aca="false">IF(D39="","",A39&amp;" | "&amp;D39)</f>
        <v>Wrestling | Live go</v>
      </c>
    </row>
    <row r="40" customFormat="false" ht="27.75" hidden="false" customHeight="true" outlineLevel="0" collapsed="false">
      <c r="A40" s="22" t="s">
        <v>105</v>
      </c>
      <c r="B40" s="22" t="n">
        <v>4</v>
      </c>
      <c r="C40" s="22" t="s">
        <v>41</v>
      </c>
      <c r="D40" s="22" t="s">
        <v>144</v>
      </c>
      <c r="E40" s="22" t="s">
        <v>145</v>
      </c>
      <c r="F40" s="22" t="s">
        <v>115</v>
      </c>
      <c r="G40" s="28" t="str">
        <f aca="false">IF(D40="","",A40&amp;" | "&amp;D40)</f>
        <v>Wrestling | Sprawl and go behind</v>
      </c>
    </row>
    <row r="41" customFormat="false" ht="27.75" hidden="false" customHeight="true" outlineLevel="0" collapsed="false">
      <c r="A41" s="22" t="s">
        <v>105</v>
      </c>
      <c r="B41" s="22" t="n">
        <v>4</v>
      </c>
      <c r="C41" s="22" t="s">
        <v>41</v>
      </c>
      <c r="D41" s="22" t="s">
        <v>146</v>
      </c>
      <c r="E41" s="22" t="s">
        <v>147</v>
      </c>
      <c r="F41" s="22" t="s">
        <v>133</v>
      </c>
      <c r="G41" s="28" t="str">
        <f aca="false">IF(D41="","",A41&amp;" | "&amp;D41)</f>
        <v>Wrestling | Pin with control</v>
      </c>
    </row>
    <row r="42" customFormat="false" ht="27.75" hidden="false" customHeight="true" outlineLevel="0" collapsed="false">
      <c r="A42" s="22" t="s">
        <v>105</v>
      </c>
      <c r="B42" s="22" t="n">
        <v>4</v>
      </c>
      <c r="C42" s="22" t="s">
        <v>41</v>
      </c>
      <c r="D42" s="22" t="s">
        <v>148</v>
      </c>
      <c r="E42" s="22" t="s">
        <v>149</v>
      </c>
      <c r="F42" s="22"/>
      <c r="G42" s="28" t="str">
        <f aca="false">IF(D42="","",A42&amp;" | "&amp;D42)</f>
        <v>Wrestling | Sportsmanship</v>
      </c>
    </row>
    <row r="43" customFormat="false" ht="27.75" hidden="false" customHeight="true" outlineLevel="0" collapsed="false">
      <c r="A43" s="22" t="s">
        <v>105</v>
      </c>
      <c r="B43" s="22" t="n">
        <v>4</v>
      </c>
      <c r="C43" s="22" t="s">
        <v>41</v>
      </c>
      <c r="D43" s="22" t="s">
        <v>150</v>
      </c>
      <c r="E43" s="22" t="s">
        <v>151</v>
      </c>
      <c r="F43" s="22" t="s">
        <v>110</v>
      </c>
      <c r="G43" s="28" t="str">
        <f aca="false">IF(D43="","",A43&amp;" | "&amp;D43)</f>
        <v>Wrestling | Teaches breakfalls</v>
      </c>
    </row>
    <row r="44" customFormat="false" ht="27.75" hidden="false" customHeight="true" outlineLevel="0" collapsed="false">
      <c r="A44" s="22" t="s">
        <v>105</v>
      </c>
      <c r="B44" s="22" t="n">
        <v>4</v>
      </c>
      <c r="C44" s="22" t="s">
        <v>41</v>
      </c>
      <c r="D44" s="22" t="s">
        <v>152</v>
      </c>
      <c r="E44" s="22" t="s">
        <v>153</v>
      </c>
      <c r="F44" s="22" t="s">
        <v>115</v>
      </c>
      <c r="G44" s="28" t="str">
        <f aca="false">IF(D44="","",A44&amp;" | "&amp;D44)</f>
        <v>Wrestling | Conditioning</v>
      </c>
    </row>
    <row r="45" customFormat="false" ht="27.75" hidden="false" customHeight="true" outlineLevel="0" collapsed="false">
      <c r="A45" s="22" t="s">
        <v>154</v>
      </c>
      <c r="B45" s="22" t="n">
        <v>1</v>
      </c>
      <c r="C45" s="22" t="s">
        <v>38</v>
      </c>
      <c r="D45" s="22" t="s">
        <v>57</v>
      </c>
      <c r="E45" s="22" t="s">
        <v>155</v>
      </c>
      <c r="F45" s="22" t="s">
        <v>57</v>
      </c>
      <c r="G45" s="28" t="str">
        <f aca="false">IF(D45="","",A45&amp;" | "&amp;D45)</f>
        <v>Boxing 11-14 | Stance and guard</v>
      </c>
    </row>
    <row r="46" customFormat="false" ht="27.75" hidden="false" customHeight="true" outlineLevel="0" collapsed="false">
      <c r="A46" s="22" t="s">
        <v>154</v>
      </c>
      <c r="B46" s="22" t="n">
        <v>1</v>
      </c>
      <c r="C46" s="22" t="s">
        <v>38</v>
      </c>
      <c r="D46" s="22" t="s">
        <v>156</v>
      </c>
      <c r="E46" s="22" t="s">
        <v>157</v>
      </c>
      <c r="F46" s="22" t="s">
        <v>59</v>
      </c>
      <c r="G46" s="28" t="str">
        <f aca="false">IF(D46="","",A46&amp;" | "&amp;D46)</f>
        <v>Boxing 11-14 | Footwork</v>
      </c>
    </row>
    <row r="47" customFormat="false" ht="27.75" hidden="false" customHeight="true" outlineLevel="0" collapsed="false">
      <c r="A47" s="22" t="s">
        <v>154</v>
      </c>
      <c r="B47" s="22" t="n">
        <v>1</v>
      </c>
      <c r="C47" s="22" t="s">
        <v>38</v>
      </c>
      <c r="D47" s="22" t="s">
        <v>158</v>
      </c>
      <c r="E47" s="22" t="s">
        <v>159</v>
      </c>
      <c r="F47" s="22" t="s">
        <v>68</v>
      </c>
      <c r="G47" s="28" t="str">
        <f aca="false">IF(D47="","",A47&amp;" | "&amp;D47)</f>
        <v>Boxing 11-14 | Jab and 1-2</v>
      </c>
    </row>
    <row r="48" customFormat="false" ht="27.75" hidden="false" customHeight="true" outlineLevel="0" collapsed="false">
      <c r="A48" s="22" t="s">
        <v>154</v>
      </c>
      <c r="B48" s="22" t="n">
        <v>1</v>
      </c>
      <c r="C48" s="22" t="s">
        <v>38</v>
      </c>
      <c r="D48" s="22" t="s">
        <v>63</v>
      </c>
      <c r="E48" s="22" t="s">
        <v>160</v>
      </c>
      <c r="F48" s="22" t="s">
        <v>65</v>
      </c>
      <c r="G48" s="28" t="str">
        <f aca="false">IF(D48="","",A48&amp;" | "&amp;D48)</f>
        <v>Boxing 11-14 | Rope-less skipping</v>
      </c>
    </row>
    <row r="49" customFormat="false" ht="27.75" hidden="false" customHeight="true" outlineLevel="0" collapsed="false">
      <c r="A49" s="22" t="s">
        <v>154</v>
      </c>
      <c r="B49" s="22" t="n">
        <v>1</v>
      </c>
      <c r="C49" s="22" t="s">
        <v>38</v>
      </c>
      <c r="D49" s="22" t="s">
        <v>161</v>
      </c>
      <c r="E49" s="22" t="s">
        <v>162</v>
      </c>
      <c r="F49" s="22"/>
      <c r="G49" s="28" t="str">
        <f aca="false">IF(D49="","",A49&amp;" | "&amp;D49)</f>
        <v>Boxing 11-14 | Wraps and rules</v>
      </c>
    </row>
    <row r="50" customFormat="false" ht="27.75" hidden="false" customHeight="true" outlineLevel="0" collapsed="false">
      <c r="A50" s="22" t="s">
        <v>154</v>
      </c>
      <c r="B50" s="22" t="n">
        <v>2</v>
      </c>
      <c r="C50" s="22" t="s">
        <v>39</v>
      </c>
      <c r="D50" s="22" t="s">
        <v>163</v>
      </c>
      <c r="E50" s="22" t="s">
        <v>164</v>
      </c>
      <c r="F50" s="22" t="s">
        <v>165</v>
      </c>
      <c r="G50" s="28" t="str">
        <f aca="false">IF(D50="","",A50&amp;" | "&amp;D50)</f>
        <v>Boxing 11-14 | 1-2-3</v>
      </c>
    </row>
    <row r="51" customFormat="false" ht="27.75" hidden="false" customHeight="true" outlineLevel="0" collapsed="false">
      <c r="A51" s="22" t="s">
        <v>154</v>
      </c>
      <c r="B51" s="22" t="n">
        <v>2</v>
      </c>
      <c r="C51" s="22" t="s">
        <v>39</v>
      </c>
      <c r="D51" s="22" t="s">
        <v>166</v>
      </c>
      <c r="E51" s="22" t="s">
        <v>167</v>
      </c>
      <c r="F51" s="22" t="s">
        <v>168</v>
      </c>
      <c r="G51" s="28" t="str">
        <f aca="false">IF(D51="","",A51&amp;" | "&amp;D51)</f>
        <v>Boxing 11-14 | Called combinations</v>
      </c>
    </row>
    <row r="52" customFormat="false" ht="27.75" hidden="false" customHeight="true" outlineLevel="0" collapsed="false">
      <c r="A52" s="22" t="s">
        <v>154</v>
      </c>
      <c r="B52" s="22" t="n">
        <v>2</v>
      </c>
      <c r="C52" s="22" t="s">
        <v>39</v>
      </c>
      <c r="D52" s="22" t="s">
        <v>83</v>
      </c>
      <c r="E52" s="22" t="s">
        <v>169</v>
      </c>
      <c r="F52" s="22" t="s">
        <v>75</v>
      </c>
      <c r="G52" s="28" t="str">
        <f aca="false">IF(D52="","",A52&amp;" | "&amp;D52)</f>
        <v>Boxing 11-14 | Slip and counter</v>
      </c>
    </row>
    <row r="53" customFormat="false" ht="27.75" hidden="false" customHeight="true" outlineLevel="0" collapsed="false">
      <c r="A53" s="22" t="s">
        <v>154</v>
      </c>
      <c r="B53" s="22" t="n">
        <v>2</v>
      </c>
      <c r="C53" s="22" t="s">
        <v>39</v>
      </c>
      <c r="D53" s="22" t="s">
        <v>170</v>
      </c>
      <c r="E53" s="22" t="s">
        <v>171</v>
      </c>
      <c r="F53" s="22" t="s">
        <v>78</v>
      </c>
      <c r="G53" s="28" t="str">
        <f aca="false">IF(D53="","",A53&amp;" | "&amp;D53)</f>
        <v>Boxing 11-14 | Bag rounds</v>
      </c>
    </row>
    <row r="54" customFormat="false" ht="27.75" hidden="false" customHeight="true" outlineLevel="0" collapsed="false">
      <c r="A54" s="22" t="s">
        <v>154</v>
      </c>
      <c r="B54" s="22" t="n">
        <v>2</v>
      </c>
      <c r="C54" s="22" t="s">
        <v>39</v>
      </c>
      <c r="D54" s="22" t="s">
        <v>70</v>
      </c>
      <c r="E54" s="22" t="s">
        <v>172</v>
      </c>
      <c r="F54" s="22" t="s">
        <v>72</v>
      </c>
      <c r="G54" s="28" t="str">
        <f aca="false">IF(D54="","",A54&amp;" | "&amp;D54)</f>
        <v>Boxing 11-14 | Footwork ladder</v>
      </c>
    </row>
    <row r="55" customFormat="false" ht="27.75" hidden="false" customHeight="true" outlineLevel="0" collapsed="false">
      <c r="A55" s="22" t="s">
        <v>154</v>
      </c>
      <c r="B55" s="22" t="n">
        <v>3</v>
      </c>
      <c r="C55" s="22" t="s">
        <v>40</v>
      </c>
      <c r="D55" s="22" t="s">
        <v>85</v>
      </c>
      <c r="E55" s="22" t="s">
        <v>173</v>
      </c>
      <c r="F55" s="22" t="s">
        <v>87</v>
      </c>
      <c r="G55" s="28" t="str">
        <f aca="false">IF(D55="","",A55&amp;" | "&amp;D55)</f>
        <v>Boxing 11-14 | Bob and weave</v>
      </c>
    </row>
    <row r="56" customFormat="false" ht="27.75" hidden="false" customHeight="true" outlineLevel="0" collapsed="false">
      <c r="A56" s="22" t="s">
        <v>154</v>
      </c>
      <c r="B56" s="22" t="n">
        <v>3</v>
      </c>
      <c r="C56" s="22" t="s">
        <v>40</v>
      </c>
      <c r="D56" s="22" t="s">
        <v>174</v>
      </c>
      <c r="E56" s="22" t="s">
        <v>175</v>
      </c>
      <c r="F56" s="22" t="s">
        <v>176</v>
      </c>
      <c r="G56" s="28" t="str">
        <f aca="false">IF(D56="","",A56&amp;" | "&amp;D56)</f>
        <v>Boxing 11-14 | Body touch control</v>
      </c>
    </row>
    <row r="57" customFormat="false" ht="27.75" hidden="false" customHeight="true" outlineLevel="0" collapsed="false">
      <c r="A57" s="22" t="s">
        <v>154</v>
      </c>
      <c r="B57" s="22" t="n">
        <v>3</v>
      </c>
      <c r="C57" s="22" t="s">
        <v>40</v>
      </c>
      <c r="D57" s="22" t="s">
        <v>177</v>
      </c>
      <c r="E57" s="22" t="s">
        <v>178</v>
      </c>
      <c r="F57" s="22" t="s">
        <v>168</v>
      </c>
      <c r="G57" s="28" t="str">
        <f aca="false">IF(D57="","",A57&amp;" | "&amp;D57)</f>
        <v>Boxing 11-14 | Step out</v>
      </c>
    </row>
    <row r="58" customFormat="false" ht="27.75" hidden="false" customHeight="true" outlineLevel="0" collapsed="false">
      <c r="A58" s="22" t="s">
        <v>154</v>
      </c>
      <c r="B58" s="22" t="n">
        <v>3</v>
      </c>
      <c r="C58" s="22" t="s">
        <v>40</v>
      </c>
      <c r="D58" s="22" t="s">
        <v>98</v>
      </c>
      <c r="E58" s="22" t="s">
        <v>179</v>
      </c>
      <c r="F58" s="22" t="s">
        <v>78</v>
      </c>
      <c r="G58" s="28" t="str">
        <f aca="false">IF(D58="","",A58&amp;" | "&amp;D58)</f>
        <v>Boxing 11-14 | Three bag rounds</v>
      </c>
    </row>
    <row r="59" customFormat="false" ht="27.75" hidden="false" customHeight="true" outlineLevel="0" collapsed="false">
      <c r="A59" s="22" t="s">
        <v>154</v>
      </c>
      <c r="B59" s="22" t="n">
        <v>3</v>
      </c>
      <c r="C59" s="22" t="s">
        <v>40</v>
      </c>
      <c r="D59" s="22" t="s">
        <v>180</v>
      </c>
      <c r="E59" s="22" t="s">
        <v>181</v>
      </c>
      <c r="F59" s="22" t="s">
        <v>72</v>
      </c>
      <c r="G59" s="28" t="str">
        <f aca="false">IF(D59="","",A59&amp;" | "&amp;D59)</f>
        <v>Boxing 11-14 | Angles</v>
      </c>
    </row>
    <row r="60" customFormat="false" ht="27.75" hidden="false" customHeight="true" outlineLevel="0" collapsed="false">
      <c r="A60" s="22" t="s">
        <v>154</v>
      </c>
      <c r="B60" s="22" t="n">
        <v>4</v>
      </c>
      <c r="C60" s="22" t="s">
        <v>41</v>
      </c>
      <c r="D60" s="22" t="s">
        <v>102</v>
      </c>
      <c r="E60" s="22" t="s">
        <v>182</v>
      </c>
      <c r="F60" s="22" t="s">
        <v>183</v>
      </c>
      <c r="G60" s="28" t="str">
        <f aca="false">IF(D60="","",A60&amp;" | "&amp;D60)</f>
        <v>Boxing 11-14 | Leads the warm-up</v>
      </c>
    </row>
    <row r="61" customFormat="false" ht="27.75" hidden="false" customHeight="true" outlineLevel="0" collapsed="false">
      <c r="A61" s="22" t="s">
        <v>154</v>
      </c>
      <c r="B61" s="22" t="n">
        <v>4</v>
      </c>
      <c r="C61" s="22" t="s">
        <v>41</v>
      </c>
      <c r="D61" s="22" t="s">
        <v>184</v>
      </c>
      <c r="E61" s="22" t="s">
        <v>185</v>
      </c>
      <c r="F61" s="22" t="s">
        <v>61</v>
      </c>
      <c r="G61" s="28" t="str">
        <f aca="false">IF(D61="","",A61&amp;" | "&amp;D61)</f>
        <v>Boxing 11-14 | Holds pads safely</v>
      </c>
    </row>
    <row r="62" customFormat="false" ht="27.75" hidden="false" customHeight="true" outlineLevel="0" collapsed="false">
      <c r="A62" s="22" t="s">
        <v>154</v>
      </c>
      <c r="B62" s="22" t="n">
        <v>4</v>
      </c>
      <c r="C62" s="22" t="s">
        <v>41</v>
      </c>
      <c r="D62" s="22" t="s">
        <v>186</v>
      </c>
      <c r="E62" s="22" t="s">
        <v>187</v>
      </c>
      <c r="F62" s="22" t="s">
        <v>176</v>
      </c>
      <c r="G62" s="28" t="str">
        <f aca="false">IF(D62="","",A62&amp;" | "&amp;D62)</f>
        <v>Boxing 11-14 | Three light rounds</v>
      </c>
    </row>
    <row r="63" customFormat="false" ht="27.75" hidden="false" customHeight="true" outlineLevel="0" collapsed="false">
      <c r="A63" s="22" t="s">
        <v>154</v>
      </c>
      <c r="B63" s="22" t="n">
        <v>4</v>
      </c>
      <c r="C63" s="22" t="s">
        <v>41</v>
      </c>
      <c r="D63" s="22" t="s">
        <v>188</v>
      </c>
      <c r="E63" s="22" t="s">
        <v>189</v>
      </c>
      <c r="F63" s="22"/>
      <c r="G63" s="28" t="str">
        <f aca="false">IF(D63="","",A63&amp;" | "&amp;D63)</f>
        <v>Boxing 11-14 | Helps newer athletes</v>
      </c>
    </row>
    <row r="64" customFormat="false" ht="27.75" hidden="false" customHeight="true" outlineLevel="0" collapsed="false">
      <c r="A64" s="22" t="s">
        <v>154</v>
      </c>
      <c r="B64" s="22" t="n">
        <v>4</v>
      </c>
      <c r="C64" s="22" t="s">
        <v>41</v>
      </c>
      <c r="D64" s="22" t="s">
        <v>190</v>
      </c>
      <c r="E64" s="22" t="s">
        <v>191</v>
      </c>
      <c r="F64" s="22"/>
      <c r="G64" s="28" t="str">
        <f aca="false">IF(D64="","",A64&amp;" | "&amp;D64)</f>
        <v>Boxing 11-14 | Safety leader</v>
      </c>
    </row>
    <row r="65" customFormat="false" ht="15" hidden="false" customHeight="false" outlineLevel="0" collapsed="false">
      <c r="A65" s="22"/>
      <c r="B65" s="22"/>
      <c r="C65" s="22"/>
      <c r="D65" s="22"/>
      <c r="E65" s="22"/>
      <c r="F65" s="22"/>
      <c r="G65" s="28" t="str">
        <f aca="false">IF(D65="","",A65&amp;" | "&amp;D65)</f>
        <v/>
      </c>
    </row>
    <row r="66" customFormat="false" ht="15" hidden="false" customHeight="false" outlineLevel="0" collapsed="false">
      <c r="A66" s="22"/>
      <c r="B66" s="22"/>
      <c r="C66" s="22"/>
      <c r="D66" s="22"/>
      <c r="E66" s="22"/>
      <c r="F66" s="22"/>
      <c r="G66" s="28" t="str">
        <f aca="false">IF(D66="","",A66&amp;" | "&amp;D66)</f>
        <v/>
      </c>
    </row>
    <row r="67" customFormat="false" ht="15" hidden="false" customHeight="false" outlineLevel="0" collapsed="false">
      <c r="A67" s="22"/>
      <c r="B67" s="22"/>
      <c r="C67" s="22"/>
      <c r="D67" s="22"/>
      <c r="E67" s="22"/>
      <c r="F67" s="22"/>
      <c r="G67" s="28" t="str">
        <f aca="false">IF(D67="","",A67&amp;" | "&amp;D67)</f>
        <v/>
      </c>
    </row>
    <row r="68" customFormat="false" ht="15" hidden="false" customHeight="false" outlineLevel="0" collapsed="false">
      <c r="A68" s="22"/>
      <c r="B68" s="22"/>
      <c r="C68" s="22"/>
      <c r="D68" s="22"/>
      <c r="E68" s="22"/>
      <c r="F68" s="22"/>
      <c r="G68" s="28" t="str">
        <f aca="false">IF(D68="","",A68&amp;" | "&amp;D68)</f>
        <v/>
      </c>
    </row>
    <row r="69" customFormat="false" ht="15" hidden="false" customHeight="false" outlineLevel="0" collapsed="false">
      <c r="A69" s="22"/>
      <c r="B69" s="22"/>
      <c r="C69" s="22"/>
      <c r="D69" s="22"/>
      <c r="E69" s="22"/>
      <c r="F69" s="22"/>
      <c r="G69" s="28" t="str">
        <f aca="false">IF(D69="","",A69&amp;" | "&amp;D69)</f>
        <v/>
      </c>
    </row>
    <row r="70" customFormat="false" ht="15" hidden="false" customHeight="false" outlineLevel="0" collapsed="false">
      <c r="A70" s="22"/>
      <c r="B70" s="22"/>
      <c r="C70" s="22"/>
      <c r="D70" s="22"/>
      <c r="E70" s="22"/>
      <c r="F70" s="22"/>
      <c r="G70" s="28" t="str">
        <f aca="false">IF(D70="","",A70&amp;" | "&amp;D70)</f>
        <v/>
      </c>
    </row>
    <row r="71" customFormat="false" ht="15" hidden="false" customHeight="false" outlineLevel="0" collapsed="false">
      <c r="A71" s="22"/>
      <c r="B71" s="22"/>
      <c r="C71" s="22"/>
      <c r="D71" s="22"/>
      <c r="E71" s="22"/>
      <c r="F71" s="22"/>
      <c r="G71" s="28" t="str">
        <f aca="false">IF(D71="","",A71&amp;" | "&amp;D71)</f>
        <v/>
      </c>
    </row>
    <row r="72" customFormat="false" ht="15" hidden="false" customHeight="false" outlineLevel="0" collapsed="false">
      <c r="A72" s="22"/>
      <c r="B72" s="22"/>
      <c r="C72" s="22"/>
      <c r="D72" s="22"/>
      <c r="E72" s="22"/>
      <c r="F72" s="22"/>
      <c r="G72" s="28" t="str">
        <f aca="false">IF(D72="","",A72&amp;" | "&amp;D72)</f>
        <v/>
      </c>
    </row>
    <row r="73" customFormat="false" ht="15" hidden="false" customHeight="false" outlineLevel="0" collapsed="false">
      <c r="A73" s="22"/>
      <c r="B73" s="22"/>
      <c r="C73" s="22"/>
      <c r="D73" s="22"/>
      <c r="E73" s="22"/>
      <c r="F73" s="22"/>
      <c r="G73" s="28" t="str">
        <f aca="false">IF(D73="","",A73&amp;" | "&amp;D73)</f>
        <v/>
      </c>
    </row>
    <row r="74" customFormat="false" ht="15" hidden="false" customHeight="false" outlineLevel="0" collapsed="false">
      <c r="A74" s="22"/>
      <c r="B74" s="22"/>
      <c r="C74" s="22"/>
      <c r="D74" s="22"/>
      <c r="E74" s="22"/>
      <c r="F74" s="22"/>
      <c r="G74" s="28" t="str">
        <f aca="false">IF(D74="","",A74&amp;" | "&amp;D74)</f>
        <v/>
      </c>
    </row>
    <row r="75" customFormat="false" ht="15" hidden="false" customHeight="false" outlineLevel="0" collapsed="false">
      <c r="A75" s="22"/>
      <c r="B75" s="22"/>
      <c r="C75" s="22"/>
      <c r="D75" s="22"/>
      <c r="E75" s="22"/>
      <c r="F75" s="22"/>
      <c r="G75" s="28" t="str">
        <f aca="false">IF(D75="","",A75&amp;" | "&amp;D75)</f>
        <v/>
      </c>
    </row>
    <row r="76" customFormat="false" ht="15" hidden="false" customHeight="false" outlineLevel="0" collapsed="false">
      <c r="A76" s="22"/>
      <c r="B76" s="22"/>
      <c r="C76" s="22"/>
      <c r="D76" s="22"/>
      <c r="E76" s="22"/>
      <c r="F76" s="22"/>
      <c r="G76" s="28" t="str">
        <f aca="false">IF(D76="","",A76&amp;" | "&amp;D76)</f>
        <v/>
      </c>
    </row>
    <row r="77" customFormat="false" ht="15" hidden="false" customHeight="false" outlineLevel="0" collapsed="false">
      <c r="A77" s="22"/>
      <c r="B77" s="22"/>
      <c r="C77" s="22"/>
      <c r="D77" s="22"/>
      <c r="E77" s="22"/>
      <c r="F77" s="22"/>
      <c r="G77" s="28" t="str">
        <f aca="false">IF(D77="","",A77&amp;" | "&amp;D77)</f>
        <v/>
      </c>
    </row>
    <row r="78" customFormat="false" ht="15" hidden="false" customHeight="false" outlineLevel="0" collapsed="false">
      <c r="A78" s="22"/>
      <c r="B78" s="22"/>
      <c r="C78" s="22"/>
      <c r="D78" s="22"/>
      <c r="E78" s="22"/>
      <c r="F78" s="22"/>
      <c r="G78" s="28" t="str">
        <f aca="false">IF(D78="","",A78&amp;" | "&amp;D78)</f>
        <v/>
      </c>
    </row>
    <row r="79" customFormat="false" ht="15" hidden="false" customHeight="false" outlineLevel="0" collapsed="false">
      <c r="A79" s="22"/>
      <c r="B79" s="22"/>
      <c r="C79" s="22"/>
      <c r="D79" s="22"/>
      <c r="E79" s="22"/>
      <c r="F79" s="22"/>
      <c r="G79" s="28" t="str">
        <f aca="false">IF(D79="","",A79&amp;" | "&amp;D79)</f>
        <v/>
      </c>
    </row>
    <row r="80" customFormat="false" ht="15" hidden="false" customHeight="false" outlineLevel="0" collapsed="false">
      <c r="A80" s="22"/>
      <c r="B80" s="22"/>
      <c r="C80" s="22"/>
      <c r="D80" s="22"/>
      <c r="E80" s="22"/>
      <c r="F80" s="22"/>
      <c r="G80" s="28" t="str">
        <f aca="false">IF(D80="","",A80&amp;" | "&amp;D80)</f>
        <v/>
      </c>
    </row>
    <row r="81" customFormat="false" ht="15" hidden="false" customHeight="false" outlineLevel="0" collapsed="false">
      <c r="A81" s="22"/>
      <c r="B81" s="22"/>
      <c r="C81" s="22"/>
      <c r="D81" s="22"/>
      <c r="E81" s="22"/>
      <c r="F81" s="22"/>
      <c r="G81" s="28" t="str">
        <f aca="false">IF(D81="","",A81&amp;" | "&amp;D81)</f>
        <v/>
      </c>
    </row>
    <row r="82" customFormat="false" ht="15" hidden="false" customHeight="false" outlineLevel="0" collapsed="false">
      <c r="A82" s="22"/>
      <c r="B82" s="22"/>
      <c r="C82" s="22"/>
      <c r="D82" s="22"/>
      <c r="E82" s="22"/>
      <c r="F82" s="22"/>
      <c r="G82" s="28" t="str">
        <f aca="false">IF(D82="","",A82&amp;" | "&amp;D82)</f>
        <v/>
      </c>
    </row>
    <row r="83" customFormat="false" ht="15" hidden="false" customHeight="false" outlineLevel="0" collapsed="false">
      <c r="A83" s="22"/>
      <c r="B83" s="22"/>
      <c r="C83" s="22"/>
      <c r="D83" s="22"/>
      <c r="E83" s="22"/>
      <c r="F83" s="22"/>
      <c r="G83" s="28" t="str">
        <f aca="false">IF(D83="","",A83&amp;" | "&amp;D83)</f>
        <v/>
      </c>
    </row>
    <row r="84" customFormat="false" ht="15" hidden="false" customHeight="false" outlineLevel="0" collapsed="false">
      <c r="A84" s="22"/>
      <c r="B84" s="22"/>
      <c r="C84" s="22"/>
      <c r="D84" s="22"/>
      <c r="E84" s="22"/>
      <c r="F84" s="22"/>
      <c r="G84" s="28" t="str">
        <f aca="false">IF(D84="","",A84&amp;" | "&amp;D84)</f>
        <v/>
      </c>
    </row>
    <row r="85" customFormat="false" ht="15" hidden="false" customHeight="false" outlineLevel="0" collapsed="false">
      <c r="A85" s="22"/>
      <c r="B85" s="22"/>
      <c r="C85" s="22"/>
      <c r="D85" s="22"/>
      <c r="E85" s="22"/>
      <c r="F85" s="22"/>
      <c r="G85" s="28" t="str">
        <f aca="false">IF(D85="","",A85&amp;" | "&amp;D85)</f>
        <v/>
      </c>
    </row>
    <row r="86" customFormat="false" ht="15" hidden="false" customHeight="false" outlineLevel="0" collapsed="false">
      <c r="A86" s="22"/>
      <c r="B86" s="22"/>
      <c r="C86" s="22"/>
      <c r="D86" s="22"/>
      <c r="E86" s="22"/>
      <c r="F86" s="22"/>
      <c r="G86" s="28" t="str">
        <f aca="false">IF(D86="","",A86&amp;" | "&amp;D86)</f>
        <v/>
      </c>
    </row>
    <row r="87" customFormat="false" ht="15" hidden="false" customHeight="false" outlineLevel="0" collapsed="false">
      <c r="A87" s="22"/>
      <c r="B87" s="22"/>
      <c r="C87" s="22"/>
      <c r="D87" s="22"/>
      <c r="E87" s="22"/>
      <c r="F87" s="22"/>
      <c r="G87" s="28" t="str">
        <f aca="false">IF(D87="","",A87&amp;" | "&amp;D87)</f>
        <v/>
      </c>
    </row>
    <row r="88" customFormat="false" ht="15" hidden="false" customHeight="false" outlineLevel="0" collapsed="false">
      <c r="A88" s="22"/>
      <c r="B88" s="22"/>
      <c r="C88" s="22"/>
      <c r="D88" s="22"/>
      <c r="E88" s="22"/>
      <c r="F88" s="22"/>
      <c r="G88" s="28" t="str">
        <f aca="false">IF(D88="","",A88&amp;" | "&amp;D88)</f>
        <v/>
      </c>
    </row>
    <row r="89" customFormat="false" ht="15" hidden="false" customHeight="false" outlineLevel="0" collapsed="false">
      <c r="A89" s="22"/>
      <c r="B89" s="22"/>
      <c r="C89" s="22"/>
      <c r="D89" s="22"/>
      <c r="E89" s="22"/>
      <c r="F89" s="22"/>
      <c r="G89" s="28" t="str">
        <f aca="false">IF(D89="","",A89&amp;" | "&amp;D89)</f>
        <v/>
      </c>
    </row>
    <row r="90" customFormat="false" ht="15" hidden="false" customHeight="false" outlineLevel="0" collapsed="false">
      <c r="A90" s="22"/>
      <c r="B90" s="22"/>
      <c r="C90" s="22"/>
      <c r="D90" s="22"/>
      <c r="E90" s="22"/>
      <c r="F90" s="22"/>
      <c r="G90" s="28" t="str">
        <f aca="false">IF(D90="","",A90&amp;" | "&amp;D90)</f>
        <v/>
      </c>
    </row>
    <row r="91" customFormat="false" ht="15" hidden="false" customHeight="false" outlineLevel="0" collapsed="false">
      <c r="A91" s="22"/>
      <c r="B91" s="22"/>
      <c r="C91" s="22"/>
      <c r="D91" s="22"/>
      <c r="E91" s="22"/>
      <c r="F91" s="22"/>
      <c r="G91" s="28" t="str">
        <f aca="false">IF(D91="","",A91&amp;" | "&amp;D91)</f>
        <v/>
      </c>
    </row>
    <row r="92" customFormat="false" ht="15" hidden="false" customHeight="false" outlineLevel="0" collapsed="false">
      <c r="A92" s="22"/>
      <c r="B92" s="22"/>
      <c r="C92" s="22"/>
      <c r="D92" s="22"/>
      <c r="E92" s="22"/>
      <c r="F92" s="22"/>
      <c r="G92" s="28" t="str">
        <f aca="false">IF(D92="","",A92&amp;" | "&amp;D92)</f>
        <v/>
      </c>
    </row>
    <row r="93" customFormat="false" ht="15" hidden="false" customHeight="false" outlineLevel="0" collapsed="false">
      <c r="A93" s="22"/>
      <c r="B93" s="22"/>
      <c r="C93" s="22"/>
      <c r="D93" s="22"/>
      <c r="E93" s="22"/>
      <c r="F93" s="22"/>
      <c r="G93" s="28" t="str">
        <f aca="false">IF(D93="","",A93&amp;" | "&amp;D93)</f>
        <v/>
      </c>
    </row>
    <row r="94" customFormat="false" ht="15" hidden="false" customHeight="false" outlineLevel="0" collapsed="false">
      <c r="A94" s="22"/>
      <c r="B94" s="22"/>
      <c r="C94" s="22"/>
      <c r="D94" s="22"/>
      <c r="E94" s="22"/>
      <c r="F94" s="22"/>
      <c r="G94" s="28" t="str">
        <f aca="false">IF(D94="","",A94&amp;" | "&amp;D94)</f>
        <v/>
      </c>
    </row>
  </sheetData>
  <mergeCells count="2">
    <mergeCell ref="A1:G1"/>
    <mergeCell ref="A2:G2"/>
  </mergeCells>
  <dataValidations count="1">
    <dataValidation allowBlank="true" errorStyle="stop" operator="between" showDropDown="false" showErrorMessage="false" showInputMessage="false" sqref="C5:C94" type="list">
      <formula1>"Rookie,Contender,Challenger,Champion"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2026-10-21T03:23:48Z</dcterms:created>
  <dc:creator>openpyxl</dc:creator>
  <dc:description/>
  <dc:language>en-US</dc:language>
  <cp:lastModifiedBy/>
  <dcterms:modified xsi:type="dcterms:W3CDTF">2026-10-21T03:23:49Z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