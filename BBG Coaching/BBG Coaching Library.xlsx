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lasses" sheetId="2" state="visible" r:id="rId4"/>
    <sheet name="Lesson Plans" sheetId="3" state="visible" r:id="rId5"/>
    <sheet name="Drills" sheetId="4" state="visible" r:id="rId6"/>
    <sheet name="Safety" sheetId="5" state="visible" r:id="rId7"/>
    <sheet name="Lists" sheetId="6" state="hidden" r:id="rId8"/>
  </sheets>
  <definedNames>
    <definedName function="false" hidden="true" localSheetId="3" name="_xlnm._FilterDatabase" vbProcedure="false">Drills!$A$4:$K$127</definedName>
    <definedName function="false" hidden="true" localSheetId="2" name="_xlnm._FilterDatabase" vbProcedure="false">'Lesson Plans'!$A$4:$S$100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<sst xmlns="http://schemas.openxmlformats.org/spreadsheetml/2006/main" count="1445" uniqueCount="757">
  <si>
    <t xml:space="preserve">BBG COACHING LIBRARY</t>
  </si>
  <si>
    <t xml:space="preserve">Class profiles, a drill library and 4-week lesson plans for every class on the schedule, with the safety rules every coach follows.</t>
  </si>
  <si>
    <t xml:space="preserve">1</t>
  </si>
  <si>
    <t xml:space="preserve">Classes</t>
  </si>
  <si>
    <t xml:space="preserve">Every class on the Gymdesk schedule: length, ages, the contact allowed and the focus. Cody sets the contact rules; the lesson plans check against them.</t>
  </si>
  <si>
    <t xml:space="preserve">2</t>
  </si>
  <si>
    <t xml:space="preserve">Drills</t>
  </si>
  <si>
    <t xml:space="preserve">63 drills: how to run each one, coaching points, safety, ages, contact level, equipment and minutes. Add your own at the bottom.</t>
  </si>
  <si>
    <t xml:space="preserve">3</t>
  </si>
  <si>
    <t xml:space="preserve">Lesson Plans</t>
  </si>
  <si>
    <t xml:space="preserve">A 4-week block for each class, six slots per class: warm-up, two skills, a pad or partner drill, a game or live round, and a finisher. Pick drills from the dropdowns; the Check column flags a plan that runs over time, uses a drill for older ages, or uses more contact than the class allows. In an all-ages class it says 'split by age' when some drills are for older athletes, so younger kids do their own version.</t>
  </si>
  <si>
    <t xml:space="preserve">4</t>
  </si>
  <si>
    <t xml:space="preserve">Safety</t>
  </si>
  <si>
    <t xml:space="preserve">The rules every coach follows (Rowan's Law, the Rule of Two, youth contact limits, what to do after a hit to the head), with sources. Read it before coaching kids.</t>
  </si>
  <si>
    <t xml:space="preserve">5</t>
  </si>
  <si>
    <t xml:space="preserve">With Claude</t>
  </si>
  <si>
    <t xml:space="preserve">The bbg-coach skill uses this sheet: "plan Wednesday's kids boxing", "a 4-week wrestling block on takedowns", "a sub-coach sheet for Thursday", "a parent update for the kids class".</t>
  </si>
  <si>
    <t xml:space="preserve">6</t>
  </si>
  <si>
    <t xml:space="preserve">Who decides</t>
  </si>
  <si>
    <t xml:space="preserve">Cody, the head coach at every class, decides what's taught and who spars. These plans are starting points, not rules from a sport body: check the Safety tab and your coaching certification.</t>
  </si>
  <si>
    <t xml:space="preserve">Contact levels</t>
  </si>
  <si>
    <t xml:space="preserve">None</t>
  </si>
  <si>
    <t xml:space="preserve">Solo work: shadowboxing, footwork, movement</t>
  </si>
  <si>
    <t xml:space="preserve">Pads/bag</t>
  </si>
  <si>
    <t xml:space="preserve">Hitting pads, shields or bags held by a coach or partner</t>
  </si>
  <si>
    <t xml:space="preserve">Partner drilling</t>
  </si>
  <si>
    <t xml:space="preserve">Cooperative partner work with no strikes: drilling a takedown, a sweep, glove-tap games</t>
  </si>
  <si>
    <t xml:space="preserve">Live grappling</t>
  </si>
  <si>
    <t xml:space="preserve">Live wrestling or grappling, matched by size, coach watching</t>
  </si>
  <si>
    <t xml:space="preserve">Light touch (body)</t>
  </si>
  <si>
    <t xml:space="preserve">Light touches to the body only, coach watching every pair</t>
  </si>
  <si>
    <t xml:space="preserve">Controlled sparring</t>
  </si>
  <si>
    <t xml:space="preserve">Sparring with head contact: Competition Class only, Cody's OK, full gear</t>
  </si>
  <si>
    <t xml:space="preserve">Colours</t>
  </si>
  <si>
    <t xml:space="preserve">Yellow, blue text</t>
  </si>
  <si>
    <t xml:space="preserve">You type or pick here</t>
  </si>
  <si>
    <t xml:space="preserve">Black, bold</t>
  </si>
  <si>
    <t xml:space="preserve">Calculated: don't type over it</t>
  </si>
  <si>
    <t xml:space="preserve">CLASSES</t>
  </si>
  <si>
    <t xml:space="preserve">From the Gymdesk schedule and Cody's answers (October 2026). Change the contact allowed, youngest age or age groups here and every lesson plan re-checks.</t>
  </si>
  <si>
    <t xml:space="preserve">Class</t>
  </si>
  <si>
    <t xml:space="preserve">Day and time</t>
  </si>
  <si>
    <t xml:space="preserve">Minutes</t>
  </si>
  <si>
    <t xml:space="preserve">Ages</t>
  </si>
  <si>
    <t xml:space="preserve">Youngest age</t>
  </si>
  <si>
    <t xml:space="preserve">Contact allowed (separate with ;)</t>
  </si>
  <si>
    <t xml:space="preserve">Focus</t>
  </si>
  <si>
    <t xml:space="preserve">Coach (first name)</t>
  </si>
  <si>
    <t xml:space="preserve">Splits into age groups?</t>
  </si>
  <si>
    <t xml:space="preserve">Kids Boxing</t>
  </si>
  <si>
    <t xml:space="preserve">Wed 5:15-6:15 PM</t>
  </si>
  <si>
    <t xml:space="preserve">Kids 4-10</t>
  </si>
  <si>
    <t xml:space="preserve">None;Pads/bag;Partner drilling</t>
  </si>
  <si>
    <t xml:space="preserve">Stance, guard, footwork, straight punches on pads, fun games. No partner punching. Kids from about 4: short, play-based drills for the youngest.</t>
  </si>
  <si>
    <t xml:space="preserve">Cody</t>
  </si>
  <si>
    <t xml:space="preserve">No</t>
  </si>
  <si>
    <t xml:space="preserve">Wrestling</t>
  </si>
  <si>
    <t xml:space="preserve">Mon 3:20-4:00 PM</t>
  </si>
  <si>
    <t xml:space="preserve">Kids and youth</t>
  </si>
  <si>
    <t xml:space="preserve">None;Partner drilling;Live grappling</t>
  </si>
  <si>
    <t xml:space="preserve">Stance and motion, safe falling, takedowns, pins, games.</t>
  </si>
  <si>
    <t xml:space="preserve">Cody (Sean and Jordan help)</t>
  </si>
  <si>
    <t xml:space="preserve">Boxing 11-14</t>
  </si>
  <si>
    <t xml:space="preserve">Thu 4:00-5:00 PM</t>
  </si>
  <si>
    <t xml:space="preserve">Youth 11-14</t>
  </si>
  <si>
    <t xml:space="preserve">None;Pads/bag;Light touch (body)</t>
  </si>
  <si>
    <t xml:space="preserve">Technique and combinations on pads and bags; body-only touch drills with a coach watching.</t>
  </si>
  <si>
    <t xml:space="preserve">Boxing</t>
  </si>
  <si>
    <t xml:space="preserve">Mon and Wed 4:00-5:00 PM</t>
  </si>
  <si>
    <t xml:space="preserve">All ages, from about 4</t>
  </si>
  <si>
    <t xml:space="preserve">Fitness and technique for every age: footwork, combinations, defence, bag rounds. Kids work in their own group for anything above their age.</t>
  </si>
  <si>
    <t xml:space="preserve">Yes</t>
  </si>
  <si>
    <t xml:space="preserve">Women's Boxing</t>
  </si>
  <si>
    <t xml:space="preserve">Wed 7:00-7:45 PM, Thu 6:00-6:45 PM</t>
  </si>
  <si>
    <t xml:space="preserve">Women and girls 16+</t>
  </si>
  <si>
    <t xml:space="preserve">A welcoming, women-only class: technique, pads, bag circuits, confidence.</t>
  </si>
  <si>
    <t xml:space="preserve">Kickboxing</t>
  </si>
  <si>
    <t xml:space="preserve">Thu 7:00-8:00 PM</t>
  </si>
  <si>
    <t xml:space="preserve">Teens and adults</t>
  </si>
  <si>
    <t xml:space="preserve">Punches and kicks on pads and shields, combinations, conditioning.</t>
  </si>
  <si>
    <t xml:space="preserve">Jiu-Jitsu (no-gi)</t>
  </si>
  <si>
    <t xml:space="preserve">Tue 4:00-6:00 PM</t>
  </si>
  <si>
    <t xml:space="preserve">Ages 12+</t>
  </si>
  <si>
    <t xml:space="preserve">Escapes, guard, passing, submissions with the tap rule, positional sparring. Under-16s only do the submissions Ontario allows at their age.</t>
  </si>
  <si>
    <t xml:space="preserve">MMA</t>
  </si>
  <si>
    <t xml:space="preserve">Fri 4:00-5:00 PM</t>
  </si>
  <si>
    <t xml:space="preserve">None;Pads/bag;Partner drilling;Live grappling;Light touch (body)</t>
  </si>
  <si>
    <t xml:space="preserve">Putting striking and grappling together: level changes, clinch, get-ups. No strikes to the head or face for anyone under 19.</t>
  </si>
  <si>
    <t xml:space="preserve">Competition Class</t>
  </si>
  <si>
    <t xml:space="preserve">Fri 5:00-6:00 PM</t>
  </si>
  <si>
    <t xml:space="preserve">Invited by Cody (adults; under 18 only with Cody's and a parent's OK)</t>
  </si>
  <si>
    <t xml:space="preserve">None;Pads/bag;Partner drilling;Live grappling;Light touch (body);Controlled sparring</t>
  </si>
  <si>
    <t xml:space="preserve">Fight preparation for athletes Cody picks. Sparring only with his OK.</t>
  </si>
  <si>
    <t xml:space="preserve">Yoga (Tue 6:15-7:00 PM) is run by its own instructor and isn't covered here.</t>
  </si>
  <si>
    <t xml:space="preserve">Splits into age groups? Yes = an all-ages class. Drills above the youngest age are fine, but younger kids do a drill for their age at the same time (the Check says 'split by age').</t>
  </si>
  <si>
    <t xml:space="preserve">Gym equipment (Cody, Oct 2026): Heavy bags, Focus mitts, Thai pads and kick shields, Wrestling mats, Gloves to lend, Headgear, Agility ladders and cones, Medicine balls, Battle ropes. Not at BBG: boxing ring, cage, skipping ropes. Plans only use this gear.</t>
  </si>
  <si>
    <t xml:space="preserve">LESSON PLANS</t>
  </si>
  <si>
    <t xml:space="preserve">Pick a drill for each slot. Minutes fill in from the drill (type over to change). Check flags plans that run long, use a drill meant for older athletes, or use more contact than the class allows. Amber split by age means an all-ages class runs that drill in age groups.</t>
  </si>
  <si>
    <t xml:space="preserve">Week</t>
  </si>
  <si>
    <t xml:space="preserve">Theme</t>
  </si>
  <si>
    <t xml:space="preserve">Warm-up</t>
  </si>
  <si>
    <t xml:space="preserve">Min</t>
  </si>
  <si>
    <t xml:space="preserve">Skill 1</t>
  </si>
  <si>
    <t xml:space="preserve">Skill 2</t>
  </si>
  <si>
    <t xml:space="preserve">Pads or partner</t>
  </si>
  <si>
    <t xml:space="preserve">Game or live</t>
  </si>
  <si>
    <t xml:space="preserve">Finish / cool-down</t>
  </si>
  <si>
    <t xml:space="preserve">Total</t>
  </si>
  <si>
    <t xml:space="preserve">Class min</t>
  </si>
  <si>
    <t xml:space="preserve">Check</t>
  </si>
  <si>
    <t xml:space="preserve">Notes</t>
  </si>
  <si>
    <t xml:space="preserve">Youngest</t>
  </si>
  <si>
    <t xml:space="preserve">Allowed</t>
  </si>
  <si>
    <t xml:space="preserve">Code 1</t>
  </si>
  <si>
    <t xml:space="preserve">Code 2</t>
  </si>
  <si>
    <t xml:space="preserve">Code 3</t>
  </si>
  <si>
    <t xml:space="preserve">Code 4</t>
  </si>
  <si>
    <t xml:space="preserve">Code 5</t>
  </si>
  <si>
    <t xml:space="preserve">Code 6</t>
  </si>
  <si>
    <t xml:space="preserve">Splits</t>
  </si>
  <si>
    <t xml:space="preserve">Stance and guard</t>
  </si>
  <si>
    <t xml:space="preserve">Animal walks</t>
  </si>
  <si>
    <t xml:space="preserve">Step-drag footwork</t>
  </si>
  <si>
    <t xml:space="preserve">Pad target game</t>
  </si>
  <si>
    <t xml:space="preserve">Follow the leader footwork</t>
  </si>
  <si>
    <t xml:space="preserve">Cool-down stretch and breathing</t>
  </si>
  <si>
    <t xml:space="preserve">The jab</t>
  </si>
  <si>
    <t xml:space="preserve">Dynamic warm-up</t>
  </si>
  <si>
    <t xml:space="preserve">Jab on pads</t>
  </si>
  <si>
    <t xml:space="preserve">Footwork ladder and cones</t>
  </si>
  <si>
    <t xml:space="preserve">Heavy bag rounds</t>
  </si>
  <si>
    <t xml:space="preserve">Relay races</t>
  </si>
  <si>
    <t xml:space="preserve">Jab and cross</t>
  </si>
  <si>
    <t xml:space="preserve">Jump rope</t>
  </si>
  <si>
    <t xml:space="preserve">1-2 on pads</t>
  </si>
  <si>
    <t xml:space="preserve">Slips and review</t>
  </si>
  <si>
    <t xml:space="preserve">Slip line</t>
  </si>
  <si>
    <t xml:space="preserve">Stance and safe falling</t>
  </si>
  <si>
    <t xml:space="preserve">Grappling movement warm-up</t>
  </si>
  <si>
    <t xml:space="preserve">Breakfalls</t>
  </si>
  <si>
    <t xml:space="preserve">Stance and motion</t>
  </si>
  <si>
    <t xml:space="preserve">Sprawl drill</t>
  </si>
  <si>
    <t xml:space="preserve">Knee tag</t>
  </si>
  <si>
    <t xml:space="preserve">Penetration step</t>
  </si>
  <si>
    <t xml:space="preserve">Sumo push</t>
  </si>
  <si>
    <t xml:space="preserve">Live wrestling from the knees</t>
  </si>
  <si>
    <t xml:space="preserve">Pins</t>
  </si>
  <si>
    <t xml:space="preserve">Half nelson turn</t>
  </si>
  <si>
    <t xml:space="preserve">Turtle flip</t>
  </si>
  <si>
    <t xml:space="preserve">Review and games</t>
  </si>
  <si>
    <t xml:space="preserve">Fundamentals</t>
  </si>
  <si>
    <t xml:space="preserve">Combinations</t>
  </si>
  <si>
    <t xml:space="preserve">1-2-3 on pads</t>
  </si>
  <si>
    <t xml:space="preserve">Coach-called combinations</t>
  </si>
  <si>
    <t xml:space="preserve">Bob and weave under the rope</t>
  </si>
  <si>
    <t xml:space="preserve">Defence</t>
  </si>
  <si>
    <t xml:space="preserve">Body-only partner touch</t>
  </si>
  <si>
    <t xml:space="preserve">Putting it together</t>
  </si>
  <si>
    <t xml:space="preserve">Body-weight intervals</t>
  </si>
  <si>
    <t xml:space="preserve">Hooks and uppercuts</t>
  </si>
  <si>
    <t xml:space="preserve">Shadowboxing round</t>
  </si>
  <si>
    <t xml:space="preserve">Uppercuts on pads</t>
  </si>
  <si>
    <t xml:space="preserve">Bag and body-weight circuit</t>
  </si>
  <si>
    <t xml:space="preserve">Pad defense feeds</t>
  </si>
  <si>
    <t xml:space="preserve">Combinations and conditioning</t>
  </si>
  <si>
    <t xml:space="preserve">Power and confidence</t>
  </si>
  <si>
    <t xml:space="preserve">Kicks 101</t>
  </si>
  <si>
    <t xml:space="preserve">Teep on the shield</t>
  </si>
  <si>
    <t xml:space="preserve">Roundhouse to the body shield</t>
  </si>
  <si>
    <t xml:space="preserve">Switch kick</t>
  </si>
  <si>
    <t xml:space="preserve">Jab-cross-kick on pads</t>
  </si>
  <si>
    <t xml:space="preserve">Battle rope intervals</t>
  </si>
  <si>
    <t xml:space="preserve">Low-kick checks (slow)</t>
  </si>
  <si>
    <t xml:space="preserve">Fight fit</t>
  </si>
  <si>
    <t xml:space="preserve">Mount escapes</t>
  </si>
  <si>
    <t xml:space="preserve">Tap practice</t>
  </si>
  <si>
    <t xml:space="preserve">Mount escape: bridge and roll</t>
  </si>
  <si>
    <t xml:space="preserve">Mount escape: elbow-knee</t>
  </si>
  <si>
    <t xml:space="preserve">Positional sparring: guard vs pass</t>
  </si>
  <si>
    <t xml:space="preserve">Guard</t>
  </si>
  <si>
    <t xml:space="preserve">Shrimp chains</t>
  </si>
  <si>
    <t xml:space="preserve">Guard retention frames</t>
  </si>
  <si>
    <t xml:space="preserve">Scissor sweep</t>
  </si>
  <si>
    <t xml:space="preserve">Passing</t>
  </si>
  <si>
    <t xml:space="preserve">Technical stand-up</t>
  </si>
  <si>
    <t xml:space="preserve">Toreando pass</t>
  </si>
  <si>
    <t xml:space="preserve">Submissions</t>
  </si>
  <si>
    <t xml:space="preserve">Armbar from mount</t>
  </si>
  <si>
    <t xml:space="preserve">Rear naked choke from the back</t>
  </si>
  <si>
    <t xml:space="preserve">Strike to takedown</t>
  </si>
  <si>
    <t xml:space="preserve">Sprawl and strike shadow</t>
  </si>
  <si>
    <t xml:space="preserve">Strike to level change on pads</t>
  </si>
  <si>
    <t xml:space="preserve">Pummeling for underhooks</t>
  </si>
  <si>
    <t xml:space="preserve">Clinch positional sparring</t>
  </si>
  <si>
    <t xml:space="preserve">Takedowns</t>
  </si>
  <si>
    <t xml:space="preserve">Double-leg takedown (drill)</t>
  </si>
  <si>
    <t xml:space="preserve">Against the wall</t>
  </si>
  <si>
    <t xml:space="preserve">Wall walk get-up</t>
  </si>
  <si>
    <t xml:space="preserve">Defence under pressure</t>
  </si>
  <si>
    <t xml:space="preserve">Controlled technical sparring</t>
  </si>
  <si>
    <t xml:space="preserve">Takedown defence</t>
  </si>
  <si>
    <t xml:space="preserve">Ground game</t>
  </si>
  <si>
    <t xml:space="preserve">Fight week</t>
  </si>
  <si>
    <t xml:space="preserve">DRILLS</t>
  </si>
  <si>
    <t xml:space="preserve">The drill library. Add new drills at the bottom: pick Ages and Contact from the dropdowns so the lesson plans can check them.</t>
  </si>
  <si>
    <t xml:space="preserve">Drill</t>
  </si>
  <si>
    <t xml:space="preserve">Discipline</t>
  </si>
  <si>
    <t xml:space="preserve">Level</t>
  </si>
  <si>
    <t xml:space="preserve">Contact</t>
  </si>
  <si>
    <t xml:space="preserve">Equipment</t>
  </si>
  <si>
    <t xml:space="preserve">How to run it</t>
  </si>
  <si>
    <t xml:space="preserve">Coaching points</t>
  </si>
  <si>
    <t xml:space="preserve">All ages</t>
  </si>
  <si>
    <t xml:space="preserve">Beginner</t>
  </si>
  <si>
    <t xml:space="preserve">Open floor</t>
  </si>
  <si>
    <t xml:space="preserve">Jog, high knees, butt kicks, side shuffles, carioca, leg swings, arm circles, inchworms; then balance (stand on one leg, eyes on the coach, 20 sec each side) and 5 squat jumps landing softly.</t>
  </si>
  <si>
    <t xml:space="preserve">Build from easy to quick. Land quietly with knees over toes.</t>
  </si>
  <si>
    <t xml:space="preserve">Every class starts with this or the grappling warm-up. Water break after.</t>
  </si>
  <si>
    <t xml:space="preserve">Mats or open floor</t>
  </si>
  <si>
    <t xml:space="preserve">Lengths of the mat: bear crawl, crab walk, frog jumps, gorilla shuffle, inchworm. Call the animal; kids race the clock, not each other.</t>
  </si>
  <si>
    <t xml:space="preserve">Hands flat, hips low on bear crawl; head up.</t>
  </si>
  <si>
    <t xml:space="preserve">Space kids out in lanes so nobody collides.</t>
  </si>
  <si>
    <t xml:space="preserve">None: rope-less (BBG has no skipping ropes)</t>
  </si>
  <si>
    <t xml:space="preserve">BBG has no skipping ropes yet, so do it rope-less: same footwork, wrists turning an imaginary rope. Rounds of 1 min (kids) or 2-3 min (teens and adults): two-foot bounce, then alternate feet, then the boxer skip.</t>
  </si>
  <si>
    <t xml:space="preserve">Small jumps on the balls of the feet; wrists turn the rope, not the arms.</t>
  </si>
  <si>
    <t xml:space="preserve">Kids without the timing yet do the footwork with no rope.</t>
  </si>
  <si>
    <t xml:space="preserve">Ages 6+</t>
  </si>
  <si>
    <t xml:space="preserve">Mats</t>
  </si>
  <si>
    <t xml:space="preserve">Lengths of the mat: shrimps (hip escapes), bridges, shoulder rolls forward and back, sprawls, technical stand-ups.</t>
  </si>
  <si>
    <t xml:space="preserve">Shoulder rolls go over the shoulder, never straight over the head and neck.</t>
  </si>
  <si>
    <t xml:space="preserve">Teach the roll from a kneeling start first.</t>
  </si>
  <si>
    <t xml:space="preserve">Back breakfall from sitting, then squatting, then standing: tuck the chin, round the back, slap the mat with both arms. Then side breakfalls.</t>
  </si>
  <si>
    <t xml:space="preserve">Chin tucked the whole time; slap with the whole forearm.</t>
  </si>
  <si>
    <t xml:space="preserve">Every grappling and wrestling class until falling is automatic. Never from height.</t>
  </si>
  <si>
    <t xml:space="preserve">Teens &amp; adults</t>
  </si>
  <si>
    <t xml:space="preserve">Open floor or mirror</t>
  </si>
  <si>
    <t xml:space="preserve">Two 3-minute rounds: round 1 jab and footwork only, round 2 add the cross and head movement.</t>
  </si>
  <si>
    <t xml:space="preserve">Hands back to the face after every punch; breathe out on each shot.</t>
  </si>
  <si>
    <t xml:space="preserve">Space out so arms can't reach anyone.</t>
  </si>
  <si>
    <t xml:space="preserve">Mirror or partner check</t>
  </si>
  <si>
    <t xml:space="preserve">Feet shoulder-width, lead foot forward, rear heel up, knees soft, hands at the cheekbones, elbows in, chin down. Partners check each other.</t>
  </si>
  <si>
    <t xml:space="preserve">Weight on the balls of the feet. Lead toe and rear toe both point slightly in.</t>
  </si>
  <si>
    <t xml:space="preserve">None special.</t>
  </si>
  <si>
    <t xml:space="preserve">Tape lines or cones</t>
  </si>
  <si>
    <t xml:space="preserve">Forward: lead foot steps, rear foot drags the same distance. Back, left and right the same way. Coach calls directions; athletes keep their stance.</t>
  </si>
  <si>
    <t xml:space="preserve">Never cross the feet or bring them together.</t>
  </si>
  <si>
    <t xml:space="preserve">Leave space between lines.</t>
  </si>
  <si>
    <t xml:space="preserve">Agility ladder or cones</t>
  </si>
  <si>
    <t xml:space="preserve">In-and-out, lateral shuffle and pivot patterns through the ladder, finishing each lap with a jab-cross in the air.</t>
  </si>
  <si>
    <t xml:space="preserve">Quick feet, upright posture, guard stays up.</t>
  </si>
  <si>
    <t xml:space="preserve">Kids: make it a relay.</t>
  </si>
  <si>
    <t xml:space="preserve">Gloves, wraps, focus mitts</t>
  </si>
  <si>
    <t xml:space="preserve">Coach holds the lead mitt. Single jabs, then double jabs, then jab-step-jab. 3 rounds of 1-2 min.</t>
  </si>
  <si>
    <t xml:space="preserve">Full extension, turn the fist over, snap it back to the face.</t>
  </si>
  <si>
    <t xml:space="preserve">Wraps and gloves on. Pad holder meets the punch; no swinging at kids.</t>
  </si>
  <si>
    <t xml:space="preserve">Jab then cross. Coach calls '1' or '1-2'; add a step back after each combination.</t>
  </si>
  <si>
    <t xml:space="preserve">Pivot the rear foot and turn the hip on the cross; chin behind the shoulder.</t>
  </si>
  <si>
    <t xml:space="preserve">As above.</t>
  </si>
  <si>
    <t xml:space="preserve">Intermediate</t>
  </si>
  <si>
    <t xml:space="preserve">Jab, cross, lead hook. Then 1-2-3-2. Rounds of 2 min.</t>
  </si>
  <si>
    <t xml:space="preserve">Hook is short with the elbow at shoulder height; pivot the lead foot.</t>
  </si>
  <si>
    <t xml:space="preserve">Pad holder keeps mitts close to their own head only for adults.</t>
  </si>
  <si>
    <t xml:space="preserve">Coach turns the mitts palm-down. Rear uppercut, lead uppercut, then 1-2-uppercut-hook.</t>
  </si>
  <si>
    <t xml:space="preserve">Bend the knees and drive up; don't drop the hand before throwing.</t>
  </si>
  <si>
    <t xml:space="preserve">Short range: holder protects their face.</t>
  </si>
  <si>
    <t xml:space="preserve">Heavy bags, gloves, wraps</t>
  </si>
  <si>
    <t xml:space="preserve">Kids: 1-min rounds, one combination at a time. Teens and adults: 3 rounds of 2-3 min with a call-out combo each round.</t>
  </si>
  <si>
    <t xml:space="preserve">Move around the bag; punch, then move, then punch.</t>
  </si>
  <si>
    <t xml:space="preserve">One athlete per bag side; wraps always.</t>
  </si>
  <si>
    <t xml:space="preserve">A light rope or string tied between two posts at shoulder height (no ring at BBG)</t>
  </si>
  <si>
    <t xml:space="preserve">Walk the rope slipping left and right: slip outside the jab, slip inside the cross. Add a counter jab after each slip.</t>
  </si>
  <si>
    <t xml:space="preserve">Turn the shoulders and bend the knees a little; eyes stay forward.</t>
  </si>
  <si>
    <t xml:space="preserve">A light rope or string tied between two posts at chest height (no ring at BBG)</t>
  </si>
  <si>
    <t xml:space="preserve">Walk the rope ducking under it in a U-shape from side to side, guard up the whole way.</t>
  </si>
  <si>
    <t xml:space="preserve">Bend at the knees, not the waist; come up in stance.</t>
  </si>
  <si>
    <t xml:space="preserve">Kids can do it too at a lower rope height.</t>
  </si>
  <si>
    <t xml:space="preserve">Focus mitts</t>
  </si>
  <si>
    <t xml:space="preserve">Coach throws slow mitt jabs and hooks; athlete slips, rolls or blocks, then counters on the mitt.</t>
  </si>
  <si>
    <t xml:space="preserve">Start slow; the coach controls speed.</t>
  </si>
  <si>
    <t xml:space="preserve">Coach only, never partner-to-partner for beginners.</t>
  </si>
  <si>
    <t xml:space="preserve">Glove tag</t>
  </si>
  <si>
    <t xml:space="preserve">Kids games</t>
  </si>
  <si>
    <t xml:space="preserve">Kids 6-10</t>
  </si>
  <si>
    <t xml:space="preserve">Gloves</t>
  </si>
  <si>
    <t xml:space="preserve">In pairs, try to tap the partner's gloves with your glove while they pull their hands away, staying in stance. 30-second rounds, then swap.</t>
  </si>
  <si>
    <t xml:space="preserve">Feet in stance, quick hands, eyes on the partner.</t>
  </si>
  <si>
    <t xml:space="preserve">Glove-to-glove taps only: no touching the head or body. Coach stops anything rough.</t>
  </si>
  <si>
    <t xml:space="preserve">Coloured or numbered mitts or shields</t>
  </si>
  <si>
    <t xml:space="preserve">Coach holds two mitts and calls a colour or number; kids hit the right one with a jab or cross. Speed it up as they get it right.</t>
  </si>
  <si>
    <t xml:space="preserve">Quick hands back to the face after each shot.</t>
  </si>
  <si>
    <t xml:space="preserve">Coach holds; kids don't hold for each other until they can do it safely.</t>
  </si>
  <si>
    <t xml:space="preserve">Coach (or a kid) leads with boxing steps, pivots and punches in the air; everyone copies. Switch leaders.</t>
  </si>
  <si>
    <t xml:space="preserve">Stance stays the same the whole time.</t>
  </si>
  <si>
    <t xml:space="preserve">Shadowboxing while the coach calls numbers (1, 1-2, 1-2-3, 2-3-2). Add a defensive move after each combination.</t>
  </si>
  <si>
    <t xml:space="preserve">Finish every combination with the hands up and a step out.</t>
  </si>
  <si>
    <t xml:space="preserve">Conditioning</t>
  </si>
  <si>
    <t xml:space="preserve">Heavy bags, timer</t>
  </si>
  <si>
    <t xml:space="preserve">Stations of 45 sec work / 15 sec move: bag combos, squats, bag hooks, push-ups, bag straight punches, mountain climbers. 2-3 rounds.</t>
  </si>
  <si>
    <t xml:space="preserve">Quality first: good stance on the bag even when tired.</t>
  </si>
  <si>
    <t xml:space="preserve">Water between rounds. Scale push-ups to knees.</t>
  </si>
  <si>
    <t xml:space="preserve">Gloves, mouthguards</t>
  </si>
  <si>
    <t xml:space="preserve">Partners in stance; light touches to the body only with the jab, then jab-cross. Coach watches every pair.</t>
  </si>
  <si>
    <t xml:space="preserve">Touch, don't hit. Guard up, feet moving.</t>
  </si>
  <si>
    <t xml:space="preserve">Body only, light, coach-supervised; stop if anyone speeds up. Follow the gym's youth contact rules.</t>
  </si>
  <si>
    <t xml:space="preserve">Adults</t>
  </si>
  <si>
    <t xml:space="preserve">Advanced</t>
  </si>
  <si>
    <t xml:space="preserve">Headgear, mouthguard, 14-16 oz gloves, groin protector</t>
  </si>
  <si>
    <t xml:space="preserve">Competition Class only, with Cody's OK: rounds at an agreed pace (technical, not hard), matched by size and experience, coach right beside the pair.</t>
  </si>
  <si>
    <t xml:space="preserve">Work the plan from class; defence first.</t>
  </si>
  <si>
    <t xml:space="preserve">Only athletes Cody approves, with a certified coach supervising. Stop at once for any sign of a head injury and follow the Rowan's Law removal steps. MMA: no head strikes for anyone under 19.</t>
  </si>
  <si>
    <t xml:space="preserve">Kick shields</t>
  </si>
  <si>
    <t xml:space="preserve">Lead-leg push kick into a held shield, then rear-leg. Add a step-in teep.</t>
  </si>
  <si>
    <t xml:space="preserve">Knee up first, push with the ball of the foot, hips forward, return to stance.</t>
  </si>
  <si>
    <t xml:space="preserve">Holder braces with the shield against the body, not the arms.</t>
  </si>
  <si>
    <t xml:space="preserve">Rear-leg roundhouse into a shield held at the ribs. 10 each side, then off a jab.</t>
  </si>
  <si>
    <t xml:space="preserve">Pivot on the ball of the base foot, turn the hip over, strike with the shin.</t>
  </si>
  <si>
    <t xml:space="preserve">Holder stands side-on and braces.</t>
  </si>
  <si>
    <t xml:space="preserve">Kick shields or Thai pads</t>
  </si>
  <si>
    <t xml:space="preserve">Quick switch of the feet, then a lead-side roundhouse to the shield.</t>
  </si>
  <si>
    <t xml:space="preserve">Small switch, hands up during the switch.</t>
  </si>
  <si>
    <t xml:space="preserve">Thai pads or shield</t>
  </si>
  <si>
    <t xml:space="preserve">1-2 then rear roundhouse to the body; then 1-2-lead hook-rear kick.</t>
  </si>
  <si>
    <t xml:space="preserve">The cross loads the hip for the kick.</t>
  </si>
  <si>
    <t xml:space="preserve">Holder calls the combination and controls the pace.</t>
  </si>
  <si>
    <t xml:space="preserve">None (no contact: the kick stops short)</t>
  </si>
  <si>
    <t xml:space="preserve">Partner throws a slow low kick that stops short of the thigh; the other lifts the shin to check. Swap every 10.</t>
  </si>
  <si>
    <t xml:space="preserve">Knee up and turned out; hands stay up.</t>
  </si>
  <si>
    <t xml:space="preserve">No contact: the kick stops short. Shin-to-shin contact only with shin guards (BBG doesn't have them) and Cody's OK.</t>
  </si>
  <si>
    <t xml:space="preserve">Wrestling stance (knees bent, back straight, head up, hands in front). Move forward, back, circle, and sprawl on the whistle.</t>
  </si>
  <si>
    <t xml:space="preserve">Head up, hips under the shoulders, short steps.</t>
  </si>
  <si>
    <t xml:space="preserve">Level change, step deep with the lead foot, drop the lead knee to the mat, bring the back foot up. Kids start from the knees.</t>
  </si>
  <si>
    <t xml:space="preserve">Back straight, head up; the knee goes down softly.</t>
  </si>
  <si>
    <t xml:space="preserve">Mats only. Knee pads if anyone has sore knees.</t>
  </si>
  <si>
    <t xml:space="preserve">From stance, shoot the legs back and drop the hips to the mat on the whistle, then back to stance. 10-20 reps.</t>
  </si>
  <si>
    <t xml:space="preserve">Hips heavy, hands down in front, head up.</t>
  </si>
  <si>
    <t xml:space="preserve">Land on the hips, not the knees.</t>
  </si>
  <si>
    <t xml:space="preserve">Hand fighting</t>
  </si>
  <si>
    <t xml:space="preserve">In pairs: inside tie (hand on the biceps), wrist control, inside control. 30-second rounds trying to win the hand position.</t>
  </si>
  <si>
    <t xml:space="preserve">Control the wrists, keep the elbows in.</t>
  </si>
  <si>
    <t xml:space="preserve">No grabbing the head or neck, no slaps.</t>
  </si>
  <si>
    <t xml:space="preserve">Penetration step into the hips, hands behind the knees, drive and turn the corner. Partner breakfalls. 5 each, slow, then faster.</t>
  </si>
  <si>
    <t xml:space="preserve">Head on the outside, drive through, don't lift.</t>
  </si>
  <si>
    <t xml:space="preserve">Partner who falls must know breakfalls. No lifting and slamming.</t>
  </si>
  <si>
    <t xml:space="preserve">Single-leg and finish</t>
  </si>
  <si>
    <t xml:space="preserve">Shoot to a single leg, head inside, then finish by running the pipe (turning the corner).</t>
  </si>
  <si>
    <t xml:space="preserve">Head up, hips in, keep the leg tight to the chest.</t>
  </si>
  <si>
    <t xml:space="preserve">Finish to the mat under control; no slams.</t>
  </si>
  <si>
    <t xml:space="preserve">Stand-up from bottom</t>
  </si>
  <si>
    <t xml:space="preserve">From referee's position on the bottom: base, stand up, hand control, turn to face.</t>
  </si>
  <si>
    <t xml:space="preserve">Back to the partner's chest, control the hands, then turn.</t>
  </si>
  <si>
    <t xml:space="preserve">Top partner gives light resistance.</t>
  </si>
  <si>
    <t xml:space="preserve">From the top: breakdown, then a half nelson on the far arm to turn the opponent to the back for a pin.</t>
  </si>
  <si>
    <t xml:space="preserve">Pressure goes through the shoulder, not the head or neck.</t>
  </si>
  <si>
    <t xml:space="preserve">A half nelson is legal; full and three-quarter nelsons are banned for kids. Never crank the neck; no forcing.</t>
  </si>
  <si>
    <t xml:space="preserve">In pairs, in wrestling stance, try to tag the partner's knees while protecting your own. 30-second rounds.</t>
  </si>
  <si>
    <t xml:space="preserve">Stay in stance, move the feet, hands down to defend.</t>
  </si>
  <si>
    <t xml:space="preserve">Tags only; no grabbing.</t>
  </si>
  <si>
    <t xml:space="preserve">Mats, a marked circle</t>
  </si>
  <si>
    <t xml:space="preserve">Partners push chest-to-chest or hand-to-shoulder to move each other out of a circle. No throws.</t>
  </si>
  <si>
    <t xml:space="preserve">Low stance, drive with the legs.</t>
  </si>
  <si>
    <t xml:space="preserve">Match kids by size. Stop when one steps out.</t>
  </si>
  <si>
    <t xml:space="preserve">Start on the knees facing each other; first to get behind wins the point. 30-60-second goes, matched by size.</t>
  </si>
  <si>
    <t xml:space="preserve">Use the moves from class.</t>
  </si>
  <si>
    <t xml:space="preserve">Coach matches by size and age, watches every pair, and stops for unsafe holds.</t>
  </si>
  <si>
    <t xml:space="preserve">Jiu-jitsu</t>
  </si>
  <si>
    <t xml:space="preserve">Lengths of the mat hip-escaping, both sides.</t>
  </si>
  <si>
    <t xml:space="preserve">Push off the foot, move the hips away, frame with the arms.</t>
  </si>
  <si>
    <t xml:space="preserve">From sitting: post a hand behind, the opposite foot in front, lift the hips and swing the leg back to stand in base.</t>
  </si>
  <si>
    <t xml:space="preserve">Front hand protects the face the whole time.</t>
  </si>
  <si>
    <t xml:space="preserve">Practise tapping: hand on the partner or the mat, three times, and say 'tap'. Partner lets go at once.</t>
  </si>
  <si>
    <t xml:space="preserve">Tap early. Letting go at once is as important as tapping.</t>
  </si>
  <si>
    <t xml:space="preserve">Every grappling class with kids or beginners.</t>
  </si>
  <si>
    <t xml:space="preserve">Trap an arm and the same-side foot, bridge high over the shoulder and roll to the top.</t>
  </si>
  <si>
    <t xml:space="preserve">Bridge onto the shoulder, not straight up.</t>
  </si>
  <si>
    <t xml:space="preserve">Top partner lets themselves be rolled at first.</t>
  </si>
  <si>
    <t xml:space="preserve">Frame on the hip, shrimp, and slide the knee under to recover half guard, then full guard.</t>
  </si>
  <si>
    <t xml:space="preserve">Elbows tight; small shrimps.</t>
  </si>
  <si>
    <t xml:space="preserve">Light resistance only.</t>
  </si>
  <si>
    <t xml:space="preserve">Partner walks around the guard; bottom player frames on the shoulder and hip, hip-escapes and keeps the knees between.</t>
  </si>
  <si>
    <t xml:space="preserve">Feet on the hips, knees in, keep turning to face.</t>
  </si>
  <si>
    <t xml:space="preserve">Slow first.</t>
  </si>
  <si>
    <t xml:space="preserve">From closed guard: control a wrist and the opposite elbow, shin across the belly, chop the near leg and sweep to mount.</t>
  </si>
  <si>
    <t xml:space="preserve">Pull the partner forward first, then scissor.</t>
  </si>
  <si>
    <t xml:space="preserve">Partner falls to the side under control.</t>
  </si>
  <si>
    <t xml:space="preserve">Grip the pants or knees, push the legs to one side and step around to side control.</t>
  </si>
  <si>
    <t xml:space="preserve">Move the hips around fast; chest down once past.</t>
  </si>
  <si>
    <t xml:space="preserve">From mount: isolate an arm, step around the head, fall back with the knees pinched and the thumb up. Apply slowly.</t>
  </si>
  <si>
    <t xml:space="preserve">Hips under the elbow; apply slowly and stop at the tap.</t>
  </si>
  <si>
    <t xml:space="preserve">Slow pressure, tap rule enforced. Ontario's youth grappling rules allow the straight armbar from age 7; BBG teaches it in Jiu-Jitsu (ages 12+).</t>
  </si>
  <si>
    <t xml:space="preserve">From back control with hooks: arm across the neck, hand to the bicep, other hand behind the head, squeeze slowly.</t>
  </si>
  <si>
    <t xml:space="preserve">Get the elbow under the chin; squeeze slowly.</t>
  </si>
  <si>
    <t xml:space="preserve">Slow pressure, let go at the tap or if the partner goes limp. Ontario's youth grappling rules allow it from age 11; BBG teaches it in Jiu-Jitsu (ages 12+).</t>
  </si>
  <si>
    <t xml:space="preserve">One partner starts in guard. Top player scores by passing; bottom scores by sweeping or standing up. Reset and swap.</t>
  </si>
  <si>
    <t xml:space="preserve">Coach matches by size and experience; watch every pair.</t>
  </si>
  <si>
    <t xml:space="preserve">King of the mat</t>
  </si>
  <si>
    <t xml:space="preserve">From the knees: one kid holds the mat, challengers try to get them on their back or off the mat; winner stays.</t>
  </si>
  <si>
    <t xml:space="preserve">Stay on the knees; use pins, not pulling.</t>
  </si>
  <si>
    <t xml:space="preserve">Match by size; no pulling the head, no submissions.</t>
  </si>
  <si>
    <t xml:space="preserve">One kid in turtle (on knees and elbows); the partner tries to roll them onto the back in 30 seconds.</t>
  </si>
  <si>
    <t xml:space="preserve">Bottom keeps the elbows tight; top works around.</t>
  </si>
  <si>
    <t xml:space="preserve">No grabbing the head or neck.</t>
  </si>
  <si>
    <t xml:space="preserve">Shadowbox; on the whistle sprawl, get back up and throw a 1-2.</t>
  </si>
  <si>
    <t xml:space="preserve">Back up to stance quickly with the hands up.</t>
  </si>
  <si>
    <t xml:space="preserve">Focus mitts, mats</t>
  </si>
  <si>
    <t xml:space="preserve">1-2 on the mitts, then level change and penetration step to the coach's hips (coach blocks with the shield).</t>
  </si>
  <si>
    <t xml:space="preserve">Punches set up the shot; head up on the level change.</t>
  </si>
  <si>
    <t xml:space="preserve">Coach braces; no full takedown on this drill.</t>
  </si>
  <si>
    <t xml:space="preserve">In the clinch, swim the arms inside for underhooks, alternating at an easy pace, then compete for 30 seconds.</t>
  </si>
  <si>
    <t xml:space="preserve">Head on the same side as the underhook; hips close.</t>
  </si>
  <si>
    <t xml:space="preserve">No slamming.</t>
  </si>
  <si>
    <t xml:space="preserve">Mats against a wall (no cage at BBG)</t>
  </si>
  <si>
    <t xml:space="preserve">From sitting against the padded wall: underhook, post a hand, walk the back up the wall to stand, and turn out.</t>
  </si>
  <si>
    <t xml:space="preserve">Keep the head up and the hips close to the wall.</t>
  </si>
  <si>
    <t xml:space="preserve">Padded wall only.</t>
  </si>
  <si>
    <t xml:space="preserve">Ground strikes on the bag</t>
  </si>
  <si>
    <t xml:space="preserve">Heavy bag on the floor, gloves</t>
  </si>
  <si>
    <t xml:space="preserve">Bag on the mat: from the top position throw controlled punches to the bag, posture up, base wide.</t>
  </si>
  <si>
    <t xml:space="preserve">Posture before punching; hips stay heavy.</t>
  </si>
  <si>
    <t xml:space="preserve">Bag only, never a partner in class.</t>
  </si>
  <si>
    <t xml:space="preserve">Start in the clinch: score by taking the back, a takedown or separating to stand. No strikes.</t>
  </si>
  <si>
    <t xml:space="preserve">Win the underhooks first.</t>
  </si>
  <si>
    <t xml:space="preserve">No strikes; coach watches every pair.</t>
  </si>
  <si>
    <t xml:space="preserve">Timer</t>
  </si>
  <si>
    <t xml:space="preserve">8 rounds of 20 sec work, 10 sec rest: squats, push-ups, mountain climbers, burpees (repeat).</t>
  </si>
  <si>
    <t xml:space="preserve">Move well before moving fast.</t>
  </si>
  <si>
    <t xml:space="preserve">Scale every movement; water after.</t>
  </si>
  <si>
    <t xml:space="preserve">Battle ropes, timer</t>
  </si>
  <si>
    <t xml:space="preserve">Rounds of 20 sec on, 40 sec off: two-hand waves, alternating waves, then slams. 4-6 rounds. The partner waiting does squats or holds a plank, then swap.</t>
  </si>
  <si>
    <t xml:space="preserve">Hips back, knees soft, core braced; the power comes from the legs, not just the arms.</t>
  </si>
  <si>
    <t xml:space="preserve">Anchor the rope securely and keep a clear lane on both sides. Stop if the lower back hurts.</t>
  </si>
  <si>
    <t xml:space="preserve">Cones</t>
  </si>
  <si>
    <t xml:space="preserve">Teams race bear crawls, crab walks and sprints to a cone and back.</t>
  </si>
  <si>
    <t xml:space="preserve">Cheer the team; good form counts.</t>
  </si>
  <si>
    <t xml:space="preserve">Lanes well apart.</t>
  </si>
  <si>
    <t xml:space="preserve">Cool-down</t>
  </si>
  <si>
    <t xml:space="preserve">Easy stretches for the hips, hamstrings, shoulders and neck, then 5 slow breaths in through the nose and out through the mouth.</t>
  </si>
  <si>
    <t xml:space="preserve">Gentle; no bouncing.</t>
  </si>
  <si>
    <t xml:space="preserve">Ask how everyone feels before they leave.</t>
  </si>
  <si>
    <t xml:space="preserve">SAFETY</t>
  </si>
  <si>
    <t xml:space="preserve">What every BBG coach follows. From official sources (October 2026). Where a source isn't clear, Cody decides; this isn't legal or medical advice.</t>
  </si>
  <si>
    <t xml:space="preserve">Topic</t>
  </si>
  <si>
    <t xml:space="preserve">Who it's for</t>
  </si>
  <si>
    <t xml:space="preserve">The rule or guidance</t>
  </si>
  <si>
    <t xml:space="preserve">Source</t>
  </si>
  <si>
    <t xml:space="preserve">Everyone</t>
  </si>
  <si>
    <t xml:space="preserve">Cody, the head coach at every class, decides what's taught, who spars and who's matched with whom. These plans and drills are starting points.</t>
  </si>
  <si>
    <t xml:space="preserve">BBG rule (Cody, Oct 20, 2026)</t>
  </si>
  <si>
    <t xml:space="preserve">Head contact for kids</t>
  </si>
  <si>
    <t xml:space="preserve">Under 12</t>
  </si>
  <si>
    <t xml:space="preserve">No strikes to the head in class. Kids boxing is pads, bags, footwork and games; partner work is glove taps or cooperative drilling. (Boxing Canada lets coach-led conditioned sparring start gradually from about age 9-12; Cody decides if and when, with a certified coach.)</t>
  </si>
  <si>
    <t xml:space="preserve">BBG starting rule (Cody to confirm); Boxing Canada LTAD</t>
  </si>
  <si>
    <t xml:space="preserve">Sparring</t>
  </si>
  <si>
    <t xml:space="preserve">Sparring with head contact only in the Competition Class, with Cody's OK, full gear (headgear, mouthguard, gloves) and a coach watching. MMA: no head or face strikes for anyone under 19 (Ontario youth MMA rules, ages 12-18).</t>
  </si>
  <si>
    <t xml:space="preserve">BBG starting rule; Ontario amateur MMA rules</t>
  </si>
  <si>
    <t xml:space="preserve">Wrestling and grappling holds</t>
  </si>
  <si>
    <t xml:space="preserve">Never: slams, back-bending throws, full or three-quarter nelsons, both hands on the neck, neck cranks, heel hooks. Throws only once breakfalls are solid. Youth submissions follow Ontario's no-gi table: straight armbar from 7, kimura from 9, rear naked choke and triangle from 11, the rest from 16.</t>
  </si>
  <si>
    <t xml:space="preserve">Ontario amateur wrestling and grappling rules (2025)</t>
  </si>
  <si>
    <t xml:space="preserve">After a hit to the head</t>
  </si>
  <si>
    <t xml:space="preserve">Any sign of a concussion (headache, dizzy, confused, sick, unsteady): remove them from training right away and don't let them back in that day. Tell a parent for anyone under 18 and tell Cody. Only a doctor or nurse practitioner can clear them to return, and they follow the return-to-sport steps.</t>
  </si>
  <si>
    <t xml:space="preserve">Ontario Rowan's Law</t>
  </si>
  <si>
    <t xml:space="preserve">Designated person</t>
  </si>
  <si>
    <t xml:space="preserve">Every class</t>
  </si>
  <si>
    <t xml:space="preserve">One named person at every class can remove an athlete with a suspected concussion. They've reviewed the concussion awareness resource in the last 12 months (Making Headway recommended). They don't diagnose. At BBG it's Cody for every class (Oct 2026).</t>
  </si>
  <si>
    <t xml:space="preserve">Ontario Rowan's Law; Coaches Association of Ontario; Cody</t>
  </si>
  <si>
    <t xml:space="preserve">Registration and coaches (Rowan's Law)</t>
  </si>
  <si>
    <t xml:space="preserve">Under 26</t>
  </si>
  <si>
    <t xml:space="preserve">Before registering, athletes under 26 and parents of under-18s confirm they've read Ontario's concussion awareness resource (within 12 months) and the Concussion Code of Conduct. Coaches confirm both every year. BBG has this in place (Cody, Oct 2026).</t>
  </si>
  <si>
    <t xml:space="preserve">Coach screening</t>
  </si>
  <si>
    <t xml:space="preserve">Coaches</t>
  </si>
  <si>
    <t xml:space="preserve">Every BBG coach has a vulnerable sector check; some hold NCCP certification (Cody, Oct 2026). New coaches and helpers get a vulnerable sector check before they work with anyone under 18.</t>
  </si>
  <si>
    <t xml:space="preserve">Cody; Coaching Association of Canada, Responsible Coaching Movement</t>
  </si>
  <si>
    <t xml:space="preserve">Rule of Two</t>
  </si>
  <si>
    <t xml:space="preserve">Two screened adults present (a coach plus another coach, staff or parent). No coach alone one-on-one with a child, out of sight. No private messages to minors: group messages that include parents.</t>
  </si>
  <si>
    <t xml:space="preserve">Coaching Association of Canada, Responsible Coaching Movement</t>
  </si>
  <si>
    <t xml:space="preserve">Ages 4-5</t>
  </si>
  <si>
    <t xml:space="preserve">Youngest kids</t>
  </si>
  <si>
    <t xml:space="preserve">Cody takes kids from about 4. Keep it short and playful: footwork games, stance, punching pads a coach holds, the bag, relay races. No partner contact and no live games, a second adult present, water and rest often.</t>
  </si>
  <si>
    <t xml:space="preserve">Cody; Sport for Life, Active Start stage (ages 0-6: learn movement through active play)</t>
  </si>
  <si>
    <t xml:space="preserve">Mixed-age classes</t>
  </si>
  <si>
    <t xml:space="preserve">All-ages classes</t>
  </si>
  <si>
    <t xml:space="preserve">In an all-ages class (Boxing, Mon and Wed), split into age groups for any drill above the youngest age: younger kids do footwork, pads a coach holds, the bag or a game while older athletes partner up. Never pair a child with a teen or adult for partner or touch drills.</t>
  </si>
  <si>
    <t xml:space="preserve">BBG starting rule</t>
  </si>
  <si>
    <t xml:space="preserve">BBG has heavy bags, focus mitts, Thai pads and kick shields, wrestling mats, gloves to lend, headgear, agility ladders and cones, medicine balls and battle ropes (Cody, Oct 2026). No ring, cage or skipping ropes. Plans only use this gear.</t>
  </si>
  <si>
    <t xml:space="preserve">Every class starts with a 10-15 minute warm-up that builds from easy jogging to balance, landing and quick footwork. Water breaks in every class.</t>
  </si>
  <si>
    <t xml:space="preserve">BJSM 2024 review of youth injury-prevention warm-ups</t>
  </si>
  <si>
    <t xml:space="preserve">Injuries and health</t>
  </si>
  <si>
    <t xml:space="preserve">Coaches don't give medical advice and nobody writes health details in any sheet. Injuries go to Cody the same day.</t>
  </si>
  <si>
    <t xml:space="preserve">Matching partners and the tap</t>
  </si>
  <si>
    <t xml:space="preserve">Match by size, age and experience; a coach watches every pair in live rounds and stops anything unsafe. Tap early, let go at once: practise the tap with every beginner before any live grappling.</t>
  </si>
  <si>
    <t xml:space="preserve">From the sport bodies and Ontario</t>
  </si>
  <si>
    <t xml:space="preserve">Boxing LTAD stages</t>
  </si>
  <si>
    <t xml:space="preserve">Boys 6-9 / girls 6-8</t>
  </si>
  <si>
    <t xml:space="preserve">FUNdamentals: fundamental movement and basic sport skills with exposure to many sports; Boxing Canada suggests 1-2 'introduction to boxing' sessions of 45-75 minutes per week alongside 4-6 other activity sessions.</t>
  </si>
  <si>
    <t xml:space="preserve">Boxing Canada (CABA) Long-Term Athlete Development guide (hosted by Boxing Ontario) https://boxingontario.com/wp-content/uploads/Boxing-Canada-LTAD.pdf</t>
  </si>
  <si>
    <t xml:space="preserve">No maximal or near-maximal strength work at the FUNdamentals stage (growth-plate protection); equipment must be adapted to the child's size, strength and skill; focus on fun games and spatial awareness.</t>
  </si>
  <si>
    <t xml:space="preserve">Boys 9-12 / girls 8-11</t>
  </si>
  <si>
    <t xml:space="preserve">Learn to Box: basic boxing skills (straight punches, hooks, uppercuts, blocking, footwork) with technical precision; endurance and speed trained through fun games; 'children are not miniature adults'.</t>
  </si>
  <si>
    <t xml:space="preserve">Contact / sparring for kids</t>
  </si>
  <si>
    <t xml:space="preserve">Boxing Canada says coach-led 'simulated bouts, condition sparring, or shadow boxing' can be introduced progressively at Learn to Box; inter-club competition may be introduced for fun but should not be the main focus.</t>
  </si>
  <si>
    <t xml:space="preserve">Competition age and volume</t>
  </si>
  <si>
    <t xml:space="preserve">11-12+</t>
  </si>
  <si>
    <t xml:space="preserve">Boxing Canada LTAD indicates athletes may start competing at age 11, limited to about 2-4 well-structured club events per year against similar size and skill opponents (table context in the PDF was not fully verifiable).</t>
  </si>
  <si>
    <t xml:space="preserve">Session frequency/length</t>
  </si>
  <si>
    <t xml:space="preserve">11+ (Learn to Box) and Train to Box</t>
  </si>
  <si>
    <t xml:space="preserve">LTAD summary: 2-3 boxing-specific sessions per week of 45-75 min at the earlier stage; 3-5 sessions of 45-90 min at Train to Box (boys 12-16, girls 11-15), plus other sport/activity sessions.</t>
  </si>
  <si>
    <t xml:space="preserve">Boys 12-16 / girls 11-15</t>
  </si>
  <si>
    <t xml:space="preserve">Train to Box: build physical preparation and boxing-specific skills, volume and intensity increase gradually; carefully selected competition, roughly 4-10 bouts per year in club events and junior tournaments.</t>
  </si>
  <si>
    <t xml:space="preserve">Growth spurt precautions</t>
  </si>
  <si>
    <t xml:space="preserve">Injury risk rises during the growth spurt: adjust programs, address flexibility and strength imbalances, reduce volume/intensity; include shoulder and low-back injury prevention and 6-8 weeks of general conditioning before intense boxing-specific work.</t>
  </si>
  <si>
    <t xml:space="preserve">Work:rest for speed</t>
  </si>
  <si>
    <t xml:space="preserve">All youth</t>
  </si>
  <si>
    <t xml:space="preserve">Speed efforts should be very short (under 5 seconds for younger athletes, extendable to about 10-15 s later) with complete recovery between reps and sets; train speed early in the session after a thorough warm-up. No explicit work:rest ratio is given.</t>
  </si>
  <si>
    <t xml:space="preserve">Trainability windows</t>
  </si>
  <si>
    <t xml:space="preserve">Kids and teens</t>
  </si>
  <si>
    <t xml:space="preserve">Flexibility window is about ages 6-10 for both sexes; speed windows about 6-8 and 11-13 (girls), 7-9 and 13-16 (boys); emphasize aerobic endurance through continuous training during the growth spurt.</t>
  </si>
  <si>
    <t xml:space="preserve">Youth competition categories</t>
  </si>
  <si>
    <t xml:space="preserve">6-18</t>
  </si>
  <si>
    <t xml:space="preserve">Boxing Ontario club events: Fun Box ages 6-10 (U13 may also take part), U13 = 11/12, U15 = 13/14, U17 = 15/16, U19 = 17/18; age matching generally within 12 months.</t>
  </si>
  <si>
    <t xml:space="preserve">Boxing Ontario - Match Guidelines, Club Events 2025 https://boxingontario.com/wp-content/uploads/2025/07/Match-Guidelines-Club-Events-2025.pdf</t>
  </si>
  <si>
    <t xml:space="preserve">Round lengths for youth</t>
  </si>
  <si>
    <t xml:space="preserve">U13 / U15 / U17</t>
  </si>
  <si>
    <t xml:space="preserve">Boxing Ontario 2025 club events: U13 3 x 1 min, U15 3 x 1.5 min, U17 3 x 2 min; boxers may box fewer rounds but not more. Ontario rules set a 1-minute rest between rounds.</t>
  </si>
  <si>
    <t xml:space="preserve">Headgear and gloves (youth)</t>
  </si>
  <si>
    <t xml:space="preserve">Youth and women</t>
  </si>
  <si>
    <t xml:space="preserve">Open-face headgear is mandatory for all in Boxing Ontario club events (cheek-protector headgear allowed only for Fun Box and Masters if both wear the same type); 10 oz gloves for females, U17, U15 and U13 bouts.</t>
  </si>
  <si>
    <t xml:space="preserve">Fun Box age range (provincial rules)</t>
  </si>
  <si>
    <t xml:space="preserve">6-12</t>
  </si>
  <si>
    <t xml:space="preserve">Ontario's official amateur boxing ruleset lists 'Initiation Funbox' as 6-12 years, Junior A U13, Junior B U15, Junior C U17; note this differs from Boxing Ontario's 2025 club guideline (6-10).</t>
  </si>
  <si>
    <t xml:space="preserve">Ontario Amateur Combative Sport Rules: Boxing - Part V Participants https://www.ontario.ca/document/amateur-combative-sport-rules-boxing/part-v-participants</t>
  </si>
  <si>
    <t xml:space="preserve">Protective equipment (competition)</t>
  </si>
  <si>
    <t xml:space="preserve">All</t>
  </si>
  <si>
    <t xml:space="preserve">Ontario boxing rules: headgear mandatory for all sanctioned competitions except National Championships; gumshield required every bout; men must wear a groin protector, women may.</t>
  </si>
  <si>
    <t xml:space="preserve">Ontario Amateur Combative Sport Rules: Boxing - Part IV Competition requirements https://www.ontario.ca/document/amateur-combative-sport-rules-boxing/part-iv-competition-requirements</t>
  </si>
  <si>
    <t xml:space="preserve">Supervision of sparring</t>
  </si>
  <si>
    <t xml:space="preserve">Boxing Ontario: registered, Boxing Ontario certified coaches must be present to supervise any training/sparring; a registered club needs at least one NCCP Instruction Beginner coach.</t>
  </si>
  <si>
    <t xml:space="preserve">Boxing Ontario - Becoming a Registered Club https://boxingontario.com/clubs/becoming-a-registered-club-with-boxing-ontario/</t>
  </si>
  <si>
    <t xml:space="preserve">Insurance</t>
  </si>
  <si>
    <t xml:space="preserve">Boxing Ontario liability insurance covers only Boxing Ontario members in membership-related activities, so participants must be registered members to be covered.</t>
  </si>
  <si>
    <t xml:space="preserve">Paediatric position on boxing</t>
  </si>
  <si>
    <t xml:space="preserve">Children and teens</t>
  </si>
  <si>
    <t xml:space="preserve">The Canadian Paediatric Society (2011) said boxing is not appropriate for children and teens and recommended sports where deliberate head blows are not the focus; the statement is dated and its current status is unclear.</t>
  </si>
  <si>
    <t xml:space="preserve">Canadian Paediatric Society - 'Boxing not for children and teens' (2011, updated 2012) https://cps.ca/en/media/Boxing-not-for-children-and-teens</t>
  </si>
  <si>
    <t xml:space="preserve">Wrestling LTAD stages</t>
  </si>
  <si>
    <t xml:space="preserve">6-9</t>
  </si>
  <si>
    <t xml:space="preserve">FUNdamentals: structured play in fun, safe environments with minimal competition emphasis; non-aggressive tumbling and play-wrestling; modified equipment; speed activities under 5 seconds.</t>
  </si>
  <si>
    <t xml:space="preserve">Wrestling Canada Lutte - LTAD Manual (2015, still the posted version) https://wrestling.ca/wp-content/uploads/2018/04/LTAD_Manual_2015.pdf</t>
  </si>
  <si>
    <t xml:space="preserve">Kids physiology</t>
  </si>
  <si>
    <t xml:space="preserve">Wrestling Canada notes children have low anaerobic capacity and limited ability to regulate body temperature in extreme heat or cold.</t>
  </si>
  <si>
    <t xml:space="preserve">10-12</t>
  </si>
  <si>
    <t xml:space="preserve">Learning to Wrestle: core principles, basic takedowns and par terre; use games and simulations and avoid complex tactics, highly repetitive drills and high-intensity physical training; 1+ festival-style events per year with modified rules.</t>
  </si>
  <si>
    <t xml:space="preserve">12-16</t>
  </si>
  <si>
    <t xml:space="preserve">Training to Compete (Bantam/Cadet): core skill repetition, off-mat cross-training, tactics; about 10-20 matches per year; avoid cutting late maturers and pushing early maturers too hard, too soon.</t>
  </si>
  <si>
    <t xml:space="preserve">Wrestling Canada Lutte - LTAD Seven Stages https://wrestling.ca/wp-content/uploads/2018/04/LTAD_E.pdf</t>
  </si>
  <si>
    <t xml:space="preserve">Youth age groups</t>
  </si>
  <si>
    <t xml:space="preserve">7-14</t>
  </si>
  <si>
    <t xml:space="preserve">OAWA youth age groups: Tykes 7/8, Novices 9/10, Kids 11/12, Bantam 13/14 (age as of Dec 31); youth rules use Wrestling Canada U17 rules with OAWA modifications.</t>
  </si>
  <si>
    <t xml:space="preserve">Ontario Amateur Wrestling Association - Youth Wrestling Rules https://www.oawa.ca/youth-wrestling-rules</t>
  </si>
  <si>
    <t xml:space="preserve">Banned moves - all age-group wrestling</t>
  </si>
  <si>
    <t xml:space="preserve">Illegal for all age-group wrestlers in Ontario: slams, all back-bending throws (side suplay, salto), full and 3/4 nelson, both hands on the neck, West Point ride, German leg ride, amplitude (5-point) throws, and the Gabori/alligator roll (OAWA bans it Tyke to Bantam).</t>
  </si>
  <si>
    <t xml:space="preserve">Ontario Amateur Combative Sport Rules: Wrestling - Part IV Competition requirements (eff. Jan 1 2025) https://www.ontario.ca/document/amateur-combative-sport-rules-wrestling/part-iv-competition-requirements</t>
  </si>
  <si>
    <t xml:space="preserve">Banned moves - youngest</t>
  </si>
  <si>
    <t xml:space="preserve">Tykes 7-8 / Novice 9-10</t>
  </si>
  <si>
    <t xml:space="preserve">Tykes and Novice: no head-and-arm throw, no Gabori/rolling head-and-arm, no repeated tilts without reset; pins must be completed within 15 s; Novice/Kids/Bantam also may not lock hands in a double underhook or use reverse leg rides.</t>
  </si>
  <si>
    <t xml:space="preserve">General illegal holds</t>
  </si>
  <si>
    <t xml:space="preserve">Illegal at all levels: throat holds, twisting arms beyond 90 degrees, holding head/neck with two hands or any strangulation, chancery holds, and stretching the spinal column.</t>
  </si>
  <si>
    <t xml:space="preserve">Referee safety principle</t>
  </si>
  <si>
    <t xml:space="preserve">Youth</t>
  </si>
  <si>
    <t xml:space="preserve">For young wrestlers officials should stop the action immediately if there is any doubt about safety, even when the move is legal: 'Safety must be a key goal of youth wrestling.'</t>
  </si>
  <si>
    <t xml:space="preserve">Match length (youth)</t>
  </si>
  <si>
    <t xml:space="preserve">Tykes to U17</t>
  </si>
  <si>
    <t xml:space="preserve">Tykes/Novice and U15/U17: two 2-minute periods with 30-second break (some local youth events use 2 x 1.5 min).</t>
  </si>
  <si>
    <t xml:space="preserve">Safe falling before throws</t>
  </si>
  <si>
    <t xml:space="preserve">Teens (school standard)</t>
  </si>
  <si>
    <t xml:space="preserve">Ontario school safety standard: throwing permitted only when break-fall/roll techniques are well established; skills taught in progression; partners of similar weight, strength and ability; constant visual supervision when first teaching holds/releases.</t>
  </si>
  <si>
    <t xml:space="preserve">Ophea Ontario Physical Activity Safety Standards - Wrestling, Secondary Interschool 2023 https://safety.ophea.net/secondary/interschool/wrestling</t>
  </si>
  <si>
    <t xml:space="preserve">Elementary-age wrestling</t>
  </si>
  <si>
    <t xml:space="preserve">Elementary school age</t>
  </si>
  <si>
    <t xml:space="preserve">Ophea elementary curricular wrestling (2025): no throws; direct supervision during initial instruction of holds and releases; wrestling-approved mats with no gaps; no contact for students with communicable skin conditions.</t>
  </si>
  <si>
    <t xml:space="preserve">Ophea Ontario Physical Activity Safety Standards - Wrestling, Elementary Curricular 2025 https://safety.ophea.net/print/pdf/558</t>
  </si>
  <si>
    <t xml:space="preserve">Kids no-gi legal submissions (Ontario)</t>
  </si>
  <si>
    <t xml:space="preserve">7-17</t>
  </si>
  <si>
    <t xml:space="preserve">Ontario grappling rules (Ontario Grappling Association), no-gi youth: straight armbar from 7, kimura/americana from 9, rear naked choke and triangle from 11; arm triangle, guillotine, Ezekiel, bow-and-arrow, omoplata, straight foot lock, gogoplata only from 16-17.</t>
  </si>
  <si>
    <t xml:space="preserve">Ontario Amateur Combative Sport Rules: Grappling (Ontario Grappling Association) - Part IV https://www.ontario.ca/document/amateur-combative-sport-rules-grappling/part-iv-competition-requirements</t>
  </si>
  <si>
    <t xml:space="preserve">Never-legal grappling techniques</t>
  </si>
  <si>
    <t xml:space="preserve">All ages/belts</t>
  </si>
  <si>
    <t xml:space="preserve">Not allowed at any age or belt in Ontario grappling: bicep lock, neck crank, twister, scissor takedown, full suplex, slam, striking, small-joint manipulation. In no-gi, heel hooks and calf slicers are allowed only at brown/black/elite.</t>
  </si>
  <si>
    <t xml:space="preserve">Kids jiu-jitsu (newaza) bans</t>
  </si>
  <si>
    <t xml:space="preserve">4-15</t>
  </si>
  <si>
    <t xml:space="preserve">Ontario Newaza Jiu Jitsu (Ontario Jiu Jitsu Association): for all kids, no arm triangle, Ezekiel, guillotine, neck crank, cervical locks, omoplata/gogoplata, wrist locks, leg attacks (except leg-stretch at 12-15), bicep slicers, scissor takedowns, jump-guard attacks or head-and-arm throws.</t>
  </si>
  <si>
    <t xml:space="preserve">Ontario Amateur Combative Sport Rules: Newaza Jiu Jitsu (Ontario Jiu Jitsu Association) - Part IV https://www.ontario.ca/document/amateur-combative-sport-rules-newaza-jiu-jitsu/part-iv-competition-requirements</t>
  </si>
  <si>
    <t xml:space="preserve">IBJJF kids/teen illegal techniques</t>
  </si>
  <si>
    <t xml:space="preserve">4-12 and 13-15</t>
  </si>
  <si>
    <t xml:space="preserve">IBJJF table (2024): for ages 4-15 illegal: Ezekiel, frontal guillotine, arm triangle, triangle pulling the head, omoplata, straight foot lock, leg-splitting submissions, wrist lock, bicep/calf slicer, kneebar, toe hold, heel hook; slams, knee reaping, scissor takedowns and spinal locks are illegal for everyone.</t>
  </si>
  <si>
    <t xml:space="preserve">IBJJF illegal-techniques table as reproduced on a PBJJF Smoothcomp event page (IBJJF poster dated 2024-01-01) https://pbjjf.smoothcomp.com/en/event/12912/page/30304/technical-fouls-illegal-moves</t>
  </si>
  <si>
    <t xml:space="preserve">Youth MMA (Ontario)</t>
  </si>
  <si>
    <t xml:space="preserve">12-18</t>
  </si>
  <si>
    <t xml:space="preserve">Ontario amateur MMA categories: Youth C 12-13, Youth B 14-15, Youth A 16-18, Senior 19+; all head and face strikes are prohibited for Youth A, B and C.</t>
  </si>
  <si>
    <t xml:space="preserve">Ontario Amateur Combative Sport Rules: Mixed Martial Arts - Part III Technical sport rules https://www.ontario.ca/document/amateur-combative-sport-rules-mixed-martial-arts/part-iii-technical-sport-rules</t>
  </si>
  <si>
    <t xml:space="preserve">Youth MMA banned techniques</t>
  </si>
  <si>
    <t xml:space="preserve">12-15</t>
  </si>
  <si>
    <t xml:space="preserve">Youth B (14-15) bans knee strikes, grounded striking, bicep/calf crushes, wristlocks, kneebars, omoplata, slams, standing guillotines, up-kicks and stomps; Youth C (12-13) adds no grounded strikes of any kind, no guillotines and no leg submissions.</t>
  </si>
  <si>
    <t xml:space="preserve">MMA fouls at all levels</t>
  </si>
  <si>
    <t xml:space="preserve">Ontario amateur MMA bans elbow/forearm strikes, neck cranks, heel hooks, toe holds and spine locks at every level; Pre-Novice also bans head strikes on a grounded opponent, suplexes, slams and shoulder throws.</t>
  </si>
  <si>
    <t xml:space="preserve">MMA equipment and medical</t>
  </si>
  <si>
    <t xml:space="preserve">Amateur MMA: soft neoprene shin guards required, gloves at least 6 oz, no headgear; annual physical by an Ontario-licensed physician plus pre-bout medical; contestants sign a Concussion Code of Conduct.</t>
  </si>
  <si>
    <t xml:space="preserve">Ontario Amateur Combative Sport Rules: Mixed Martial Arts - Part I General (updated Jun 2025) https://www.ontario.ca/document/amateur-combative-sport-rules-mixed-martial-arts/part-i-general</t>
  </si>
  <si>
    <t xml:space="preserve">Who sanctions amateur MMA</t>
  </si>
  <si>
    <t xml:space="preserve">All amateur MMA contests or exhibitions in Ontario must be sanctioned by the Ontario Athletics Commission (no PSO is listed for MMA).</t>
  </si>
  <si>
    <t xml:space="preserve">Ontario Amateur Combative Sport Rules: Mixed Martial Arts (overview) https://www.ontario.ca/document/amateur-combative-sport-rules-mixed-martial-arts</t>
  </si>
  <si>
    <t xml:space="preserve">Kick light / light contact kickboxing</t>
  </si>
  <si>
    <t xml:space="preserve">7-15 and adults</t>
  </si>
  <si>
    <t xml:space="preserve">Kickboxing Ontario light-contact categories: Cadet 7-9, Junior A 10-12, Junior B 13-15; 2 x 2-min rounds with 1-min rest; warnings for excessive contact; spinning backfist, knees, throws and grappling are illegal.</t>
  </si>
  <si>
    <t xml:space="preserve">Ontario Amateur Combative Sport Rules: Kickboxing - Kick Light and Light Contact, Part IV https://www.ontario.ca/document/amateur-combative-sport-rules-kickboxing-kick-light-and-light-contact/part-iv-competition</t>
  </si>
  <si>
    <t xml:space="preserve">Contests need sanction</t>
  </si>
  <si>
    <t xml:space="preserve">Amateur combative contests/exhibitions in Ontario are governed by the Combative Sports Act, 2019; they need an OAC permit or must be held/sanctioned by a ministry-recognized PSO (Boxing Ontario, OAWA, OGA, OJJA, Kickboxing Ontario, etc.).</t>
  </si>
  <si>
    <t xml:space="preserve">Ontario - Amateur combative sports events (updated Sep 2025) https://www.ontario.ca/page/amateur-combative-sports</t>
  </si>
  <si>
    <t xml:space="preserve">Training vs contests</t>
  </si>
  <si>
    <t xml:space="preserve">Ontario's guidance covers contests and exhibitions; events with only light contact are among those that do not need a permit. Ontario's 2022 fact sheet said training, skills development and non-contact demonstrations are not prize fights.</t>
  </si>
  <si>
    <t xml:space="preserve">Light contact in school combatives</t>
  </si>
  <si>
    <t xml:space="preserve">School-age</t>
  </si>
  <si>
    <t xml:space="preserve">Ophea intramural combatives/wrestling standards now permit only 'light contact' activities, using the light-contact definition in Ontario Regulation 507/24 (controlled techniques not intended or expected to cause harm).</t>
  </si>
  <si>
    <t xml:space="preserve">Ophea - Wrestling and Combatives Safety Standards Updates https://safety.ophea.net/wrestling-and-combatives-safety-standards-updates</t>
  </si>
  <si>
    <t xml:space="preserve">Rowan's Law - who is a sport organization</t>
  </si>
  <si>
    <t xml:space="preserve">Rowan's Law covers 'a person or entity that carries out, for profit or otherwise, a prescribed activity' in connection with amateur competitive sport, so private for-profit gyms can be covered.</t>
  </si>
  <si>
    <t xml:space="preserve">Legislative Assembly of Ontario - Bill 193, Rowan's Law (Concussion Safety), 2018 https://www.ola.org/en/legislative-business/bills/parliament-41/session-2/bill-193/acts-affected</t>
  </si>
  <si>
    <t xml:space="preserve">Rowan's Law - prescribed activities</t>
  </si>
  <si>
    <t xml:space="preserve">The prescribed activities include training athletes, conducting practices and organizing competitions; the sports list is in O. Reg. 161/19 (not verified here because e-Laws would not load).</t>
  </si>
  <si>
    <t xml:space="preserve">Canadian Lawyer - Rowan's Law: all about competitive sports, concussions, and the children (Dec 2024) https://www.canadianlawyermag.com/resources/legal-education/rowans-law-all-about-competitive-sports-concussions-and-the-children/390419</t>
  </si>
  <si>
    <t xml:space="preserve">Rowan's Law - awareness resources</t>
  </si>
  <si>
    <t xml:space="preserve">Athletes under 26; parents of under-18s</t>
  </si>
  <si>
    <t xml:space="preserve">Before registering, athletes under 26 and parents of athletes under 18 must confirm they reviewed a Concussion Awareness Resource within the previous 12 months; coaches, team trainers and officials confirm every year.</t>
  </si>
  <si>
    <t xml:space="preserve">Ontario - Rowan's Law: information for sport organizations and schools (updated Sep 2026) https://www.ontario.ca/page/rowans-law-information-sports-organizations-and-schools</t>
  </si>
  <si>
    <t xml:space="preserve">Rowan's Law - Concussion Code of Conduct</t>
  </si>
  <si>
    <t xml:space="preserve">Sport organizations must have a Concussion Code of Conduct (since July 1, 2019) that athletes under 26, parents of under-18s, coaches and team trainers confirm every year; Ontario provides sample codes.</t>
  </si>
  <si>
    <t xml:space="preserve">Ontario - Rowan's Law concussion awareness resources (updated Jan 2026) https://www.ontario.ca/page/rowans-law-concussion-awareness-resources</t>
  </si>
  <si>
    <t xml:space="preserve">Rowan's Law - removal and return protocols</t>
  </si>
  <si>
    <t xml:space="preserve">Sport organizations must have Removal-from-Sport and Return-to-Sport protocols (since Jan 1, 2022): immediate removal from training, practice or competition, parents told for under-18s, and no return until the return-to-sport process is complete.</t>
  </si>
  <si>
    <t xml:space="preserve">Ontario - Rowan's Law: concussion safety (updated Aug 2026) https://www.ontario.ca/page/rowans-law-concussion-safety</t>
  </si>
  <si>
    <t xml:space="preserve">Designated persons</t>
  </si>
  <si>
    <t xml:space="preserve">Each practice, training or competition needs a designated person who can remove athletes; they must have reviewed the awareness resources in the past 12 months; they do not diagnose. CAO recommends NCCP Making Headway.</t>
  </si>
  <si>
    <t xml:space="preserve">Coaches Association of Ontario - FAQ: You are the Designated Person under Rowan's Law (Oct 2024) https://www.coachesontario.ca/programs-resources/concussion/faq/</t>
  </si>
  <si>
    <t xml:space="preserve">Medical clearance</t>
  </si>
  <si>
    <t xml:space="preserve">Only physicians and nurse practitioners can medically clear an athlete to return to amateur competitive sport.</t>
  </si>
  <si>
    <t xml:space="preserve">Age-specific e-booklets</t>
  </si>
  <si>
    <t xml:space="preserve">10 and under / 11-14 / 15+</t>
  </si>
  <si>
    <t xml:space="preserve">Ontario publishes concussion e-booklets for ages 10 and under, 11-14, and 15 and up, plus sample codes of conduct and an optional confirmation receipt form.</t>
  </si>
  <si>
    <t xml:space="preserve">Recreational programs scope</t>
  </si>
  <si>
    <t xml:space="preserve">Coaches Association of Ontario: recreational providers must decide for themselves whether their programs fall within Rowan's Law 'prescribed activity'; drop-in programs are not specifically addressed.</t>
  </si>
  <si>
    <t xml:space="preserve">Boxing Ontario concussion policy</t>
  </si>
  <si>
    <t xml:space="preserve">All BO members</t>
  </si>
  <si>
    <t xml:space="preserve">Boxing Ontario's Concussion Policy applies to all BO activities including practices and training at member clubs, and is intended to comply with Rowan's Law; it is based on the 2017 consensus and still contains an unfilled designated-person placeholder.</t>
  </si>
  <si>
    <t xml:space="preserve">Boxing Ontario - Concussion Policy and Code (uploaded 2025-04) https://boxingontario.com/wp-content/uploads/2025/04/Boxing-Ontario-Concussion-Policy-and-Code.pdf</t>
  </si>
  <si>
    <t xml:space="preserve">Return-to-sport steps (2024)</t>
  </si>
  <si>
    <t xml:space="preserve">Parachute 2024: 6 steps, each at least 24 h (relative rest first 24-48 h, light then moderate aerobic, sport-specific without head-impact risk, non-contact drills, full-contact practice, return to sport); mild brief symptom increase is OK in steps 1-3.</t>
  </si>
  <si>
    <t xml:space="preserve">Parachute - Return-to-Sport and Return-to-School Protocols (2024, Canadian Guideline 2nd ed.) https://pedsconcussion.com/wp-content/uploads/2024/03/Parachute-Return-to-Sport-and-School-Protocols-2024.pdf</t>
  </si>
  <si>
    <t xml:space="preserve">Medical clearance timing (2024)</t>
  </si>
  <si>
    <t xml:space="preserve">Parachute 2024 says the athlete gives the coach a Medical Clearance Letter before progressing to step 4 and must have returned to full-time school first; Boxing Ontario's older policy places clearance after stage 5.</t>
  </si>
  <si>
    <t xml:space="preserve">Pre-season education</t>
  </si>
  <si>
    <t xml:space="preserve">Canadian Guideline (2024): all stakeholders review and sign a pre-season concussion education sheet; a standardized Medical Clearance Letter from an MD or NP is required before full-contact practice and games.</t>
  </si>
  <si>
    <t xml:space="preserve">Parachute - Canadian Guideline on Concussion in Sport, 2nd ed. (Mar 2024) https://parachute.ca/en/professional-resource/concussion-collection/canadian-guideline-on-concussion-in-sport/</t>
  </si>
  <si>
    <t xml:space="preserve">Minors</t>
  </si>
  <si>
    <t xml:space="preserve">Responsible Coaching Movement: all interactions and communications with participants are open, observable and justifiable, with two responsible adults (coach, parent, staff or screened volunteer) present; exceptions only in emergencies.</t>
  </si>
  <si>
    <t xml:space="preserve">Coaching Association of Canada - Responsible Coaching Movement https://coach.ca/responsible-coaching-movement</t>
  </si>
  <si>
    <t xml:space="preserve">Rule of Two (Boxing Ontario)</t>
  </si>
  <si>
    <t xml:space="preserve">Boxing Ontario: an athlete must never be alone one-on-one with an unrelated Person in Authority; where full implementation isn't possible, keep training environments visible and accessible.</t>
  </si>
  <si>
    <t xml:space="preserve">Boxing Ontario - UCCMS Safe Sport Policy https://boxingontario.com/?p=25666</t>
  </si>
  <si>
    <t xml:space="preserve">RCM three pillars</t>
  </si>
  <si>
    <t xml:space="preserve">The Responsible Coaching Movement has three parts: Rule of Two, background screening (references, interviews, police checks repeated at intervals) and ethics training.</t>
  </si>
  <si>
    <t xml:space="preserve">CCES - Responsible Coaching Movement https://cces.ca/rcm</t>
  </si>
  <si>
    <t xml:space="preserve">Electronic communication</t>
  </si>
  <si>
    <t xml:space="preserve">Example NSO practice: eliminate one-to-one electronic messaging with participants; send communications to the group and/or include parents; another adult present when a participant rides in a coach's vehicle.</t>
  </si>
  <si>
    <t xml:space="preserve">Skate Canada - Rule of Two recommendations (Dec 2024; example NSO implementation) https://skatecanada.ca/wp-content/uploads/2024/12/Rule-of-Two-EN.pdf</t>
  </si>
  <si>
    <t xml:space="preserve">UCCMS boundaries</t>
  </si>
  <si>
    <t xml:space="preserve">Minors (under 19)</t>
  </si>
  <si>
    <t xml:space="preserve">UCCMS v7.0 (Apr 2025) treats a minor as under 19; private social-media/text messaging with a minor, one-on-one meetings outside open and observable settings, inappropriate change-room sharing and private transport are possible boundary transgressions.</t>
  </si>
  <si>
    <t xml:space="preserve">Universal Code of Conduct to Prevent and Address Maltreatment in Sport (UCCMS) v7.0, eff. Apr 1 2025 https://sportintegrity.ca/sites/default/files/content/docs/2025-01/CCES-UCCMS-Final-E.pdf</t>
  </si>
  <si>
    <t xml:space="preserve">Duty to report</t>
  </si>
  <si>
    <t xml:space="preserve">UCCMS: adult participants must report prohibited behaviour they know of or ought to have known of; Boxing Ontario routes complaints to its discipline office (within 21 days) and suspected child abuse to local authorities.</t>
  </si>
  <si>
    <t xml:space="preserve">Boxing Ontario screening levels</t>
  </si>
  <si>
    <t xml:space="preserve">Boxing Ontario Level 3 roles (full-time coaches, coaches who travel with or could be alone with athletes) need an E-PIC and a Vulnerable Sector Check, plus Commit to Kids and MED; Level 2 needs an E-PIC.</t>
  </si>
  <si>
    <t xml:space="preserve">Vulnerable sector check (Ontario)</t>
  </si>
  <si>
    <t xml:space="preserve">Adults working with under-18s</t>
  </si>
  <si>
    <t xml:space="preserve">People in positions of trust or authority over children (under 18) can be asked for a VSC; it must be done by the applicant's local police service with consent; volunteers get free basic checks but VSC fees still apply. The OPP, which serves Bancroft, lists volunteer checks as free and other record checks at $41 (opp.ca, checked Oct 20, 2026): confirm with the Bancroft detachment for a volunteer coach's VSC.</t>
  </si>
  <si>
    <t xml:space="preserve">Ontario - Police record checks (updated Apr 2026) https://www.ontario.ca/page/police-record-checks</t>
  </si>
  <si>
    <t xml:space="preserve">CAC Safe Sport Training</t>
  </si>
  <si>
    <t xml:space="preserve">Coaches/staff</t>
  </si>
  <si>
    <t xml:space="preserve">CAC Safe Sport Training is a free 90-minute online module (the Locker) on maltreatment, UCCMS principles and what to do if you suspect maltreatment; worth 2 NCCP PD points.</t>
  </si>
  <si>
    <t xml:space="preserve">Coaching Association of Canada - Safe Sport Training module (updated Mar 2025) https://coach.ca/module/safe-sport-training</t>
  </si>
  <si>
    <t xml:space="preserve">Commit to Kids for Coaches</t>
  </si>
  <si>
    <t xml:space="preserve">Commit to Kids for Coaches (Canadian Centre for Child Protection): online, 2.5-3 h, $20, certificate plus 3 NCCP PD points.</t>
  </si>
  <si>
    <t xml:space="preserve">Abuse-Free Sport - accredited training (Commit to Kids for Coaches) https://abuse-free-sport.ca/c3p/training</t>
  </si>
  <si>
    <t xml:space="preserve">Boxing coach entry course</t>
  </si>
  <si>
    <t xml:space="preserve">Coaches 16+</t>
  </si>
  <si>
    <t xml:space="preserve">Boxing Ontario Instruction Beginners course (2026): NCCP number required; Safe Sport Training and Respect in Sport Activity Leader needed for club membership; Making Headway mandatory since 2025; police check dated within 3 years.</t>
  </si>
  <si>
    <t xml:space="preserve">Boxing Ontario Instruction Beginners (Level 1) course listing, Aug 2026 (Trackie) https://www.trackie.com/fr/evenement/boxing-ontario-instruction-beginners-level-1/1038627/</t>
  </si>
  <si>
    <t xml:space="preserve">Boxing NCCP pathway</t>
  </si>
  <si>
    <t xml:space="preserve">Boxing NCCP contexts: Instruction Beginner (formerly Apprentice Coach), Competition Introduction (formerly Club Coach), Competition Development (formerly Level 3); NCCP is open to coaches over 16.</t>
  </si>
  <si>
    <t xml:space="preserve">Boxing Ontario - National Coaching Certification Program (NCCP) page https://boxingontario.com/?p=100</t>
  </si>
  <si>
    <t xml:space="preserve">Wrestling NCCP pathway</t>
  </si>
  <si>
    <t xml:space="preserve">Wrestling Canada: Kids Wrestling (1.5-day workshop for coaching grassroots participants 14 and under), Competition-Introduction, Competition-Development; MED, Making Headway and Safe Sport listed as safe-sport requirements.</t>
  </si>
  <si>
    <t xml:space="preserve">Wrestling Canada Lutte - Coach Education (page modified Aug 2026) https://wrestling.ca/coach-education/</t>
  </si>
  <si>
    <t xml:space="preserve">Neuromuscular warm-up</t>
  </si>
  <si>
    <t xml:space="preserve">NMT warm-ups typically take 10-15 minutes and combine aerobic, balance, strength and agility exercises; they reduce injury rates by up to about 60%, with adherence of 1.5+ sessions/week linked to benefit.</t>
  </si>
  <si>
    <t xml:space="preserve">Lutz et al., BJSM 58(11):615 - Best practices for NMT injury-prevention warm-ups in youth team sport (systematic review) https://bjsm.bmj.com/content/58/11/615</t>
  </si>
  <si>
    <t xml:space="preserve">FIFA 11+ Kids evidence</t>
  </si>
  <si>
    <t xml:space="preserve">7-13</t>
  </si>
  <si>
    <t xml:space="preserve">A roughly 20-minute kids warm-up done at least once and preferably twice a week cut injuries by 48% and severe injuries by up to 74% in a 3,900-child trial (soccer; principles transferable but untested in combat sports).</t>
  </si>
  <si>
    <t xml:space="preserve">University of Basel press release on FIFA 11+ Kids trial (Jan 2018) https://idw-online.de/de/news687360</t>
  </si>
  <si>
    <t xml:space="preserve">Daily activity and sleep</t>
  </si>
  <si>
    <t xml:space="preserve">5-17</t>
  </si>
  <si>
    <t xml:space="preserve">Canadian 24-Hour Guidelines: at least 60 min/day of moderate-to-vigorous activity; vigorous plus muscle- and bone-strengthening at least 3 days/week; sleep 9-11 h (5-13) or 8-10 h (14-17); no more than 2 h/day recreational screen time.</t>
  </si>
  <si>
    <t xml:space="preserve">CSEP - Canadian 24-Hour Movement Guidelines for Children and Youth (5-17) https://csepguidelines.ca/guidelines/children-youth/</t>
  </si>
  <si>
    <t xml:space="preserve">Training volume limits</t>
  </si>
  <si>
    <t xml:space="preserve">NATA: organized sport hours per week should not exceed the athlete's age; at least 2 days off per week; no more than 8 months/year in one sport; one team per season; delay specialization.</t>
  </si>
  <si>
    <t xml:space="preserve">NATA - Sport Specialization Recommendations for Adolescent and Young Athletes (Oct 2019) https://www.nata.org/sites/default/files/youth_sports_specialization_recommendations.pdf</t>
  </si>
  <si>
    <t xml:space="preserve">Overtraining and burnout</t>
  </si>
  <si>
    <t xml:space="preserve">AAP (2024): avoid overtraining and overscheduling, keep workouts fun with age-appropriate games, and protect free play time; overtraining shows as falling performance, persistent fatigue, poor sleep and mood changes.</t>
  </si>
  <si>
    <t xml:space="preserve">AAP - Overuse Injuries, Overtraining, and Burnout in Young Athletes (Pediatrics, Feb 2024) news summary https://www.healthychildren.org/English/news/Pages/AAP-calls-out-causes-of-injury-overtraining-and-burnout-in-youth-sports.aspx</t>
  </si>
  <si>
    <t xml:space="preserve">LTD general framework</t>
  </si>
  <si>
    <t xml:space="preserve">Children</t>
  </si>
  <si>
    <t xml:space="preserve">Sport for Life: FUNdamentals (boys 6-9, girls 6-8) is about 75% general activity and 25% sport-specific, built on agility, balance, coordination and speed; Learn to Train is about 70% training and 30% competition-related activity; progress by development, not just age.</t>
  </si>
  <si>
    <t xml:space="preserve">Sport for Life - The First Three Stages of Long-Term Development (Dec 2024) https://sportforlife.ca/blog/building-a-solid-foundation-the-first-three-stages-of-long-term-development-in-sport-and-physical-activity/</t>
  </si>
  <si>
    <t xml:space="preserve">Women starting boxing later</t>
  </si>
  <si>
    <t xml:space="preserve">Teens and adult women</t>
  </si>
  <si>
    <t xml:space="preserve">Boxing Canada: most women join boxing at 15-22, but they must still go through all the basic stages progressively; girls with limited sport backgrounds should focus on basic boxing skills and general athletic development.</t>
  </si>
  <si>
    <t xml:space="preserve">Women's sparring opportunities</t>
  </si>
  <si>
    <t xml:space="preserve">Women (novice)</t>
  </si>
  <si>
    <t xml:space="preserve">Boxing Ontario's Female Development Committee runs camps with controlled, pre-matched sparring supervised by experienced coaches; clubs can host all-female sparring sessions and join the 'Female Sparring in Ontario' list.</t>
  </si>
  <si>
    <t xml:space="preserve">Boxing Ontario - Female Development Committee camp news (IWD 2026) https://boxingontario.com/iwd-2026-give-to-gain-boxing-ontarios-female-development-committee-hosts-female-development-camp-at-tnt-boxing/</t>
  </si>
  <si>
    <t xml:space="preserve">Girls' retention</t>
  </si>
  <si>
    <t xml:space="preserve">Girls 6-18</t>
  </si>
  <si>
    <t xml:space="preserve">Rally Report 2024: more than 1 in 5 girls leave sport during adolescence, and 7 in 10 girls say sport improves their mental health.</t>
  </si>
  <si>
    <t xml:space="preserve">Canadian Women &amp; Sport - Rally Report 2024 https://womenandsport.ca/rally-2024/</t>
  </si>
  <si>
    <t xml:space="preserve">Women's protective equipment (MMA)</t>
  </si>
  <si>
    <t xml:space="preserve">Women</t>
  </si>
  <si>
    <t xml:space="preserve">Ontario amateur MMA rules: a groin or breast protector is optional for women, while men must wear a foul-proof groin protector (for boxing, see the Ontario boxing equipment item).</t>
  </si>
  <si>
    <t xml:space="preserve">Long-term athlete development</t>
  </si>
  <si>
    <t xml:space="preserve">0-6</t>
  </si>
  <si>
    <t xml:space="preserve">Active Start (ages 0-6): children need daily active play with an emphasis on fun, a wide variety of equipment, non-competitive games and safe chances to explore risk and limits. Fundamental movement skills are learned through play.</t>
  </si>
  <si>
    <t xml:space="preserve">Sport for Life, Active Start https://sportforlife.ca/stages/active-start/</t>
  </si>
  <si>
    <t xml:space="preserve">For Cody to confirm</t>
  </si>
  <si>
    <t xml:space="preserve">Open question</t>
  </si>
  <si>
    <t xml:space="preserve">Which coaches hold which NCCP courses? Cody says some do (Oct 20, 2026). Also: Making Headway, Safe Sport Training and Respect in Sport for everyone who coaches kids.</t>
  </si>
  <si>
    <t xml:space="preserve">Which medical-clearance timing will BBG adopt? Parachute 2024 says before step 4, Boxing Ontario's older (2017-based) policy says after stage 5, and the older CAC sheet says before step 5. The Boxing Ontario policy also has an unfilled designated-person placeholder.</t>
  </si>
  <si>
    <t xml:space="preserve">How will the Rule of Two work for the kids' classes (second screened adult or parent present), and what is the communications policy with minors (group messages that include parents, no 1:1 DMs)?</t>
  </si>
  <si>
    <t xml:space="preserve">Do in-house sparring days, smokers or interclub light-contact sessions need OAC or PSO sanction under the Combative Sports Act, 2019 and O. Reg. 507/24's light-contact definition?</t>
  </si>
  <si>
    <t xml:space="preserve">Insurance for non-member or trial participants: Boxing Ontario's policy covers only registered members.</t>
  </si>
  <si>
    <t xml:space="preserve">Waivers and informed-consent forms for minors, and how to answer parents who cite the CPS 2011 position against youth boxing.</t>
  </si>
  <si>
    <t xml:space="preserve">Yoga instructor qualifications and insurance: no official sport-body guidance was found.</t>
  </si>
  <si>
    <t xml:space="preserve">First aid and emergency action plan: is a first-aid-trained person on site every session, and is there a written EAP (the NCCP EAP module)?</t>
  </si>
  <si>
    <t xml:space="preserve">Heat and hydration policy for the gym, especially for kids' wrestling and the 2-hour jiu-jitsu block.</t>
  </si>
  <si>
    <t xml:space="preserve">Answered by Cody (Oct 20, 2026)</t>
  </si>
  <si>
    <t xml:space="preserve">Answered</t>
  </si>
  <si>
    <t xml:space="preserve">BBG isn't registered with Boxing Ontario or any other sport body. Registering is a separate decision (HQ task).</t>
  </si>
  <si>
    <t xml:space="preserve">Cody is the designated person for removal and return-to-sport at every class, and Rowan's Law paperwork is done.</t>
  </si>
  <si>
    <t xml:space="preserve">Class ages: Boxing is all ages from about 4, Jiu-Jitsu and MMA 12+, Women's Boxing 16+. The library also uses Kids Boxing 4-10, Boxing 11-14, Wrestling from 6 and Kickboxing from 15 (Cody to say if those are wrong).</t>
  </si>
  <si>
    <t xml:space="preserve">Every coach has a vulnerable sector check.</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</si>
</sst>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D19A4B"/>
      <name val="Arial"/>
      <family val="0"/>
      <charset val="1"/>
    </font>
    <font>
      <sz val="10"/>
      <color rgb="FFFFFFFF"/>
      <name val="Arial"/>
      <family val="0"/>
      <charset val="1"/>
    </font>
    <font>
      <b val="true"/>
      <sz val="12"/>
      <color rgb="FFD19A4B"/>
      <name val="Arial"/>
      <family val="0"/>
      <charset val="1"/>
    </font>
    <font>
      <b val="true"/>
      <sz val="10"/>
      <name val="Arial"/>
      <family val="0"/>
      <charset val="1"/>
    </font>
    <font>
      <sz val="10"/>
      <name val="Arial"/>
      <family val="0"/>
      <charset val="1"/>
    </font>
    <font>
      <b val="true"/>
      <sz val="11"/>
      <color rgb="FF1C1D2F"/>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b val="true"/>
      <sz val="10"/>
      <color rgb="FF000000"/>
      <name val="Arial"/>
      <family val="0"/>
      <charset val="1"/>
    </font>
    <font>
      <b val="true"/>
      <sz val="10"/>
      <color rgb="FF0000FF"/>
      <name val="Arial"/>
      <family val="0"/>
      <charset val="1"/>
    </font>
    <font>
      <sz val="9"/>
      <color rgb="FF1F5FA8"/>
      <name val="Arial"/>
      <family val="0"/>
      <charset val="1"/>
    </font>
  </fonts>
  <fills count="4">
    <fill>
      <patternFill patternType="none"/>
    </fill>
    <fill>
      <patternFill patternType="gray125"/>
    </fill>
    <fill>
      <patternFill patternType="solid">
        <fgColor rgb="FF1C1D2F"/>
        <bgColor rgb="FF3333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C1D2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1F5FA8"/>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D19A4B"/>
      <rgbColor rgb="FFFF6600"/>
      <rgbColor rgb="FF555555"/>
      <rgbColor rgb="FF969696"/>
      <rgbColor rgb="FF003366"/>
      <rgbColor rgb="FF339966"/>
      <rgbColor rgb="FF003300"/>
      <rgbColor rgb="FF333300"/>
      <rgbColor rgb="FF9C5700"/>
      <rgbColor rgb="FF993366"/>
      <rgbColor rgb="FF333399"/>
      <rgbColor rgb="FF1C1D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4"/>
  </cols>
  <sheetData>
    <row r="1" customFormat="false" ht="30" hidden="false" customHeight="true" outlineLevel="0" collapsed="false">
      <c r="A1" s="1" t="s">
        <v>0</v>
      </c>
      <c r="B1" s="1"/>
      <c r="C1" s="1"/>
    </row>
    <row r="2" customFormat="false" ht="31.5" hidden="false" customHeight="true" outlineLevel="0" collapsed="false">
      <c r="A2" s="2" t="s">
        <v>1</v>
      </c>
      <c r="B2" s="2"/>
      <c r="C2" s="2"/>
    </row>
    <row r="4" customFormat="false" ht="33.75" hidden="false" customHeight="true" outlineLevel="0" collapsed="false">
      <c r="A4" s="3" t="s">
        <v>2</v>
      </c>
      <c r="B4" s="4" t="s">
        <v>3</v>
      </c>
      <c r="C4" s="5" t="s">
        <v>4</v>
      </c>
    </row>
    <row r="5" customFormat="false" ht="33.75" hidden="false" customHeight="true" outlineLevel="0" collapsed="false">
      <c r="A5" s="3" t="s">
        <v>5</v>
      </c>
      <c r="B5" s="4" t="s">
        <v>6</v>
      </c>
      <c r="C5" s="5" t="s">
        <v>7</v>
      </c>
    </row>
    <row r="6" customFormat="false" ht="33.75" hidden="false" customHeight="true" outlineLevel="0" collapsed="false">
      <c r="A6" s="3" t="s">
        <v>8</v>
      </c>
      <c r="B6" s="4" t="s">
        <v>9</v>
      </c>
      <c r="C6" s="5" t="s">
        <v>10</v>
      </c>
    </row>
    <row r="7" customFormat="false" ht="33.75" hidden="false" customHeight="true" outlineLevel="0" collapsed="false">
      <c r="A7" s="3" t="s">
        <v>11</v>
      </c>
      <c r="B7" s="4" t="s">
        <v>12</v>
      </c>
      <c r="C7" s="5" t="s">
        <v>13</v>
      </c>
    </row>
    <row r="8" customFormat="false" ht="33.75" hidden="false" customHeight="true" outlineLevel="0" collapsed="false">
      <c r="A8" s="3" t="s">
        <v>14</v>
      </c>
      <c r="B8" s="4" t="s">
        <v>15</v>
      </c>
      <c r="C8" s="5" t="s">
        <v>16</v>
      </c>
    </row>
    <row r="9" customFormat="false" ht="33.75" hidden="false" customHeight="true" outlineLevel="0" collapsed="false">
      <c r="A9" s="3" t="s">
        <v>17</v>
      </c>
      <c r="B9" s="4" t="s">
        <v>18</v>
      </c>
      <c r="C9" s="5" t="s">
        <v>19</v>
      </c>
    </row>
    <row r="11" customFormat="false" ht="15" hidden="false" customHeight="false" outlineLevel="0" collapsed="false">
      <c r="B11" s="6" t="s">
        <v>20</v>
      </c>
    </row>
    <row r="12" customFormat="false" ht="15" hidden="false" customHeight="false" outlineLevel="0" collapsed="false">
      <c r="B12" s="7" t="s">
        <v>21</v>
      </c>
      <c r="C12" s="8" t="s">
        <v>22</v>
      </c>
    </row>
    <row r="13" customFormat="false" ht="15" hidden="false" customHeight="false" outlineLevel="0" collapsed="false">
      <c r="B13" s="7" t="s">
        <v>23</v>
      </c>
      <c r="C13" s="8" t="s">
        <v>24</v>
      </c>
    </row>
    <row r="14" customFormat="false" ht="15" hidden="false" customHeight="false" outlineLevel="0" collapsed="false">
      <c r="B14" s="7" t="s">
        <v>25</v>
      </c>
      <c r="C14" s="8" t="s">
        <v>26</v>
      </c>
    </row>
    <row r="15" customFormat="false" ht="15" hidden="false" customHeight="false" outlineLevel="0" collapsed="false">
      <c r="B15" s="7" t="s">
        <v>27</v>
      </c>
      <c r="C15" s="8" t="s">
        <v>28</v>
      </c>
    </row>
    <row r="16" customFormat="false" ht="15" hidden="false" customHeight="false" outlineLevel="0" collapsed="false">
      <c r="B16" s="7" t="s">
        <v>29</v>
      </c>
      <c r="C16" s="8" t="s">
        <v>30</v>
      </c>
    </row>
    <row r="17" customFormat="false" ht="15" hidden="false" customHeight="false" outlineLevel="0" collapsed="false">
      <c r="B17" s="7" t="s">
        <v>31</v>
      </c>
      <c r="C17" s="8" t="s">
        <v>32</v>
      </c>
    </row>
    <row r="19" customFormat="false" ht="15" hidden="false" customHeight="false" outlineLevel="0" collapsed="false">
      <c r="B19" s="6" t="s">
        <v>33</v>
      </c>
    </row>
    <row r="20" customFormat="false" ht="15" hidden="false" customHeight="false" outlineLevel="0" collapsed="false">
      <c r="B20" s="9" t="s">
        <v>34</v>
      </c>
      <c r="C20" s="8" t="s">
        <v>35</v>
      </c>
    </row>
    <row r="21" customFormat="false" ht="15" hidden="false" customHeight="false" outlineLevel="0" collapsed="false">
      <c r="B21" s="8" t="s">
        <v>36</v>
      </c>
      <c r="C21" s="8" t="s">
        <v>37</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9"/>
    <col collapsed="false" customWidth="true" hidden="false" outlineLevel="0" max="4" min="4" style="0" width="22"/>
    <col collapsed="false" customWidth="true" hidden="false" outlineLevel="0" max="5" min="5" style="0" width="9"/>
    <col collapsed="false" customWidth="true" hidden="false" outlineLevel="0" max="6" min="6" style="0" width="40"/>
    <col collapsed="false" customWidth="true" hidden="false" outlineLevel="0" max="7" min="7" style="0" width="60"/>
    <col collapsed="false" customWidth="true" hidden="false" outlineLevel="0" max="8" min="8" style="0" width="16"/>
    <col collapsed="false" customWidth="true" hidden="false" outlineLevel="0" max="9" min="9" style="0" width="12"/>
  </cols>
  <sheetData>
    <row r="1" customFormat="false" ht="30" hidden="false" customHeight="true" outlineLevel="0" collapsed="false">
      <c r="A1" s="1" t="s">
        <v>38</v>
      </c>
      <c r="B1" s="1"/>
      <c r="C1" s="1"/>
      <c r="D1" s="1"/>
      <c r="E1" s="1"/>
      <c r="F1" s="1"/>
      <c r="G1" s="1"/>
      <c r="H1" s="1"/>
      <c r="I1" s="1"/>
    </row>
    <row r="2" customFormat="false" ht="31.5" hidden="false" customHeight="true" outlineLevel="0" collapsed="false">
      <c r="A2" s="2" t="s">
        <v>39</v>
      </c>
      <c r="B2" s="2"/>
      <c r="C2" s="2"/>
      <c r="D2" s="2"/>
      <c r="E2" s="2"/>
      <c r="F2" s="2"/>
      <c r="G2" s="2"/>
      <c r="H2" s="2"/>
      <c r="I2" s="2"/>
    </row>
    <row r="4" customFormat="false" ht="30" hidden="false" customHeight="true" outlineLevel="0" collapsed="false">
      <c r="A4" s="10" t="s">
        <v>40</v>
      </c>
      <c r="B4" s="10" t="s">
        <v>41</v>
      </c>
      <c r="C4" s="10" t="s">
        <v>42</v>
      </c>
      <c r="D4" s="10" t="s">
        <v>43</v>
      </c>
      <c r="E4" s="10" t="s">
        <v>44</v>
      </c>
      <c r="F4" s="10" t="s">
        <v>45</v>
      </c>
      <c r="G4" s="10" t="s">
        <v>46</v>
      </c>
      <c r="H4" s="10" t="s">
        <v>47</v>
      </c>
      <c r="I4" s="10" t="s">
        <v>48</v>
      </c>
    </row>
    <row r="5" customFormat="false" ht="43.5" hidden="false" customHeight="true" outlineLevel="0" collapsed="false">
      <c r="A5" s="11" t="s">
        <v>49</v>
      </c>
      <c r="B5" s="11" t="s">
        <v>50</v>
      </c>
      <c r="C5" s="11" t="n">
        <v>60</v>
      </c>
      <c r="D5" s="11" t="s">
        <v>51</v>
      </c>
      <c r="E5" s="11" t="n">
        <v>4</v>
      </c>
      <c r="F5" s="11" t="s">
        <v>52</v>
      </c>
      <c r="G5" s="11" t="s">
        <v>53</v>
      </c>
      <c r="H5" s="11" t="s">
        <v>54</v>
      </c>
      <c r="I5" s="12" t="s">
        <v>55</v>
      </c>
    </row>
    <row r="6" customFormat="false" ht="43.5" hidden="false" customHeight="true" outlineLevel="0" collapsed="false">
      <c r="A6" s="11" t="s">
        <v>56</v>
      </c>
      <c r="B6" s="11" t="s">
        <v>57</v>
      </c>
      <c r="C6" s="11" t="n">
        <v>40</v>
      </c>
      <c r="D6" s="11" t="s">
        <v>58</v>
      </c>
      <c r="E6" s="11" t="n">
        <v>6</v>
      </c>
      <c r="F6" s="11" t="s">
        <v>59</v>
      </c>
      <c r="G6" s="11" t="s">
        <v>60</v>
      </c>
      <c r="H6" s="11" t="s">
        <v>61</v>
      </c>
      <c r="I6" s="12" t="s">
        <v>55</v>
      </c>
    </row>
    <row r="7" customFormat="false" ht="43.5" hidden="false" customHeight="true" outlineLevel="0" collapsed="false">
      <c r="A7" s="11" t="s">
        <v>62</v>
      </c>
      <c r="B7" s="11" t="s">
        <v>63</v>
      </c>
      <c r="C7" s="11" t="n">
        <v>60</v>
      </c>
      <c r="D7" s="11" t="s">
        <v>64</v>
      </c>
      <c r="E7" s="11" t="n">
        <v>11</v>
      </c>
      <c r="F7" s="11" t="s">
        <v>65</v>
      </c>
      <c r="G7" s="11" t="s">
        <v>66</v>
      </c>
      <c r="H7" s="11" t="s">
        <v>54</v>
      </c>
      <c r="I7" s="12" t="s">
        <v>55</v>
      </c>
    </row>
    <row r="8" customFormat="false" ht="43.5" hidden="false" customHeight="true" outlineLevel="0" collapsed="false">
      <c r="A8" s="11" t="s">
        <v>67</v>
      </c>
      <c r="B8" s="11" t="s">
        <v>68</v>
      </c>
      <c r="C8" s="11" t="n">
        <v>60</v>
      </c>
      <c r="D8" s="11" t="s">
        <v>69</v>
      </c>
      <c r="E8" s="11" t="n">
        <v>4</v>
      </c>
      <c r="F8" s="11" t="s">
        <v>65</v>
      </c>
      <c r="G8" s="11" t="s">
        <v>70</v>
      </c>
      <c r="H8" s="11" t="s">
        <v>54</v>
      </c>
      <c r="I8" s="12" t="s">
        <v>71</v>
      </c>
    </row>
    <row r="9" customFormat="false" ht="43.5" hidden="false" customHeight="true" outlineLevel="0" collapsed="false">
      <c r="A9" s="11" t="s">
        <v>72</v>
      </c>
      <c r="B9" s="11" t="s">
        <v>73</v>
      </c>
      <c r="C9" s="11" t="n">
        <v>45</v>
      </c>
      <c r="D9" s="11" t="s">
        <v>74</v>
      </c>
      <c r="E9" s="11" t="n">
        <v>16</v>
      </c>
      <c r="F9" s="11" t="s">
        <v>65</v>
      </c>
      <c r="G9" s="11" t="s">
        <v>75</v>
      </c>
      <c r="H9" s="11" t="s">
        <v>54</v>
      </c>
      <c r="I9" s="12" t="s">
        <v>55</v>
      </c>
    </row>
    <row r="10" customFormat="false" ht="43.5" hidden="false" customHeight="true" outlineLevel="0" collapsed="false">
      <c r="A10" s="11" t="s">
        <v>76</v>
      </c>
      <c r="B10" s="11" t="s">
        <v>77</v>
      </c>
      <c r="C10" s="11" t="n">
        <v>60</v>
      </c>
      <c r="D10" s="11" t="s">
        <v>78</v>
      </c>
      <c r="E10" s="11" t="n">
        <v>15</v>
      </c>
      <c r="F10" s="11" t="s">
        <v>65</v>
      </c>
      <c r="G10" s="11" t="s">
        <v>79</v>
      </c>
      <c r="H10" s="11" t="s">
        <v>54</v>
      </c>
      <c r="I10" s="12" t="s">
        <v>55</v>
      </c>
    </row>
    <row r="11" customFormat="false" ht="43.5" hidden="false" customHeight="true" outlineLevel="0" collapsed="false">
      <c r="A11" s="11" t="s">
        <v>80</v>
      </c>
      <c r="B11" s="11" t="s">
        <v>81</v>
      </c>
      <c r="C11" s="11" t="n">
        <v>120</v>
      </c>
      <c r="D11" s="11" t="s">
        <v>82</v>
      </c>
      <c r="E11" s="11" t="n">
        <v>12</v>
      </c>
      <c r="F11" s="11" t="s">
        <v>59</v>
      </c>
      <c r="G11" s="11" t="s">
        <v>83</v>
      </c>
      <c r="H11" s="11" t="s">
        <v>54</v>
      </c>
      <c r="I11" s="12" t="s">
        <v>55</v>
      </c>
    </row>
    <row r="12" customFormat="false" ht="43.5" hidden="false" customHeight="true" outlineLevel="0" collapsed="false">
      <c r="A12" s="11" t="s">
        <v>84</v>
      </c>
      <c r="B12" s="11" t="s">
        <v>85</v>
      </c>
      <c r="C12" s="11" t="n">
        <v>60</v>
      </c>
      <c r="D12" s="11" t="s">
        <v>82</v>
      </c>
      <c r="E12" s="11" t="n">
        <v>12</v>
      </c>
      <c r="F12" s="11" t="s">
        <v>86</v>
      </c>
      <c r="G12" s="11" t="s">
        <v>87</v>
      </c>
      <c r="H12" s="11" t="s">
        <v>54</v>
      </c>
      <c r="I12" s="12" t="s">
        <v>55</v>
      </c>
    </row>
    <row r="13" customFormat="false" ht="43.5" hidden="false" customHeight="true" outlineLevel="0" collapsed="false">
      <c r="A13" s="11" t="s">
        <v>88</v>
      </c>
      <c r="B13" s="11" t="s">
        <v>89</v>
      </c>
      <c r="C13" s="11" t="n">
        <v>60</v>
      </c>
      <c r="D13" s="11" t="s">
        <v>90</v>
      </c>
      <c r="E13" s="11" t="n">
        <v>18</v>
      </c>
      <c r="F13" s="11" t="s">
        <v>91</v>
      </c>
      <c r="G13" s="11" t="s">
        <v>92</v>
      </c>
      <c r="H13" s="11" t="s">
        <v>54</v>
      </c>
      <c r="I13" s="12" t="s">
        <v>55</v>
      </c>
    </row>
    <row r="14" customFormat="false" ht="18" hidden="false" customHeight="true" outlineLevel="0" collapsed="false">
      <c r="A14" s="11"/>
      <c r="B14" s="11"/>
      <c r="C14" s="11"/>
      <c r="D14" s="11"/>
      <c r="E14" s="11"/>
      <c r="F14" s="11"/>
      <c r="G14" s="11"/>
      <c r="H14" s="11"/>
      <c r="I14" s="12"/>
    </row>
    <row r="15" customFormat="false" ht="18" hidden="false" customHeight="true" outlineLevel="0" collapsed="false">
      <c r="A15" s="11"/>
      <c r="B15" s="11"/>
      <c r="C15" s="11"/>
      <c r="D15" s="11"/>
      <c r="E15" s="11"/>
      <c r="F15" s="11"/>
      <c r="G15" s="11"/>
      <c r="H15" s="11"/>
      <c r="I15" s="12"/>
    </row>
    <row r="16" customFormat="false" ht="18" hidden="false" customHeight="true" outlineLevel="0" collapsed="false">
      <c r="A16" s="11"/>
      <c r="B16" s="11"/>
      <c r="C16" s="11"/>
      <c r="D16" s="11"/>
      <c r="E16" s="11"/>
      <c r="F16" s="11"/>
      <c r="G16" s="11"/>
      <c r="H16" s="11"/>
      <c r="I16" s="12"/>
    </row>
    <row r="17" customFormat="false" ht="18" hidden="false" customHeight="true" outlineLevel="0" collapsed="false">
      <c r="A17" s="11"/>
      <c r="B17" s="11"/>
      <c r="C17" s="11"/>
      <c r="D17" s="11"/>
      <c r="E17" s="11"/>
      <c r="F17" s="11"/>
      <c r="G17" s="11"/>
      <c r="H17" s="11"/>
      <c r="I17" s="12"/>
    </row>
    <row r="18" customFormat="false" ht="18" hidden="false" customHeight="true" outlineLevel="0" collapsed="false">
      <c r="A18" s="11"/>
      <c r="B18" s="11"/>
      <c r="C18" s="11"/>
      <c r="D18" s="11"/>
      <c r="E18" s="11"/>
      <c r="F18" s="11"/>
      <c r="G18" s="11"/>
      <c r="H18" s="11"/>
      <c r="I18" s="12"/>
    </row>
    <row r="19" customFormat="false" ht="18" hidden="false" customHeight="true" outlineLevel="0" collapsed="false">
      <c r="A19" s="11"/>
      <c r="B19" s="11"/>
      <c r="C19" s="11"/>
      <c r="D19" s="11"/>
      <c r="E19" s="11"/>
      <c r="F19" s="11"/>
      <c r="G19" s="11"/>
      <c r="H19" s="11"/>
      <c r="I19" s="12"/>
    </row>
    <row r="20" customFormat="false" ht="18" hidden="false" customHeight="true" outlineLevel="0" collapsed="false">
      <c r="A20" s="11"/>
      <c r="B20" s="11"/>
      <c r="C20" s="11"/>
      <c r="D20" s="11"/>
      <c r="E20" s="11"/>
      <c r="F20" s="11"/>
      <c r="G20" s="11"/>
      <c r="H20" s="11"/>
      <c r="I20" s="12"/>
    </row>
    <row r="21" customFormat="false" ht="18" hidden="false" customHeight="true" outlineLevel="0" collapsed="false">
      <c r="A21" s="11"/>
      <c r="B21" s="11"/>
      <c r="C21" s="11"/>
      <c r="D21" s="11"/>
      <c r="E21" s="11"/>
      <c r="F21" s="11"/>
      <c r="G21" s="11"/>
      <c r="H21" s="11"/>
      <c r="I21" s="12"/>
    </row>
    <row r="22" customFormat="false" ht="18" hidden="false" customHeight="true" outlineLevel="0" collapsed="false">
      <c r="A22" s="11"/>
      <c r="B22" s="11"/>
      <c r="C22" s="11"/>
      <c r="D22" s="11"/>
      <c r="E22" s="11"/>
      <c r="F22" s="11"/>
      <c r="G22" s="11"/>
      <c r="H22" s="11"/>
      <c r="I22" s="12"/>
    </row>
    <row r="23" customFormat="false" ht="18" hidden="false" customHeight="true" outlineLevel="0" collapsed="false">
      <c r="A23" s="11"/>
      <c r="B23" s="11"/>
      <c r="C23" s="11"/>
      <c r="D23" s="11"/>
      <c r="E23" s="11"/>
      <c r="F23" s="11"/>
      <c r="G23" s="11"/>
      <c r="H23" s="11"/>
      <c r="I23" s="12"/>
    </row>
    <row r="25" customFormat="false" ht="15" hidden="false" customHeight="false" outlineLevel="0" collapsed="false">
      <c r="A25" s="13" t="s">
        <v>93</v>
      </c>
    </row>
    <row r="26" customFormat="false" ht="15" hidden="false" customHeight="false" outlineLevel="0" collapsed="false">
      <c r="A26" s="13" t="s">
        <v>94</v>
      </c>
    </row>
    <row r="27" customFormat="false" ht="15" hidden="false" customHeight="false" outlineLevel="0" collapsed="false">
      <c r="A27" s="13" t="s">
        <v>95</v>
      </c>
    </row>
  </sheetData>
  <mergeCells count="2">
    <mergeCell ref="A1:I1"/>
    <mergeCell ref="A2:I2"/>
  </mergeCells>
  <dataValidations count="1">
    <dataValidation allowBlank="true" errorStyle="stop" operator="between" showDropDown="false" showErrorMessage="false" showInputMessage="false" sqref="I5:I2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
    <col collapsed="false" customWidth="true" hidden="false" outlineLevel="0" max="3" min="3" style="0" width="20"/>
    <col collapsed="false" customWidth="true" hidden="false" outlineLevel="0" max="4" min="4" style="0" width="22"/>
    <col collapsed="false" customWidth="true" hidden="false" outlineLevel="0" max="5" min="5" style="0" width="5"/>
    <col collapsed="false" customWidth="true" hidden="false" outlineLevel="0" max="6" min="6" style="0" width="22"/>
    <col collapsed="false" customWidth="true" hidden="false" outlineLevel="0" max="7" min="7" style="0" width="5"/>
    <col collapsed="false" customWidth="true" hidden="false" outlineLevel="0" max="8" min="8" style="0" width="22"/>
    <col collapsed="false" customWidth="true" hidden="false" outlineLevel="0" max="9" min="9" style="0" width="5"/>
    <col collapsed="false" customWidth="true" hidden="false" outlineLevel="0" max="10" min="10" style="0" width="22"/>
    <col collapsed="false" customWidth="true" hidden="false" outlineLevel="0" max="11" min="11" style="0" width="5"/>
    <col collapsed="false" customWidth="true" hidden="false" outlineLevel="0" max="12" min="12" style="0" width="22"/>
    <col collapsed="false" customWidth="true" hidden="false" outlineLevel="0" max="13" min="13" style="0" width="5"/>
    <col collapsed="false" customWidth="true" hidden="false" outlineLevel="0" max="14" min="14" style="0" width="22"/>
    <col collapsed="false" customWidth="true" hidden="false" outlineLevel="0" max="15" min="15" style="0" width="5"/>
    <col collapsed="false" customWidth="true" hidden="false" outlineLevel="0" max="17" min="16" style="0" width="7"/>
    <col collapsed="false" customWidth="true" hidden="false" outlineLevel="0" max="18" min="18" style="0" width="22"/>
    <col collapsed="false" customWidth="true" hidden="false" outlineLevel="0" max="19" min="19" style="0" width="30"/>
    <col collapsed="false" customWidth="true" hidden="true" outlineLevel="0" max="28" min="20" style="0" width="13"/>
  </cols>
  <sheetData>
    <row r="1" customFormat="false" ht="30" hidden="false" customHeight="true" outlineLevel="0" collapsed="false">
      <c r="A1" s="1" t="s">
        <v>96</v>
      </c>
      <c r="B1" s="1"/>
      <c r="C1" s="1"/>
      <c r="D1" s="1"/>
      <c r="E1" s="1"/>
      <c r="F1" s="1"/>
      <c r="G1" s="1"/>
      <c r="H1" s="1"/>
      <c r="I1" s="1"/>
      <c r="J1" s="1"/>
      <c r="K1" s="1"/>
      <c r="L1" s="1"/>
      <c r="M1" s="1"/>
      <c r="N1" s="1"/>
      <c r="O1" s="1"/>
      <c r="P1" s="1"/>
      <c r="Q1" s="1"/>
      <c r="R1" s="1"/>
      <c r="S1" s="1"/>
    </row>
    <row r="2" customFormat="false" ht="31.5" hidden="false" customHeight="true" outlineLevel="0" collapsed="false">
      <c r="A2" s="2" t="s">
        <v>97</v>
      </c>
      <c r="B2" s="2"/>
      <c r="C2" s="2"/>
      <c r="D2" s="2"/>
      <c r="E2" s="2"/>
      <c r="F2" s="2"/>
      <c r="G2" s="2"/>
      <c r="H2" s="2"/>
      <c r="I2" s="2"/>
      <c r="J2" s="2"/>
      <c r="K2" s="2"/>
      <c r="L2" s="2"/>
      <c r="M2" s="2"/>
      <c r="N2" s="2"/>
      <c r="O2" s="2"/>
      <c r="P2" s="2"/>
      <c r="Q2" s="2"/>
      <c r="R2" s="2"/>
      <c r="S2" s="2"/>
    </row>
    <row r="4" customFormat="false" ht="30" hidden="false" customHeight="true" outlineLevel="0" collapsed="false">
      <c r="A4" s="10" t="s">
        <v>40</v>
      </c>
      <c r="B4" s="10" t="s">
        <v>98</v>
      </c>
      <c r="C4" s="10" t="s">
        <v>99</v>
      </c>
      <c r="D4" s="10" t="s">
        <v>100</v>
      </c>
      <c r="E4" s="10" t="s">
        <v>101</v>
      </c>
      <c r="F4" s="10" t="s">
        <v>102</v>
      </c>
      <c r="G4" s="10" t="s">
        <v>101</v>
      </c>
      <c r="H4" s="10" t="s">
        <v>103</v>
      </c>
      <c r="I4" s="10" t="s">
        <v>101</v>
      </c>
      <c r="J4" s="10" t="s">
        <v>104</v>
      </c>
      <c r="K4" s="10" t="s">
        <v>101</v>
      </c>
      <c r="L4" s="10" t="s">
        <v>105</v>
      </c>
      <c r="M4" s="10" t="s">
        <v>101</v>
      </c>
      <c r="N4" s="10" t="s">
        <v>106</v>
      </c>
      <c r="O4" s="10" t="s">
        <v>101</v>
      </c>
      <c r="P4" s="10" t="s">
        <v>107</v>
      </c>
      <c r="Q4" s="10" t="s">
        <v>108</v>
      </c>
      <c r="R4" s="10" t="s">
        <v>109</v>
      </c>
      <c r="S4" s="10" t="s">
        <v>110</v>
      </c>
      <c r="T4" s="13" t="s">
        <v>111</v>
      </c>
      <c r="U4" s="13" t="s">
        <v>112</v>
      </c>
      <c r="V4" s="13" t="s">
        <v>113</v>
      </c>
      <c r="W4" s="13" t="s">
        <v>114</v>
      </c>
      <c r="X4" s="13" t="s">
        <v>115</v>
      </c>
      <c r="Y4" s="13" t="s">
        <v>116</v>
      </c>
      <c r="Z4" s="13" t="s">
        <v>117</v>
      </c>
      <c r="AA4" s="13" t="s">
        <v>118</v>
      </c>
      <c r="AB4" s="13" t="s">
        <v>119</v>
      </c>
    </row>
    <row r="5" customFormat="false" ht="43.5" hidden="false" customHeight="true" outlineLevel="0" collapsed="false">
      <c r="A5" s="11" t="s">
        <v>49</v>
      </c>
      <c r="B5" s="11" t="n">
        <v>1</v>
      </c>
      <c r="C5" s="11" t="s">
        <v>120</v>
      </c>
      <c r="D5" s="11" t="s">
        <v>121</v>
      </c>
      <c r="E5" s="12" t="n">
        <v>8</v>
      </c>
      <c r="F5" s="11" t="s">
        <v>120</v>
      </c>
      <c r="G5" s="12" t="n">
        <v>8</v>
      </c>
      <c r="H5" s="11" t="s">
        <v>122</v>
      </c>
      <c r="I5" s="12" t="n">
        <v>10</v>
      </c>
      <c r="J5" s="11" t="s">
        <v>123</v>
      </c>
      <c r="K5" s="12" t="n">
        <v>10</v>
      </c>
      <c r="L5" s="11" t="s">
        <v>124</v>
      </c>
      <c r="M5" s="12" t="n">
        <v>8</v>
      </c>
      <c r="N5" s="11" t="s">
        <v>125</v>
      </c>
      <c r="O5" s="12" t="n">
        <v>6</v>
      </c>
      <c r="P5" s="14" t="n">
        <f aca="false">IF(A5="","",SUM(E5,G5,I5,K5,M5,O5))</f>
        <v>50</v>
      </c>
      <c r="Q5" s="14" t="n">
        <f aca="false">IF(A5="","",IFERROR(INDEX(Classes!$C$5:$C$23,MATCH(A5,Classes!$A$5:$A$23,0)),""))</f>
        <v>60</v>
      </c>
      <c r="R5" s="15" t="str">
        <f aca="false">IF(A5="","",IF(TRIM(IF(AND(N(Q5)&gt;0,N(P5)&gt;N(Q5)),"Over by "&amp;(P5-Q5)&amp;" min. ","")&amp;IF(AND(COUNTIF(V5:AA5,"*A*")&gt;0,AB5&lt;&gt;"Yes"),"Age check. ","")&amp;IF(COUNTIF(V5:AA5,"*C*")&gt;0,"Contact check. ","")&amp;IF(COUNTIF(V5:AA5,"~?")&gt;0,"Drill not in library. ",""))="","OK"&amp;IF(AND(COUNTIF(V5:AA5,"*A*")&gt;0,AB5="Yes")," · split by age","")&amp;IF(N(Q5)&gt;N(P5)," ("&amp;(Q5-P5)&amp;" min spare)",""),TRIM(IF(AND(N(Q5)&gt;0,N(P5)&gt;N(Q5)),"Over by "&amp;(P5-Q5)&amp;" min. ","")&amp;IF(AND(COUNTIF(V5:AA5,"*A*")&gt;0,AB5&lt;&gt;"Yes"),"Age check. ","")&amp;IF(COUNTIF(V5:AA5,"*C*")&gt;0,"Contact check. ","")&amp;IF(COUNTIF(V5:AA5,"~?")&gt;0,"Drill not in library. ",""))&amp;IF(AND(COUNTIF(V5:AA5,"*A*")&gt;0,AB5="Yes")," · split by age","")))</f>
        <v>OK (10 min spare)</v>
      </c>
      <c r="S5" s="11"/>
      <c r="T5" s="13" t="n">
        <f aca="false">IF(A5="","",IFERROR(INDEX(Classes!$E$5:$E$23,MATCH(A5,Classes!$A$5:$A$23,0)),""))</f>
        <v>4</v>
      </c>
      <c r="U5" s="13" t="str">
        <f aca="false">IF(A5="","",IFERROR(INDEX(Classes!$F$5:$F$23,MATCH(A5,Classes!$A$5:$A$23,0)),""))</f>
        <v>None;Pads/bag;Partner drilling</v>
      </c>
      <c r="V5" s="13" t="str">
        <f aca="false">IF(OR(D5="",$A5=""),"",IF(ISNA(MATCH(D5,Drills!$A$5:$A$127,0)),"?",IF(N(INDEX(Drills!$K$5:$K$127,MATCH(D5,Drills!$A$5:$A$127,0)))&gt;N($T5),"A","")&amp;IF(ISNUMBER(SEARCH(INDEX(Drills!$E$5:$E$127,MATCH(D5,Drills!$A$5:$A$127,0)),$U5)),"","C")))</f>
        <v/>
      </c>
      <c r="W5" s="13" t="str">
        <f aca="false">IF(OR(F5="",$A5=""),"",IF(ISNA(MATCH(F5,Drills!$A$5:$A$127,0)),"?",IF(N(INDEX(Drills!$K$5:$K$127,MATCH(F5,Drills!$A$5:$A$127,0)))&gt;N($T5),"A","")&amp;IF(ISNUMBER(SEARCH(INDEX(Drills!$E$5:$E$127,MATCH(F5,Drills!$A$5:$A$127,0)),$U5)),"","C")))</f>
        <v/>
      </c>
      <c r="X5" s="13" t="str">
        <f aca="false">IF(OR(H5="",$A5=""),"",IF(ISNA(MATCH(H5,Drills!$A$5:$A$127,0)),"?",IF(N(INDEX(Drills!$K$5:$K$127,MATCH(H5,Drills!$A$5:$A$127,0)))&gt;N($T5),"A","")&amp;IF(ISNUMBER(SEARCH(INDEX(Drills!$E$5:$E$127,MATCH(H5,Drills!$A$5:$A$127,0)),$U5)),"","C")))</f>
        <v/>
      </c>
      <c r="Y5" s="13" t="str">
        <f aca="false">IF(OR(J5="",$A5=""),"",IF(ISNA(MATCH(J5,Drills!$A$5:$A$127,0)),"?",IF(N(INDEX(Drills!$K$5:$K$127,MATCH(J5,Drills!$A$5:$A$127,0)))&gt;N($T5),"A","")&amp;IF(ISNUMBER(SEARCH(INDEX(Drills!$E$5:$E$127,MATCH(J5,Drills!$A$5:$A$127,0)),$U5)),"","C")))</f>
        <v/>
      </c>
      <c r="Z5" s="13" t="str">
        <f aca="false">IF(OR(L5="",$A5=""),"",IF(ISNA(MATCH(L5,Drills!$A$5:$A$127,0)),"?",IF(N(INDEX(Drills!$K$5:$K$127,MATCH(L5,Drills!$A$5:$A$127,0)))&gt;N($T5),"A","")&amp;IF(ISNUMBER(SEARCH(INDEX(Drills!$E$5:$E$127,MATCH(L5,Drills!$A$5:$A$127,0)),$U5)),"","C")))</f>
        <v/>
      </c>
      <c r="AA5" s="13" t="str">
        <f aca="false">IF(OR(N5="",$A5=""),"",IF(ISNA(MATCH(N5,Drills!$A$5:$A$127,0)),"?",IF(N(INDEX(Drills!$K$5:$K$127,MATCH(N5,Drills!$A$5:$A$127,0)))&gt;N($T5),"A","")&amp;IF(ISNUMBER(SEARCH(INDEX(Drills!$E$5:$E$127,MATCH(N5,Drills!$A$5:$A$127,0)),$U5)),"","C")))</f>
        <v/>
      </c>
      <c r="AB5" s="13" t="str">
        <f aca="false">IF(A5="","",IFERROR(INDEX(Classes!$I$5:$I$23,MATCH(A5,Classes!$A$5:$A$23,0)),""))</f>
        <v>No</v>
      </c>
    </row>
    <row r="6" customFormat="false" ht="43.5" hidden="false" customHeight="true" outlineLevel="0" collapsed="false">
      <c r="A6" s="11" t="s">
        <v>49</v>
      </c>
      <c r="B6" s="11" t="n">
        <v>2</v>
      </c>
      <c r="C6" s="11" t="s">
        <v>126</v>
      </c>
      <c r="D6" s="11" t="s">
        <v>127</v>
      </c>
      <c r="E6" s="12" t="n">
        <v>10</v>
      </c>
      <c r="F6" s="11" t="s">
        <v>128</v>
      </c>
      <c r="G6" s="12" t="n">
        <v>10</v>
      </c>
      <c r="H6" s="11" t="s">
        <v>129</v>
      </c>
      <c r="I6" s="12" t="n">
        <v>8</v>
      </c>
      <c r="J6" s="11" t="s">
        <v>130</v>
      </c>
      <c r="K6" s="12" t="n">
        <v>10</v>
      </c>
      <c r="L6" s="11" t="s">
        <v>131</v>
      </c>
      <c r="M6" s="12" t="n">
        <v>8</v>
      </c>
      <c r="N6" s="11" t="s">
        <v>125</v>
      </c>
      <c r="O6" s="12" t="n">
        <v>6</v>
      </c>
      <c r="P6" s="14" t="n">
        <f aca="false">IF(A6="","",SUM(E6,G6,I6,K6,M6,O6))</f>
        <v>52</v>
      </c>
      <c r="Q6" s="14" t="n">
        <f aca="false">IF(A6="","",IFERROR(INDEX(Classes!$C$5:$C$23,MATCH(A6,Classes!$A$5:$A$23,0)),""))</f>
        <v>60</v>
      </c>
      <c r="R6" s="15" t="str">
        <f aca="false">IF(A6="","",IF(TRIM(IF(AND(N(Q6)&gt;0,N(P6)&gt;N(Q6)),"Over by "&amp;(P6-Q6)&amp;" min. ","")&amp;IF(AND(COUNTIF(V6:AA6,"*A*")&gt;0,AB6&lt;&gt;"Yes"),"Age check. ","")&amp;IF(COUNTIF(V6:AA6,"*C*")&gt;0,"Contact check. ","")&amp;IF(COUNTIF(V6:AA6,"~?")&gt;0,"Drill not in library. ",""))="","OK"&amp;IF(AND(COUNTIF(V6:AA6,"*A*")&gt;0,AB6="Yes")," · split by age","")&amp;IF(N(Q6)&gt;N(P6)," ("&amp;(Q6-P6)&amp;" min spare)",""),TRIM(IF(AND(N(Q6)&gt;0,N(P6)&gt;N(Q6)),"Over by "&amp;(P6-Q6)&amp;" min. ","")&amp;IF(AND(COUNTIF(V6:AA6,"*A*")&gt;0,AB6&lt;&gt;"Yes"),"Age check. ","")&amp;IF(COUNTIF(V6:AA6,"*C*")&gt;0,"Contact check. ","")&amp;IF(COUNTIF(V6:AA6,"~?")&gt;0,"Drill not in library. ",""))&amp;IF(AND(COUNTIF(V6:AA6,"*A*")&gt;0,AB6="Yes")," · split by age","")))</f>
        <v>OK (8 min spare)</v>
      </c>
      <c r="S6" s="11"/>
      <c r="T6" s="13" t="n">
        <f aca="false">IF(A6="","",IFERROR(INDEX(Classes!$E$5:$E$23,MATCH(A6,Classes!$A$5:$A$23,0)),""))</f>
        <v>4</v>
      </c>
      <c r="U6" s="13" t="str">
        <f aca="false">IF(A6="","",IFERROR(INDEX(Classes!$F$5:$F$23,MATCH(A6,Classes!$A$5:$A$23,0)),""))</f>
        <v>None;Pads/bag;Partner drilling</v>
      </c>
      <c r="V6" s="13" t="str">
        <f aca="false">IF(OR(D6="",$A6=""),"",IF(ISNA(MATCH(D6,Drills!$A$5:$A$127,0)),"?",IF(N(INDEX(Drills!$K$5:$K$127,MATCH(D6,Drills!$A$5:$A$127,0)))&gt;N($T6),"A","")&amp;IF(ISNUMBER(SEARCH(INDEX(Drills!$E$5:$E$127,MATCH(D6,Drills!$A$5:$A$127,0)),$U6)),"","C")))</f>
        <v/>
      </c>
      <c r="W6" s="13" t="str">
        <f aca="false">IF(OR(F6="",$A6=""),"",IF(ISNA(MATCH(F6,Drills!$A$5:$A$127,0)),"?",IF(N(INDEX(Drills!$K$5:$K$127,MATCH(F6,Drills!$A$5:$A$127,0)))&gt;N($T6),"A","")&amp;IF(ISNUMBER(SEARCH(INDEX(Drills!$E$5:$E$127,MATCH(F6,Drills!$A$5:$A$127,0)),$U6)),"","C")))</f>
        <v/>
      </c>
      <c r="X6" s="13" t="str">
        <f aca="false">IF(OR(H6="",$A6=""),"",IF(ISNA(MATCH(H6,Drills!$A$5:$A$127,0)),"?",IF(N(INDEX(Drills!$K$5:$K$127,MATCH(H6,Drills!$A$5:$A$127,0)))&gt;N($T6),"A","")&amp;IF(ISNUMBER(SEARCH(INDEX(Drills!$E$5:$E$127,MATCH(H6,Drills!$A$5:$A$127,0)),$U6)),"","C")))</f>
        <v/>
      </c>
      <c r="Y6" s="13" t="str">
        <f aca="false">IF(OR(J6="",$A6=""),"",IF(ISNA(MATCH(J6,Drills!$A$5:$A$127,0)),"?",IF(N(INDEX(Drills!$K$5:$K$127,MATCH(J6,Drills!$A$5:$A$127,0)))&gt;N($T6),"A","")&amp;IF(ISNUMBER(SEARCH(INDEX(Drills!$E$5:$E$127,MATCH(J6,Drills!$A$5:$A$127,0)),$U6)),"","C")))</f>
        <v/>
      </c>
      <c r="Z6" s="13" t="str">
        <f aca="false">IF(OR(L6="",$A6=""),"",IF(ISNA(MATCH(L6,Drills!$A$5:$A$127,0)),"?",IF(N(INDEX(Drills!$K$5:$K$127,MATCH(L6,Drills!$A$5:$A$127,0)))&gt;N($T6),"A","")&amp;IF(ISNUMBER(SEARCH(INDEX(Drills!$E$5:$E$127,MATCH(L6,Drills!$A$5:$A$127,0)),$U6)),"","C")))</f>
        <v/>
      </c>
      <c r="AA6" s="13" t="str">
        <f aca="false">IF(OR(N6="",$A6=""),"",IF(ISNA(MATCH(N6,Drills!$A$5:$A$127,0)),"?",IF(N(INDEX(Drills!$K$5:$K$127,MATCH(N6,Drills!$A$5:$A$127,0)))&gt;N($T6),"A","")&amp;IF(ISNUMBER(SEARCH(INDEX(Drills!$E$5:$E$127,MATCH(N6,Drills!$A$5:$A$127,0)),$U6)),"","C")))</f>
        <v/>
      </c>
      <c r="AB6" s="13" t="str">
        <f aca="false">IF(A6="","",IFERROR(INDEX(Classes!$I$5:$I$23,MATCH(A6,Classes!$A$5:$A$23,0)),""))</f>
        <v>No</v>
      </c>
    </row>
    <row r="7" customFormat="false" ht="43.5" hidden="false" customHeight="true" outlineLevel="0" collapsed="false">
      <c r="A7" s="11" t="s">
        <v>49</v>
      </c>
      <c r="B7" s="11" t="n">
        <v>3</v>
      </c>
      <c r="C7" s="11" t="s">
        <v>132</v>
      </c>
      <c r="D7" s="11" t="s">
        <v>133</v>
      </c>
      <c r="E7" s="12" t="n">
        <v>6</v>
      </c>
      <c r="F7" s="11" t="s">
        <v>134</v>
      </c>
      <c r="G7" s="12" t="n">
        <v>10</v>
      </c>
      <c r="H7" s="11" t="s">
        <v>122</v>
      </c>
      <c r="I7" s="12" t="n">
        <v>8</v>
      </c>
      <c r="J7" s="11" t="s">
        <v>130</v>
      </c>
      <c r="K7" s="12" t="n">
        <v>10</v>
      </c>
      <c r="L7" s="11" t="s">
        <v>123</v>
      </c>
      <c r="M7" s="12" t="n">
        <v>10</v>
      </c>
      <c r="N7" s="11" t="s">
        <v>125</v>
      </c>
      <c r="O7" s="12" t="n">
        <v>6</v>
      </c>
      <c r="P7" s="14" t="n">
        <f aca="false">IF(A7="","",SUM(E7,G7,I7,K7,M7,O7))</f>
        <v>50</v>
      </c>
      <c r="Q7" s="14" t="n">
        <f aca="false">IF(A7="","",IFERROR(INDEX(Classes!$C$5:$C$23,MATCH(A7,Classes!$A$5:$A$23,0)),""))</f>
        <v>60</v>
      </c>
      <c r="R7" s="15" t="str">
        <f aca="false">IF(A7="","",IF(TRIM(IF(AND(N(Q7)&gt;0,N(P7)&gt;N(Q7)),"Over by "&amp;(P7-Q7)&amp;" min. ","")&amp;IF(AND(COUNTIF(V7:AA7,"*A*")&gt;0,AB7&lt;&gt;"Yes"),"Age check. ","")&amp;IF(COUNTIF(V7:AA7,"*C*")&gt;0,"Contact check. ","")&amp;IF(COUNTIF(V7:AA7,"~?")&gt;0,"Drill not in library. ",""))="","OK"&amp;IF(AND(COUNTIF(V7:AA7,"*A*")&gt;0,AB7="Yes")," · split by age","")&amp;IF(N(Q7)&gt;N(P7)," ("&amp;(Q7-P7)&amp;" min spare)",""),TRIM(IF(AND(N(Q7)&gt;0,N(P7)&gt;N(Q7)),"Over by "&amp;(P7-Q7)&amp;" min. ","")&amp;IF(AND(COUNTIF(V7:AA7,"*A*")&gt;0,AB7&lt;&gt;"Yes"),"Age check. ","")&amp;IF(COUNTIF(V7:AA7,"*C*")&gt;0,"Contact check. ","")&amp;IF(COUNTIF(V7:AA7,"~?")&gt;0,"Drill not in library. ",""))&amp;IF(AND(COUNTIF(V7:AA7,"*A*")&gt;0,AB7="Yes")," · split by age","")))</f>
        <v>OK (10 min spare)</v>
      </c>
      <c r="S7" s="11"/>
      <c r="T7" s="13" t="n">
        <f aca="false">IF(A7="","",IFERROR(INDEX(Classes!$E$5:$E$23,MATCH(A7,Classes!$A$5:$A$23,0)),""))</f>
        <v>4</v>
      </c>
      <c r="U7" s="13" t="str">
        <f aca="false">IF(A7="","",IFERROR(INDEX(Classes!$F$5:$F$23,MATCH(A7,Classes!$A$5:$A$23,0)),""))</f>
        <v>None;Pads/bag;Partner drilling</v>
      </c>
      <c r="V7" s="13" t="str">
        <f aca="false">IF(OR(D7="",$A7=""),"",IF(ISNA(MATCH(D7,Drills!$A$5:$A$127,0)),"?",IF(N(INDEX(Drills!$K$5:$K$127,MATCH(D7,Drills!$A$5:$A$127,0)))&gt;N($T7),"A","")&amp;IF(ISNUMBER(SEARCH(INDEX(Drills!$E$5:$E$127,MATCH(D7,Drills!$A$5:$A$127,0)),$U7)),"","C")))</f>
        <v/>
      </c>
      <c r="W7" s="13" t="str">
        <f aca="false">IF(OR(F7="",$A7=""),"",IF(ISNA(MATCH(F7,Drills!$A$5:$A$127,0)),"?",IF(N(INDEX(Drills!$K$5:$K$127,MATCH(F7,Drills!$A$5:$A$127,0)))&gt;N($T7),"A","")&amp;IF(ISNUMBER(SEARCH(INDEX(Drills!$E$5:$E$127,MATCH(F7,Drills!$A$5:$A$127,0)),$U7)),"","C")))</f>
        <v/>
      </c>
      <c r="X7" s="13" t="str">
        <f aca="false">IF(OR(H7="",$A7=""),"",IF(ISNA(MATCH(H7,Drills!$A$5:$A$127,0)),"?",IF(N(INDEX(Drills!$K$5:$K$127,MATCH(H7,Drills!$A$5:$A$127,0)))&gt;N($T7),"A","")&amp;IF(ISNUMBER(SEARCH(INDEX(Drills!$E$5:$E$127,MATCH(H7,Drills!$A$5:$A$127,0)),$U7)),"","C")))</f>
        <v/>
      </c>
      <c r="Y7" s="13" t="str">
        <f aca="false">IF(OR(J7="",$A7=""),"",IF(ISNA(MATCH(J7,Drills!$A$5:$A$127,0)),"?",IF(N(INDEX(Drills!$K$5:$K$127,MATCH(J7,Drills!$A$5:$A$127,0)))&gt;N($T7),"A","")&amp;IF(ISNUMBER(SEARCH(INDEX(Drills!$E$5:$E$127,MATCH(J7,Drills!$A$5:$A$127,0)),$U7)),"","C")))</f>
        <v/>
      </c>
      <c r="Z7" s="13" t="str">
        <f aca="false">IF(OR(L7="",$A7=""),"",IF(ISNA(MATCH(L7,Drills!$A$5:$A$127,0)),"?",IF(N(INDEX(Drills!$K$5:$K$127,MATCH(L7,Drills!$A$5:$A$127,0)))&gt;N($T7),"A","")&amp;IF(ISNUMBER(SEARCH(INDEX(Drills!$E$5:$E$127,MATCH(L7,Drills!$A$5:$A$127,0)),$U7)),"","C")))</f>
        <v/>
      </c>
      <c r="AA7" s="13" t="str">
        <f aca="false">IF(OR(N7="",$A7=""),"",IF(ISNA(MATCH(N7,Drills!$A$5:$A$127,0)),"?",IF(N(INDEX(Drills!$K$5:$K$127,MATCH(N7,Drills!$A$5:$A$127,0)))&gt;N($T7),"A","")&amp;IF(ISNUMBER(SEARCH(INDEX(Drills!$E$5:$E$127,MATCH(N7,Drills!$A$5:$A$127,0)),$U7)),"","C")))</f>
        <v/>
      </c>
      <c r="AB7" s="13" t="str">
        <f aca="false">IF(A7="","",IFERROR(INDEX(Classes!$I$5:$I$23,MATCH(A7,Classes!$A$5:$A$23,0)),""))</f>
        <v>No</v>
      </c>
    </row>
    <row r="8" customFormat="false" ht="43.5" hidden="false" customHeight="true" outlineLevel="0" collapsed="false">
      <c r="A8" s="11" t="s">
        <v>49</v>
      </c>
      <c r="B8" s="11" t="n">
        <v>4</v>
      </c>
      <c r="C8" s="11" t="s">
        <v>135</v>
      </c>
      <c r="D8" s="11" t="s">
        <v>121</v>
      </c>
      <c r="E8" s="12" t="n">
        <v>8</v>
      </c>
      <c r="F8" s="11" t="s">
        <v>136</v>
      </c>
      <c r="G8" s="12" t="n">
        <v>8</v>
      </c>
      <c r="H8" s="11" t="s">
        <v>134</v>
      </c>
      <c r="I8" s="12" t="n">
        <v>10</v>
      </c>
      <c r="J8" s="11" t="s">
        <v>130</v>
      </c>
      <c r="K8" s="12" t="n">
        <v>10</v>
      </c>
      <c r="L8" s="11" t="s">
        <v>124</v>
      </c>
      <c r="M8" s="12" t="n">
        <v>8</v>
      </c>
      <c r="N8" s="11" t="s">
        <v>125</v>
      </c>
      <c r="O8" s="12" t="n">
        <v>6</v>
      </c>
      <c r="P8" s="14" t="n">
        <f aca="false">IF(A8="","",SUM(E8,G8,I8,K8,M8,O8))</f>
        <v>50</v>
      </c>
      <c r="Q8" s="14" t="n">
        <f aca="false">IF(A8="","",IFERROR(INDEX(Classes!$C$5:$C$23,MATCH(A8,Classes!$A$5:$A$23,0)),""))</f>
        <v>60</v>
      </c>
      <c r="R8" s="15" t="str">
        <f aca="false">IF(A8="","",IF(TRIM(IF(AND(N(Q8)&gt;0,N(P8)&gt;N(Q8)),"Over by "&amp;(P8-Q8)&amp;" min. ","")&amp;IF(AND(COUNTIF(V8:AA8,"*A*")&gt;0,AB8&lt;&gt;"Yes"),"Age check. ","")&amp;IF(COUNTIF(V8:AA8,"*C*")&gt;0,"Contact check. ","")&amp;IF(COUNTIF(V8:AA8,"~?")&gt;0,"Drill not in library. ",""))="","OK"&amp;IF(AND(COUNTIF(V8:AA8,"*A*")&gt;0,AB8="Yes")," · split by age","")&amp;IF(N(Q8)&gt;N(P8)," ("&amp;(Q8-P8)&amp;" min spare)",""),TRIM(IF(AND(N(Q8)&gt;0,N(P8)&gt;N(Q8)),"Over by "&amp;(P8-Q8)&amp;" min. ","")&amp;IF(AND(COUNTIF(V8:AA8,"*A*")&gt;0,AB8&lt;&gt;"Yes"),"Age check. ","")&amp;IF(COUNTIF(V8:AA8,"*C*")&gt;0,"Contact check. ","")&amp;IF(COUNTIF(V8:AA8,"~?")&gt;0,"Drill not in library. ",""))&amp;IF(AND(COUNTIF(V8:AA8,"*A*")&gt;0,AB8="Yes")," · split by age","")))</f>
        <v>OK (10 min spare)</v>
      </c>
      <c r="S8" s="11"/>
      <c r="T8" s="13" t="n">
        <f aca="false">IF(A8="","",IFERROR(INDEX(Classes!$E$5:$E$23,MATCH(A8,Classes!$A$5:$A$23,0)),""))</f>
        <v>4</v>
      </c>
      <c r="U8" s="13" t="str">
        <f aca="false">IF(A8="","",IFERROR(INDEX(Classes!$F$5:$F$23,MATCH(A8,Classes!$A$5:$A$23,0)),""))</f>
        <v>None;Pads/bag;Partner drilling</v>
      </c>
      <c r="V8" s="13" t="str">
        <f aca="false">IF(OR(D8="",$A8=""),"",IF(ISNA(MATCH(D8,Drills!$A$5:$A$127,0)),"?",IF(N(INDEX(Drills!$K$5:$K$127,MATCH(D8,Drills!$A$5:$A$127,0)))&gt;N($T8),"A","")&amp;IF(ISNUMBER(SEARCH(INDEX(Drills!$E$5:$E$127,MATCH(D8,Drills!$A$5:$A$127,0)),$U8)),"","C")))</f>
        <v/>
      </c>
      <c r="W8" s="13" t="str">
        <f aca="false">IF(OR(F8="",$A8=""),"",IF(ISNA(MATCH(F8,Drills!$A$5:$A$127,0)),"?",IF(N(INDEX(Drills!$K$5:$K$127,MATCH(F8,Drills!$A$5:$A$127,0)))&gt;N($T8),"A","")&amp;IF(ISNUMBER(SEARCH(INDEX(Drills!$E$5:$E$127,MATCH(F8,Drills!$A$5:$A$127,0)),$U8)),"","C")))</f>
        <v/>
      </c>
      <c r="X8" s="13" t="str">
        <f aca="false">IF(OR(H8="",$A8=""),"",IF(ISNA(MATCH(H8,Drills!$A$5:$A$127,0)),"?",IF(N(INDEX(Drills!$K$5:$K$127,MATCH(H8,Drills!$A$5:$A$127,0)))&gt;N($T8),"A","")&amp;IF(ISNUMBER(SEARCH(INDEX(Drills!$E$5:$E$127,MATCH(H8,Drills!$A$5:$A$127,0)),$U8)),"","C")))</f>
        <v/>
      </c>
      <c r="Y8" s="13" t="str">
        <f aca="false">IF(OR(J8="",$A8=""),"",IF(ISNA(MATCH(J8,Drills!$A$5:$A$127,0)),"?",IF(N(INDEX(Drills!$K$5:$K$127,MATCH(J8,Drills!$A$5:$A$127,0)))&gt;N($T8),"A","")&amp;IF(ISNUMBER(SEARCH(INDEX(Drills!$E$5:$E$127,MATCH(J8,Drills!$A$5:$A$127,0)),$U8)),"","C")))</f>
        <v/>
      </c>
      <c r="Z8" s="13" t="str">
        <f aca="false">IF(OR(L8="",$A8=""),"",IF(ISNA(MATCH(L8,Drills!$A$5:$A$127,0)),"?",IF(N(INDEX(Drills!$K$5:$K$127,MATCH(L8,Drills!$A$5:$A$127,0)))&gt;N($T8),"A","")&amp;IF(ISNUMBER(SEARCH(INDEX(Drills!$E$5:$E$127,MATCH(L8,Drills!$A$5:$A$127,0)),$U8)),"","C")))</f>
        <v/>
      </c>
      <c r="AA8" s="13" t="str">
        <f aca="false">IF(OR(N8="",$A8=""),"",IF(ISNA(MATCH(N8,Drills!$A$5:$A$127,0)),"?",IF(N(INDEX(Drills!$K$5:$K$127,MATCH(N8,Drills!$A$5:$A$127,0)))&gt;N($T8),"A","")&amp;IF(ISNUMBER(SEARCH(INDEX(Drills!$E$5:$E$127,MATCH(N8,Drills!$A$5:$A$127,0)),$U8)),"","C")))</f>
        <v/>
      </c>
      <c r="AB8" s="13" t="str">
        <f aca="false">IF(A8="","",IFERROR(INDEX(Classes!$I$5:$I$23,MATCH(A8,Classes!$A$5:$A$23,0)),""))</f>
        <v>No</v>
      </c>
    </row>
    <row r="9" customFormat="false" ht="43.5" hidden="false" customHeight="true" outlineLevel="0" collapsed="false">
      <c r="A9" s="11" t="s">
        <v>56</v>
      </c>
      <c r="B9" s="11" t="n">
        <v>1</v>
      </c>
      <c r="C9" s="11" t="s">
        <v>137</v>
      </c>
      <c r="D9" s="11" t="s">
        <v>138</v>
      </c>
      <c r="E9" s="12" t="n">
        <v>10</v>
      </c>
      <c r="F9" s="11" t="s">
        <v>139</v>
      </c>
      <c r="G9" s="12" t="n">
        <v>6</v>
      </c>
      <c r="H9" s="11" t="s">
        <v>140</v>
      </c>
      <c r="I9" s="12" t="n">
        <v>6</v>
      </c>
      <c r="J9" s="11" t="s">
        <v>141</v>
      </c>
      <c r="K9" s="12" t="n">
        <v>5</v>
      </c>
      <c r="L9" s="11" t="s">
        <v>142</v>
      </c>
      <c r="M9" s="12" t="n">
        <v>6</v>
      </c>
      <c r="N9" s="11" t="s">
        <v>125</v>
      </c>
      <c r="O9" s="12" t="n">
        <v>5</v>
      </c>
      <c r="P9" s="14" t="n">
        <f aca="false">IF(A9="","",SUM(E9,G9,I9,K9,M9,O9))</f>
        <v>38</v>
      </c>
      <c r="Q9" s="14" t="n">
        <f aca="false">IF(A9="","",IFERROR(INDEX(Classes!$C$5:$C$23,MATCH(A9,Classes!$A$5:$A$23,0)),""))</f>
        <v>40</v>
      </c>
      <c r="R9" s="15" t="str">
        <f aca="false">IF(A9="","",IF(TRIM(IF(AND(N(Q9)&gt;0,N(P9)&gt;N(Q9)),"Over by "&amp;(P9-Q9)&amp;" min. ","")&amp;IF(AND(COUNTIF(V9:AA9,"*A*")&gt;0,AB9&lt;&gt;"Yes"),"Age check. ","")&amp;IF(COUNTIF(V9:AA9,"*C*")&gt;0,"Contact check. ","")&amp;IF(COUNTIF(V9:AA9,"~?")&gt;0,"Drill not in library. ",""))="","OK"&amp;IF(AND(COUNTIF(V9:AA9,"*A*")&gt;0,AB9="Yes")," · split by age","")&amp;IF(N(Q9)&gt;N(P9)," ("&amp;(Q9-P9)&amp;" min spare)",""),TRIM(IF(AND(N(Q9)&gt;0,N(P9)&gt;N(Q9)),"Over by "&amp;(P9-Q9)&amp;" min. ","")&amp;IF(AND(COUNTIF(V9:AA9,"*A*")&gt;0,AB9&lt;&gt;"Yes"),"Age check. ","")&amp;IF(COUNTIF(V9:AA9,"*C*")&gt;0,"Contact check. ","")&amp;IF(COUNTIF(V9:AA9,"~?")&gt;0,"Drill not in library. ",""))&amp;IF(AND(COUNTIF(V9:AA9,"*A*")&gt;0,AB9="Yes")," · split by age","")))</f>
        <v>OK (2 min spare)</v>
      </c>
      <c r="S9" s="11"/>
      <c r="T9" s="13" t="n">
        <f aca="false">IF(A9="","",IFERROR(INDEX(Classes!$E$5:$E$23,MATCH(A9,Classes!$A$5:$A$23,0)),""))</f>
        <v>6</v>
      </c>
      <c r="U9" s="13" t="str">
        <f aca="false">IF(A9="","",IFERROR(INDEX(Classes!$F$5:$F$23,MATCH(A9,Classes!$A$5:$A$23,0)),""))</f>
        <v>None;Partner drilling;Live grappling</v>
      </c>
      <c r="V9" s="13" t="str">
        <f aca="false">IF(OR(D9="",$A9=""),"",IF(ISNA(MATCH(D9,Drills!$A$5:$A$127,0)),"?",IF(N(INDEX(Drills!$K$5:$K$127,MATCH(D9,Drills!$A$5:$A$127,0)))&gt;N($T9),"A","")&amp;IF(ISNUMBER(SEARCH(INDEX(Drills!$E$5:$E$127,MATCH(D9,Drills!$A$5:$A$127,0)),$U9)),"","C")))</f>
        <v/>
      </c>
      <c r="W9" s="13" t="str">
        <f aca="false">IF(OR(F9="",$A9=""),"",IF(ISNA(MATCH(F9,Drills!$A$5:$A$127,0)),"?",IF(N(INDEX(Drills!$K$5:$K$127,MATCH(F9,Drills!$A$5:$A$127,0)))&gt;N($T9),"A","")&amp;IF(ISNUMBER(SEARCH(INDEX(Drills!$E$5:$E$127,MATCH(F9,Drills!$A$5:$A$127,0)),$U9)),"","C")))</f>
        <v/>
      </c>
      <c r="X9" s="13" t="str">
        <f aca="false">IF(OR(H9="",$A9=""),"",IF(ISNA(MATCH(H9,Drills!$A$5:$A$127,0)),"?",IF(N(INDEX(Drills!$K$5:$K$127,MATCH(H9,Drills!$A$5:$A$127,0)))&gt;N($T9),"A","")&amp;IF(ISNUMBER(SEARCH(INDEX(Drills!$E$5:$E$127,MATCH(H9,Drills!$A$5:$A$127,0)),$U9)),"","C")))</f>
        <v/>
      </c>
      <c r="Y9" s="13" t="str">
        <f aca="false">IF(OR(J9="",$A9=""),"",IF(ISNA(MATCH(J9,Drills!$A$5:$A$127,0)),"?",IF(N(INDEX(Drills!$K$5:$K$127,MATCH(J9,Drills!$A$5:$A$127,0)))&gt;N($T9),"A","")&amp;IF(ISNUMBER(SEARCH(INDEX(Drills!$E$5:$E$127,MATCH(J9,Drills!$A$5:$A$127,0)),$U9)),"","C")))</f>
        <v/>
      </c>
      <c r="Z9" s="13" t="str">
        <f aca="false">IF(OR(L9="",$A9=""),"",IF(ISNA(MATCH(L9,Drills!$A$5:$A$127,0)),"?",IF(N(INDEX(Drills!$K$5:$K$127,MATCH(L9,Drills!$A$5:$A$127,0)))&gt;N($T9),"A","")&amp;IF(ISNUMBER(SEARCH(INDEX(Drills!$E$5:$E$127,MATCH(L9,Drills!$A$5:$A$127,0)),$U9)),"","C")))</f>
        <v/>
      </c>
      <c r="AA9" s="13" t="str">
        <f aca="false">IF(OR(N9="",$A9=""),"",IF(ISNA(MATCH(N9,Drills!$A$5:$A$127,0)),"?",IF(N(INDEX(Drills!$K$5:$K$127,MATCH(N9,Drills!$A$5:$A$127,0)))&gt;N($T9),"A","")&amp;IF(ISNUMBER(SEARCH(INDEX(Drills!$E$5:$E$127,MATCH(N9,Drills!$A$5:$A$127,0)),$U9)),"","C")))</f>
        <v/>
      </c>
      <c r="AB9" s="13" t="str">
        <f aca="false">IF(A9="","",IFERROR(INDEX(Classes!$I$5:$I$23,MATCH(A9,Classes!$A$5:$A$23,0)),""))</f>
        <v>No</v>
      </c>
    </row>
    <row r="10" customFormat="false" ht="43.5" hidden="false" customHeight="true" outlineLevel="0" collapsed="false">
      <c r="A10" s="11" t="s">
        <v>56</v>
      </c>
      <c r="B10" s="11" t="n">
        <v>2</v>
      </c>
      <c r="C10" s="11" t="s">
        <v>143</v>
      </c>
      <c r="D10" s="11" t="s">
        <v>139</v>
      </c>
      <c r="E10" s="12" t="n">
        <v>6</v>
      </c>
      <c r="F10" s="11" t="s">
        <v>143</v>
      </c>
      <c r="G10" s="12" t="n">
        <v>8</v>
      </c>
      <c r="H10" s="11" t="s">
        <v>141</v>
      </c>
      <c r="I10" s="12" t="n">
        <v>5</v>
      </c>
      <c r="J10" s="11" t="s">
        <v>144</v>
      </c>
      <c r="K10" s="12" t="n">
        <v>6</v>
      </c>
      <c r="L10" s="11" t="s">
        <v>145</v>
      </c>
      <c r="M10" s="12" t="n">
        <v>10</v>
      </c>
      <c r="N10" s="11" t="s">
        <v>125</v>
      </c>
      <c r="O10" s="12" t="n">
        <v>5</v>
      </c>
      <c r="P10" s="14" t="n">
        <f aca="false">IF(A10="","",SUM(E10,G10,I10,K10,M10,O10))</f>
        <v>40</v>
      </c>
      <c r="Q10" s="14" t="n">
        <f aca="false">IF(A10="","",IFERROR(INDEX(Classes!$C$5:$C$23,MATCH(A10,Classes!$A$5:$A$23,0)),""))</f>
        <v>40</v>
      </c>
      <c r="R10" s="15" t="str">
        <f aca="false">IF(A10="","",IF(TRIM(IF(AND(N(Q10)&gt;0,N(P10)&gt;N(Q10)),"Over by "&amp;(P10-Q10)&amp;" min. ","")&amp;IF(AND(COUNTIF(V10:AA10,"*A*")&gt;0,AB10&lt;&gt;"Yes"),"Age check. ","")&amp;IF(COUNTIF(V10:AA10,"*C*")&gt;0,"Contact check. ","")&amp;IF(COUNTIF(V10:AA10,"~?")&gt;0,"Drill not in library. ",""))="","OK"&amp;IF(AND(COUNTIF(V10:AA10,"*A*")&gt;0,AB10="Yes")," · split by age","")&amp;IF(N(Q10)&gt;N(P10)," ("&amp;(Q10-P10)&amp;" min spare)",""),TRIM(IF(AND(N(Q10)&gt;0,N(P10)&gt;N(Q10)),"Over by "&amp;(P10-Q10)&amp;" min. ","")&amp;IF(AND(COUNTIF(V10:AA10,"*A*")&gt;0,AB10&lt;&gt;"Yes"),"Age check. ","")&amp;IF(COUNTIF(V10:AA10,"*C*")&gt;0,"Contact check. ","")&amp;IF(COUNTIF(V10:AA10,"~?")&gt;0,"Drill not in library. ",""))&amp;IF(AND(COUNTIF(V10:AA10,"*A*")&gt;0,AB10="Yes")," · split by age","")))</f>
        <v>OK</v>
      </c>
      <c r="S10" s="11"/>
      <c r="T10" s="13" t="n">
        <f aca="false">IF(A10="","",IFERROR(INDEX(Classes!$E$5:$E$23,MATCH(A10,Classes!$A$5:$A$23,0)),""))</f>
        <v>6</v>
      </c>
      <c r="U10" s="13" t="str">
        <f aca="false">IF(A10="","",IFERROR(INDEX(Classes!$F$5:$F$23,MATCH(A10,Classes!$A$5:$A$23,0)),""))</f>
        <v>None;Partner drilling;Live grappling</v>
      </c>
      <c r="V10" s="13" t="str">
        <f aca="false">IF(OR(D10="",$A10=""),"",IF(ISNA(MATCH(D10,Drills!$A$5:$A$127,0)),"?",IF(N(INDEX(Drills!$K$5:$K$127,MATCH(D10,Drills!$A$5:$A$127,0)))&gt;N($T10),"A","")&amp;IF(ISNUMBER(SEARCH(INDEX(Drills!$E$5:$E$127,MATCH(D10,Drills!$A$5:$A$127,0)),$U10)),"","C")))</f>
        <v/>
      </c>
      <c r="W10" s="13" t="str">
        <f aca="false">IF(OR(F10="",$A10=""),"",IF(ISNA(MATCH(F10,Drills!$A$5:$A$127,0)),"?",IF(N(INDEX(Drills!$K$5:$K$127,MATCH(F10,Drills!$A$5:$A$127,0)))&gt;N($T10),"A","")&amp;IF(ISNUMBER(SEARCH(INDEX(Drills!$E$5:$E$127,MATCH(F10,Drills!$A$5:$A$127,0)),$U10)),"","C")))</f>
        <v/>
      </c>
      <c r="X10" s="13" t="str">
        <f aca="false">IF(OR(H10="",$A10=""),"",IF(ISNA(MATCH(H10,Drills!$A$5:$A$127,0)),"?",IF(N(INDEX(Drills!$K$5:$K$127,MATCH(H10,Drills!$A$5:$A$127,0)))&gt;N($T10),"A","")&amp;IF(ISNUMBER(SEARCH(INDEX(Drills!$E$5:$E$127,MATCH(H10,Drills!$A$5:$A$127,0)),$U10)),"","C")))</f>
        <v/>
      </c>
      <c r="Y10" s="13" t="str">
        <f aca="false">IF(OR(J10="",$A10=""),"",IF(ISNA(MATCH(J10,Drills!$A$5:$A$127,0)),"?",IF(N(INDEX(Drills!$K$5:$K$127,MATCH(J10,Drills!$A$5:$A$127,0)))&gt;N($T10),"A","")&amp;IF(ISNUMBER(SEARCH(INDEX(Drills!$E$5:$E$127,MATCH(J10,Drills!$A$5:$A$127,0)),$U10)),"","C")))</f>
        <v/>
      </c>
      <c r="Z10" s="13" t="str">
        <f aca="false">IF(OR(L10="",$A10=""),"",IF(ISNA(MATCH(L10,Drills!$A$5:$A$127,0)),"?",IF(N(INDEX(Drills!$K$5:$K$127,MATCH(L10,Drills!$A$5:$A$127,0)))&gt;N($T10),"A","")&amp;IF(ISNUMBER(SEARCH(INDEX(Drills!$E$5:$E$127,MATCH(L10,Drills!$A$5:$A$127,0)),$U10)),"","C")))</f>
        <v/>
      </c>
      <c r="AA10" s="13" t="str">
        <f aca="false">IF(OR(N10="",$A10=""),"",IF(ISNA(MATCH(N10,Drills!$A$5:$A$127,0)),"?",IF(N(INDEX(Drills!$K$5:$K$127,MATCH(N10,Drills!$A$5:$A$127,0)))&gt;N($T10),"A","")&amp;IF(ISNUMBER(SEARCH(INDEX(Drills!$E$5:$E$127,MATCH(N10,Drills!$A$5:$A$127,0)),$U10)),"","C")))</f>
        <v/>
      </c>
      <c r="AB10" s="13" t="str">
        <f aca="false">IF(A10="","",IFERROR(INDEX(Classes!$I$5:$I$23,MATCH(A10,Classes!$A$5:$A$23,0)),""))</f>
        <v>No</v>
      </c>
    </row>
    <row r="11" customFormat="false" ht="43.5" hidden="false" customHeight="true" outlineLevel="0" collapsed="false">
      <c r="A11" s="11" t="s">
        <v>56</v>
      </c>
      <c r="B11" s="11" t="n">
        <v>3</v>
      </c>
      <c r="C11" s="11" t="s">
        <v>146</v>
      </c>
      <c r="D11" s="11" t="s">
        <v>121</v>
      </c>
      <c r="E11" s="12" t="n">
        <v>6</v>
      </c>
      <c r="F11" s="11" t="s">
        <v>147</v>
      </c>
      <c r="G11" s="12" t="n">
        <v>8</v>
      </c>
      <c r="H11" s="11" t="s">
        <v>148</v>
      </c>
      <c r="I11" s="12" t="n">
        <v>6</v>
      </c>
      <c r="J11" s="11" t="s">
        <v>141</v>
      </c>
      <c r="K11" s="12" t="n">
        <v>5</v>
      </c>
      <c r="L11" s="11" t="s">
        <v>145</v>
      </c>
      <c r="M11" s="12" t="n">
        <v>10</v>
      </c>
      <c r="N11" s="11" t="s">
        <v>125</v>
      </c>
      <c r="O11" s="12" t="n">
        <v>5</v>
      </c>
      <c r="P11" s="14" t="n">
        <f aca="false">IF(A11="","",SUM(E11,G11,I11,K11,M11,O11))</f>
        <v>40</v>
      </c>
      <c r="Q11" s="14" t="n">
        <f aca="false">IF(A11="","",IFERROR(INDEX(Classes!$C$5:$C$23,MATCH(A11,Classes!$A$5:$A$23,0)),""))</f>
        <v>40</v>
      </c>
      <c r="R11" s="15" t="str">
        <f aca="false">IF(A11="","",IF(TRIM(IF(AND(N(Q11)&gt;0,N(P11)&gt;N(Q11)),"Over by "&amp;(P11-Q11)&amp;" min. ","")&amp;IF(AND(COUNTIF(V11:AA11,"*A*")&gt;0,AB11&lt;&gt;"Yes"),"Age check. ","")&amp;IF(COUNTIF(V11:AA11,"*C*")&gt;0,"Contact check. ","")&amp;IF(COUNTIF(V11:AA11,"~?")&gt;0,"Drill not in library. ",""))="","OK"&amp;IF(AND(COUNTIF(V11:AA11,"*A*")&gt;0,AB11="Yes")," · split by age","")&amp;IF(N(Q11)&gt;N(P11)," ("&amp;(Q11-P11)&amp;" min spare)",""),TRIM(IF(AND(N(Q11)&gt;0,N(P11)&gt;N(Q11)),"Over by "&amp;(P11-Q11)&amp;" min. ","")&amp;IF(AND(COUNTIF(V11:AA11,"*A*")&gt;0,AB11&lt;&gt;"Yes"),"Age check. ","")&amp;IF(COUNTIF(V11:AA11,"*C*")&gt;0,"Contact check. ","")&amp;IF(COUNTIF(V11:AA11,"~?")&gt;0,"Drill not in library. ",""))&amp;IF(AND(COUNTIF(V11:AA11,"*A*")&gt;0,AB11="Yes")," · split by age","")))</f>
        <v>OK</v>
      </c>
      <c r="S11" s="11"/>
      <c r="T11" s="13" t="n">
        <f aca="false">IF(A11="","",IFERROR(INDEX(Classes!$E$5:$E$23,MATCH(A11,Classes!$A$5:$A$23,0)),""))</f>
        <v>6</v>
      </c>
      <c r="U11" s="13" t="str">
        <f aca="false">IF(A11="","",IFERROR(INDEX(Classes!$F$5:$F$23,MATCH(A11,Classes!$A$5:$A$23,0)),""))</f>
        <v>None;Partner drilling;Live grappling</v>
      </c>
      <c r="V11" s="13" t="str">
        <f aca="false">IF(OR(D11="",$A11=""),"",IF(ISNA(MATCH(D11,Drills!$A$5:$A$127,0)),"?",IF(N(INDEX(Drills!$K$5:$K$127,MATCH(D11,Drills!$A$5:$A$127,0)))&gt;N($T11),"A","")&amp;IF(ISNUMBER(SEARCH(INDEX(Drills!$E$5:$E$127,MATCH(D11,Drills!$A$5:$A$127,0)),$U11)),"","C")))</f>
        <v/>
      </c>
      <c r="W11" s="13" t="str">
        <f aca="false">IF(OR(F11="",$A11=""),"",IF(ISNA(MATCH(F11,Drills!$A$5:$A$127,0)),"?",IF(N(INDEX(Drills!$K$5:$K$127,MATCH(F11,Drills!$A$5:$A$127,0)))&gt;N($T11),"A","")&amp;IF(ISNUMBER(SEARCH(INDEX(Drills!$E$5:$E$127,MATCH(F11,Drills!$A$5:$A$127,0)),$U11)),"","C")))</f>
        <v/>
      </c>
      <c r="X11" s="13" t="str">
        <f aca="false">IF(OR(H11="",$A11=""),"",IF(ISNA(MATCH(H11,Drills!$A$5:$A$127,0)),"?",IF(N(INDEX(Drills!$K$5:$K$127,MATCH(H11,Drills!$A$5:$A$127,0)))&gt;N($T11),"A","")&amp;IF(ISNUMBER(SEARCH(INDEX(Drills!$E$5:$E$127,MATCH(H11,Drills!$A$5:$A$127,0)),$U11)),"","C")))</f>
        <v/>
      </c>
      <c r="Y11" s="13" t="str">
        <f aca="false">IF(OR(J11="",$A11=""),"",IF(ISNA(MATCH(J11,Drills!$A$5:$A$127,0)),"?",IF(N(INDEX(Drills!$K$5:$K$127,MATCH(J11,Drills!$A$5:$A$127,0)))&gt;N($T11),"A","")&amp;IF(ISNUMBER(SEARCH(INDEX(Drills!$E$5:$E$127,MATCH(J11,Drills!$A$5:$A$127,0)),$U11)),"","C")))</f>
        <v/>
      </c>
      <c r="Z11" s="13" t="str">
        <f aca="false">IF(OR(L11="",$A11=""),"",IF(ISNA(MATCH(L11,Drills!$A$5:$A$127,0)),"?",IF(N(INDEX(Drills!$K$5:$K$127,MATCH(L11,Drills!$A$5:$A$127,0)))&gt;N($T11),"A","")&amp;IF(ISNUMBER(SEARCH(INDEX(Drills!$E$5:$E$127,MATCH(L11,Drills!$A$5:$A$127,0)),$U11)),"","C")))</f>
        <v/>
      </c>
      <c r="AA11" s="13" t="str">
        <f aca="false">IF(OR(N11="",$A11=""),"",IF(ISNA(MATCH(N11,Drills!$A$5:$A$127,0)),"?",IF(N(INDEX(Drills!$K$5:$K$127,MATCH(N11,Drills!$A$5:$A$127,0)))&gt;N($T11),"A","")&amp;IF(ISNUMBER(SEARCH(INDEX(Drills!$E$5:$E$127,MATCH(N11,Drills!$A$5:$A$127,0)),$U11)),"","C")))</f>
        <v/>
      </c>
      <c r="AB11" s="13" t="str">
        <f aca="false">IF(A11="","",IFERROR(INDEX(Classes!$I$5:$I$23,MATCH(A11,Classes!$A$5:$A$23,0)),""))</f>
        <v>No</v>
      </c>
    </row>
    <row r="12" customFormat="false" ht="43.5" hidden="false" customHeight="true" outlineLevel="0" collapsed="false">
      <c r="A12" s="11" t="s">
        <v>56</v>
      </c>
      <c r="B12" s="11" t="n">
        <v>4</v>
      </c>
      <c r="C12" s="11" t="s">
        <v>149</v>
      </c>
      <c r="D12" s="11" t="s">
        <v>139</v>
      </c>
      <c r="E12" s="12" t="n">
        <v>6</v>
      </c>
      <c r="F12" s="11" t="s">
        <v>143</v>
      </c>
      <c r="G12" s="12" t="n">
        <v>8</v>
      </c>
      <c r="H12" s="11" t="s">
        <v>142</v>
      </c>
      <c r="I12" s="12" t="n">
        <v>6</v>
      </c>
      <c r="J12" s="11" t="s">
        <v>141</v>
      </c>
      <c r="K12" s="12" t="n">
        <v>5</v>
      </c>
      <c r="L12" s="11" t="s">
        <v>145</v>
      </c>
      <c r="M12" s="12" t="n">
        <v>10</v>
      </c>
      <c r="N12" s="11" t="s">
        <v>125</v>
      </c>
      <c r="O12" s="12" t="n">
        <v>5</v>
      </c>
      <c r="P12" s="14" t="n">
        <f aca="false">IF(A12="","",SUM(E12,G12,I12,K12,M12,O12))</f>
        <v>40</v>
      </c>
      <c r="Q12" s="14" t="n">
        <f aca="false">IF(A12="","",IFERROR(INDEX(Classes!$C$5:$C$23,MATCH(A12,Classes!$A$5:$A$23,0)),""))</f>
        <v>40</v>
      </c>
      <c r="R12" s="15" t="str">
        <f aca="false">IF(A12="","",IF(TRIM(IF(AND(N(Q12)&gt;0,N(P12)&gt;N(Q12)),"Over by "&amp;(P12-Q12)&amp;" min. ","")&amp;IF(AND(COUNTIF(V12:AA12,"*A*")&gt;0,AB12&lt;&gt;"Yes"),"Age check. ","")&amp;IF(COUNTIF(V12:AA12,"*C*")&gt;0,"Contact check. ","")&amp;IF(COUNTIF(V12:AA12,"~?")&gt;0,"Drill not in library. ",""))="","OK"&amp;IF(AND(COUNTIF(V12:AA12,"*A*")&gt;0,AB12="Yes")," · split by age","")&amp;IF(N(Q12)&gt;N(P12)," ("&amp;(Q12-P12)&amp;" min spare)",""),TRIM(IF(AND(N(Q12)&gt;0,N(P12)&gt;N(Q12)),"Over by "&amp;(P12-Q12)&amp;" min. ","")&amp;IF(AND(COUNTIF(V12:AA12,"*A*")&gt;0,AB12&lt;&gt;"Yes"),"Age check. ","")&amp;IF(COUNTIF(V12:AA12,"*C*")&gt;0,"Contact check. ","")&amp;IF(COUNTIF(V12:AA12,"~?")&gt;0,"Drill not in library. ",""))&amp;IF(AND(COUNTIF(V12:AA12,"*A*")&gt;0,AB12="Yes")," · split by age","")))</f>
        <v>OK</v>
      </c>
      <c r="S12" s="11"/>
      <c r="T12" s="13" t="n">
        <f aca="false">IF(A12="","",IFERROR(INDEX(Classes!$E$5:$E$23,MATCH(A12,Classes!$A$5:$A$23,0)),""))</f>
        <v>6</v>
      </c>
      <c r="U12" s="13" t="str">
        <f aca="false">IF(A12="","",IFERROR(INDEX(Classes!$F$5:$F$23,MATCH(A12,Classes!$A$5:$A$23,0)),""))</f>
        <v>None;Partner drilling;Live grappling</v>
      </c>
      <c r="V12" s="13" t="str">
        <f aca="false">IF(OR(D12="",$A12=""),"",IF(ISNA(MATCH(D12,Drills!$A$5:$A$127,0)),"?",IF(N(INDEX(Drills!$K$5:$K$127,MATCH(D12,Drills!$A$5:$A$127,0)))&gt;N($T12),"A","")&amp;IF(ISNUMBER(SEARCH(INDEX(Drills!$E$5:$E$127,MATCH(D12,Drills!$A$5:$A$127,0)),$U12)),"","C")))</f>
        <v/>
      </c>
      <c r="W12" s="13" t="str">
        <f aca="false">IF(OR(F12="",$A12=""),"",IF(ISNA(MATCH(F12,Drills!$A$5:$A$127,0)),"?",IF(N(INDEX(Drills!$K$5:$K$127,MATCH(F12,Drills!$A$5:$A$127,0)))&gt;N($T12),"A","")&amp;IF(ISNUMBER(SEARCH(INDEX(Drills!$E$5:$E$127,MATCH(F12,Drills!$A$5:$A$127,0)),$U12)),"","C")))</f>
        <v/>
      </c>
      <c r="X12" s="13" t="str">
        <f aca="false">IF(OR(H12="",$A12=""),"",IF(ISNA(MATCH(H12,Drills!$A$5:$A$127,0)),"?",IF(N(INDEX(Drills!$K$5:$K$127,MATCH(H12,Drills!$A$5:$A$127,0)))&gt;N($T12),"A","")&amp;IF(ISNUMBER(SEARCH(INDEX(Drills!$E$5:$E$127,MATCH(H12,Drills!$A$5:$A$127,0)),$U12)),"","C")))</f>
        <v/>
      </c>
      <c r="Y12" s="13" t="str">
        <f aca="false">IF(OR(J12="",$A12=""),"",IF(ISNA(MATCH(J12,Drills!$A$5:$A$127,0)),"?",IF(N(INDEX(Drills!$K$5:$K$127,MATCH(J12,Drills!$A$5:$A$127,0)))&gt;N($T12),"A","")&amp;IF(ISNUMBER(SEARCH(INDEX(Drills!$E$5:$E$127,MATCH(J12,Drills!$A$5:$A$127,0)),$U12)),"","C")))</f>
        <v/>
      </c>
      <c r="Z12" s="13" t="str">
        <f aca="false">IF(OR(L12="",$A12=""),"",IF(ISNA(MATCH(L12,Drills!$A$5:$A$127,0)),"?",IF(N(INDEX(Drills!$K$5:$K$127,MATCH(L12,Drills!$A$5:$A$127,0)))&gt;N($T12),"A","")&amp;IF(ISNUMBER(SEARCH(INDEX(Drills!$E$5:$E$127,MATCH(L12,Drills!$A$5:$A$127,0)),$U12)),"","C")))</f>
        <v/>
      </c>
      <c r="AA12" s="13" t="str">
        <f aca="false">IF(OR(N12="",$A12=""),"",IF(ISNA(MATCH(N12,Drills!$A$5:$A$127,0)),"?",IF(N(INDEX(Drills!$K$5:$K$127,MATCH(N12,Drills!$A$5:$A$127,0)))&gt;N($T12),"A","")&amp;IF(ISNUMBER(SEARCH(INDEX(Drills!$E$5:$E$127,MATCH(N12,Drills!$A$5:$A$127,0)),$U12)),"","C")))</f>
        <v/>
      </c>
      <c r="AB12" s="13" t="str">
        <f aca="false">IF(A12="","",IFERROR(INDEX(Classes!$I$5:$I$23,MATCH(A12,Classes!$A$5:$A$23,0)),""))</f>
        <v>No</v>
      </c>
    </row>
    <row r="13" customFormat="false" ht="43.5" hidden="false" customHeight="true" outlineLevel="0" collapsed="false">
      <c r="A13" s="11" t="s">
        <v>62</v>
      </c>
      <c r="B13" s="11" t="n">
        <v>1</v>
      </c>
      <c r="C13" s="11" t="s">
        <v>150</v>
      </c>
      <c r="D13" s="11" t="s">
        <v>133</v>
      </c>
      <c r="E13" s="12" t="n">
        <v>6</v>
      </c>
      <c r="F13" s="11" t="s">
        <v>120</v>
      </c>
      <c r="G13" s="12" t="n">
        <v>8</v>
      </c>
      <c r="H13" s="11" t="s">
        <v>122</v>
      </c>
      <c r="I13" s="12" t="n">
        <v>8</v>
      </c>
      <c r="J13" s="11" t="s">
        <v>134</v>
      </c>
      <c r="K13" s="12" t="n">
        <v>10</v>
      </c>
      <c r="L13" s="11" t="s">
        <v>130</v>
      </c>
      <c r="M13" s="12" t="n">
        <v>12</v>
      </c>
      <c r="N13" s="11" t="s">
        <v>125</v>
      </c>
      <c r="O13" s="12" t="n">
        <v>6</v>
      </c>
      <c r="P13" s="14" t="n">
        <f aca="false">IF(A13="","",SUM(E13,G13,I13,K13,M13,O13))</f>
        <v>50</v>
      </c>
      <c r="Q13" s="14" t="n">
        <f aca="false">IF(A13="","",IFERROR(INDEX(Classes!$C$5:$C$23,MATCH(A13,Classes!$A$5:$A$23,0)),""))</f>
        <v>60</v>
      </c>
      <c r="R13" s="15" t="str">
        <f aca="false">IF(A13="","",IF(TRIM(IF(AND(N(Q13)&gt;0,N(P13)&gt;N(Q13)),"Over by "&amp;(P13-Q13)&amp;" min. ","")&amp;IF(AND(COUNTIF(V13:AA13,"*A*")&gt;0,AB13&lt;&gt;"Yes"),"Age check. ","")&amp;IF(COUNTIF(V13:AA13,"*C*")&gt;0,"Contact check. ","")&amp;IF(COUNTIF(V13:AA13,"~?")&gt;0,"Drill not in library. ",""))="","OK"&amp;IF(AND(COUNTIF(V13:AA13,"*A*")&gt;0,AB13="Yes")," · split by age","")&amp;IF(N(Q13)&gt;N(P13)," ("&amp;(Q13-P13)&amp;" min spare)",""),TRIM(IF(AND(N(Q13)&gt;0,N(P13)&gt;N(Q13)),"Over by "&amp;(P13-Q13)&amp;" min. ","")&amp;IF(AND(COUNTIF(V13:AA13,"*A*")&gt;0,AB13&lt;&gt;"Yes"),"Age check. ","")&amp;IF(COUNTIF(V13:AA13,"*C*")&gt;0,"Contact check. ","")&amp;IF(COUNTIF(V13:AA13,"~?")&gt;0,"Drill not in library. ",""))&amp;IF(AND(COUNTIF(V13:AA13,"*A*")&gt;0,AB13="Yes")," · split by age","")))</f>
        <v>OK (10 min spare)</v>
      </c>
      <c r="S13" s="11"/>
      <c r="T13" s="13" t="n">
        <f aca="false">IF(A13="","",IFERROR(INDEX(Classes!$E$5:$E$23,MATCH(A13,Classes!$A$5:$A$23,0)),""))</f>
        <v>11</v>
      </c>
      <c r="U13" s="13" t="str">
        <f aca="false">IF(A13="","",IFERROR(INDEX(Classes!$F$5:$F$23,MATCH(A13,Classes!$A$5:$A$23,0)),""))</f>
        <v>None;Pads/bag;Light touch (body)</v>
      </c>
      <c r="V13" s="13" t="str">
        <f aca="false">IF(OR(D13="",$A13=""),"",IF(ISNA(MATCH(D13,Drills!$A$5:$A$127,0)),"?",IF(N(INDEX(Drills!$K$5:$K$127,MATCH(D13,Drills!$A$5:$A$127,0)))&gt;N($T13),"A","")&amp;IF(ISNUMBER(SEARCH(INDEX(Drills!$E$5:$E$127,MATCH(D13,Drills!$A$5:$A$127,0)),$U13)),"","C")))</f>
        <v/>
      </c>
      <c r="W13" s="13" t="str">
        <f aca="false">IF(OR(F13="",$A13=""),"",IF(ISNA(MATCH(F13,Drills!$A$5:$A$127,0)),"?",IF(N(INDEX(Drills!$K$5:$K$127,MATCH(F13,Drills!$A$5:$A$127,0)))&gt;N($T13),"A","")&amp;IF(ISNUMBER(SEARCH(INDEX(Drills!$E$5:$E$127,MATCH(F13,Drills!$A$5:$A$127,0)),$U13)),"","C")))</f>
        <v/>
      </c>
      <c r="X13" s="13" t="str">
        <f aca="false">IF(OR(H13="",$A13=""),"",IF(ISNA(MATCH(H13,Drills!$A$5:$A$127,0)),"?",IF(N(INDEX(Drills!$K$5:$K$127,MATCH(H13,Drills!$A$5:$A$127,0)))&gt;N($T13),"A","")&amp;IF(ISNUMBER(SEARCH(INDEX(Drills!$E$5:$E$127,MATCH(H13,Drills!$A$5:$A$127,0)),$U13)),"","C")))</f>
        <v/>
      </c>
      <c r="Y13" s="13" t="str">
        <f aca="false">IF(OR(J13="",$A13=""),"",IF(ISNA(MATCH(J13,Drills!$A$5:$A$127,0)),"?",IF(N(INDEX(Drills!$K$5:$K$127,MATCH(J13,Drills!$A$5:$A$127,0)))&gt;N($T13),"A","")&amp;IF(ISNUMBER(SEARCH(INDEX(Drills!$E$5:$E$127,MATCH(J13,Drills!$A$5:$A$127,0)),$U13)),"","C")))</f>
        <v/>
      </c>
      <c r="Z13" s="13" t="str">
        <f aca="false">IF(OR(L13="",$A13=""),"",IF(ISNA(MATCH(L13,Drills!$A$5:$A$127,0)),"?",IF(N(INDEX(Drills!$K$5:$K$127,MATCH(L13,Drills!$A$5:$A$127,0)))&gt;N($T13),"A","")&amp;IF(ISNUMBER(SEARCH(INDEX(Drills!$E$5:$E$127,MATCH(L13,Drills!$A$5:$A$127,0)),$U13)),"","C")))</f>
        <v/>
      </c>
      <c r="AA13" s="13" t="str">
        <f aca="false">IF(OR(N13="",$A13=""),"",IF(ISNA(MATCH(N13,Drills!$A$5:$A$127,0)),"?",IF(N(INDEX(Drills!$K$5:$K$127,MATCH(N13,Drills!$A$5:$A$127,0)))&gt;N($T13),"A","")&amp;IF(ISNUMBER(SEARCH(INDEX(Drills!$E$5:$E$127,MATCH(N13,Drills!$A$5:$A$127,0)),$U13)),"","C")))</f>
        <v/>
      </c>
      <c r="AB13" s="13" t="str">
        <f aca="false">IF(A13="","",IFERROR(INDEX(Classes!$I$5:$I$23,MATCH(A13,Classes!$A$5:$A$23,0)),""))</f>
        <v>No</v>
      </c>
    </row>
    <row r="14" customFormat="false" ht="43.5" hidden="false" customHeight="true" outlineLevel="0" collapsed="false">
      <c r="A14" s="11" t="s">
        <v>62</v>
      </c>
      <c r="B14" s="11" t="n">
        <v>2</v>
      </c>
      <c r="C14" s="11" t="s">
        <v>151</v>
      </c>
      <c r="D14" s="11" t="s">
        <v>127</v>
      </c>
      <c r="E14" s="12" t="n">
        <v>10</v>
      </c>
      <c r="F14" s="11" t="s">
        <v>152</v>
      </c>
      <c r="G14" s="12" t="n">
        <v>10</v>
      </c>
      <c r="H14" s="11" t="s">
        <v>153</v>
      </c>
      <c r="I14" s="12" t="n">
        <v>8</v>
      </c>
      <c r="J14" s="11" t="s">
        <v>130</v>
      </c>
      <c r="K14" s="12" t="n">
        <v>12</v>
      </c>
      <c r="L14" s="11" t="s">
        <v>154</v>
      </c>
      <c r="M14" s="12" t="n">
        <v>6</v>
      </c>
      <c r="N14" s="11" t="s">
        <v>125</v>
      </c>
      <c r="O14" s="12" t="n">
        <v>6</v>
      </c>
      <c r="P14" s="14" t="n">
        <f aca="false">IF(A14="","",SUM(E14,G14,I14,K14,M14,O14))</f>
        <v>52</v>
      </c>
      <c r="Q14" s="14" t="n">
        <f aca="false">IF(A14="","",IFERROR(INDEX(Classes!$C$5:$C$23,MATCH(A14,Classes!$A$5:$A$23,0)),""))</f>
        <v>60</v>
      </c>
      <c r="R14" s="15" t="str">
        <f aca="false">IF(A14="","",IF(TRIM(IF(AND(N(Q14)&gt;0,N(P14)&gt;N(Q14)),"Over by "&amp;(P14-Q14)&amp;" min. ","")&amp;IF(AND(COUNTIF(V14:AA14,"*A*")&gt;0,AB14&lt;&gt;"Yes"),"Age check. ","")&amp;IF(COUNTIF(V14:AA14,"*C*")&gt;0,"Contact check. ","")&amp;IF(COUNTIF(V14:AA14,"~?")&gt;0,"Drill not in library. ",""))="","OK"&amp;IF(AND(COUNTIF(V14:AA14,"*A*")&gt;0,AB14="Yes")," · split by age","")&amp;IF(N(Q14)&gt;N(P14)," ("&amp;(Q14-P14)&amp;" min spare)",""),TRIM(IF(AND(N(Q14)&gt;0,N(P14)&gt;N(Q14)),"Over by "&amp;(P14-Q14)&amp;" min. ","")&amp;IF(AND(COUNTIF(V14:AA14,"*A*")&gt;0,AB14&lt;&gt;"Yes"),"Age check. ","")&amp;IF(COUNTIF(V14:AA14,"*C*")&gt;0,"Contact check. ","")&amp;IF(COUNTIF(V14:AA14,"~?")&gt;0,"Drill not in library. ",""))&amp;IF(AND(COUNTIF(V14:AA14,"*A*")&gt;0,AB14="Yes")," · split by age","")))</f>
        <v>OK (8 min spare)</v>
      </c>
      <c r="S14" s="11"/>
      <c r="T14" s="13" t="n">
        <f aca="false">IF(A14="","",IFERROR(INDEX(Classes!$E$5:$E$23,MATCH(A14,Classes!$A$5:$A$23,0)),""))</f>
        <v>11</v>
      </c>
      <c r="U14" s="13" t="str">
        <f aca="false">IF(A14="","",IFERROR(INDEX(Classes!$F$5:$F$23,MATCH(A14,Classes!$A$5:$A$23,0)),""))</f>
        <v>None;Pads/bag;Light touch (body)</v>
      </c>
      <c r="V14" s="13" t="str">
        <f aca="false">IF(OR(D14="",$A14=""),"",IF(ISNA(MATCH(D14,Drills!$A$5:$A$127,0)),"?",IF(N(INDEX(Drills!$K$5:$K$127,MATCH(D14,Drills!$A$5:$A$127,0)))&gt;N($T14),"A","")&amp;IF(ISNUMBER(SEARCH(INDEX(Drills!$E$5:$E$127,MATCH(D14,Drills!$A$5:$A$127,0)),$U14)),"","C")))</f>
        <v/>
      </c>
      <c r="W14" s="13" t="str">
        <f aca="false">IF(OR(F14="",$A14=""),"",IF(ISNA(MATCH(F14,Drills!$A$5:$A$127,0)),"?",IF(N(INDEX(Drills!$K$5:$K$127,MATCH(F14,Drills!$A$5:$A$127,0)))&gt;N($T14),"A","")&amp;IF(ISNUMBER(SEARCH(INDEX(Drills!$E$5:$E$127,MATCH(F14,Drills!$A$5:$A$127,0)),$U14)),"","C")))</f>
        <v/>
      </c>
      <c r="X14" s="13" t="str">
        <f aca="false">IF(OR(H14="",$A14=""),"",IF(ISNA(MATCH(H14,Drills!$A$5:$A$127,0)),"?",IF(N(INDEX(Drills!$K$5:$K$127,MATCH(H14,Drills!$A$5:$A$127,0)))&gt;N($T14),"A","")&amp;IF(ISNUMBER(SEARCH(INDEX(Drills!$E$5:$E$127,MATCH(H14,Drills!$A$5:$A$127,0)),$U14)),"","C")))</f>
        <v/>
      </c>
      <c r="Y14" s="13" t="str">
        <f aca="false">IF(OR(J14="",$A14=""),"",IF(ISNA(MATCH(J14,Drills!$A$5:$A$127,0)),"?",IF(N(INDEX(Drills!$K$5:$K$127,MATCH(J14,Drills!$A$5:$A$127,0)))&gt;N($T14),"A","")&amp;IF(ISNUMBER(SEARCH(INDEX(Drills!$E$5:$E$127,MATCH(J14,Drills!$A$5:$A$127,0)),$U14)),"","C")))</f>
        <v/>
      </c>
      <c r="Z14" s="13" t="str">
        <f aca="false">IF(OR(L14="",$A14=""),"",IF(ISNA(MATCH(L14,Drills!$A$5:$A$127,0)),"?",IF(N(INDEX(Drills!$K$5:$K$127,MATCH(L14,Drills!$A$5:$A$127,0)))&gt;N($T14),"A","")&amp;IF(ISNUMBER(SEARCH(INDEX(Drills!$E$5:$E$127,MATCH(L14,Drills!$A$5:$A$127,0)),$U14)),"","C")))</f>
        <v/>
      </c>
      <c r="AA14" s="13" t="str">
        <f aca="false">IF(OR(N14="",$A14=""),"",IF(ISNA(MATCH(N14,Drills!$A$5:$A$127,0)),"?",IF(N(INDEX(Drills!$K$5:$K$127,MATCH(N14,Drills!$A$5:$A$127,0)))&gt;N($T14),"A","")&amp;IF(ISNUMBER(SEARCH(INDEX(Drills!$E$5:$E$127,MATCH(N14,Drills!$A$5:$A$127,0)),$U14)),"","C")))</f>
        <v/>
      </c>
      <c r="AB14" s="13" t="str">
        <f aca="false">IF(A14="","",IFERROR(INDEX(Classes!$I$5:$I$23,MATCH(A14,Classes!$A$5:$A$23,0)),""))</f>
        <v>No</v>
      </c>
    </row>
    <row r="15" customFormat="false" ht="43.5" hidden="false" customHeight="true" outlineLevel="0" collapsed="false">
      <c r="A15" s="11" t="s">
        <v>62</v>
      </c>
      <c r="B15" s="11" t="n">
        <v>3</v>
      </c>
      <c r="C15" s="11" t="s">
        <v>155</v>
      </c>
      <c r="D15" s="11" t="s">
        <v>133</v>
      </c>
      <c r="E15" s="12" t="n">
        <v>6</v>
      </c>
      <c r="F15" s="11" t="s">
        <v>136</v>
      </c>
      <c r="G15" s="12" t="n">
        <v>8</v>
      </c>
      <c r="H15" s="11" t="s">
        <v>154</v>
      </c>
      <c r="I15" s="12" t="n">
        <v>8</v>
      </c>
      <c r="J15" s="11" t="s">
        <v>130</v>
      </c>
      <c r="K15" s="12" t="n">
        <v>12</v>
      </c>
      <c r="L15" s="11" t="s">
        <v>156</v>
      </c>
      <c r="M15" s="12" t="n">
        <v>8</v>
      </c>
      <c r="N15" s="11" t="s">
        <v>125</v>
      </c>
      <c r="O15" s="12" t="n">
        <v>6</v>
      </c>
      <c r="P15" s="14" t="n">
        <f aca="false">IF(A15="","",SUM(E15,G15,I15,K15,M15,O15))</f>
        <v>48</v>
      </c>
      <c r="Q15" s="14" t="n">
        <f aca="false">IF(A15="","",IFERROR(INDEX(Classes!$C$5:$C$23,MATCH(A15,Classes!$A$5:$A$23,0)),""))</f>
        <v>60</v>
      </c>
      <c r="R15" s="15" t="str">
        <f aca="false">IF(A15="","",IF(TRIM(IF(AND(N(Q15)&gt;0,N(P15)&gt;N(Q15)),"Over by "&amp;(P15-Q15)&amp;" min. ","")&amp;IF(AND(COUNTIF(V15:AA15,"*A*")&gt;0,AB15&lt;&gt;"Yes"),"Age check. ","")&amp;IF(COUNTIF(V15:AA15,"*C*")&gt;0,"Contact check. ","")&amp;IF(COUNTIF(V15:AA15,"~?")&gt;0,"Drill not in library. ",""))="","OK"&amp;IF(AND(COUNTIF(V15:AA15,"*A*")&gt;0,AB15="Yes")," · split by age","")&amp;IF(N(Q15)&gt;N(P15)," ("&amp;(Q15-P15)&amp;" min spare)",""),TRIM(IF(AND(N(Q15)&gt;0,N(P15)&gt;N(Q15)),"Over by "&amp;(P15-Q15)&amp;" min. ","")&amp;IF(AND(COUNTIF(V15:AA15,"*A*")&gt;0,AB15&lt;&gt;"Yes"),"Age check. ","")&amp;IF(COUNTIF(V15:AA15,"*C*")&gt;0,"Contact check. ","")&amp;IF(COUNTIF(V15:AA15,"~?")&gt;0,"Drill not in library. ",""))&amp;IF(AND(COUNTIF(V15:AA15,"*A*")&gt;0,AB15="Yes")," · split by age","")))</f>
        <v>OK (12 min spare)</v>
      </c>
      <c r="S15" s="11"/>
      <c r="T15" s="13" t="n">
        <f aca="false">IF(A15="","",IFERROR(INDEX(Classes!$E$5:$E$23,MATCH(A15,Classes!$A$5:$A$23,0)),""))</f>
        <v>11</v>
      </c>
      <c r="U15" s="13" t="str">
        <f aca="false">IF(A15="","",IFERROR(INDEX(Classes!$F$5:$F$23,MATCH(A15,Classes!$A$5:$A$23,0)),""))</f>
        <v>None;Pads/bag;Light touch (body)</v>
      </c>
      <c r="V15" s="13" t="str">
        <f aca="false">IF(OR(D15="",$A15=""),"",IF(ISNA(MATCH(D15,Drills!$A$5:$A$127,0)),"?",IF(N(INDEX(Drills!$K$5:$K$127,MATCH(D15,Drills!$A$5:$A$127,0)))&gt;N($T15),"A","")&amp;IF(ISNUMBER(SEARCH(INDEX(Drills!$E$5:$E$127,MATCH(D15,Drills!$A$5:$A$127,0)),$U15)),"","C")))</f>
        <v/>
      </c>
      <c r="W15" s="13" t="str">
        <f aca="false">IF(OR(F15="",$A15=""),"",IF(ISNA(MATCH(F15,Drills!$A$5:$A$127,0)),"?",IF(N(INDEX(Drills!$K$5:$K$127,MATCH(F15,Drills!$A$5:$A$127,0)))&gt;N($T15),"A","")&amp;IF(ISNUMBER(SEARCH(INDEX(Drills!$E$5:$E$127,MATCH(F15,Drills!$A$5:$A$127,0)),$U15)),"","C")))</f>
        <v/>
      </c>
      <c r="X15" s="13" t="str">
        <f aca="false">IF(OR(H15="",$A15=""),"",IF(ISNA(MATCH(H15,Drills!$A$5:$A$127,0)),"?",IF(N(INDEX(Drills!$K$5:$K$127,MATCH(H15,Drills!$A$5:$A$127,0)))&gt;N($T15),"A","")&amp;IF(ISNUMBER(SEARCH(INDEX(Drills!$E$5:$E$127,MATCH(H15,Drills!$A$5:$A$127,0)),$U15)),"","C")))</f>
        <v/>
      </c>
      <c r="Y15" s="13" t="str">
        <f aca="false">IF(OR(J15="",$A15=""),"",IF(ISNA(MATCH(J15,Drills!$A$5:$A$127,0)),"?",IF(N(INDEX(Drills!$K$5:$K$127,MATCH(J15,Drills!$A$5:$A$127,0)))&gt;N($T15),"A","")&amp;IF(ISNUMBER(SEARCH(INDEX(Drills!$E$5:$E$127,MATCH(J15,Drills!$A$5:$A$127,0)),$U15)),"","C")))</f>
        <v/>
      </c>
      <c r="Z15" s="13" t="str">
        <f aca="false">IF(OR(L15="",$A15=""),"",IF(ISNA(MATCH(L15,Drills!$A$5:$A$127,0)),"?",IF(N(INDEX(Drills!$K$5:$K$127,MATCH(L15,Drills!$A$5:$A$127,0)))&gt;N($T15),"A","")&amp;IF(ISNUMBER(SEARCH(INDEX(Drills!$E$5:$E$127,MATCH(L15,Drills!$A$5:$A$127,0)),$U15)),"","C")))</f>
        <v/>
      </c>
      <c r="AA15" s="13" t="str">
        <f aca="false">IF(OR(N15="",$A15=""),"",IF(ISNA(MATCH(N15,Drills!$A$5:$A$127,0)),"?",IF(N(INDEX(Drills!$K$5:$K$127,MATCH(N15,Drills!$A$5:$A$127,0)))&gt;N($T15),"A","")&amp;IF(ISNUMBER(SEARCH(INDEX(Drills!$E$5:$E$127,MATCH(N15,Drills!$A$5:$A$127,0)),$U15)),"","C")))</f>
        <v/>
      </c>
      <c r="AB15" s="13" t="str">
        <f aca="false">IF(A15="","",IFERROR(INDEX(Classes!$I$5:$I$23,MATCH(A15,Classes!$A$5:$A$23,0)),""))</f>
        <v>No</v>
      </c>
    </row>
    <row r="16" customFormat="false" ht="43.5" hidden="false" customHeight="true" outlineLevel="0" collapsed="false">
      <c r="A16" s="11" t="s">
        <v>62</v>
      </c>
      <c r="B16" s="11" t="n">
        <v>4</v>
      </c>
      <c r="C16" s="11" t="s">
        <v>157</v>
      </c>
      <c r="D16" s="11" t="s">
        <v>127</v>
      </c>
      <c r="E16" s="12" t="n">
        <v>10</v>
      </c>
      <c r="F16" s="11" t="s">
        <v>129</v>
      </c>
      <c r="G16" s="12" t="n">
        <v>8</v>
      </c>
      <c r="H16" s="11" t="s">
        <v>152</v>
      </c>
      <c r="I16" s="12" t="n">
        <v>10</v>
      </c>
      <c r="J16" s="11" t="s">
        <v>130</v>
      </c>
      <c r="K16" s="12" t="n">
        <v>12</v>
      </c>
      <c r="L16" s="11" t="s">
        <v>156</v>
      </c>
      <c r="M16" s="12" t="n">
        <v>8</v>
      </c>
      <c r="N16" s="11" t="s">
        <v>125</v>
      </c>
      <c r="O16" s="12" t="n">
        <v>6</v>
      </c>
      <c r="P16" s="14" t="n">
        <f aca="false">IF(A16="","",SUM(E16,G16,I16,K16,M16,O16))</f>
        <v>54</v>
      </c>
      <c r="Q16" s="14" t="n">
        <f aca="false">IF(A16="","",IFERROR(INDEX(Classes!$C$5:$C$23,MATCH(A16,Classes!$A$5:$A$23,0)),""))</f>
        <v>60</v>
      </c>
      <c r="R16" s="15" t="str">
        <f aca="false">IF(A16="","",IF(TRIM(IF(AND(N(Q16)&gt;0,N(P16)&gt;N(Q16)),"Over by "&amp;(P16-Q16)&amp;" min. ","")&amp;IF(AND(COUNTIF(V16:AA16,"*A*")&gt;0,AB16&lt;&gt;"Yes"),"Age check. ","")&amp;IF(COUNTIF(V16:AA16,"*C*")&gt;0,"Contact check. ","")&amp;IF(COUNTIF(V16:AA16,"~?")&gt;0,"Drill not in library. ",""))="","OK"&amp;IF(AND(COUNTIF(V16:AA16,"*A*")&gt;0,AB16="Yes")," · split by age","")&amp;IF(N(Q16)&gt;N(P16)," ("&amp;(Q16-P16)&amp;" min spare)",""),TRIM(IF(AND(N(Q16)&gt;0,N(P16)&gt;N(Q16)),"Over by "&amp;(P16-Q16)&amp;" min. ","")&amp;IF(AND(COUNTIF(V16:AA16,"*A*")&gt;0,AB16&lt;&gt;"Yes"),"Age check. ","")&amp;IF(COUNTIF(V16:AA16,"*C*")&gt;0,"Contact check. ","")&amp;IF(COUNTIF(V16:AA16,"~?")&gt;0,"Drill not in library. ",""))&amp;IF(AND(COUNTIF(V16:AA16,"*A*")&gt;0,AB16="Yes")," · split by age","")))</f>
        <v>OK (6 min spare)</v>
      </c>
      <c r="S16" s="11"/>
      <c r="T16" s="13" t="n">
        <f aca="false">IF(A16="","",IFERROR(INDEX(Classes!$E$5:$E$23,MATCH(A16,Classes!$A$5:$A$23,0)),""))</f>
        <v>11</v>
      </c>
      <c r="U16" s="13" t="str">
        <f aca="false">IF(A16="","",IFERROR(INDEX(Classes!$F$5:$F$23,MATCH(A16,Classes!$A$5:$A$23,0)),""))</f>
        <v>None;Pads/bag;Light touch (body)</v>
      </c>
      <c r="V16" s="13" t="str">
        <f aca="false">IF(OR(D16="",$A16=""),"",IF(ISNA(MATCH(D16,Drills!$A$5:$A$127,0)),"?",IF(N(INDEX(Drills!$K$5:$K$127,MATCH(D16,Drills!$A$5:$A$127,0)))&gt;N($T16),"A","")&amp;IF(ISNUMBER(SEARCH(INDEX(Drills!$E$5:$E$127,MATCH(D16,Drills!$A$5:$A$127,0)),$U16)),"","C")))</f>
        <v/>
      </c>
      <c r="W16" s="13" t="str">
        <f aca="false">IF(OR(F16="",$A16=""),"",IF(ISNA(MATCH(F16,Drills!$A$5:$A$127,0)),"?",IF(N(INDEX(Drills!$K$5:$K$127,MATCH(F16,Drills!$A$5:$A$127,0)))&gt;N($T16),"A","")&amp;IF(ISNUMBER(SEARCH(INDEX(Drills!$E$5:$E$127,MATCH(F16,Drills!$A$5:$A$127,0)),$U16)),"","C")))</f>
        <v/>
      </c>
      <c r="X16" s="13" t="str">
        <f aca="false">IF(OR(H16="",$A16=""),"",IF(ISNA(MATCH(H16,Drills!$A$5:$A$127,0)),"?",IF(N(INDEX(Drills!$K$5:$K$127,MATCH(H16,Drills!$A$5:$A$127,0)))&gt;N($T16),"A","")&amp;IF(ISNUMBER(SEARCH(INDEX(Drills!$E$5:$E$127,MATCH(H16,Drills!$A$5:$A$127,0)),$U16)),"","C")))</f>
        <v/>
      </c>
      <c r="Y16" s="13" t="str">
        <f aca="false">IF(OR(J16="",$A16=""),"",IF(ISNA(MATCH(J16,Drills!$A$5:$A$127,0)),"?",IF(N(INDEX(Drills!$K$5:$K$127,MATCH(J16,Drills!$A$5:$A$127,0)))&gt;N($T16),"A","")&amp;IF(ISNUMBER(SEARCH(INDEX(Drills!$E$5:$E$127,MATCH(J16,Drills!$A$5:$A$127,0)),$U16)),"","C")))</f>
        <v/>
      </c>
      <c r="Z16" s="13" t="str">
        <f aca="false">IF(OR(L16="",$A16=""),"",IF(ISNA(MATCH(L16,Drills!$A$5:$A$127,0)),"?",IF(N(INDEX(Drills!$K$5:$K$127,MATCH(L16,Drills!$A$5:$A$127,0)))&gt;N($T16),"A","")&amp;IF(ISNUMBER(SEARCH(INDEX(Drills!$E$5:$E$127,MATCH(L16,Drills!$A$5:$A$127,0)),$U16)),"","C")))</f>
        <v/>
      </c>
      <c r="AA16" s="13" t="str">
        <f aca="false">IF(OR(N16="",$A16=""),"",IF(ISNA(MATCH(N16,Drills!$A$5:$A$127,0)),"?",IF(N(INDEX(Drills!$K$5:$K$127,MATCH(N16,Drills!$A$5:$A$127,0)))&gt;N($T16),"A","")&amp;IF(ISNUMBER(SEARCH(INDEX(Drills!$E$5:$E$127,MATCH(N16,Drills!$A$5:$A$127,0)),$U16)),"","C")))</f>
        <v/>
      </c>
      <c r="AB16" s="13" t="str">
        <f aca="false">IF(A16="","",IFERROR(INDEX(Classes!$I$5:$I$23,MATCH(A16,Classes!$A$5:$A$23,0)),""))</f>
        <v>No</v>
      </c>
    </row>
    <row r="17" customFormat="false" ht="43.5" hidden="false" customHeight="true" outlineLevel="0" collapsed="false">
      <c r="A17" s="11" t="s">
        <v>67</v>
      </c>
      <c r="B17" s="11" t="n">
        <v>1</v>
      </c>
      <c r="C17" s="11" t="s">
        <v>150</v>
      </c>
      <c r="D17" s="11" t="s">
        <v>133</v>
      </c>
      <c r="E17" s="12" t="n">
        <v>6</v>
      </c>
      <c r="F17" s="11" t="s">
        <v>120</v>
      </c>
      <c r="G17" s="12" t="n">
        <v>6</v>
      </c>
      <c r="H17" s="11" t="s">
        <v>122</v>
      </c>
      <c r="I17" s="12" t="n">
        <v>8</v>
      </c>
      <c r="J17" s="11" t="s">
        <v>134</v>
      </c>
      <c r="K17" s="12" t="n">
        <v>10</v>
      </c>
      <c r="L17" s="11" t="s">
        <v>130</v>
      </c>
      <c r="M17" s="12" t="n">
        <v>12</v>
      </c>
      <c r="N17" s="11" t="s">
        <v>158</v>
      </c>
      <c r="O17" s="12" t="n">
        <v>8</v>
      </c>
      <c r="P17" s="14" t="n">
        <f aca="false">IF(A17="","",SUM(E17,G17,I17,K17,M17,O17))</f>
        <v>50</v>
      </c>
      <c r="Q17" s="14" t="n">
        <f aca="false">IF(A17="","",IFERROR(INDEX(Classes!$C$5:$C$23,MATCH(A17,Classes!$A$5:$A$23,0)),""))</f>
        <v>60</v>
      </c>
      <c r="R17" s="15" t="str">
        <f aca="false">IF(A17="","",IF(TRIM(IF(AND(N(Q17)&gt;0,N(P17)&gt;N(Q17)),"Over by "&amp;(P17-Q17)&amp;" min. ","")&amp;IF(AND(COUNTIF(V17:AA17,"*A*")&gt;0,AB17&lt;&gt;"Yes"),"Age check. ","")&amp;IF(COUNTIF(V17:AA17,"*C*")&gt;0,"Contact check. ","")&amp;IF(COUNTIF(V17:AA17,"~?")&gt;0,"Drill not in library. ",""))="","OK"&amp;IF(AND(COUNTIF(V17:AA17,"*A*")&gt;0,AB17="Yes")," · split by age","")&amp;IF(N(Q17)&gt;N(P17)," ("&amp;(Q17-P17)&amp;" min spare)",""),TRIM(IF(AND(N(Q17)&gt;0,N(P17)&gt;N(Q17)),"Over by "&amp;(P17-Q17)&amp;" min. ","")&amp;IF(AND(COUNTIF(V17:AA17,"*A*")&gt;0,AB17&lt;&gt;"Yes"),"Age check. ","")&amp;IF(COUNTIF(V17:AA17,"*C*")&gt;0,"Contact check. ","")&amp;IF(COUNTIF(V17:AA17,"~?")&gt;0,"Drill not in library. ",""))&amp;IF(AND(COUNTIF(V17:AA17,"*A*")&gt;0,AB17="Yes")," · split by age","")))</f>
        <v>OK · split by age (10 min spare)</v>
      </c>
      <c r="S17" s="11"/>
      <c r="T17" s="13" t="n">
        <f aca="false">IF(A17="","",IFERROR(INDEX(Classes!$E$5:$E$23,MATCH(A17,Classes!$A$5:$A$23,0)),""))</f>
        <v>4</v>
      </c>
      <c r="U17" s="13" t="str">
        <f aca="false">IF(A17="","",IFERROR(INDEX(Classes!$F$5:$F$23,MATCH(A17,Classes!$A$5:$A$23,0)),""))</f>
        <v>None;Pads/bag;Light touch (body)</v>
      </c>
      <c r="V17" s="13" t="str">
        <f aca="false">IF(OR(D17="",$A17=""),"",IF(ISNA(MATCH(D17,Drills!$A$5:$A$127,0)),"?",IF(N(INDEX(Drills!$K$5:$K$127,MATCH(D17,Drills!$A$5:$A$127,0)))&gt;N($T17),"A","")&amp;IF(ISNUMBER(SEARCH(INDEX(Drills!$E$5:$E$127,MATCH(D17,Drills!$A$5:$A$127,0)),$U17)),"","C")))</f>
        <v/>
      </c>
      <c r="W17" s="13" t="str">
        <f aca="false">IF(OR(F17="",$A17=""),"",IF(ISNA(MATCH(F17,Drills!$A$5:$A$127,0)),"?",IF(N(INDEX(Drills!$K$5:$K$127,MATCH(F17,Drills!$A$5:$A$127,0)))&gt;N($T17),"A","")&amp;IF(ISNUMBER(SEARCH(INDEX(Drills!$E$5:$E$127,MATCH(F17,Drills!$A$5:$A$127,0)),$U17)),"","C")))</f>
        <v/>
      </c>
      <c r="X17" s="13" t="str">
        <f aca="false">IF(OR(H17="",$A17=""),"",IF(ISNA(MATCH(H17,Drills!$A$5:$A$127,0)),"?",IF(N(INDEX(Drills!$K$5:$K$127,MATCH(H17,Drills!$A$5:$A$127,0)))&gt;N($T17),"A","")&amp;IF(ISNUMBER(SEARCH(INDEX(Drills!$E$5:$E$127,MATCH(H17,Drills!$A$5:$A$127,0)),$U17)),"","C")))</f>
        <v/>
      </c>
      <c r="Y17" s="13" t="str">
        <f aca="false">IF(OR(J17="",$A17=""),"",IF(ISNA(MATCH(J17,Drills!$A$5:$A$127,0)),"?",IF(N(INDEX(Drills!$K$5:$K$127,MATCH(J17,Drills!$A$5:$A$127,0)))&gt;N($T17),"A","")&amp;IF(ISNUMBER(SEARCH(INDEX(Drills!$E$5:$E$127,MATCH(J17,Drills!$A$5:$A$127,0)),$U17)),"","C")))</f>
        <v/>
      </c>
      <c r="Z17" s="13" t="str">
        <f aca="false">IF(OR(L17="",$A17=""),"",IF(ISNA(MATCH(L17,Drills!$A$5:$A$127,0)),"?",IF(N(INDEX(Drills!$K$5:$K$127,MATCH(L17,Drills!$A$5:$A$127,0)))&gt;N($T17),"A","")&amp;IF(ISNUMBER(SEARCH(INDEX(Drills!$E$5:$E$127,MATCH(L17,Drills!$A$5:$A$127,0)),$U17)),"","C")))</f>
        <v/>
      </c>
      <c r="AA17" s="13" t="str">
        <f aca="false">IF(OR(N17="",$A17=""),"",IF(ISNA(MATCH(N17,Drills!$A$5:$A$127,0)),"?",IF(N(INDEX(Drills!$K$5:$K$127,MATCH(N17,Drills!$A$5:$A$127,0)))&gt;N($T17),"A","")&amp;IF(ISNUMBER(SEARCH(INDEX(Drills!$E$5:$E$127,MATCH(N17,Drills!$A$5:$A$127,0)),$U17)),"","C")))</f>
        <v>A</v>
      </c>
      <c r="AB17" s="13" t="str">
        <f aca="false">IF(A17="","",IFERROR(INDEX(Classes!$I$5:$I$23,MATCH(A17,Classes!$A$5:$A$23,0)),""))</f>
        <v>Yes</v>
      </c>
    </row>
    <row r="18" customFormat="false" ht="43.5" hidden="false" customHeight="true" outlineLevel="0" collapsed="false">
      <c r="A18" s="11" t="s">
        <v>67</v>
      </c>
      <c r="B18" s="11" t="n">
        <v>2</v>
      </c>
      <c r="C18" s="11" t="s">
        <v>159</v>
      </c>
      <c r="D18" s="11" t="s">
        <v>160</v>
      </c>
      <c r="E18" s="12" t="n">
        <v>6</v>
      </c>
      <c r="F18" s="11" t="s">
        <v>152</v>
      </c>
      <c r="G18" s="12" t="n">
        <v>8</v>
      </c>
      <c r="H18" s="11" t="s">
        <v>161</v>
      </c>
      <c r="I18" s="12" t="n">
        <v>8</v>
      </c>
      <c r="J18" s="11" t="s">
        <v>130</v>
      </c>
      <c r="K18" s="12" t="n">
        <v>12</v>
      </c>
      <c r="L18" s="11" t="s">
        <v>162</v>
      </c>
      <c r="M18" s="12" t="n">
        <v>12</v>
      </c>
      <c r="N18" s="11" t="s">
        <v>125</v>
      </c>
      <c r="O18" s="12" t="n">
        <v>5</v>
      </c>
      <c r="P18" s="14" t="n">
        <f aca="false">IF(A18="","",SUM(E18,G18,I18,K18,M18,O18))</f>
        <v>51</v>
      </c>
      <c r="Q18" s="14" t="n">
        <f aca="false">IF(A18="","",IFERROR(INDEX(Classes!$C$5:$C$23,MATCH(A18,Classes!$A$5:$A$23,0)),""))</f>
        <v>60</v>
      </c>
      <c r="R18" s="15" t="str">
        <f aca="false">IF(A18="","",IF(TRIM(IF(AND(N(Q18)&gt;0,N(P18)&gt;N(Q18)),"Over by "&amp;(P18-Q18)&amp;" min. ","")&amp;IF(AND(COUNTIF(V18:AA18,"*A*")&gt;0,AB18&lt;&gt;"Yes"),"Age check. ","")&amp;IF(COUNTIF(V18:AA18,"*C*")&gt;0,"Contact check. ","")&amp;IF(COUNTIF(V18:AA18,"~?")&gt;0,"Drill not in library. ",""))="","OK"&amp;IF(AND(COUNTIF(V18:AA18,"*A*")&gt;0,AB18="Yes")," · split by age","")&amp;IF(N(Q18)&gt;N(P18)," ("&amp;(Q18-P18)&amp;" min spare)",""),TRIM(IF(AND(N(Q18)&gt;0,N(P18)&gt;N(Q18)),"Over by "&amp;(P18-Q18)&amp;" min. ","")&amp;IF(AND(COUNTIF(V18:AA18,"*A*")&gt;0,AB18&lt;&gt;"Yes"),"Age check. ","")&amp;IF(COUNTIF(V18:AA18,"*C*")&gt;0,"Contact check. ","")&amp;IF(COUNTIF(V18:AA18,"~?")&gt;0,"Drill not in library. ",""))&amp;IF(AND(COUNTIF(V18:AA18,"*A*")&gt;0,AB18="Yes")," · split by age","")))</f>
        <v>OK · split by age (9 min spare)</v>
      </c>
      <c r="S18" s="11"/>
      <c r="T18" s="13" t="n">
        <f aca="false">IF(A18="","",IFERROR(INDEX(Classes!$E$5:$E$23,MATCH(A18,Classes!$A$5:$A$23,0)),""))</f>
        <v>4</v>
      </c>
      <c r="U18" s="13" t="str">
        <f aca="false">IF(A18="","",IFERROR(INDEX(Classes!$F$5:$F$23,MATCH(A18,Classes!$A$5:$A$23,0)),""))</f>
        <v>None;Pads/bag;Light touch (body)</v>
      </c>
      <c r="V18" s="13" t="str">
        <f aca="false">IF(OR(D18="",$A18=""),"",IF(ISNA(MATCH(D18,Drills!$A$5:$A$127,0)),"?",IF(N(INDEX(Drills!$K$5:$K$127,MATCH(D18,Drills!$A$5:$A$127,0)))&gt;N($T18),"A","")&amp;IF(ISNUMBER(SEARCH(INDEX(Drills!$E$5:$E$127,MATCH(D18,Drills!$A$5:$A$127,0)),$U18)),"","C")))</f>
        <v>A</v>
      </c>
      <c r="W18" s="13" t="str">
        <f aca="false">IF(OR(F18="",$A18=""),"",IF(ISNA(MATCH(F18,Drills!$A$5:$A$127,0)),"?",IF(N(INDEX(Drills!$K$5:$K$127,MATCH(F18,Drills!$A$5:$A$127,0)))&gt;N($T18),"A","")&amp;IF(ISNUMBER(SEARCH(INDEX(Drills!$E$5:$E$127,MATCH(F18,Drills!$A$5:$A$127,0)),$U18)),"","C")))</f>
        <v>A</v>
      </c>
      <c r="X18" s="13" t="str">
        <f aca="false">IF(OR(H18="",$A18=""),"",IF(ISNA(MATCH(H18,Drills!$A$5:$A$127,0)),"?",IF(N(INDEX(Drills!$K$5:$K$127,MATCH(H18,Drills!$A$5:$A$127,0)))&gt;N($T18),"A","")&amp;IF(ISNUMBER(SEARCH(INDEX(Drills!$E$5:$E$127,MATCH(H18,Drills!$A$5:$A$127,0)),$U18)),"","C")))</f>
        <v>A</v>
      </c>
      <c r="Y18" s="13" t="str">
        <f aca="false">IF(OR(J18="",$A18=""),"",IF(ISNA(MATCH(J18,Drills!$A$5:$A$127,0)),"?",IF(N(INDEX(Drills!$K$5:$K$127,MATCH(J18,Drills!$A$5:$A$127,0)))&gt;N($T18),"A","")&amp;IF(ISNUMBER(SEARCH(INDEX(Drills!$E$5:$E$127,MATCH(J18,Drills!$A$5:$A$127,0)),$U18)),"","C")))</f>
        <v/>
      </c>
      <c r="Z18" s="13" t="str">
        <f aca="false">IF(OR(L18="",$A18=""),"",IF(ISNA(MATCH(L18,Drills!$A$5:$A$127,0)),"?",IF(N(INDEX(Drills!$K$5:$K$127,MATCH(L18,Drills!$A$5:$A$127,0)))&gt;N($T18),"A","")&amp;IF(ISNUMBER(SEARCH(INDEX(Drills!$E$5:$E$127,MATCH(L18,Drills!$A$5:$A$127,0)),$U18)),"","C")))</f>
        <v>A</v>
      </c>
      <c r="AA18" s="13" t="str">
        <f aca="false">IF(OR(N18="",$A18=""),"",IF(ISNA(MATCH(N18,Drills!$A$5:$A$127,0)),"?",IF(N(INDEX(Drills!$K$5:$K$127,MATCH(N18,Drills!$A$5:$A$127,0)))&gt;N($T18),"A","")&amp;IF(ISNUMBER(SEARCH(INDEX(Drills!$E$5:$E$127,MATCH(N18,Drills!$A$5:$A$127,0)),$U18)),"","C")))</f>
        <v/>
      </c>
      <c r="AB18" s="13" t="str">
        <f aca="false">IF(A18="","",IFERROR(INDEX(Classes!$I$5:$I$23,MATCH(A18,Classes!$A$5:$A$23,0)),""))</f>
        <v>Yes</v>
      </c>
    </row>
    <row r="19" customFormat="false" ht="43.5" hidden="false" customHeight="true" outlineLevel="0" collapsed="false">
      <c r="A19" s="11" t="s">
        <v>67</v>
      </c>
      <c r="B19" s="11" t="n">
        <v>3</v>
      </c>
      <c r="C19" s="11" t="s">
        <v>155</v>
      </c>
      <c r="D19" s="11" t="s">
        <v>133</v>
      </c>
      <c r="E19" s="12" t="n">
        <v>6</v>
      </c>
      <c r="F19" s="11" t="s">
        <v>136</v>
      </c>
      <c r="G19" s="12" t="n">
        <v>8</v>
      </c>
      <c r="H19" s="11" t="s">
        <v>163</v>
      </c>
      <c r="I19" s="12" t="n">
        <v>10</v>
      </c>
      <c r="J19" s="11" t="s">
        <v>130</v>
      </c>
      <c r="K19" s="12" t="n">
        <v>12</v>
      </c>
      <c r="L19" s="11" t="s">
        <v>156</v>
      </c>
      <c r="M19" s="12" t="n">
        <v>8</v>
      </c>
      <c r="N19" s="11" t="s">
        <v>125</v>
      </c>
      <c r="O19" s="12" t="n">
        <v>5</v>
      </c>
      <c r="P19" s="14" t="n">
        <f aca="false">IF(A19="","",SUM(E19,G19,I19,K19,M19,O19))</f>
        <v>49</v>
      </c>
      <c r="Q19" s="14" t="n">
        <f aca="false">IF(A19="","",IFERROR(INDEX(Classes!$C$5:$C$23,MATCH(A19,Classes!$A$5:$A$23,0)),""))</f>
        <v>60</v>
      </c>
      <c r="R19" s="15" t="str">
        <f aca="false">IF(A19="","",IF(TRIM(IF(AND(N(Q19)&gt;0,N(P19)&gt;N(Q19)),"Over by "&amp;(P19-Q19)&amp;" min. ","")&amp;IF(AND(COUNTIF(V19:AA19,"*A*")&gt;0,AB19&lt;&gt;"Yes"),"Age check. ","")&amp;IF(COUNTIF(V19:AA19,"*C*")&gt;0,"Contact check. ","")&amp;IF(COUNTIF(V19:AA19,"~?")&gt;0,"Drill not in library. ",""))="","OK"&amp;IF(AND(COUNTIF(V19:AA19,"*A*")&gt;0,AB19="Yes")," · split by age","")&amp;IF(N(Q19)&gt;N(P19)," ("&amp;(Q19-P19)&amp;" min spare)",""),TRIM(IF(AND(N(Q19)&gt;0,N(P19)&gt;N(Q19)),"Over by "&amp;(P19-Q19)&amp;" min. ","")&amp;IF(AND(COUNTIF(V19:AA19,"*A*")&gt;0,AB19&lt;&gt;"Yes"),"Age check. ","")&amp;IF(COUNTIF(V19:AA19,"*C*")&gt;0,"Contact check. ","")&amp;IF(COUNTIF(V19:AA19,"~?")&gt;0,"Drill not in library. ",""))&amp;IF(AND(COUNTIF(V19:AA19,"*A*")&gt;0,AB19="Yes")," · split by age","")))</f>
        <v>OK · split by age (11 min spare)</v>
      </c>
      <c r="S19" s="11"/>
      <c r="T19" s="13" t="n">
        <f aca="false">IF(A19="","",IFERROR(INDEX(Classes!$E$5:$E$23,MATCH(A19,Classes!$A$5:$A$23,0)),""))</f>
        <v>4</v>
      </c>
      <c r="U19" s="13" t="str">
        <f aca="false">IF(A19="","",IFERROR(INDEX(Classes!$F$5:$F$23,MATCH(A19,Classes!$A$5:$A$23,0)),""))</f>
        <v>None;Pads/bag;Light touch (body)</v>
      </c>
      <c r="V19" s="13" t="str">
        <f aca="false">IF(OR(D19="",$A19=""),"",IF(ISNA(MATCH(D19,Drills!$A$5:$A$127,0)),"?",IF(N(INDEX(Drills!$K$5:$K$127,MATCH(D19,Drills!$A$5:$A$127,0)))&gt;N($T19),"A","")&amp;IF(ISNUMBER(SEARCH(INDEX(Drills!$E$5:$E$127,MATCH(D19,Drills!$A$5:$A$127,0)),$U19)),"","C")))</f>
        <v/>
      </c>
      <c r="W19" s="13" t="str">
        <f aca="false">IF(OR(F19="",$A19=""),"",IF(ISNA(MATCH(F19,Drills!$A$5:$A$127,0)),"?",IF(N(INDEX(Drills!$K$5:$K$127,MATCH(F19,Drills!$A$5:$A$127,0)))&gt;N($T19),"A","")&amp;IF(ISNUMBER(SEARCH(INDEX(Drills!$E$5:$E$127,MATCH(F19,Drills!$A$5:$A$127,0)),$U19)),"","C")))</f>
        <v/>
      </c>
      <c r="X19" s="13" t="str">
        <f aca="false">IF(OR(H19="",$A19=""),"",IF(ISNA(MATCH(H19,Drills!$A$5:$A$127,0)),"?",IF(N(INDEX(Drills!$K$5:$K$127,MATCH(H19,Drills!$A$5:$A$127,0)))&gt;N($T19),"A","")&amp;IF(ISNUMBER(SEARCH(INDEX(Drills!$E$5:$E$127,MATCH(H19,Drills!$A$5:$A$127,0)),$U19)),"","C")))</f>
        <v>A</v>
      </c>
      <c r="Y19" s="13" t="str">
        <f aca="false">IF(OR(J19="",$A19=""),"",IF(ISNA(MATCH(J19,Drills!$A$5:$A$127,0)),"?",IF(N(INDEX(Drills!$K$5:$K$127,MATCH(J19,Drills!$A$5:$A$127,0)))&gt;N($T19),"A","")&amp;IF(ISNUMBER(SEARCH(INDEX(Drills!$E$5:$E$127,MATCH(J19,Drills!$A$5:$A$127,0)),$U19)),"","C")))</f>
        <v/>
      </c>
      <c r="Z19" s="13" t="str">
        <f aca="false">IF(OR(L19="",$A19=""),"",IF(ISNA(MATCH(L19,Drills!$A$5:$A$127,0)),"?",IF(N(INDEX(Drills!$K$5:$K$127,MATCH(L19,Drills!$A$5:$A$127,0)))&gt;N($T19),"A","")&amp;IF(ISNUMBER(SEARCH(INDEX(Drills!$E$5:$E$127,MATCH(L19,Drills!$A$5:$A$127,0)),$U19)),"","C")))</f>
        <v>A</v>
      </c>
      <c r="AA19" s="13" t="str">
        <f aca="false">IF(OR(N19="",$A19=""),"",IF(ISNA(MATCH(N19,Drills!$A$5:$A$127,0)),"?",IF(N(INDEX(Drills!$K$5:$K$127,MATCH(N19,Drills!$A$5:$A$127,0)))&gt;N($T19),"A","")&amp;IF(ISNUMBER(SEARCH(INDEX(Drills!$E$5:$E$127,MATCH(N19,Drills!$A$5:$A$127,0)),$U19)),"","C")))</f>
        <v/>
      </c>
      <c r="AB19" s="13" t="str">
        <f aca="false">IF(A19="","",IFERROR(INDEX(Classes!$I$5:$I$23,MATCH(A19,Classes!$A$5:$A$23,0)),""))</f>
        <v>Yes</v>
      </c>
    </row>
    <row r="20" customFormat="false" ht="43.5" hidden="false" customHeight="true" outlineLevel="0" collapsed="false">
      <c r="A20" s="11" t="s">
        <v>67</v>
      </c>
      <c r="B20" s="11" t="n">
        <v>4</v>
      </c>
      <c r="C20" s="11" t="s">
        <v>164</v>
      </c>
      <c r="D20" s="11" t="s">
        <v>127</v>
      </c>
      <c r="E20" s="12" t="n">
        <v>10</v>
      </c>
      <c r="F20" s="11" t="s">
        <v>153</v>
      </c>
      <c r="G20" s="12" t="n">
        <v>8</v>
      </c>
      <c r="H20" s="11" t="s">
        <v>161</v>
      </c>
      <c r="I20" s="12" t="n">
        <v>8</v>
      </c>
      <c r="J20" s="11" t="s">
        <v>162</v>
      </c>
      <c r="K20" s="12" t="n">
        <v>14</v>
      </c>
      <c r="L20" s="11" t="s">
        <v>156</v>
      </c>
      <c r="M20" s="12" t="n">
        <v>8</v>
      </c>
      <c r="N20" s="11" t="s">
        <v>125</v>
      </c>
      <c r="O20" s="12" t="n">
        <v>5</v>
      </c>
      <c r="P20" s="14" t="n">
        <f aca="false">IF(A20="","",SUM(E20,G20,I20,K20,M20,O20))</f>
        <v>53</v>
      </c>
      <c r="Q20" s="14" t="n">
        <f aca="false">IF(A20="","",IFERROR(INDEX(Classes!$C$5:$C$23,MATCH(A20,Classes!$A$5:$A$23,0)),""))</f>
        <v>60</v>
      </c>
      <c r="R20" s="15" t="str">
        <f aca="false">IF(A20="","",IF(TRIM(IF(AND(N(Q20)&gt;0,N(P20)&gt;N(Q20)),"Over by "&amp;(P20-Q20)&amp;" min. ","")&amp;IF(AND(COUNTIF(V20:AA20,"*A*")&gt;0,AB20&lt;&gt;"Yes"),"Age check. ","")&amp;IF(COUNTIF(V20:AA20,"*C*")&gt;0,"Contact check. ","")&amp;IF(COUNTIF(V20:AA20,"~?")&gt;0,"Drill not in library. ",""))="","OK"&amp;IF(AND(COUNTIF(V20:AA20,"*A*")&gt;0,AB20="Yes")," · split by age","")&amp;IF(N(Q20)&gt;N(P20)," ("&amp;(Q20-P20)&amp;" min spare)",""),TRIM(IF(AND(N(Q20)&gt;0,N(P20)&gt;N(Q20)),"Over by "&amp;(P20-Q20)&amp;" min. ","")&amp;IF(AND(COUNTIF(V20:AA20,"*A*")&gt;0,AB20&lt;&gt;"Yes"),"Age check. ","")&amp;IF(COUNTIF(V20:AA20,"*C*")&gt;0,"Contact check. ","")&amp;IF(COUNTIF(V20:AA20,"~?")&gt;0,"Drill not in library. ",""))&amp;IF(AND(COUNTIF(V20:AA20,"*A*")&gt;0,AB20="Yes")," · split by age","")))</f>
        <v>OK · split by age (7 min spare)</v>
      </c>
      <c r="S20" s="11"/>
      <c r="T20" s="13" t="n">
        <f aca="false">IF(A20="","",IFERROR(INDEX(Classes!$E$5:$E$23,MATCH(A20,Classes!$A$5:$A$23,0)),""))</f>
        <v>4</v>
      </c>
      <c r="U20" s="13" t="str">
        <f aca="false">IF(A20="","",IFERROR(INDEX(Classes!$F$5:$F$23,MATCH(A20,Classes!$A$5:$A$23,0)),""))</f>
        <v>None;Pads/bag;Light touch (body)</v>
      </c>
      <c r="V20" s="13" t="str">
        <f aca="false">IF(OR(D20="",$A20=""),"",IF(ISNA(MATCH(D20,Drills!$A$5:$A$127,0)),"?",IF(N(INDEX(Drills!$K$5:$K$127,MATCH(D20,Drills!$A$5:$A$127,0)))&gt;N($T20),"A","")&amp;IF(ISNUMBER(SEARCH(INDEX(Drills!$E$5:$E$127,MATCH(D20,Drills!$A$5:$A$127,0)),$U20)),"","C")))</f>
        <v/>
      </c>
      <c r="W20" s="13" t="str">
        <f aca="false">IF(OR(F20="",$A20=""),"",IF(ISNA(MATCH(F20,Drills!$A$5:$A$127,0)),"?",IF(N(INDEX(Drills!$K$5:$K$127,MATCH(F20,Drills!$A$5:$A$127,0)))&gt;N($T20),"A","")&amp;IF(ISNUMBER(SEARCH(INDEX(Drills!$E$5:$E$127,MATCH(F20,Drills!$A$5:$A$127,0)),$U20)),"","C")))</f>
        <v>A</v>
      </c>
      <c r="X20" s="13" t="str">
        <f aca="false">IF(OR(H20="",$A20=""),"",IF(ISNA(MATCH(H20,Drills!$A$5:$A$127,0)),"?",IF(N(INDEX(Drills!$K$5:$K$127,MATCH(H20,Drills!$A$5:$A$127,0)))&gt;N($T20),"A","")&amp;IF(ISNUMBER(SEARCH(INDEX(Drills!$E$5:$E$127,MATCH(H20,Drills!$A$5:$A$127,0)),$U20)),"","C")))</f>
        <v>A</v>
      </c>
      <c r="Y20" s="13" t="str">
        <f aca="false">IF(OR(J20="",$A20=""),"",IF(ISNA(MATCH(J20,Drills!$A$5:$A$127,0)),"?",IF(N(INDEX(Drills!$K$5:$K$127,MATCH(J20,Drills!$A$5:$A$127,0)))&gt;N($T20),"A","")&amp;IF(ISNUMBER(SEARCH(INDEX(Drills!$E$5:$E$127,MATCH(J20,Drills!$A$5:$A$127,0)),$U20)),"","C")))</f>
        <v>A</v>
      </c>
      <c r="Z20" s="13" t="str">
        <f aca="false">IF(OR(L20="",$A20=""),"",IF(ISNA(MATCH(L20,Drills!$A$5:$A$127,0)),"?",IF(N(INDEX(Drills!$K$5:$K$127,MATCH(L20,Drills!$A$5:$A$127,0)))&gt;N($T20),"A","")&amp;IF(ISNUMBER(SEARCH(INDEX(Drills!$E$5:$E$127,MATCH(L20,Drills!$A$5:$A$127,0)),$U20)),"","C")))</f>
        <v>A</v>
      </c>
      <c r="AA20" s="13" t="str">
        <f aca="false">IF(OR(N20="",$A20=""),"",IF(ISNA(MATCH(N20,Drills!$A$5:$A$127,0)),"?",IF(N(INDEX(Drills!$K$5:$K$127,MATCH(N20,Drills!$A$5:$A$127,0)))&gt;N($T20),"A","")&amp;IF(ISNUMBER(SEARCH(INDEX(Drills!$E$5:$E$127,MATCH(N20,Drills!$A$5:$A$127,0)),$U20)),"","C")))</f>
        <v/>
      </c>
      <c r="AB20" s="13" t="str">
        <f aca="false">IF(A20="","",IFERROR(INDEX(Classes!$I$5:$I$23,MATCH(A20,Classes!$A$5:$A$23,0)),""))</f>
        <v>Yes</v>
      </c>
    </row>
    <row r="21" customFormat="false" ht="43.5" hidden="false" customHeight="true" outlineLevel="0" collapsed="false">
      <c r="A21" s="11" t="s">
        <v>72</v>
      </c>
      <c r="B21" s="11" t="n">
        <v>1</v>
      </c>
      <c r="C21" s="11" t="s">
        <v>150</v>
      </c>
      <c r="D21" s="11" t="s">
        <v>133</v>
      </c>
      <c r="E21" s="12" t="n">
        <v>5</v>
      </c>
      <c r="F21" s="11" t="s">
        <v>120</v>
      </c>
      <c r="G21" s="12" t="n">
        <v>6</v>
      </c>
      <c r="H21" s="11" t="s">
        <v>122</v>
      </c>
      <c r="I21" s="12" t="n">
        <v>8</v>
      </c>
      <c r="J21" s="11" t="s">
        <v>134</v>
      </c>
      <c r="K21" s="12" t="n">
        <v>8</v>
      </c>
      <c r="L21" s="11" t="s">
        <v>130</v>
      </c>
      <c r="M21" s="12" t="n">
        <v>10</v>
      </c>
      <c r="N21" s="11" t="s">
        <v>125</v>
      </c>
      <c r="O21" s="12" t="n">
        <v>5</v>
      </c>
      <c r="P21" s="14" t="n">
        <f aca="false">IF(A21="","",SUM(E21,G21,I21,K21,M21,O21))</f>
        <v>42</v>
      </c>
      <c r="Q21" s="14" t="n">
        <f aca="false">IF(A21="","",IFERROR(INDEX(Classes!$C$5:$C$23,MATCH(A21,Classes!$A$5:$A$23,0)),""))</f>
        <v>45</v>
      </c>
      <c r="R21" s="15" t="str">
        <f aca="false">IF(A21="","",IF(TRIM(IF(AND(N(Q21)&gt;0,N(P21)&gt;N(Q21)),"Over by "&amp;(P21-Q21)&amp;" min. ","")&amp;IF(AND(COUNTIF(V21:AA21,"*A*")&gt;0,AB21&lt;&gt;"Yes"),"Age check. ","")&amp;IF(COUNTIF(V21:AA21,"*C*")&gt;0,"Contact check. ","")&amp;IF(COUNTIF(V21:AA21,"~?")&gt;0,"Drill not in library. ",""))="","OK"&amp;IF(AND(COUNTIF(V21:AA21,"*A*")&gt;0,AB21="Yes")," · split by age","")&amp;IF(N(Q21)&gt;N(P21)," ("&amp;(Q21-P21)&amp;" min spare)",""),TRIM(IF(AND(N(Q21)&gt;0,N(P21)&gt;N(Q21)),"Over by "&amp;(P21-Q21)&amp;" min. ","")&amp;IF(AND(COUNTIF(V21:AA21,"*A*")&gt;0,AB21&lt;&gt;"Yes"),"Age check. ","")&amp;IF(COUNTIF(V21:AA21,"*C*")&gt;0,"Contact check. ","")&amp;IF(COUNTIF(V21:AA21,"~?")&gt;0,"Drill not in library. ",""))&amp;IF(AND(COUNTIF(V21:AA21,"*A*")&gt;0,AB21="Yes")," · split by age","")))</f>
        <v>OK (3 min spare)</v>
      </c>
      <c r="S21" s="11"/>
      <c r="T21" s="13" t="n">
        <f aca="false">IF(A21="","",IFERROR(INDEX(Classes!$E$5:$E$23,MATCH(A21,Classes!$A$5:$A$23,0)),""))</f>
        <v>16</v>
      </c>
      <c r="U21" s="13" t="str">
        <f aca="false">IF(A21="","",IFERROR(INDEX(Classes!$F$5:$F$23,MATCH(A21,Classes!$A$5:$A$23,0)),""))</f>
        <v>None;Pads/bag;Light touch (body)</v>
      </c>
      <c r="V21" s="13" t="str">
        <f aca="false">IF(OR(D21="",$A21=""),"",IF(ISNA(MATCH(D21,Drills!$A$5:$A$127,0)),"?",IF(N(INDEX(Drills!$K$5:$K$127,MATCH(D21,Drills!$A$5:$A$127,0)))&gt;N($T21),"A","")&amp;IF(ISNUMBER(SEARCH(INDEX(Drills!$E$5:$E$127,MATCH(D21,Drills!$A$5:$A$127,0)),$U21)),"","C")))</f>
        <v/>
      </c>
      <c r="W21" s="13" t="str">
        <f aca="false">IF(OR(F21="",$A21=""),"",IF(ISNA(MATCH(F21,Drills!$A$5:$A$127,0)),"?",IF(N(INDEX(Drills!$K$5:$K$127,MATCH(F21,Drills!$A$5:$A$127,0)))&gt;N($T21),"A","")&amp;IF(ISNUMBER(SEARCH(INDEX(Drills!$E$5:$E$127,MATCH(F21,Drills!$A$5:$A$127,0)),$U21)),"","C")))</f>
        <v/>
      </c>
      <c r="X21" s="13" t="str">
        <f aca="false">IF(OR(H21="",$A21=""),"",IF(ISNA(MATCH(H21,Drills!$A$5:$A$127,0)),"?",IF(N(INDEX(Drills!$K$5:$K$127,MATCH(H21,Drills!$A$5:$A$127,0)))&gt;N($T21),"A","")&amp;IF(ISNUMBER(SEARCH(INDEX(Drills!$E$5:$E$127,MATCH(H21,Drills!$A$5:$A$127,0)),$U21)),"","C")))</f>
        <v/>
      </c>
      <c r="Y21" s="13" t="str">
        <f aca="false">IF(OR(J21="",$A21=""),"",IF(ISNA(MATCH(J21,Drills!$A$5:$A$127,0)),"?",IF(N(INDEX(Drills!$K$5:$K$127,MATCH(J21,Drills!$A$5:$A$127,0)))&gt;N($T21),"A","")&amp;IF(ISNUMBER(SEARCH(INDEX(Drills!$E$5:$E$127,MATCH(J21,Drills!$A$5:$A$127,0)),$U21)),"","C")))</f>
        <v/>
      </c>
      <c r="Z21" s="13" t="str">
        <f aca="false">IF(OR(L21="",$A21=""),"",IF(ISNA(MATCH(L21,Drills!$A$5:$A$127,0)),"?",IF(N(INDEX(Drills!$K$5:$K$127,MATCH(L21,Drills!$A$5:$A$127,0)))&gt;N($T21),"A","")&amp;IF(ISNUMBER(SEARCH(INDEX(Drills!$E$5:$E$127,MATCH(L21,Drills!$A$5:$A$127,0)),$U21)),"","C")))</f>
        <v/>
      </c>
      <c r="AA21" s="13" t="str">
        <f aca="false">IF(OR(N21="",$A21=""),"",IF(ISNA(MATCH(N21,Drills!$A$5:$A$127,0)),"?",IF(N(INDEX(Drills!$K$5:$K$127,MATCH(N21,Drills!$A$5:$A$127,0)))&gt;N($T21),"A","")&amp;IF(ISNUMBER(SEARCH(INDEX(Drills!$E$5:$E$127,MATCH(N21,Drills!$A$5:$A$127,0)),$U21)),"","C")))</f>
        <v/>
      </c>
      <c r="AB21" s="13" t="str">
        <f aca="false">IF(A21="","",IFERROR(INDEX(Classes!$I$5:$I$23,MATCH(A21,Classes!$A$5:$A$23,0)),""))</f>
        <v>No</v>
      </c>
    </row>
    <row r="22" customFormat="false" ht="43.5" hidden="false" customHeight="true" outlineLevel="0" collapsed="false">
      <c r="A22" s="11" t="s">
        <v>72</v>
      </c>
      <c r="B22" s="11" t="n">
        <v>2</v>
      </c>
      <c r="C22" s="11" t="s">
        <v>151</v>
      </c>
      <c r="D22" s="11" t="s">
        <v>133</v>
      </c>
      <c r="E22" s="12" t="n">
        <v>5</v>
      </c>
      <c r="F22" s="11" t="s">
        <v>152</v>
      </c>
      <c r="G22" s="12" t="n">
        <v>8</v>
      </c>
      <c r="H22" s="11" t="s">
        <v>136</v>
      </c>
      <c r="I22" s="12" t="n">
        <v>6</v>
      </c>
      <c r="J22" s="11" t="s">
        <v>162</v>
      </c>
      <c r="K22" s="12" t="n">
        <v>12</v>
      </c>
      <c r="L22" s="11" t="s">
        <v>153</v>
      </c>
      <c r="M22" s="12" t="n">
        <v>6</v>
      </c>
      <c r="N22" s="11" t="s">
        <v>125</v>
      </c>
      <c r="O22" s="12" t="n">
        <v>5</v>
      </c>
      <c r="P22" s="14" t="n">
        <f aca="false">IF(A22="","",SUM(E22,G22,I22,K22,M22,O22))</f>
        <v>42</v>
      </c>
      <c r="Q22" s="14" t="n">
        <f aca="false">IF(A22="","",IFERROR(INDEX(Classes!$C$5:$C$23,MATCH(A22,Classes!$A$5:$A$23,0)),""))</f>
        <v>45</v>
      </c>
      <c r="R22" s="15" t="str">
        <f aca="false">IF(A22="","",IF(TRIM(IF(AND(N(Q22)&gt;0,N(P22)&gt;N(Q22)),"Over by "&amp;(P22-Q22)&amp;" min. ","")&amp;IF(AND(COUNTIF(V22:AA22,"*A*")&gt;0,AB22&lt;&gt;"Yes"),"Age check. ","")&amp;IF(COUNTIF(V22:AA22,"*C*")&gt;0,"Contact check. ","")&amp;IF(COUNTIF(V22:AA22,"~?")&gt;0,"Drill not in library. ",""))="","OK"&amp;IF(AND(COUNTIF(V22:AA22,"*A*")&gt;0,AB22="Yes")," · split by age","")&amp;IF(N(Q22)&gt;N(P22)," ("&amp;(Q22-P22)&amp;" min spare)",""),TRIM(IF(AND(N(Q22)&gt;0,N(P22)&gt;N(Q22)),"Over by "&amp;(P22-Q22)&amp;" min. ","")&amp;IF(AND(COUNTIF(V22:AA22,"*A*")&gt;0,AB22&lt;&gt;"Yes"),"Age check. ","")&amp;IF(COUNTIF(V22:AA22,"*C*")&gt;0,"Contact check. ","")&amp;IF(COUNTIF(V22:AA22,"~?")&gt;0,"Drill not in library. ",""))&amp;IF(AND(COUNTIF(V22:AA22,"*A*")&gt;0,AB22="Yes")," · split by age","")))</f>
        <v>OK (3 min spare)</v>
      </c>
      <c r="S22" s="11"/>
      <c r="T22" s="13" t="n">
        <f aca="false">IF(A22="","",IFERROR(INDEX(Classes!$E$5:$E$23,MATCH(A22,Classes!$A$5:$A$23,0)),""))</f>
        <v>16</v>
      </c>
      <c r="U22" s="13" t="str">
        <f aca="false">IF(A22="","",IFERROR(INDEX(Classes!$F$5:$F$23,MATCH(A22,Classes!$A$5:$A$23,0)),""))</f>
        <v>None;Pads/bag;Light touch (body)</v>
      </c>
      <c r="V22" s="13" t="str">
        <f aca="false">IF(OR(D22="",$A22=""),"",IF(ISNA(MATCH(D22,Drills!$A$5:$A$127,0)),"?",IF(N(INDEX(Drills!$K$5:$K$127,MATCH(D22,Drills!$A$5:$A$127,0)))&gt;N($T22),"A","")&amp;IF(ISNUMBER(SEARCH(INDEX(Drills!$E$5:$E$127,MATCH(D22,Drills!$A$5:$A$127,0)),$U22)),"","C")))</f>
        <v/>
      </c>
      <c r="W22" s="13" t="str">
        <f aca="false">IF(OR(F22="",$A22=""),"",IF(ISNA(MATCH(F22,Drills!$A$5:$A$127,0)),"?",IF(N(INDEX(Drills!$K$5:$K$127,MATCH(F22,Drills!$A$5:$A$127,0)))&gt;N($T22),"A","")&amp;IF(ISNUMBER(SEARCH(INDEX(Drills!$E$5:$E$127,MATCH(F22,Drills!$A$5:$A$127,0)),$U22)),"","C")))</f>
        <v/>
      </c>
      <c r="X22" s="13" t="str">
        <f aca="false">IF(OR(H22="",$A22=""),"",IF(ISNA(MATCH(H22,Drills!$A$5:$A$127,0)),"?",IF(N(INDEX(Drills!$K$5:$K$127,MATCH(H22,Drills!$A$5:$A$127,0)))&gt;N($T22),"A","")&amp;IF(ISNUMBER(SEARCH(INDEX(Drills!$E$5:$E$127,MATCH(H22,Drills!$A$5:$A$127,0)),$U22)),"","C")))</f>
        <v/>
      </c>
      <c r="Y22" s="13" t="str">
        <f aca="false">IF(OR(J22="",$A22=""),"",IF(ISNA(MATCH(J22,Drills!$A$5:$A$127,0)),"?",IF(N(INDEX(Drills!$K$5:$K$127,MATCH(J22,Drills!$A$5:$A$127,0)))&gt;N($T22),"A","")&amp;IF(ISNUMBER(SEARCH(INDEX(Drills!$E$5:$E$127,MATCH(J22,Drills!$A$5:$A$127,0)),$U22)),"","C")))</f>
        <v/>
      </c>
      <c r="Z22" s="13" t="str">
        <f aca="false">IF(OR(L22="",$A22=""),"",IF(ISNA(MATCH(L22,Drills!$A$5:$A$127,0)),"?",IF(N(INDEX(Drills!$K$5:$K$127,MATCH(L22,Drills!$A$5:$A$127,0)))&gt;N($T22),"A","")&amp;IF(ISNUMBER(SEARCH(INDEX(Drills!$E$5:$E$127,MATCH(L22,Drills!$A$5:$A$127,0)),$U22)),"","C")))</f>
        <v/>
      </c>
      <c r="AA22" s="13" t="str">
        <f aca="false">IF(OR(N22="",$A22=""),"",IF(ISNA(MATCH(N22,Drills!$A$5:$A$127,0)),"?",IF(N(INDEX(Drills!$K$5:$K$127,MATCH(N22,Drills!$A$5:$A$127,0)))&gt;N($T22),"A","")&amp;IF(ISNUMBER(SEARCH(INDEX(Drills!$E$5:$E$127,MATCH(N22,Drills!$A$5:$A$127,0)),$U22)),"","C")))</f>
        <v/>
      </c>
      <c r="AB22" s="13" t="str">
        <f aca="false">IF(A22="","",IFERROR(INDEX(Classes!$I$5:$I$23,MATCH(A22,Classes!$A$5:$A$23,0)),""))</f>
        <v>No</v>
      </c>
    </row>
    <row r="23" customFormat="false" ht="43.5" hidden="false" customHeight="true" outlineLevel="0" collapsed="false">
      <c r="A23" s="11" t="s">
        <v>72</v>
      </c>
      <c r="B23" s="11" t="n">
        <v>3</v>
      </c>
      <c r="C23" s="11" t="s">
        <v>155</v>
      </c>
      <c r="D23" s="11" t="s">
        <v>160</v>
      </c>
      <c r="E23" s="12" t="n">
        <v>6</v>
      </c>
      <c r="F23" s="11" t="s">
        <v>136</v>
      </c>
      <c r="G23" s="12" t="n">
        <v>6</v>
      </c>
      <c r="H23" s="11" t="s">
        <v>163</v>
      </c>
      <c r="I23" s="12" t="n">
        <v>8</v>
      </c>
      <c r="J23" s="11" t="s">
        <v>130</v>
      </c>
      <c r="K23" s="12" t="n">
        <v>10</v>
      </c>
      <c r="L23" s="11" t="s">
        <v>158</v>
      </c>
      <c r="M23" s="12" t="n">
        <v>8</v>
      </c>
      <c r="N23" s="11" t="s">
        <v>125</v>
      </c>
      <c r="O23" s="12" t="n">
        <v>5</v>
      </c>
      <c r="P23" s="14" t="n">
        <f aca="false">IF(A23="","",SUM(E23,G23,I23,K23,M23,O23))</f>
        <v>43</v>
      </c>
      <c r="Q23" s="14" t="n">
        <f aca="false">IF(A23="","",IFERROR(INDEX(Classes!$C$5:$C$23,MATCH(A23,Classes!$A$5:$A$23,0)),""))</f>
        <v>45</v>
      </c>
      <c r="R23" s="15" t="str">
        <f aca="false">IF(A23="","",IF(TRIM(IF(AND(N(Q23)&gt;0,N(P23)&gt;N(Q23)),"Over by "&amp;(P23-Q23)&amp;" min. ","")&amp;IF(AND(COUNTIF(V23:AA23,"*A*")&gt;0,AB23&lt;&gt;"Yes"),"Age check. ","")&amp;IF(COUNTIF(V23:AA23,"*C*")&gt;0,"Contact check. ","")&amp;IF(COUNTIF(V23:AA23,"~?")&gt;0,"Drill not in library. ",""))="","OK"&amp;IF(AND(COUNTIF(V23:AA23,"*A*")&gt;0,AB23="Yes")," · split by age","")&amp;IF(N(Q23)&gt;N(P23)," ("&amp;(Q23-P23)&amp;" min spare)",""),TRIM(IF(AND(N(Q23)&gt;0,N(P23)&gt;N(Q23)),"Over by "&amp;(P23-Q23)&amp;" min. ","")&amp;IF(AND(COUNTIF(V23:AA23,"*A*")&gt;0,AB23&lt;&gt;"Yes"),"Age check. ","")&amp;IF(COUNTIF(V23:AA23,"*C*")&gt;0,"Contact check. ","")&amp;IF(COUNTIF(V23:AA23,"~?")&gt;0,"Drill not in library. ",""))&amp;IF(AND(COUNTIF(V23:AA23,"*A*")&gt;0,AB23="Yes")," · split by age","")))</f>
        <v>OK (2 min spare)</v>
      </c>
      <c r="S23" s="11"/>
      <c r="T23" s="13" t="n">
        <f aca="false">IF(A23="","",IFERROR(INDEX(Classes!$E$5:$E$23,MATCH(A23,Classes!$A$5:$A$23,0)),""))</f>
        <v>16</v>
      </c>
      <c r="U23" s="13" t="str">
        <f aca="false">IF(A23="","",IFERROR(INDEX(Classes!$F$5:$F$23,MATCH(A23,Classes!$A$5:$A$23,0)),""))</f>
        <v>None;Pads/bag;Light touch (body)</v>
      </c>
      <c r="V23" s="13" t="str">
        <f aca="false">IF(OR(D23="",$A23=""),"",IF(ISNA(MATCH(D23,Drills!$A$5:$A$127,0)),"?",IF(N(INDEX(Drills!$K$5:$K$127,MATCH(D23,Drills!$A$5:$A$127,0)))&gt;N($T23),"A","")&amp;IF(ISNUMBER(SEARCH(INDEX(Drills!$E$5:$E$127,MATCH(D23,Drills!$A$5:$A$127,0)),$U23)),"","C")))</f>
        <v/>
      </c>
      <c r="W23" s="13" t="str">
        <f aca="false">IF(OR(F23="",$A23=""),"",IF(ISNA(MATCH(F23,Drills!$A$5:$A$127,0)),"?",IF(N(INDEX(Drills!$K$5:$K$127,MATCH(F23,Drills!$A$5:$A$127,0)))&gt;N($T23),"A","")&amp;IF(ISNUMBER(SEARCH(INDEX(Drills!$E$5:$E$127,MATCH(F23,Drills!$A$5:$A$127,0)),$U23)),"","C")))</f>
        <v/>
      </c>
      <c r="X23" s="13" t="str">
        <f aca="false">IF(OR(H23="",$A23=""),"",IF(ISNA(MATCH(H23,Drills!$A$5:$A$127,0)),"?",IF(N(INDEX(Drills!$K$5:$K$127,MATCH(H23,Drills!$A$5:$A$127,0)))&gt;N($T23),"A","")&amp;IF(ISNUMBER(SEARCH(INDEX(Drills!$E$5:$E$127,MATCH(H23,Drills!$A$5:$A$127,0)),$U23)),"","C")))</f>
        <v/>
      </c>
      <c r="Y23" s="13" t="str">
        <f aca="false">IF(OR(J23="",$A23=""),"",IF(ISNA(MATCH(J23,Drills!$A$5:$A$127,0)),"?",IF(N(INDEX(Drills!$K$5:$K$127,MATCH(J23,Drills!$A$5:$A$127,0)))&gt;N($T23),"A","")&amp;IF(ISNUMBER(SEARCH(INDEX(Drills!$E$5:$E$127,MATCH(J23,Drills!$A$5:$A$127,0)),$U23)),"","C")))</f>
        <v/>
      </c>
      <c r="Z23" s="13" t="str">
        <f aca="false">IF(OR(L23="",$A23=""),"",IF(ISNA(MATCH(L23,Drills!$A$5:$A$127,0)),"?",IF(N(INDEX(Drills!$K$5:$K$127,MATCH(L23,Drills!$A$5:$A$127,0)))&gt;N($T23),"A","")&amp;IF(ISNUMBER(SEARCH(INDEX(Drills!$E$5:$E$127,MATCH(L23,Drills!$A$5:$A$127,0)),$U23)),"","C")))</f>
        <v/>
      </c>
      <c r="AA23" s="13" t="str">
        <f aca="false">IF(OR(N23="",$A23=""),"",IF(ISNA(MATCH(N23,Drills!$A$5:$A$127,0)),"?",IF(N(INDEX(Drills!$K$5:$K$127,MATCH(N23,Drills!$A$5:$A$127,0)))&gt;N($T23),"A","")&amp;IF(ISNUMBER(SEARCH(INDEX(Drills!$E$5:$E$127,MATCH(N23,Drills!$A$5:$A$127,0)),$U23)),"","C")))</f>
        <v/>
      </c>
      <c r="AB23" s="13" t="str">
        <f aca="false">IF(A23="","",IFERROR(INDEX(Classes!$I$5:$I$23,MATCH(A23,Classes!$A$5:$A$23,0)),""))</f>
        <v>No</v>
      </c>
    </row>
    <row r="24" customFormat="false" ht="43.5" hidden="false" customHeight="true" outlineLevel="0" collapsed="false">
      <c r="A24" s="11" t="s">
        <v>72</v>
      </c>
      <c r="B24" s="11" t="n">
        <v>4</v>
      </c>
      <c r="C24" s="11" t="s">
        <v>165</v>
      </c>
      <c r="D24" s="11" t="s">
        <v>133</v>
      </c>
      <c r="E24" s="12" t="n">
        <v>5</v>
      </c>
      <c r="F24" s="11" t="s">
        <v>161</v>
      </c>
      <c r="G24" s="12" t="n">
        <v>6</v>
      </c>
      <c r="H24" s="11" t="s">
        <v>153</v>
      </c>
      <c r="I24" s="12" t="n">
        <v>6</v>
      </c>
      <c r="J24" s="11" t="s">
        <v>162</v>
      </c>
      <c r="K24" s="12" t="n">
        <v>12</v>
      </c>
      <c r="L24" s="11" t="s">
        <v>130</v>
      </c>
      <c r="M24" s="12" t="n">
        <v>10</v>
      </c>
      <c r="N24" s="11" t="s">
        <v>125</v>
      </c>
      <c r="O24" s="12" t="n">
        <v>5</v>
      </c>
      <c r="P24" s="14" t="n">
        <f aca="false">IF(A24="","",SUM(E24,G24,I24,K24,M24,O24))</f>
        <v>44</v>
      </c>
      <c r="Q24" s="14" t="n">
        <f aca="false">IF(A24="","",IFERROR(INDEX(Classes!$C$5:$C$23,MATCH(A24,Classes!$A$5:$A$23,0)),""))</f>
        <v>45</v>
      </c>
      <c r="R24" s="15" t="str">
        <f aca="false">IF(A24="","",IF(TRIM(IF(AND(N(Q24)&gt;0,N(P24)&gt;N(Q24)),"Over by "&amp;(P24-Q24)&amp;" min. ","")&amp;IF(AND(COUNTIF(V24:AA24,"*A*")&gt;0,AB24&lt;&gt;"Yes"),"Age check. ","")&amp;IF(COUNTIF(V24:AA24,"*C*")&gt;0,"Contact check. ","")&amp;IF(COUNTIF(V24:AA24,"~?")&gt;0,"Drill not in library. ",""))="","OK"&amp;IF(AND(COUNTIF(V24:AA24,"*A*")&gt;0,AB24="Yes")," · split by age","")&amp;IF(N(Q24)&gt;N(P24)," ("&amp;(Q24-P24)&amp;" min spare)",""),TRIM(IF(AND(N(Q24)&gt;0,N(P24)&gt;N(Q24)),"Over by "&amp;(P24-Q24)&amp;" min. ","")&amp;IF(AND(COUNTIF(V24:AA24,"*A*")&gt;0,AB24&lt;&gt;"Yes"),"Age check. ","")&amp;IF(COUNTIF(V24:AA24,"*C*")&gt;0,"Contact check. ","")&amp;IF(COUNTIF(V24:AA24,"~?")&gt;0,"Drill not in library. ",""))&amp;IF(AND(COUNTIF(V24:AA24,"*A*")&gt;0,AB24="Yes")," · split by age","")))</f>
        <v>OK (1 min spare)</v>
      </c>
      <c r="S24" s="11"/>
      <c r="T24" s="13" t="n">
        <f aca="false">IF(A24="","",IFERROR(INDEX(Classes!$E$5:$E$23,MATCH(A24,Classes!$A$5:$A$23,0)),""))</f>
        <v>16</v>
      </c>
      <c r="U24" s="13" t="str">
        <f aca="false">IF(A24="","",IFERROR(INDEX(Classes!$F$5:$F$23,MATCH(A24,Classes!$A$5:$A$23,0)),""))</f>
        <v>None;Pads/bag;Light touch (body)</v>
      </c>
      <c r="V24" s="13" t="str">
        <f aca="false">IF(OR(D24="",$A24=""),"",IF(ISNA(MATCH(D24,Drills!$A$5:$A$127,0)),"?",IF(N(INDEX(Drills!$K$5:$K$127,MATCH(D24,Drills!$A$5:$A$127,0)))&gt;N($T24),"A","")&amp;IF(ISNUMBER(SEARCH(INDEX(Drills!$E$5:$E$127,MATCH(D24,Drills!$A$5:$A$127,0)),$U24)),"","C")))</f>
        <v/>
      </c>
      <c r="W24" s="13" t="str">
        <f aca="false">IF(OR(F24="",$A24=""),"",IF(ISNA(MATCH(F24,Drills!$A$5:$A$127,0)),"?",IF(N(INDEX(Drills!$K$5:$K$127,MATCH(F24,Drills!$A$5:$A$127,0)))&gt;N($T24),"A","")&amp;IF(ISNUMBER(SEARCH(INDEX(Drills!$E$5:$E$127,MATCH(F24,Drills!$A$5:$A$127,0)),$U24)),"","C")))</f>
        <v/>
      </c>
      <c r="X24" s="13" t="str">
        <f aca="false">IF(OR(H24="",$A24=""),"",IF(ISNA(MATCH(H24,Drills!$A$5:$A$127,0)),"?",IF(N(INDEX(Drills!$K$5:$K$127,MATCH(H24,Drills!$A$5:$A$127,0)))&gt;N($T24),"A","")&amp;IF(ISNUMBER(SEARCH(INDEX(Drills!$E$5:$E$127,MATCH(H24,Drills!$A$5:$A$127,0)),$U24)),"","C")))</f>
        <v/>
      </c>
      <c r="Y24" s="13" t="str">
        <f aca="false">IF(OR(J24="",$A24=""),"",IF(ISNA(MATCH(J24,Drills!$A$5:$A$127,0)),"?",IF(N(INDEX(Drills!$K$5:$K$127,MATCH(J24,Drills!$A$5:$A$127,0)))&gt;N($T24),"A","")&amp;IF(ISNUMBER(SEARCH(INDEX(Drills!$E$5:$E$127,MATCH(J24,Drills!$A$5:$A$127,0)),$U24)),"","C")))</f>
        <v/>
      </c>
      <c r="Z24" s="13" t="str">
        <f aca="false">IF(OR(L24="",$A24=""),"",IF(ISNA(MATCH(L24,Drills!$A$5:$A$127,0)),"?",IF(N(INDEX(Drills!$K$5:$K$127,MATCH(L24,Drills!$A$5:$A$127,0)))&gt;N($T24),"A","")&amp;IF(ISNUMBER(SEARCH(INDEX(Drills!$E$5:$E$127,MATCH(L24,Drills!$A$5:$A$127,0)),$U24)),"","C")))</f>
        <v/>
      </c>
      <c r="AA24" s="13" t="str">
        <f aca="false">IF(OR(N24="",$A24=""),"",IF(ISNA(MATCH(N24,Drills!$A$5:$A$127,0)),"?",IF(N(INDEX(Drills!$K$5:$K$127,MATCH(N24,Drills!$A$5:$A$127,0)))&gt;N($T24),"A","")&amp;IF(ISNUMBER(SEARCH(INDEX(Drills!$E$5:$E$127,MATCH(N24,Drills!$A$5:$A$127,0)),$U24)),"","C")))</f>
        <v/>
      </c>
      <c r="AB24" s="13" t="str">
        <f aca="false">IF(A24="","",IFERROR(INDEX(Classes!$I$5:$I$23,MATCH(A24,Classes!$A$5:$A$23,0)),""))</f>
        <v>No</v>
      </c>
    </row>
    <row r="25" customFormat="false" ht="43.5" hidden="false" customHeight="true" outlineLevel="0" collapsed="false">
      <c r="A25" s="11" t="s">
        <v>76</v>
      </c>
      <c r="B25" s="11" t="n">
        <v>1</v>
      </c>
      <c r="C25" s="11" t="s">
        <v>166</v>
      </c>
      <c r="D25" s="11" t="s">
        <v>133</v>
      </c>
      <c r="E25" s="12" t="n">
        <v>6</v>
      </c>
      <c r="F25" s="11" t="s">
        <v>167</v>
      </c>
      <c r="G25" s="12" t="n">
        <v>8</v>
      </c>
      <c r="H25" s="11" t="s">
        <v>168</v>
      </c>
      <c r="I25" s="12" t="n">
        <v>10</v>
      </c>
      <c r="J25" s="11" t="s">
        <v>134</v>
      </c>
      <c r="K25" s="12" t="n">
        <v>8</v>
      </c>
      <c r="L25" s="11" t="s">
        <v>130</v>
      </c>
      <c r="M25" s="12" t="n">
        <v>12</v>
      </c>
      <c r="N25" s="11" t="s">
        <v>125</v>
      </c>
      <c r="O25" s="12" t="n">
        <v>5</v>
      </c>
      <c r="P25" s="14" t="n">
        <f aca="false">IF(A25="","",SUM(E25,G25,I25,K25,M25,O25))</f>
        <v>49</v>
      </c>
      <c r="Q25" s="14" t="n">
        <f aca="false">IF(A25="","",IFERROR(INDEX(Classes!$C$5:$C$23,MATCH(A25,Classes!$A$5:$A$23,0)),""))</f>
        <v>60</v>
      </c>
      <c r="R25" s="15" t="str">
        <f aca="false">IF(A25="","",IF(TRIM(IF(AND(N(Q25)&gt;0,N(P25)&gt;N(Q25)),"Over by "&amp;(P25-Q25)&amp;" min. ","")&amp;IF(AND(COUNTIF(V25:AA25,"*A*")&gt;0,AB25&lt;&gt;"Yes"),"Age check. ","")&amp;IF(COUNTIF(V25:AA25,"*C*")&gt;0,"Contact check. ","")&amp;IF(COUNTIF(V25:AA25,"~?")&gt;0,"Drill not in library. ",""))="","OK"&amp;IF(AND(COUNTIF(V25:AA25,"*A*")&gt;0,AB25="Yes")," · split by age","")&amp;IF(N(Q25)&gt;N(P25)," ("&amp;(Q25-P25)&amp;" min spare)",""),TRIM(IF(AND(N(Q25)&gt;0,N(P25)&gt;N(Q25)),"Over by "&amp;(P25-Q25)&amp;" min. ","")&amp;IF(AND(COUNTIF(V25:AA25,"*A*")&gt;0,AB25&lt;&gt;"Yes"),"Age check. ","")&amp;IF(COUNTIF(V25:AA25,"*C*")&gt;0,"Contact check. ","")&amp;IF(COUNTIF(V25:AA25,"~?")&gt;0,"Drill not in library. ",""))&amp;IF(AND(COUNTIF(V25:AA25,"*A*")&gt;0,AB25="Yes")," · split by age","")))</f>
        <v>OK (11 min spare)</v>
      </c>
      <c r="S25" s="11"/>
      <c r="T25" s="13" t="n">
        <f aca="false">IF(A25="","",IFERROR(INDEX(Classes!$E$5:$E$23,MATCH(A25,Classes!$A$5:$A$23,0)),""))</f>
        <v>15</v>
      </c>
      <c r="U25" s="13" t="str">
        <f aca="false">IF(A25="","",IFERROR(INDEX(Classes!$F$5:$F$23,MATCH(A25,Classes!$A$5:$A$23,0)),""))</f>
        <v>None;Pads/bag;Light touch (body)</v>
      </c>
      <c r="V25" s="13" t="str">
        <f aca="false">IF(OR(D25="",$A25=""),"",IF(ISNA(MATCH(D25,Drills!$A$5:$A$127,0)),"?",IF(N(INDEX(Drills!$K$5:$K$127,MATCH(D25,Drills!$A$5:$A$127,0)))&gt;N($T25),"A","")&amp;IF(ISNUMBER(SEARCH(INDEX(Drills!$E$5:$E$127,MATCH(D25,Drills!$A$5:$A$127,0)),$U25)),"","C")))</f>
        <v/>
      </c>
      <c r="W25" s="13" t="str">
        <f aca="false">IF(OR(F25="",$A25=""),"",IF(ISNA(MATCH(F25,Drills!$A$5:$A$127,0)),"?",IF(N(INDEX(Drills!$K$5:$K$127,MATCH(F25,Drills!$A$5:$A$127,0)))&gt;N($T25),"A","")&amp;IF(ISNUMBER(SEARCH(INDEX(Drills!$E$5:$E$127,MATCH(F25,Drills!$A$5:$A$127,0)),$U25)),"","C")))</f>
        <v/>
      </c>
      <c r="X25" s="13" t="str">
        <f aca="false">IF(OR(H25="",$A25=""),"",IF(ISNA(MATCH(H25,Drills!$A$5:$A$127,0)),"?",IF(N(INDEX(Drills!$K$5:$K$127,MATCH(H25,Drills!$A$5:$A$127,0)))&gt;N($T25),"A","")&amp;IF(ISNUMBER(SEARCH(INDEX(Drills!$E$5:$E$127,MATCH(H25,Drills!$A$5:$A$127,0)),$U25)),"","C")))</f>
        <v/>
      </c>
      <c r="Y25" s="13" t="str">
        <f aca="false">IF(OR(J25="",$A25=""),"",IF(ISNA(MATCH(J25,Drills!$A$5:$A$127,0)),"?",IF(N(INDEX(Drills!$K$5:$K$127,MATCH(J25,Drills!$A$5:$A$127,0)))&gt;N($T25),"A","")&amp;IF(ISNUMBER(SEARCH(INDEX(Drills!$E$5:$E$127,MATCH(J25,Drills!$A$5:$A$127,0)),$U25)),"","C")))</f>
        <v/>
      </c>
      <c r="Z25" s="13" t="str">
        <f aca="false">IF(OR(L25="",$A25=""),"",IF(ISNA(MATCH(L25,Drills!$A$5:$A$127,0)),"?",IF(N(INDEX(Drills!$K$5:$K$127,MATCH(L25,Drills!$A$5:$A$127,0)))&gt;N($T25),"A","")&amp;IF(ISNUMBER(SEARCH(INDEX(Drills!$E$5:$E$127,MATCH(L25,Drills!$A$5:$A$127,0)),$U25)),"","C")))</f>
        <v/>
      </c>
      <c r="AA25" s="13" t="str">
        <f aca="false">IF(OR(N25="",$A25=""),"",IF(ISNA(MATCH(N25,Drills!$A$5:$A$127,0)),"?",IF(N(INDEX(Drills!$K$5:$K$127,MATCH(N25,Drills!$A$5:$A$127,0)))&gt;N($T25),"A","")&amp;IF(ISNUMBER(SEARCH(INDEX(Drills!$E$5:$E$127,MATCH(N25,Drills!$A$5:$A$127,0)),$U25)),"","C")))</f>
        <v/>
      </c>
      <c r="AB25" s="13" t="str">
        <f aca="false">IF(A25="","",IFERROR(INDEX(Classes!$I$5:$I$23,MATCH(A25,Classes!$A$5:$A$23,0)),""))</f>
        <v>No</v>
      </c>
    </row>
    <row r="26" customFormat="false" ht="43.5" hidden="false" customHeight="true" outlineLevel="0" collapsed="false">
      <c r="A26" s="11" t="s">
        <v>76</v>
      </c>
      <c r="B26" s="11" t="n">
        <v>2</v>
      </c>
      <c r="C26" s="11" t="s">
        <v>151</v>
      </c>
      <c r="D26" s="11" t="s">
        <v>127</v>
      </c>
      <c r="E26" s="12" t="n">
        <v>10</v>
      </c>
      <c r="F26" s="11" t="s">
        <v>169</v>
      </c>
      <c r="G26" s="12" t="n">
        <v>8</v>
      </c>
      <c r="H26" s="11" t="s">
        <v>170</v>
      </c>
      <c r="I26" s="12" t="n">
        <v>10</v>
      </c>
      <c r="J26" s="11" t="s">
        <v>130</v>
      </c>
      <c r="K26" s="12" t="n">
        <v>12</v>
      </c>
      <c r="L26" s="11" t="s">
        <v>171</v>
      </c>
      <c r="M26" s="12" t="n">
        <v>8</v>
      </c>
      <c r="N26" s="11" t="s">
        <v>125</v>
      </c>
      <c r="O26" s="12" t="n">
        <v>5</v>
      </c>
      <c r="P26" s="14" t="n">
        <f aca="false">IF(A26="","",SUM(E26,G26,I26,K26,M26,O26))</f>
        <v>53</v>
      </c>
      <c r="Q26" s="14" t="n">
        <f aca="false">IF(A26="","",IFERROR(INDEX(Classes!$C$5:$C$23,MATCH(A26,Classes!$A$5:$A$23,0)),""))</f>
        <v>60</v>
      </c>
      <c r="R26" s="15" t="str">
        <f aca="false">IF(A26="","",IF(TRIM(IF(AND(N(Q26)&gt;0,N(P26)&gt;N(Q26)),"Over by "&amp;(P26-Q26)&amp;" min. ","")&amp;IF(AND(COUNTIF(V26:AA26,"*A*")&gt;0,AB26&lt;&gt;"Yes"),"Age check. ","")&amp;IF(COUNTIF(V26:AA26,"*C*")&gt;0,"Contact check. ","")&amp;IF(COUNTIF(V26:AA26,"~?")&gt;0,"Drill not in library. ",""))="","OK"&amp;IF(AND(COUNTIF(V26:AA26,"*A*")&gt;0,AB26="Yes")," · split by age","")&amp;IF(N(Q26)&gt;N(P26)," ("&amp;(Q26-P26)&amp;" min spare)",""),TRIM(IF(AND(N(Q26)&gt;0,N(P26)&gt;N(Q26)),"Over by "&amp;(P26-Q26)&amp;" min. ","")&amp;IF(AND(COUNTIF(V26:AA26,"*A*")&gt;0,AB26&lt;&gt;"Yes"),"Age check. ","")&amp;IF(COUNTIF(V26:AA26,"*C*")&gt;0,"Contact check. ","")&amp;IF(COUNTIF(V26:AA26,"~?")&gt;0,"Drill not in library. ",""))&amp;IF(AND(COUNTIF(V26:AA26,"*A*")&gt;0,AB26="Yes")," · split by age","")))</f>
        <v>OK (7 min spare)</v>
      </c>
      <c r="S26" s="11"/>
      <c r="T26" s="13" t="n">
        <f aca="false">IF(A26="","",IFERROR(INDEX(Classes!$E$5:$E$23,MATCH(A26,Classes!$A$5:$A$23,0)),""))</f>
        <v>15</v>
      </c>
      <c r="U26" s="13" t="str">
        <f aca="false">IF(A26="","",IFERROR(INDEX(Classes!$F$5:$F$23,MATCH(A26,Classes!$A$5:$A$23,0)),""))</f>
        <v>None;Pads/bag;Light touch (body)</v>
      </c>
      <c r="V26" s="13" t="str">
        <f aca="false">IF(OR(D26="",$A26=""),"",IF(ISNA(MATCH(D26,Drills!$A$5:$A$127,0)),"?",IF(N(INDEX(Drills!$K$5:$K$127,MATCH(D26,Drills!$A$5:$A$127,0)))&gt;N($T26),"A","")&amp;IF(ISNUMBER(SEARCH(INDEX(Drills!$E$5:$E$127,MATCH(D26,Drills!$A$5:$A$127,0)),$U26)),"","C")))</f>
        <v/>
      </c>
      <c r="W26" s="13" t="str">
        <f aca="false">IF(OR(F26="",$A26=""),"",IF(ISNA(MATCH(F26,Drills!$A$5:$A$127,0)),"?",IF(N(INDEX(Drills!$K$5:$K$127,MATCH(F26,Drills!$A$5:$A$127,0)))&gt;N($T26),"A","")&amp;IF(ISNUMBER(SEARCH(INDEX(Drills!$E$5:$E$127,MATCH(F26,Drills!$A$5:$A$127,0)),$U26)),"","C")))</f>
        <v/>
      </c>
      <c r="X26" s="13" t="str">
        <f aca="false">IF(OR(H26="",$A26=""),"",IF(ISNA(MATCH(H26,Drills!$A$5:$A$127,0)),"?",IF(N(INDEX(Drills!$K$5:$K$127,MATCH(H26,Drills!$A$5:$A$127,0)))&gt;N($T26),"A","")&amp;IF(ISNUMBER(SEARCH(INDEX(Drills!$E$5:$E$127,MATCH(H26,Drills!$A$5:$A$127,0)),$U26)),"","C")))</f>
        <v/>
      </c>
      <c r="Y26" s="13" t="str">
        <f aca="false">IF(OR(J26="",$A26=""),"",IF(ISNA(MATCH(J26,Drills!$A$5:$A$127,0)),"?",IF(N(INDEX(Drills!$K$5:$K$127,MATCH(J26,Drills!$A$5:$A$127,0)))&gt;N($T26),"A","")&amp;IF(ISNUMBER(SEARCH(INDEX(Drills!$E$5:$E$127,MATCH(J26,Drills!$A$5:$A$127,0)),$U26)),"","C")))</f>
        <v/>
      </c>
      <c r="Z26" s="13" t="str">
        <f aca="false">IF(OR(L26="",$A26=""),"",IF(ISNA(MATCH(L26,Drills!$A$5:$A$127,0)),"?",IF(N(INDEX(Drills!$K$5:$K$127,MATCH(L26,Drills!$A$5:$A$127,0)))&gt;N($T26),"A","")&amp;IF(ISNUMBER(SEARCH(INDEX(Drills!$E$5:$E$127,MATCH(L26,Drills!$A$5:$A$127,0)),$U26)),"","C")))</f>
        <v/>
      </c>
      <c r="AA26" s="13" t="str">
        <f aca="false">IF(OR(N26="",$A26=""),"",IF(ISNA(MATCH(N26,Drills!$A$5:$A$127,0)),"?",IF(N(INDEX(Drills!$K$5:$K$127,MATCH(N26,Drills!$A$5:$A$127,0)))&gt;N($T26),"A","")&amp;IF(ISNUMBER(SEARCH(INDEX(Drills!$E$5:$E$127,MATCH(N26,Drills!$A$5:$A$127,0)),$U26)),"","C")))</f>
        <v/>
      </c>
      <c r="AB26" s="13" t="str">
        <f aca="false">IF(A26="","",IFERROR(INDEX(Classes!$I$5:$I$23,MATCH(A26,Classes!$A$5:$A$23,0)),""))</f>
        <v>No</v>
      </c>
    </row>
    <row r="27" customFormat="false" ht="43.5" hidden="false" customHeight="true" outlineLevel="0" collapsed="false">
      <c r="A27" s="11" t="s">
        <v>76</v>
      </c>
      <c r="B27" s="11" t="n">
        <v>3</v>
      </c>
      <c r="C27" s="11" t="s">
        <v>155</v>
      </c>
      <c r="D27" s="11" t="s">
        <v>160</v>
      </c>
      <c r="E27" s="12" t="n">
        <v>6</v>
      </c>
      <c r="F27" s="11" t="s">
        <v>172</v>
      </c>
      <c r="G27" s="12" t="n">
        <v>8</v>
      </c>
      <c r="H27" s="11" t="s">
        <v>170</v>
      </c>
      <c r="I27" s="12" t="n">
        <v>10</v>
      </c>
      <c r="J27" s="11" t="s">
        <v>136</v>
      </c>
      <c r="K27" s="12" t="n">
        <v>6</v>
      </c>
      <c r="L27" s="11" t="s">
        <v>130</v>
      </c>
      <c r="M27" s="12" t="n">
        <v>12</v>
      </c>
      <c r="N27" s="11" t="s">
        <v>125</v>
      </c>
      <c r="O27" s="12" t="n">
        <v>5</v>
      </c>
      <c r="P27" s="14" t="n">
        <f aca="false">IF(A27="","",SUM(E27,G27,I27,K27,M27,O27))</f>
        <v>47</v>
      </c>
      <c r="Q27" s="14" t="n">
        <f aca="false">IF(A27="","",IFERROR(INDEX(Classes!$C$5:$C$23,MATCH(A27,Classes!$A$5:$A$23,0)),""))</f>
        <v>60</v>
      </c>
      <c r="R27" s="15" t="str">
        <f aca="false">IF(A27="","",IF(TRIM(IF(AND(N(Q27)&gt;0,N(P27)&gt;N(Q27)),"Over by "&amp;(P27-Q27)&amp;" min. ","")&amp;IF(AND(COUNTIF(V27:AA27,"*A*")&gt;0,AB27&lt;&gt;"Yes"),"Age check. ","")&amp;IF(COUNTIF(V27:AA27,"*C*")&gt;0,"Contact check. ","")&amp;IF(COUNTIF(V27:AA27,"~?")&gt;0,"Drill not in library. ",""))="","OK"&amp;IF(AND(COUNTIF(V27:AA27,"*A*")&gt;0,AB27="Yes")," · split by age","")&amp;IF(N(Q27)&gt;N(P27)," ("&amp;(Q27-P27)&amp;" min spare)",""),TRIM(IF(AND(N(Q27)&gt;0,N(P27)&gt;N(Q27)),"Over by "&amp;(P27-Q27)&amp;" min. ","")&amp;IF(AND(COUNTIF(V27:AA27,"*A*")&gt;0,AB27&lt;&gt;"Yes"),"Age check. ","")&amp;IF(COUNTIF(V27:AA27,"*C*")&gt;0,"Contact check. ","")&amp;IF(COUNTIF(V27:AA27,"~?")&gt;0,"Drill not in library. ",""))&amp;IF(AND(COUNTIF(V27:AA27,"*A*")&gt;0,AB27="Yes")," · split by age","")))</f>
        <v>OK (13 min spare)</v>
      </c>
      <c r="S27" s="11"/>
      <c r="T27" s="13" t="n">
        <f aca="false">IF(A27="","",IFERROR(INDEX(Classes!$E$5:$E$23,MATCH(A27,Classes!$A$5:$A$23,0)),""))</f>
        <v>15</v>
      </c>
      <c r="U27" s="13" t="str">
        <f aca="false">IF(A27="","",IFERROR(INDEX(Classes!$F$5:$F$23,MATCH(A27,Classes!$A$5:$A$23,0)),""))</f>
        <v>None;Pads/bag;Light touch (body)</v>
      </c>
      <c r="V27" s="13" t="str">
        <f aca="false">IF(OR(D27="",$A27=""),"",IF(ISNA(MATCH(D27,Drills!$A$5:$A$127,0)),"?",IF(N(INDEX(Drills!$K$5:$K$127,MATCH(D27,Drills!$A$5:$A$127,0)))&gt;N($T27),"A","")&amp;IF(ISNUMBER(SEARCH(INDEX(Drills!$E$5:$E$127,MATCH(D27,Drills!$A$5:$A$127,0)),$U27)),"","C")))</f>
        <v/>
      </c>
      <c r="W27" s="13" t="str">
        <f aca="false">IF(OR(F27="",$A27=""),"",IF(ISNA(MATCH(F27,Drills!$A$5:$A$127,0)),"?",IF(N(INDEX(Drills!$K$5:$K$127,MATCH(F27,Drills!$A$5:$A$127,0)))&gt;N($T27),"A","")&amp;IF(ISNUMBER(SEARCH(INDEX(Drills!$E$5:$E$127,MATCH(F27,Drills!$A$5:$A$127,0)),$U27)),"","C")))</f>
        <v/>
      </c>
      <c r="X27" s="13" t="str">
        <f aca="false">IF(OR(H27="",$A27=""),"",IF(ISNA(MATCH(H27,Drills!$A$5:$A$127,0)),"?",IF(N(INDEX(Drills!$K$5:$K$127,MATCH(H27,Drills!$A$5:$A$127,0)))&gt;N($T27),"A","")&amp;IF(ISNUMBER(SEARCH(INDEX(Drills!$E$5:$E$127,MATCH(H27,Drills!$A$5:$A$127,0)),$U27)),"","C")))</f>
        <v/>
      </c>
      <c r="Y27" s="13" t="str">
        <f aca="false">IF(OR(J27="",$A27=""),"",IF(ISNA(MATCH(J27,Drills!$A$5:$A$127,0)),"?",IF(N(INDEX(Drills!$K$5:$K$127,MATCH(J27,Drills!$A$5:$A$127,0)))&gt;N($T27),"A","")&amp;IF(ISNUMBER(SEARCH(INDEX(Drills!$E$5:$E$127,MATCH(J27,Drills!$A$5:$A$127,0)),$U27)),"","C")))</f>
        <v/>
      </c>
      <c r="Z27" s="13" t="str">
        <f aca="false">IF(OR(L27="",$A27=""),"",IF(ISNA(MATCH(L27,Drills!$A$5:$A$127,0)),"?",IF(N(INDEX(Drills!$K$5:$K$127,MATCH(L27,Drills!$A$5:$A$127,0)))&gt;N($T27),"A","")&amp;IF(ISNUMBER(SEARCH(INDEX(Drills!$E$5:$E$127,MATCH(L27,Drills!$A$5:$A$127,0)),$U27)),"","C")))</f>
        <v/>
      </c>
      <c r="AA27" s="13" t="str">
        <f aca="false">IF(OR(N27="",$A27=""),"",IF(ISNA(MATCH(N27,Drills!$A$5:$A$127,0)),"?",IF(N(INDEX(Drills!$K$5:$K$127,MATCH(N27,Drills!$A$5:$A$127,0)))&gt;N($T27),"A","")&amp;IF(ISNUMBER(SEARCH(INDEX(Drills!$E$5:$E$127,MATCH(N27,Drills!$A$5:$A$127,0)),$U27)),"","C")))</f>
        <v/>
      </c>
      <c r="AB27" s="13" t="str">
        <f aca="false">IF(A27="","",IFERROR(INDEX(Classes!$I$5:$I$23,MATCH(A27,Classes!$A$5:$A$23,0)),""))</f>
        <v>No</v>
      </c>
    </row>
    <row r="28" customFormat="false" ht="43.5" hidden="false" customHeight="true" outlineLevel="0" collapsed="false">
      <c r="A28" s="11" t="s">
        <v>76</v>
      </c>
      <c r="B28" s="11" t="n">
        <v>4</v>
      </c>
      <c r="C28" s="11" t="s">
        <v>173</v>
      </c>
      <c r="D28" s="11" t="s">
        <v>133</v>
      </c>
      <c r="E28" s="12" t="n">
        <v>6</v>
      </c>
      <c r="F28" s="11" t="s">
        <v>167</v>
      </c>
      <c r="G28" s="12" t="n">
        <v>8</v>
      </c>
      <c r="H28" s="11" t="s">
        <v>168</v>
      </c>
      <c r="I28" s="12" t="n">
        <v>8</v>
      </c>
      <c r="J28" s="11" t="s">
        <v>162</v>
      </c>
      <c r="K28" s="12" t="n">
        <v>14</v>
      </c>
      <c r="L28" s="11" t="s">
        <v>156</v>
      </c>
      <c r="M28" s="12" t="n">
        <v>8</v>
      </c>
      <c r="N28" s="11" t="s">
        <v>125</v>
      </c>
      <c r="O28" s="12" t="n">
        <v>5</v>
      </c>
      <c r="P28" s="14" t="n">
        <f aca="false">IF(A28="","",SUM(E28,G28,I28,K28,M28,O28))</f>
        <v>49</v>
      </c>
      <c r="Q28" s="14" t="n">
        <f aca="false">IF(A28="","",IFERROR(INDEX(Classes!$C$5:$C$23,MATCH(A28,Classes!$A$5:$A$23,0)),""))</f>
        <v>60</v>
      </c>
      <c r="R28" s="15" t="str">
        <f aca="false">IF(A28="","",IF(TRIM(IF(AND(N(Q28)&gt;0,N(P28)&gt;N(Q28)),"Over by "&amp;(P28-Q28)&amp;" min. ","")&amp;IF(AND(COUNTIF(V28:AA28,"*A*")&gt;0,AB28&lt;&gt;"Yes"),"Age check. ","")&amp;IF(COUNTIF(V28:AA28,"*C*")&gt;0,"Contact check. ","")&amp;IF(COUNTIF(V28:AA28,"~?")&gt;0,"Drill not in library. ",""))="","OK"&amp;IF(AND(COUNTIF(V28:AA28,"*A*")&gt;0,AB28="Yes")," · split by age","")&amp;IF(N(Q28)&gt;N(P28)," ("&amp;(Q28-P28)&amp;" min spare)",""),TRIM(IF(AND(N(Q28)&gt;0,N(P28)&gt;N(Q28)),"Over by "&amp;(P28-Q28)&amp;" min. ","")&amp;IF(AND(COUNTIF(V28:AA28,"*A*")&gt;0,AB28&lt;&gt;"Yes"),"Age check. ","")&amp;IF(COUNTIF(V28:AA28,"*C*")&gt;0,"Contact check. ","")&amp;IF(COUNTIF(V28:AA28,"~?")&gt;0,"Drill not in library. ",""))&amp;IF(AND(COUNTIF(V28:AA28,"*A*")&gt;0,AB28="Yes")," · split by age","")))</f>
        <v>OK (11 min spare)</v>
      </c>
      <c r="S28" s="11"/>
      <c r="T28" s="13" t="n">
        <f aca="false">IF(A28="","",IFERROR(INDEX(Classes!$E$5:$E$23,MATCH(A28,Classes!$A$5:$A$23,0)),""))</f>
        <v>15</v>
      </c>
      <c r="U28" s="13" t="str">
        <f aca="false">IF(A28="","",IFERROR(INDEX(Classes!$F$5:$F$23,MATCH(A28,Classes!$A$5:$A$23,0)),""))</f>
        <v>None;Pads/bag;Light touch (body)</v>
      </c>
      <c r="V28" s="13" t="str">
        <f aca="false">IF(OR(D28="",$A28=""),"",IF(ISNA(MATCH(D28,Drills!$A$5:$A$127,0)),"?",IF(N(INDEX(Drills!$K$5:$K$127,MATCH(D28,Drills!$A$5:$A$127,0)))&gt;N($T28),"A","")&amp;IF(ISNUMBER(SEARCH(INDEX(Drills!$E$5:$E$127,MATCH(D28,Drills!$A$5:$A$127,0)),$U28)),"","C")))</f>
        <v/>
      </c>
      <c r="W28" s="13" t="str">
        <f aca="false">IF(OR(F28="",$A28=""),"",IF(ISNA(MATCH(F28,Drills!$A$5:$A$127,0)),"?",IF(N(INDEX(Drills!$K$5:$K$127,MATCH(F28,Drills!$A$5:$A$127,0)))&gt;N($T28),"A","")&amp;IF(ISNUMBER(SEARCH(INDEX(Drills!$E$5:$E$127,MATCH(F28,Drills!$A$5:$A$127,0)),$U28)),"","C")))</f>
        <v/>
      </c>
      <c r="X28" s="13" t="str">
        <f aca="false">IF(OR(H28="",$A28=""),"",IF(ISNA(MATCH(H28,Drills!$A$5:$A$127,0)),"?",IF(N(INDEX(Drills!$K$5:$K$127,MATCH(H28,Drills!$A$5:$A$127,0)))&gt;N($T28),"A","")&amp;IF(ISNUMBER(SEARCH(INDEX(Drills!$E$5:$E$127,MATCH(H28,Drills!$A$5:$A$127,0)),$U28)),"","C")))</f>
        <v/>
      </c>
      <c r="Y28" s="13" t="str">
        <f aca="false">IF(OR(J28="",$A28=""),"",IF(ISNA(MATCH(J28,Drills!$A$5:$A$127,0)),"?",IF(N(INDEX(Drills!$K$5:$K$127,MATCH(J28,Drills!$A$5:$A$127,0)))&gt;N($T28),"A","")&amp;IF(ISNUMBER(SEARCH(INDEX(Drills!$E$5:$E$127,MATCH(J28,Drills!$A$5:$A$127,0)),$U28)),"","C")))</f>
        <v/>
      </c>
      <c r="Z28" s="13" t="str">
        <f aca="false">IF(OR(L28="",$A28=""),"",IF(ISNA(MATCH(L28,Drills!$A$5:$A$127,0)),"?",IF(N(INDEX(Drills!$K$5:$K$127,MATCH(L28,Drills!$A$5:$A$127,0)))&gt;N($T28),"A","")&amp;IF(ISNUMBER(SEARCH(INDEX(Drills!$E$5:$E$127,MATCH(L28,Drills!$A$5:$A$127,0)),$U28)),"","C")))</f>
        <v/>
      </c>
      <c r="AA28" s="13" t="str">
        <f aca="false">IF(OR(N28="",$A28=""),"",IF(ISNA(MATCH(N28,Drills!$A$5:$A$127,0)),"?",IF(N(INDEX(Drills!$K$5:$K$127,MATCH(N28,Drills!$A$5:$A$127,0)))&gt;N($T28),"A","")&amp;IF(ISNUMBER(SEARCH(INDEX(Drills!$E$5:$E$127,MATCH(N28,Drills!$A$5:$A$127,0)),$U28)),"","C")))</f>
        <v/>
      </c>
      <c r="AB28" s="13" t="str">
        <f aca="false">IF(A28="","",IFERROR(INDEX(Classes!$I$5:$I$23,MATCH(A28,Classes!$A$5:$A$23,0)),""))</f>
        <v>No</v>
      </c>
    </row>
    <row r="29" customFormat="false" ht="43.5" hidden="false" customHeight="true" outlineLevel="0" collapsed="false">
      <c r="A29" s="11" t="s">
        <v>80</v>
      </c>
      <c r="B29" s="11" t="n">
        <v>1</v>
      </c>
      <c r="C29" s="11" t="s">
        <v>174</v>
      </c>
      <c r="D29" s="11" t="s">
        <v>138</v>
      </c>
      <c r="E29" s="12" t="n">
        <v>10</v>
      </c>
      <c r="F29" s="11" t="s">
        <v>175</v>
      </c>
      <c r="G29" s="12" t="n">
        <v>5</v>
      </c>
      <c r="H29" s="11" t="s">
        <v>176</v>
      </c>
      <c r="I29" s="12" t="n">
        <v>20</v>
      </c>
      <c r="J29" s="11" t="s">
        <v>177</v>
      </c>
      <c r="K29" s="12" t="n">
        <v>20</v>
      </c>
      <c r="L29" s="11" t="s">
        <v>178</v>
      </c>
      <c r="M29" s="12" t="n">
        <v>30</v>
      </c>
      <c r="N29" s="11" t="s">
        <v>125</v>
      </c>
      <c r="O29" s="12" t="n">
        <v>10</v>
      </c>
      <c r="P29" s="14" t="n">
        <f aca="false">IF(A29="","",SUM(E29,G29,I29,K29,M29,O29))</f>
        <v>95</v>
      </c>
      <c r="Q29" s="14" t="n">
        <f aca="false">IF(A29="","",IFERROR(INDEX(Classes!$C$5:$C$23,MATCH(A29,Classes!$A$5:$A$23,0)),""))</f>
        <v>120</v>
      </c>
      <c r="R29" s="15" t="str">
        <f aca="false">IF(A29="","",IF(TRIM(IF(AND(N(Q29)&gt;0,N(P29)&gt;N(Q29)),"Over by "&amp;(P29-Q29)&amp;" min. ","")&amp;IF(AND(COUNTIF(V29:AA29,"*A*")&gt;0,AB29&lt;&gt;"Yes"),"Age check. ","")&amp;IF(COUNTIF(V29:AA29,"*C*")&gt;0,"Contact check. ","")&amp;IF(COUNTIF(V29:AA29,"~?")&gt;0,"Drill not in library. ",""))="","OK"&amp;IF(AND(COUNTIF(V29:AA29,"*A*")&gt;0,AB29="Yes")," · split by age","")&amp;IF(N(Q29)&gt;N(P29)," ("&amp;(Q29-P29)&amp;" min spare)",""),TRIM(IF(AND(N(Q29)&gt;0,N(P29)&gt;N(Q29)),"Over by "&amp;(P29-Q29)&amp;" min. ","")&amp;IF(AND(COUNTIF(V29:AA29,"*A*")&gt;0,AB29&lt;&gt;"Yes"),"Age check. ","")&amp;IF(COUNTIF(V29:AA29,"*C*")&gt;0,"Contact check. ","")&amp;IF(COUNTIF(V29:AA29,"~?")&gt;0,"Drill not in library. ",""))&amp;IF(AND(COUNTIF(V29:AA29,"*A*")&gt;0,AB29="Yes")," · split by age","")))</f>
        <v>OK (25 min spare)</v>
      </c>
      <c r="S29" s="11"/>
      <c r="T29" s="13" t="n">
        <f aca="false">IF(A29="","",IFERROR(INDEX(Classes!$E$5:$E$23,MATCH(A29,Classes!$A$5:$A$23,0)),""))</f>
        <v>12</v>
      </c>
      <c r="U29" s="13" t="str">
        <f aca="false">IF(A29="","",IFERROR(INDEX(Classes!$F$5:$F$23,MATCH(A29,Classes!$A$5:$A$23,0)),""))</f>
        <v>None;Partner drilling;Live grappling</v>
      </c>
      <c r="V29" s="13" t="str">
        <f aca="false">IF(OR(D29="",$A29=""),"",IF(ISNA(MATCH(D29,Drills!$A$5:$A$127,0)),"?",IF(N(INDEX(Drills!$K$5:$K$127,MATCH(D29,Drills!$A$5:$A$127,0)))&gt;N($T29),"A","")&amp;IF(ISNUMBER(SEARCH(INDEX(Drills!$E$5:$E$127,MATCH(D29,Drills!$A$5:$A$127,0)),$U29)),"","C")))</f>
        <v/>
      </c>
      <c r="W29" s="13" t="str">
        <f aca="false">IF(OR(F29="",$A29=""),"",IF(ISNA(MATCH(F29,Drills!$A$5:$A$127,0)),"?",IF(N(INDEX(Drills!$K$5:$K$127,MATCH(F29,Drills!$A$5:$A$127,0)))&gt;N($T29),"A","")&amp;IF(ISNUMBER(SEARCH(INDEX(Drills!$E$5:$E$127,MATCH(F29,Drills!$A$5:$A$127,0)),$U29)),"","C")))</f>
        <v/>
      </c>
      <c r="X29" s="13" t="str">
        <f aca="false">IF(OR(H29="",$A29=""),"",IF(ISNA(MATCH(H29,Drills!$A$5:$A$127,0)),"?",IF(N(INDEX(Drills!$K$5:$K$127,MATCH(H29,Drills!$A$5:$A$127,0)))&gt;N($T29),"A","")&amp;IF(ISNUMBER(SEARCH(INDEX(Drills!$E$5:$E$127,MATCH(H29,Drills!$A$5:$A$127,0)),$U29)),"","C")))</f>
        <v/>
      </c>
      <c r="Y29" s="13" t="str">
        <f aca="false">IF(OR(J29="",$A29=""),"",IF(ISNA(MATCH(J29,Drills!$A$5:$A$127,0)),"?",IF(N(INDEX(Drills!$K$5:$K$127,MATCH(J29,Drills!$A$5:$A$127,0)))&gt;N($T29),"A","")&amp;IF(ISNUMBER(SEARCH(INDEX(Drills!$E$5:$E$127,MATCH(J29,Drills!$A$5:$A$127,0)),$U29)),"","C")))</f>
        <v/>
      </c>
      <c r="Z29" s="13" t="str">
        <f aca="false">IF(OR(L29="",$A29=""),"",IF(ISNA(MATCH(L29,Drills!$A$5:$A$127,0)),"?",IF(N(INDEX(Drills!$K$5:$K$127,MATCH(L29,Drills!$A$5:$A$127,0)))&gt;N($T29),"A","")&amp;IF(ISNUMBER(SEARCH(INDEX(Drills!$E$5:$E$127,MATCH(L29,Drills!$A$5:$A$127,0)),$U29)),"","C")))</f>
        <v/>
      </c>
      <c r="AA29" s="13" t="str">
        <f aca="false">IF(OR(N29="",$A29=""),"",IF(ISNA(MATCH(N29,Drills!$A$5:$A$127,0)),"?",IF(N(INDEX(Drills!$K$5:$K$127,MATCH(N29,Drills!$A$5:$A$127,0)))&gt;N($T29),"A","")&amp;IF(ISNUMBER(SEARCH(INDEX(Drills!$E$5:$E$127,MATCH(N29,Drills!$A$5:$A$127,0)),$U29)),"","C")))</f>
        <v/>
      </c>
      <c r="AB29" s="13" t="str">
        <f aca="false">IF(A29="","",IFERROR(INDEX(Classes!$I$5:$I$23,MATCH(A29,Classes!$A$5:$A$23,0)),""))</f>
        <v>No</v>
      </c>
    </row>
    <row r="30" customFormat="false" ht="43.5" hidden="false" customHeight="true" outlineLevel="0" collapsed="false">
      <c r="A30" s="11" t="s">
        <v>80</v>
      </c>
      <c r="B30" s="11" t="n">
        <v>2</v>
      </c>
      <c r="C30" s="11" t="s">
        <v>179</v>
      </c>
      <c r="D30" s="11" t="s">
        <v>138</v>
      </c>
      <c r="E30" s="12" t="n">
        <v>10</v>
      </c>
      <c r="F30" s="11" t="s">
        <v>180</v>
      </c>
      <c r="G30" s="12" t="n">
        <v>5</v>
      </c>
      <c r="H30" s="11" t="s">
        <v>181</v>
      </c>
      <c r="I30" s="12" t="n">
        <v>20</v>
      </c>
      <c r="J30" s="11" t="s">
        <v>182</v>
      </c>
      <c r="K30" s="12" t="n">
        <v>20</v>
      </c>
      <c r="L30" s="11" t="s">
        <v>178</v>
      </c>
      <c r="M30" s="12" t="n">
        <v>30</v>
      </c>
      <c r="N30" s="11" t="s">
        <v>125</v>
      </c>
      <c r="O30" s="12" t="n">
        <v>10</v>
      </c>
      <c r="P30" s="14" t="n">
        <f aca="false">IF(A30="","",SUM(E30,G30,I30,K30,M30,O30))</f>
        <v>95</v>
      </c>
      <c r="Q30" s="14" t="n">
        <f aca="false">IF(A30="","",IFERROR(INDEX(Classes!$C$5:$C$23,MATCH(A30,Classes!$A$5:$A$23,0)),""))</f>
        <v>120</v>
      </c>
      <c r="R30" s="15" t="str">
        <f aca="false">IF(A30="","",IF(TRIM(IF(AND(N(Q30)&gt;0,N(P30)&gt;N(Q30)),"Over by "&amp;(P30-Q30)&amp;" min. ","")&amp;IF(AND(COUNTIF(V30:AA30,"*A*")&gt;0,AB30&lt;&gt;"Yes"),"Age check. ","")&amp;IF(COUNTIF(V30:AA30,"*C*")&gt;0,"Contact check. ","")&amp;IF(COUNTIF(V30:AA30,"~?")&gt;0,"Drill not in library. ",""))="","OK"&amp;IF(AND(COUNTIF(V30:AA30,"*A*")&gt;0,AB30="Yes")," · split by age","")&amp;IF(N(Q30)&gt;N(P30)," ("&amp;(Q30-P30)&amp;" min spare)",""),TRIM(IF(AND(N(Q30)&gt;0,N(P30)&gt;N(Q30)),"Over by "&amp;(P30-Q30)&amp;" min. ","")&amp;IF(AND(COUNTIF(V30:AA30,"*A*")&gt;0,AB30&lt;&gt;"Yes"),"Age check. ","")&amp;IF(COUNTIF(V30:AA30,"*C*")&gt;0,"Contact check. ","")&amp;IF(COUNTIF(V30:AA30,"~?")&gt;0,"Drill not in library. ",""))&amp;IF(AND(COUNTIF(V30:AA30,"*A*")&gt;0,AB30="Yes")," · split by age","")))</f>
        <v>OK (25 min spare)</v>
      </c>
      <c r="S30" s="11"/>
      <c r="T30" s="13" t="n">
        <f aca="false">IF(A30="","",IFERROR(INDEX(Classes!$E$5:$E$23,MATCH(A30,Classes!$A$5:$A$23,0)),""))</f>
        <v>12</v>
      </c>
      <c r="U30" s="13" t="str">
        <f aca="false">IF(A30="","",IFERROR(INDEX(Classes!$F$5:$F$23,MATCH(A30,Classes!$A$5:$A$23,0)),""))</f>
        <v>None;Partner drilling;Live grappling</v>
      </c>
      <c r="V30" s="13" t="str">
        <f aca="false">IF(OR(D30="",$A30=""),"",IF(ISNA(MATCH(D30,Drills!$A$5:$A$127,0)),"?",IF(N(INDEX(Drills!$K$5:$K$127,MATCH(D30,Drills!$A$5:$A$127,0)))&gt;N($T30),"A","")&amp;IF(ISNUMBER(SEARCH(INDEX(Drills!$E$5:$E$127,MATCH(D30,Drills!$A$5:$A$127,0)),$U30)),"","C")))</f>
        <v/>
      </c>
      <c r="W30" s="13" t="str">
        <f aca="false">IF(OR(F30="",$A30=""),"",IF(ISNA(MATCH(F30,Drills!$A$5:$A$127,0)),"?",IF(N(INDEX(Drills!$K$5:$K$127,MATCH(F30,Drills!$A$5:$A$127,0)))&gt;N($T30),"A","")&amp;IF(ISNUMBER(SEARCH(INDEX(Drills!$E$5:$E$127,MATCH(F30,Drills!$A$5:$A$127,0)),$U30)),"","C")))</f>
        <v/>
      </c>
      <c r="X30" s="13" t="str">
        <f aca="false">IF(OR(H30="",$A30=""),"",IF(ISNA(MATCH(H30,Drills!$A$5:$A$127,0)),"?",IF(N(INDEX(Drills!$K$5:$K$127,MATCH(H30,Drills!$A$5:$A$127,0)))&gt;N($T30),"A","")&amp;IF(ISNUMBER(SEARCH(INDEX(Drills!$E$5:$E$127,MATCH(H30,Drills!$A$5:$A$127,0)),$U30)),"","C")))</f>
        <v/>
      </c>
      <c r="Y30" s="13" t="str">
        <f aca="false">IF(OR(J30="",$A30=""),"",IF(ISNA(MATCH(J30,Drills!$A$5:$A$127,0)),"?",IF(N(INDEX(Drills!$K$5:$K$127,MATCH(J30,Drills!$A$5:$A$127,0)))&gt;N($T30),"A","")&amp;IF(ISNUMBER(SEARCH(INDEX(Drills!$E$5:$E$127,MATCH(J30,Drills!$A$5:$A$127,0)),$U30)),"","C")))</f>
        <v/>
      </c>
      <c r="Z30" s="13" t="str">
        <f aca="false">IF(OR(L30="",$A30=""),"",IF(ISNA(MATCH(L30,Drills!$A$5:$A$127,0)),"?",IF(N(INDEX(Drills!$K$5:$K$127,MATCH(L30,Drills!$A$5:$A$127,0)))&gt;N($T30),"A","")&amp;IF(ISNUMBER(SEARCH(INDEX(Drills!$E$5:$E$127,MATCH(L30,Drills!$A$5:$A$127,0)),$U30)),"","C")))</f>
        <v/>
      </c>
      <c r="AA30" s="13" t="str">
        <f aca="false">IF(OR(N30="",$A30=""),"",IF(ISNA(MATCH(N30,Drills!$A$5:$A$127,0)),"?",IF(N(INDEX(Drills!$K$5:$K$127,MATCH(N30,Drills!$A$5:$A$127,0)))&gt;N($T30),"A","")&amp;IF(ISNUMBER(SEARCH(INDEX(Drills!$E$5:$E$127,MATCH(N30,Drills!$A$5:$A$127,0)),$U30)),"","C")))</f>
        <v/>
      </c>
      <c r="AB30" s="13" t="str">
        <f aca="false">IF(A30="","",IFERROR(INDEX(Classes!$I$5:$I$23,MATCH(A30,Classes!$A$5:$A$23,0)),""))</f>
        <v>No</v>
      </c>
    </row>
    <row r="31" customFormat="false" ht="43.5" hidden="false" customHeight="true" outlineLevel="0" collapsed="false">
      <c r="A31" s="11" t="s">
        <v>80</v>
      </c>
      <c r="B31" s="11" t="n">
        <v>3</v>
      </c>
      <c r="C31" s="11" t="s">
        <v>183</v>
      </c>
      <c r="D31" s="11" t="s">
        <v>138</v>
      </c>
      <c r="E31" s="12" t="n">
        <v>10</v>
      </c>
      <c r="F31" s="11" t="s">
        <v>184</v>
      </c>
      <c r="G31" s="12" t="n">
        <v>5</v>
      </c>
      <c r="H31" s="11" t="s">
        <v>185</v>
      </c>
      <c r="I31" s="12" t="n">
        <v>20</v>
      </c>
      <c r="J31" s="11" t="s">
        <v>181</v>
      </c>
      <c r="K31" s="12" t="n">
        <v>15</v>
      </c>
      <c r="L31" s="11" t="s">
        <v>178</v>
      </c>
      <c r="M31" s="12" t="n">
        <v>35</v>
      </c>
      <c r="N31" s="11" t="s">
        <v>125</v>
      </c>
      <c r="O31" s="12" t="n">
        <v>10</v>
      </c>
      <c r="P31" s="14" t="n">
        <f aca="false">IF(A31="","",SUM(E31,G31,I31,K31,M31,O31))</f>
        <v>95</v>
      </c>
      <c r="Q31" s="14" t="n">
        <f aca="false">IF(A31="","",IFERROR(INDEX(Classes!$C$5:$C$23,MATCH(A31,Classes!$A$5:$A$23,0)),""))</f>
        <v>120</v>
      </c>
      <c r="R31" s="15" t="str">
        <f aca="false">IF(A31="","",IF(TRIM(IF(AND(N(Q31)&gt;0,N(P31)&gt;N(Q31)),"Over by "&amp;(P31-Q31)&amp;" min. ","")&amp;IF(AND(COUNTIF(V31:AA31,"*A*")&gt;0,AB31&lt;&gt;"Yes"),"Age check. ","")&amp;IF(COUNTIF(V31:AA31,"*C*")&gt;0,"Contact check. ","")&amp;IF(COUNTIF(V31:AA31,"~?")&gt;0,"Drill not in library. ",""))="","OK"&amp;IF(AND(COUNTIF(V31:AA31,"*A*")&gt;0,AB31="Yes")," · split by age","")&amp;IF(N(Q31)&gt;N(P31)," ("&amp;(Q31-P31)&amp;" min spare)",""),TRIM(IF(AND(N(Q31)&gt;0,N(P31)&gt;N(Q31)),"Over by "&amp;(P31-Q31)&amp;" min. ","")&amp;IF(AND(COUNTIF(V31:AA31,"*A*")&gt;0,AB31&lt;&gt;"Yes"),"Age check. ","")&amp;IF(COUNTIF(V31:AA31,"*C*")&gt;0,"Contact check. ","")&amp;IF(COUNTIF(V31:AA31,"~?")&gt;0,"Drill not in library. ",""))&amp;IF(AND(COUNTIF(V31:AA31,"*A*")&gt;0,AB31="Yes")," · split by age","")))</f>
        <v>OK (25 min spare)</v>
      </c>
      <c r="S31" s="11"/>
      <c r="T31" s="13" t="n">
        <f aca="false">IF(A31="","",IFERROR(INDEX(Classes!$E$5:$E$23,MATCH(A31,Classes!$A$5:$A$23,0)),""))</f>
        <v>12</v>
      </c>
      <c r="U31" s="13" t="str">
        <f aca="false">IF(A31="","",IFERROR(INDEX(Classes!$F$5:$F$23,MATCH(A31,Classes!$A$5:$A$23,0)),""))</f>
        <v>None;Partner drilling;Live grappling</v>
      </c>
      <c r="V31" s="13" t="str">
        <f aca="false">IF(OR(D31="",$A31=""),"",IF(ISNA(MATCH(D31,Drills!$A$5:$A$127,0)),"?",IF(N(INDEX(Drills!$K$5:$K$127,MATCH(D31,Drills!$A$5:$A$127,0)))&gt;N($T31),"A","")&amp;IF(ISNUMBER(SEARCH(INDEX(Drills!$E$5:$E$127,MATCH(D31,Drills!$A$5:$A$127,0)),$U31)),"","C")))</f>
        <v/>
      </c>
      <c r="W31" s="13" t="str">
        <f aca="false">IF(OR(F31="",$A31=""),"",IF(ISNA(MATCH(F31,Drills!$A$5:$A$127,0)),"?",IF(N(INDEX(Drills!$K$5:$K$127,MATCH(F31,Drills!$A$5:$A$127,0)))&gt;N($T31),"A","")&amp;IF(ISNUMBER(SEARCH(INDEX(Drills!$E$5:$E$127,MATCH(F31,Drills!$A$5:$A$127,0)),$U31)),"","C")))</f>
        <v/>
      </c>
      <c r="X31" s="13" t="str">
        <f aca="false">IF(OR(H31="",$A31=""),"",IF(ISNA(MATCH(H31,Drills!$A$5:$A$127,0)),"?",IF(N(INDEX(Drills!$K$5:$K$127,MATCH(H31,Drills!$A$5:$A$127,0)))&gt;N($T31),"A","")&amp;IF(ISNUMBER(SEARCH(INDEX(Drills!$E$5:$E$127,MATCH(H31,Drills!$A$5:$A$127,0)),$U31)),"","C")))</f>
        <v/>
      </c>
      <c r="Y31" s="13" t="str">
        <f aca="false">IF(OR(J31="",$A31=""),"",IF(ISNA(MATCH(J31,Drills!$A$5:$A$127,0)),"?",IF(N(INDEX(Drills!$K$5:$K$127,MATCH(J31,Drills!$A$5:$A$127,0)))&gt;N($T31),"A","")&amp;IF(ISNUMBER(SEARCH(INDEX(Drills!$E$5:$E$127,MATCH(J31,Drills!$A$5:$A$127,0)),$U31)),"","C")))</f>
        <v/>
      </c>
      <c r="Z31" s="13" t="str">
        <f aca="false">IF(OR(L31="",$A31=""),"",IF(ISNA(MATCH(L31,Drills!$A$5:$A$127,0)),"?",IF(N(INDEX(Drills!$K$5:$K$127,MATCH(L31,Drills!$A$5:$A$127,0)))&gt;N($T31),"A","")&amp;IF(ISNUMBER(SEARCH(INDEX(Drills!$E$5:$E$127,MATCH(L31,Drills!$A$5:$A$127,0)),$U31)),"","C")))</f>
        <v/>
      </c>
      <c r="AA31" s="13" t="str">
        <f aca="false">IF(OR(N31="",$A31=""),"",IF(ISNA(MATCH(N31,Drills!$A$5:$A$127,0)),"?",IF(N(INDEX(Drills!$K$5:$K$127,MATCH(N31,Drills!$A$5:$A$127,0)))&gt;N($T31),"A","")&amp;IF(ISNUMBER(SEARCH(INDEX(Drills!$E$5:$E$127,MATCH(N31,Drills!$A$5:$A$127,0)),$U31)),"","C")))</f>
        <v/>
      </c>
      <c r="AB31" s="13" t="str">
        <f aca="false">IF(A31="","",IFERROR(INDEX(Classes!$I$5:$I$23,MATCH(A31,Classes!$A$5:$A$23,0)),""))</f>
        <v>No</v>
      </c>
    </row>
    <row r="32" customFormat="false" ht="43.5" hidden="false" customHeight="true" outlineLevel="0" collapsed="false">
      <c r="A32" s="11" t="s">
        <v>80</v>
      </c>
      <c r="B32" s="11" t="n">
        <v>4</v>
      </c>
      <c r="C32" s="11" t="s">
        <v>186</v>
      </c>
      <c r="D32" s="11" t="s">
        <v>138</v>
      </c>
      <c r="E32" s="12" t="n">
        <v>10</v>
      </c>
      <c r="F32" s="11" t="s">
        <v>175</v>
      </c>
      <c r="G32" s="12" t="n">
        <v>5</v>
      </c>
      <c r="H32" s="11" t="s">
        <v>187</v>
      </c>
      <c r="I32" s="12" t="n">
        <v>20</v>
      </c>
      <c r="J32" s="11" t="s">
        <v>188</v>
      </c>
      <c r="K32" s="12" t="n">
        <v>20</v>
      </c>
      <c r="L32" s="11" t="s">
        <v>178</v>
      </c>
      <c r="M32" s="12" t="n">
        <v>30</v>
      </c>
      <c r="N32" s="11" t="s">
        <v>125</v>
      </c>
      <c r="O32" s="12" t="n">
        <v>10</v>
      </c>
      <c r="P32" s="14" t="n">
        <f aca="false">IF(A32="","",SUM(E32,G32,I32,K32,M32,O32))</f>
        <v>95</v>
      </c>
      <c r="Q32" s="14" t="n">
        <f aca="false">IF(A32="","",IFERROR(INDEX(Classes!$C$5:$C$23,MATCH(A32,Classes!$A$5:$A$23,0)),""))</f>
        <v>120</v>
      </c>
      <c r="R32" s="15" t="str">
        <f aca="false">IF(A32="","",IF(TRIM(IF(AND(N(Q32)&gt;0,N(P32)&gt;N(Q32)),"Over by "&amp;(P32-Q32)&amp;" min. ","")&amp;IF(AND(COUNTIF(V32:AA32,"*A*")&gt;0,AB32&lt;&gt;"Yes"),"Age check. ","")&amp;IF(COUNTIF(V32:AA32,"*C*")&gt;0,"Contact check. ","")&amp;IF(COUNTIF(V32:AA32,"~?")&gt;0,"Drill not in library. ",""))="","OK"&amp;IF(AND(COUNTIF(V32:AA32,"*A*")&gt;0,AB32="Yes")," · split by age","")&amp;IF(N(Q32)&gt;N(P32)," ("&amp;(Q32-P32)&amp;" min spare)",""),TRIM(IF(AND(N(Q32)&gt;0,N(P32)&gt;N(Q32)),"Over by "&amp;(P32-Q32)&amp;" min. ","")&amp;IF(AND(COUNTIF(V32:AA32,"*A*")&gt;0,AB32&lt;&gt;"Yes"),"Age check. ","")&amp;IF(COUNTIF(V32:AA32,"*C*")&gt;0,"Contact check. ","")&amp;IF(COUNTIF(V32:AA32,"~?")&gt;0,"Drill not in library. ",""))&amp;IF(AND(COUNTIF(V32:AA32,"*A*")&gt;0,AB32="Yes")," · split by age","")))</f>
        <v>OK (25 min spare)</v>
      </c>
      <c r="S32" s="11"/>
      <c r="T32" s="13" t="n">
        <f aca="false">IF(A32="","",IFERROR(INDEX(Classes!$E$5:$E$23,MATCH(A32,Classes!$A$5:$A$23,0)),""))</f>
        <v>12</v>
      </c>
      <c r="U32" s="13" t="str">
        <f aca="false">IF(A32="","",IFERROR(INDEX(Classes!$F$5:$F$23,MATCH(A32,Classes!$A$5:$A$23,0)),""))</f>
        <v>None;Partner drilling;Live grappling</v>
      </c>
      <c r="V32" s="13" t="str">
        <f aca="false">IF(OR(D32="",$A32=""),"",IF(ISNA(MATCH(D32,Drills!$A$5:$A$127,0)),"?",IF(N(INDEX(Drills!$K$5:$K$127,MATCH(D32,Drills!$A$5:$A$127,0)))&gt;N($T32),"A","")&amp;IF(ISNUMBER(SEARCH(INDEX(Drills!$E$5:$E$127,MATCH(D32,Drills!$A$5:$A$127,0)),$U32)),"","C")))</f>
        <v/>
      </c>
      <c r="W32" s="13" t="str">
        <f aca="false">IF(OR(F32="",$A32=""),"",IF(ISNA(MATCH(F32,Drills!$A$5:$A$127,0)),"?",IF(N(INDEX(Drills!$K$5:$K$127,MATCH(F32,Drills!$A$5:$A$127,0)))&gt;N($T32),"A","")&amp;IF(ISNUMBER(SEARCH(INDEX(Drills!$E$5:$E$127,MATCH(F32,Drills!$A$5:$A$127,0)),$U32)),"","C")))</f>
        <v/>
      </c>
      <c r="X32" s="13" t="str">
        <f aca="false">IF(OR(H32="",$A32=""),"",IF(ISNA(MATCH(H32,Drills!$A$5:$A$127,0)),"?",IF(N(INDEX(Drills!$K$5:$K$127,MATCH(H32,Drills!$A$5:$A$127,0)))&gt;N($T32),"A","")&amp;IF(ISNUMBER(SEARCH(INDEX(Drills!$E$5:$E$127,MATCH(H32,Drills!$A$5:$A$127,0)),$U32)),"","C")))</f>
        <v/>
      </c>
      <c r="Y32" s="13" t="str">
        <f aca="false">IF(OR(J32="",$A32=""),"",IF(ISNA(MATCH(J32,Drills!$A$5:$A$127,0)),"?",IF(N(INDEX(Drills!$K$5:$K$127,MATCH(J32,Drills!$A$5:$A$127,0)))&gt;N($T32),"A","")&amp;IF(ISNUMBER(SEARCH(INDEX(Drills!$E$5:$E$127,MATCH(J32,Drills!$A$5:$A$127,0)),$U32)),"","C")))</f>
        <v/>
      </c>
      <c r="Z32" s="13" t="str">
        <f aca="false">IF(OR(L32="",$A32=""),"",IF(ISNA(MATCH(L32,Drills!$A$5:$A$127,0)),"?",IF(N(INDEX(Drills!$K$5:$K$127,MATCH(L32,Drills!$A$5:$A$127,0)))&gt;N($T32),"A","")&amp;IF(ISNUMBER(SEARCH(INDEX(Drills!$E$5:$E$127,MATCH(L32,Drills!$A$5:$A$127,0)),$U32)),"","C")))</f>
        <v/>
      </c>
      <c r="AA32" s="13" t="str">
        <f aca="false">IF(OR(N32="",$A32=""),"",IF(ISNA(MATCH(N32,Drills!$A$5:$A$127,0)),"?",IF(N(INDEX(Drills!$K$5:$K$127,MATCH(N32,Drills!$A$5:$A$127,0)))&gt;N($T32),"A","")&amp;IF(ISNUMBER(SEARCH(INDEX(Drills!$E$5:$E$127,MATCH(N32,Drills!$A$5:$A$127,0)),$U32)),"","C")))</f>
        <v/>
      </c>
      <c r="AB32" s="13" t="str">
        <f aca="false">IF(A32="","",IFERROR(INDEX(Classes!$I$5:$I$23,MATCH(A32,Classes!$A$5:$A$23,0)),""))</f>
        <v>No</v>
      </c>
    </row>
    <row r="33" customFormat="false" ht="43.5" hidden="false" customHeight="true" outlineLevel="0" collapsed="false">
      <c r="A33" s="11" t="s">
        <v>84</v>
      </c>
      <c r="B33" s="11" t="n">
        <v>1</v>
      </c>
      <c r="C33" s="11" t="s">
        <v>189</v>
      </c>
      <c r="D33" s="11" t="s">
        <v>127</v>
      </c>
      <c r="E33" s="12" t="n">
        <v>10</v>
      </c>
      <c r="F33" s="11" t="s">
        <v>190</v>
      </c>
      <c r="G33" s="12" t="n">
        <v>6</v>
      </c>
      <c r="H33" s="11" t="s">
        <v>191</v>
      </c>
      <c r="I33" s="12" t="n">
        <v>10</v>
      </c>
      <c r="J33" s="11" t="s">
        <v>192</v>
      </c>
      <c r="K33" s="12" t="n">
        <v>8</v>
      </c>
      <c r="L33" s="11" t="s">
        <v>193</v>
      </c>
      <c r="M33" s="12" t="n">
        <v>12</v>
      </c>
      <c r="N33" s="11" t="s">
        <v>125</v>
      </c>
      <c r="O33" s="12" t="n">
        <v>5</v>
      </c>
      <c r="P33" s="14" t="n">
        <f aca="false">IF(A33="","",SUM(E33,G33,I33,K33,M33,O33))</f>
        <v>51</v>
      </c>
      <c r="Q33" s="14" t="n">
        <f aca="false">IF(A33="","",IFERROR(INDEX(Classes!$C$5:$C$23,MATCH(A33,Classes!$A$5:$A$23,0)),""))</f>
        <v>60</v>
      </c>
      <c r="R33" s="15" t="str">
        <f aca="false">IF(A33="","",IF(TRIM(IF(AND(N(Q33)&gt;0,N(P33)&gt;N(Q33)),"Over by "&amp;(P33-Q33)&amp;" min. ","")&amp;IF(AND(COUNTIF(V33:AA33,"*A*")&gt;0,AB33&lt;&gt;"Yes"),"Age check. ","")&amp;IF(COUNTIF(V33:AA33,"*C*")&gt;0,"Contact check. ","")&amp;IF(COUNTIF(V33:AA33,"~?")&gt;0,"Drill not in library. ",""))="","OK"&amp;IF(AND(COUNTIF(V33:AA33,"*A*")&gt;0,AB33="Yes")," · split by age","")&amp;IF(N(Q33)&gt;N(P33)," ("&amp;(Q33-P33)&amp;" min spare)",""),TRIM(IF(AND(N(Q33)&gt;0,N(P33)&gt;N(Q33)),"Over by "&amp;(P33-Q33)&amp;" min. ","")&amp;IF(AND(COUNTIF(V33:AA33,"*A*")&gt;0,AB33&lt;&gt;"Yes"),"Age check. ","")&amp;IF(COUNTIF(V33:AA33,"*C*")&gt;0,"Contact check. ","")&amp;IF(COUNTIF(V33:AA33,"~?")&gt;0,"Drill not in library. ",""))&amp;IF(AND(COUNTIF(V33:AA33,"*A*")&gt;0,AB33="Yes")," · split by age","")))</f>
        <v>OK (9 min spare)</v>
      </c>
      <c r="S33" s="11"/>
      <c r="T33" s="13" t="n">
        <f aca="false">IF(A33="","",IFERROR(INDEX(Classes!$E$5:$E$23,MATCH(A33,Classes!$A$5:$A$23,0)),""))</f>
        <v>12</v>
      </c>
      <c r="U33" s="13" t="str">
        <f aca="false">IF(A33="","",IFERROR(INDEX(Classes!$F$5:$F$23,MATCH(A33,Classes!$A$5:$A$23,0)),""))</f>
        <v>None;Pads/bag;Partner drilling;Live grappling;Light touch (body)</v>
      </c>
      <c r="V33" s="13" t="str">
        <f aca="false">IF(OR(D33="",$A33=""),"",IF(ISNA(MATCH(D33,Drills!$A$5:$A$127,0)),"?",IF(N(INDEX(Drills!$K$5:$K$127,MATCH(D33,Drills!$A$5:$A$127,0)))&gt;N($T33),"A","")&amp;IF(ISNUMBER(SEARCH(INDEX(Drills!$E$5:$E$127,MATCH(D33,Drills!$A$5:$A$127,0)),$U33)),"","C")))</f>
        <v/>
      </c>
      <c r="W33" s="13" t="str">
        <f aca="false">IF(OR(F33="",$A33=""),"",IF(ISNA(MATCH(F33,Drills!$A$5:$A$127,0)),"?",IF(N(INDEX(Drills!$K$5:$K$127,MATCH(F33,Drills!$A$5:$A$127,0)))&gt;N($T33),"A","")&amp;IF(ISNUMBER(SEARCH(INDEX(Drills!$E$5:$E$127,MATCH(F33,Drills!$A$5:$A$127,0)),$U33)),"","C")))</f>
        <v/>
      </c>
      <c r="X33" s="13" t="str">
        <f aca="false">IF(OR(H33="",$A33=""),"",IF(ISNA(MATCH(H33,Drills!$A$5:$A$127,0)),"?",IF(N(INDEX(Drills!$K$5:$K$127,MATCH(H33,Drills!$A$5:$A$127,0)))&gt;N($T33),"A","")&amp;IF(ISNUMBER(SEARCH(INDEX(Drills!$E$5:$E$127,MATCH(H33,Drills!$A$5:$A$127,0)),$U33)),"","C")))</f>
        <v/>
      </c>
      <c r="Y33" s="13" t="str">
        <f aca="false">IF(OR(J33="",$A33=""),"",IF(ISNA(MATCH(J33,Drills!$A$5:$A$127,0)),"?",IF(N(INDEX(Drills!$K$5:$K$127,MATCH(J33,Drills!$A$5:$A$127,0)))&gt;N($T33),"A","")&amp;IF(ISNUMBER(SEARCH(INDEX(Drills!$E$5:$E$127,MATCH(J33,Drills!$A$5:$A$127,0)),$U33)),"","C")))</f>
        <v/>
      </c>
      <c r="Z33" s="13" t="str">
        <f aca="false">IF(OR(L33="",$A33=""),"",IF(ISNA(MATCH(L33,Drills!$A$5:$A$127,0)),"?",IF(N(INDEX(Drills!$K$5:$K$127,MATCH(L33,Drills!$A$5:$A$127,0)))&gt;N($T33),"A","")&amp;IF(ISNUMBER(SEARCH(INDEX(Drills!$E$5:$E$127,MATCH(L33,Drills!$A$5:$A$127,0)),$U33)),"","C")))</f>
        <v/>
      </c>
      <c r="AA33" s="13" t="str">
        <f aca="false">IF(OR(N33="",$A33=""),"",IF(ISNA(MATCH(N33,Drills!$A$5:$A$127,0)),"?",IF(N(INDEX(Drills!$K$5:$K$127,MATCH(N33,Drills!$A$5:$A$127,0)))&gt;N($T33),"A","")&amp;IF(ISNUMBER(SEARCH(INDEX(Drills!$E$5:$E$127,MATCH(N33,Drills!$A$5:$A$127,0)),$U33)),"","C")))</f>
        <v/>
      </c>
      <c r="AB33" s="13" t="str">
        <f aca="false">IF(A33="","",IFERROR(INDEX(Classes!$I$5:$I$23,MATCH(A33,Classes!$A$5:$A$23,0)),""))</f>
        <v>No</v>
      </c>
    </row>
    <row r="34" customFormat="false" ht="43.5" hidden="false" customHeight="true" outlineLevel="0" collapsed="false">
      <c r="A34" s="11" t="s">
        <v>84</v>
      </c>
      <c r="B34" s="11" t="n">
        <v>2</v>
      </c>
      <c r="C34" s="11" t="s">
        <v>194</v>
      </c>
      <c r="D34" s="11" t="s">
        <v>138</v>
      </c>
      <c r="E34" s="12" t="n">
        <v>10</v>
      </c>
      <c r="F34" s="11" t="s">
        <v>143</v>
      </c>
      <c r="G34" s="12" t="n">
        <v>8</v>
      </c>
      <c r="H34" s="11" t="s">
        <v>195</v>
      </c>
      <c r="I34" s="12" t="n">
        <v>12</v>
      </c>
      <c r="J34" s="11" t="s">
        <v>134</v>
      </c>
      <c r="K34" s="12" t="n">
        <v>8</v>
      </c>
      <c r="L34" s="11" t="s">
        <v>141</v>
      </c>
      <c r="M34" s="12" t="n">
        <v>6</v>
      </c>
      <c r="N34" s="11" t="s">
        <v>125</v>
      </c>
      <c r="O34" s="12" t="n">
        <v>5</v>
      </c>
      <c r="P34" s="14" t="n">
        <f aca="false">IF(A34="","",SUM(E34,G34,I34,K34,M34,O34))</f>
        <v>49</v>
      </c>
      <c r="Q34" s="14" t="n">
        <f aca="false">IF(A34="","",IFERROR(INDEX(Classes!$C$5:$C$23,MATCH(A34,Classes!$A$5:$A$23,0)),""))</f>
        <v>60</v>
      </c>
      <c r="R34" s="15" t="str">
        <f aca="false">IF(A34="","",IF(TRIM(IF(AND(N(Q34)&gt;0,N(P34)&gt;N(Q34)),"Over by "&amp;(P34-Q34)&amp;" min. ","")&amp;IF(AND(COUNTIF(V34:AA34,"*A*")&gt;0,AB34&lt;&gt;"Yes"),"Age check. ","")&amp;IF(COUNTIF(V34:AA34,"*C*")&gt;0,"Contact check. ","")&amp;IF(COUNTIF(V34:AA34,"~?")&gt;0,"Drill not in library. ",""))="","OK"&amp;IF(AND(COUNTIF(V34:AA34,"*A*")&gt;0,AB34="Yes")," · split by age","")&amp;IF(N(Q34)&gt;N(P34)," ("&amp;(Q34-P34)&amp;" min spare)",""),TRIM(IF(AND(N(Q34)&gt;0,N(P34)&gt;N(Q34)),"Over by "&amp;(P34-Q34)&amp;" min. ","")&amp;IF(AND(COUNTIF(V34:AA34,"*A*")&gt;0,AB34&lt;&gt;"Yes"),"Age check. ","")&amp;IF(COUNTIF(V34:AA34,"*C*")&gt;0,"Contact check. ","")&amp;IF(COUNTIF(V34:AA34,"~?")&gt;0,"Drill not in library. ",""))&amp;IF(AND(COUNTIF(V34:AA34,"*A*")&gt;0,AB34="Yes")," · split by age","")))</f>
        <v>OK (11 min spare)</v>
      </c>
      <c r="S34" s="11"/>
      <c r="T34" s="13" t="n">
        <f aca="false">IF(A34="","",IFERROR(INDEX(Classes!$E$5:$E$23,MATCH(A34,Classes!$A$5:$A$23,0)),""))</f>
        <v>12</v>
      </c>
      <c r="U34" s="13" t="str">
        <f aca="false">IF(A34="","",IFERROR(INDEX(Classes!$F$5:$F$23,MATCH(A34,Classes!$A$5:$A$23,0)),""))</f>
        <v>None;Pads/bag;Partner drilling;Live grappling;Light touch (body)</v>
      </c>
      <c r="V34" s="13" t="str">
        <f aca="false">IF(OR(D34="",$A34=""),"",IF(ISNA(MATCH(D34,Drills!$A$5:$A$127,0)),"?",IF(N(INDEX(Drills!$K$5:$K$127,MATCH(D34,Drills!$A$5:$A$127,0)))&gt;N($T34),"A","")&amp;IF(ISNUMBER(SEARCH(INDEX(Drills!$E$5:$E$127,MATCH(D34,Drills!$A$5:$A$127,0)),$U34)),"","C")))</f>
        <v/>
      </c>
      <c r="W34" s="13" t="str">
        <f aca="false">IF(OR(F34="",$A34=""),"",IF(ISNA(MATCH(F34,Drills!$A$5:$A$127,0)),"?",IF(N(INDEX(Drills!$K$5:$K$127,MATCH(F34,Drills!$A$5:$A$127,0)))&gt;N($T34),"A","")&amp;IF(ISNUMBER(SEARCH(INDEX(Drills!$E$5:$E$127,MATCH(F34,Drills!$A$5:$A$127,0)),$U34)),"","C")))</f>
        <v/>
      </c>
      <c r="X34" s="13" t="str">
        <f aca="false">IF(OR(H34="",$A34=""),"",IF(ISNA(MATCH(H34,Drills!$A$5:$A$127,0)),"?",IF(N(INDEX(Drills!$K$5:$K$127,MATCH(H34,Drills!$A$5:$A$127,0)))&gt;N($T34),"A","")&amp;IF(ISNUMBER(SEARCH(INDEX(Drills!$E$5:$E$127,MATCH(H34,Drills!$A$5:$A$127,0)),$U34)),"","C")))</f>
        <v/>
      </c>
      <c r="Y34" s="13" t="str">
        <f aca="false">IF(OR(J34="",$A34=""),"",IF(ISNA(MATCH(J34,Drills!$A$5:$A$127,0)),"?",IF(N(INDEX(Drills!$K$5:$K$127,MATCH(J34,Drills!$A$5:$A$127,0)))&gt;N($T34),"A","")&amp;IF(ISNUMBER(SEARCH(INDEX(Drills!$E$5:$E$127,MATCH(J34,Drills!$A$5:$A$127,0)),$U34)),"","C")))</f>
        <v/>
      </c>
      <c r="Z34" s="13" t="str">
        <f aca="false">IF(OR(L34="",$A34=""),"",IF(ISNA(MATCH(L34,Drills!$A$5:$A$127,0)),"?",IF(N(INDEX(Drills!$K$5:$K$127,MATCH(L34,Drills!$A$5:$A$127,0)))&gt;N($T34),"A","")&amp;IF(ISNUMBER(SEARCH(INDEX(Drills!$E$5:$E$127,MATCH(L34,Drills!$A$5:$A$127,0)),$U34)),"","C")))</f>
        <v/>
      </c>
      <c r="AA34" s="13" t="str">
        <f aca="false">IF(OR(N34="",$A34=""),"",IF(ISNA(MATCH(N34,Drills!$A$5:$A$127,0)),"?",IF(N(INDEX(Drills!$K$5:$K$127,MATCH(N34,Drills!$A$5:$A$127,0)))&gt;N($T34),"A","")&amp;IF(ISNUMBER(SEARCH(INDEX(Drills!$E$5:$E$127,MATCH(N34,Drills!$A$5:$A$127,0)),$U34)),"","C")))</f>
        <v/>
      </c>
      <c r="AB34" s="13" t="str">
        <f aca="false">IF(A34="","",IFERROR(INDEX(Classes!$I$5:$I$23,MATCH(A34,Classes!$A$5:$A$23,0)),""))</f>
        <v>No</v>
      </c>
    </row>
    <row r="35" customFormat="false" ht="43.5" hidden="false" customHeight="true" outlineLevel="0" collapsed="false">
      <c r="A35" s="11" t="s">
        <v>84</v>
      </c>
      <c r="B35" s="11" t="n">
        <v>3</v>
      </c>
      <c r="C35" s="11" t="s">
        <v>196</v>
      </c>
      <c r="D35" s="11" t="s">
        <v>133</v>
      </c>
      <c r="E35" s="12" t="n">
        <v>6</v>
      </c>
      <c r="F35" s="11" t="s">
        <v>197</v>
      </c>
      <c r="G35" s="12" t="n">
        <v>10</v>
      </c>
      <c r="H35" s="11" t="s">
        <v>192</v>
      </c>
      <c r="I35" s="12" t="n">
        <v>8</v>
      </c>
      <c r="J35" s="11" t="s">
        <v>193</v>
      </c>
      <c r="K35" s="12" t="n">
        <v>12</v>
      </c>
      <c r="L35" s="11" t="s">
        <v>158</v>
      </c>
      <c r="M35" s="12" t="n">
        <v>8</v>
      </c>
      <c r="N35" s="11" t="s">
        <v>125</v>
      </c>
      <c r="O35" s="12" t="n">
        <v>5</v>
      </c>
      <c r="P35" s="14" t="n">
        <f aca="false">IF(A35="","",SUM(E35,G35,I35,K35,M35,O35))</f>
        <v>49</v>
      </c>
      <c r="Q35" s="14" t="n">
        <f aca="false">IF(A35="","",IFERROR(INDEX(Classes!$C$5:$C$23,MATCH(A35,Classes!$A$5:$A$23,0)),""))</f>
        <v>60</v>
      </c>
      <c r="R35" s="15" t="str">
        <f aca="false">IF(A35="","",IF(TRIM(IF(AND(N(Q35)&gt;0,N(P35)&gt;N(Q35)),"Over by "&amp;(P35-Q35)&amp;" min. ","")&amp;IF(AND(COUNTIF(V35:AA35,"*A*")&gt;0,AB35&lt;&gt;"Yes"),"Age check. ","")&amp;IF(COUNTIF(V35:AA35,"*C*")&gt;0,"Contact check. ","")&amp;IF(COUNTIF(V35:AA35,"~?")&gt;0,"Drill not in library. ",""))="","OK"&amp;IF(AND(COUNTIF(V35:AA35,"*A*")&gt;0,AB35="Yes")," · split by age","")&amp;IF(N(Q35)&gt;N(P35)," ("&amp;(Q35-P35)&amp;" min spare)",""),TRIM(IF(AND(N(Q35)&gt;0,N(P35)&gt;N(Q35)),"Over by "&amp;(P35-Q35)&amp;" min. ","")&amp;IF(AND(COUNTIF(V35:AA35,"*A*")&gt;0,AB35&lt;&gt;"Yes"),"Age check. ","")&amp;IF(COUNTIF(V35:AA35,"*C*")&gt;0,"Contact check. ","")&amp;IF(COUNTIF(V35:AA35,"~?")&gt;0,"Drill not in library. ",""))&amp;IF(AND(COUNTIF(V35:AA35,"*A*")&gt;0,AB35="Yes")," · split by age","")))</f>
        <v>OK (11 min spare)</v>
      </c>
      <c r="S35" s="11"/>
      <c r="T35" s="13" t="n">
        <f aca="false">IF(A35="","",IFERROR(INDEX(Classes!$E$5:$E$23,MATCH(A35,Classes!$A$5:$A$23,0)),""))</f>
        <v>12</v>
      </c>
      <c r="U35" s="13" t="str">
        <f aca="false">IF(A35="","",IFERROR(INDEX(Classes!$F$5:$F$23,MATCH(A35,Classes!$A$5:$A$23,0)),""))</f>
        <v>None;Pads/bag;Partner drilling;Live grappling;Light touch (body)</v>
      </c>
      <c r="V35" s="13" t="str">
        <f aca="false">IF(OR(D35="",$A35=""),"",IF(ISNA(MATCH(D35,Drills!$A$5:$A$127,0)),"?",IF(N(INDEX(Drills!$K$5:$K$127,MATCH(D35,Drills!$A$5:$A$127,0)))&gt;N($T35),"A","")&amp;IF(ISNUMBER(SEARCH(INDEX(Drills!$E$5:$E$127,MATCH(D35,Drills!$A$5:$A$127,0)),$U35)),"","C")))</f>
        <v/>
      </c>
      <c r="W35" s="13" t="str">
        <f aca="false">IF(OR(F35="",$A35=""),"",IF(ISNA(MATCH(F35,Drills!$A$5:$A$127,0)),"?",IF(N(INDEX(Drills!$K$5:$K$127,MATCH(F35,Drills!$A$5:$A$127,0)))&gt;N($T35),"A","")&amp;IF(ISNUMBER(SEARCH(INDEX(Drills!$E$5:$E$127,MATCH(F35,Drills!$A$5:$A$127,0)),$U35)),"","C")))</f>
        <v/>
      </c>
      <c r="X35" s="13" t="str">
        <f aca="false">IF(OR(H35="",$A35=""),"",IF(ISNA(MATCH(H35,Drills!$A$5:$A$127,0)),"?",IF(N(INDEX(Drills!$K$5:$K$127,MATCH(H35,Drills!$A$5:$A$127,0)))&gt;N($T35),"A","")&amp;IF(ISNUMBER(SEARCH(INDEX(Drills!$E$5:$E$127,MATCH(H35,Drills!$A$5:$A$127,0)),$U35)),"","C")))</f>
        <v/>
      </c>
      <c r="Y35" s="13" t="str">
        <f aca="false">IF(OR(J35="",$A35=""),"",IF(ISNA(MATCH(J35,Drills!$A$5:$A$127,0)),"?",IF(N(INDEX(Drills!$K$5:$K$127,MATCH(J35,Drills!$A$5:$A$127,0)))&gt;N($T35),"A","")&amp;IF(ISNUMBER(SEARCH(INDEX(Drills!$E$5:$E$127,MATCH(J35,Drills!$A$5:$A$127,0)),$U35)),"","C")))</f>
        <v/>
      </c>
      <c r="Z35" s="13" t="str">
        <f aca="false">IF(OR(L35="",$A35=""),"",IF(ISNA(MATCH(L35,Drills!$A$5:$A$127,0)),"?",IF(N(INDEX(Drills!$K$5:$K$127,MATCH(L35,Drills!$A$5:$A$127,0)))&gt;N($T35),"A","")&amp;IF(ISNUMBER(SEARCH(INDEX(Drills!$E$5:$E$127,MATCH(L35,Drills!$A$5:$A$127,0)),$U35)),"","C")))</f>
        <v/>
      </c>
      <c r="AA35" s="13" t="str">
        <f aca="false">IF(OR(N35="",$A35=""),"",IF(ISNA(MATCH(N35,Drills!$A$5:$A$127,0)),"?",IF(N(INDEX(Drills!$K$5:$K$127,MATCH(N35,Drills!$A$5:$A$127,0)))&gt;N($T35),"A","")&amp;IF(ISNUMBER(SEARCH(INDEX(Drills!$E$5:$E$127,MATCH(N35,Drills!$A$5:$A$127,0)),$U35)),"","C")))</f>
        <v/>
      </c>
      <c r="AB35" s="13" t="str">
        <f aca="false">IF(A35="","",IFERROR(INDEX(Classes!$I$5:$I$23,MATCH(A35,Classes!$A$5:$A$23,0)),""))</f>
        <v>No</v>
      </c>
    </row>
    <row r="36" customFormat="false" ht="43.5" hidden="false" customHeight="true" outlineLevel="0" collapsed="false">
      <c r="A36" s="11" t="s">
        <v>84</v>
      </c>
      <c r="B36" s="11" t="n">
        <v>4</v>
      </c>
      <c r="C36" s="11" t="s">
        <v>157</v>
      </c>
      <c r="D36" s="11" t="s">
        <v>127</v>
      </c>
      <c r="E36" s="12" t="n">
        <v>10</v>
      </c>
      <c r="F36" s="11" t="s">
        <v>191</v>
      </c>
      <c r="G36" s="12" t="n">
        <v>10</v>
      </c>
      <c r="H36" s="11" t="s">
        <v>170</v>
      </c>
      <c r="I36" s="12" t="n">
        <v>8</v>
      </c>
      <c r="J36" s="11" t="s">
        <v>145</v>
      </c>
      <c r="K36" s="12" t="n">
        <v>12</v>
      </c>
      <c r="L36" s="11" t="s">
        <v>190</v>
      </c>
      <c r="M36" s="12" t="n">
        <v>6</v>
      </c>
      <c r="N36" s="11" t="s">
        <v>125</v>
      </c>
      <c r="O36" s="12" t="n">
        <v>5</v>
      </c>
      <c r="P36" s="14" t="n">
        <f aca="false">IF(A36="","",SUM(E36,G36,I36,K36,M36,O36))</f>
        <v>51</v>
      </c>
      <c r="Q36" s="14" t="n">
        <f aca="false">IF(A36="","",IFERROR(INDEX(Classes!$C$5:$C$23,MATCH(A36,Classes!$A$5:$A$23,0)),""))</f>
        <v>60</v>
      </c>
      <c r="R36" s="15" t="str">
        <f aca="false">IF(A36="","",IF(TRIM(IF(AND(N(Q36)&gt;0,N(P36)&gt;N(Q36)),"Over by "&amp;(P36-Q36)&amp;" min. ","")&amp;IF(AND(COUNTIF(V36:AA36,"*A*")&gt;0,AB36&lt;&gt;"Yes"),"Age check. ","")&amp;IF(COUNTIF(V36:AA36,"*C*")&gt;0,"Contact check. ","")&amp;IF(COUNTIF(V36:AA36,"~?")&gt;0,"Drill not in library. ",""))="","OK"&amp;IF(AND(COUNTIF(V36:AA36,"*A*")&gt;0,AB36="Yes")," · split by age","")&amp;IF(N(Q36)&gt;N(P36)," ("&amp;(Q36-P36)&amp;" min spare)",""),TRIM(IF(AND(N(Q36)&gt;0,N(P36)&gt;N(Q36)),"Over by "&amp;(P36-Q36)&amp;" min. ","")&amp;IF(AND(COUNTIF(V36:AA36,"*A*")&gt;0,AB36&lt;&gt;"Yes"),"Age check. ","")&amp;IF(COUNTIF(V36:AA36,"*C*")&gt;0,"Contact check. ","")&amp;IF(COUNTIF(V36:AA36,"~?")&gt;0,"Drill not in library. ",""))&amp;IF(AND(COUNTIF(V36:AA36,"*A*")&gt;0,AB36="Yes")," · split by age","")))</f>
        <v>OK (9 min spare)</v>
      </c>
      <c r="S36" s="11"/>
      <c r="T36" s="13" t="n">
        <f aca="false">IF(A36="","",IFERROR(INDEX(Classes!$E$5:$E$23,MATCH(A36,Classes!$A$5:$A$23,0)),""))</f>
        <v>12</v>
      </c>
      <c r="U36" s="13" t="str">
        <f aca="false">IF(A36="","",IFERROR(INDEX(Classes!$F$5:$F$23,MATCH(A36,Classes!$A$5:$A$23,0)),""))</f>
        <v>None;Pads/bag;Partner drilling;Live grappling;Light touch (body)</v>
      </c>
      <c r="V36" s="13" t="str">
        <f aca="false">IF(OR(D36="",$A36=""),"",IF(ISNA(MATCH(D36,Drills!$A$5:$A$127,0)),"?",IF(N(INDEX(Drills!$K$5:$K$127,MATCH(D36,Drills!$A$5:$A$127,0)))&gt;N($T36),"A","")&amp;IF(ISNUMBER(SEARCH(INDEX(Drills!$E$5:$E$127,MATCH(D36,Drills!$A$5:$A$127,0)),$U36)),"","C")))</f>
        <v/>
      </c>
      <c r="W36" s="13" t="str">
        <f aca="false">IF(OR(F36="",$A36=""),"",IF(ISNA(MATCH(F36,Drills!$A$5:$A$127,0)),"?",IF(N(INDEX(Drills!$K$5:$K$127,MATCH(F36,Drills!$A$5:$A$127,0)))&gt;N($T36),"A","")&amp;IF(ISNUMBER(SEARCH(INDEX(Drills!$E$5:$E$127,MATCH(F36,Drills!$A$5:$A$127,0)),$U36)),"","C")))</f>
        <v/>
      </c>
      <c r="X36" s="13" t="str">
        <f aca="false">IF(OR(H36="",$A36=""),"",IF(ISNA(MATCH(H36,Drills!$A$5:$A$127,0)),"?",IF(N(INDEX(Drills!$K$5:$K$127,MATCH(H36,Drills!$A$5:$A$127,0)))&gt;N($T36),"A","")&amp;IF(ISNUMBER(SEARCH(INDEX(Drills!$E$5:$E$127,MATCH(H36,Drills!$A$5:$A$127,0)),$U36)),"","C")))</f>
        <v/>
      </c>
      <c r="Y36" s="13" t="str">
        <f aca="false">IF(OR(J36="",$A36=""),"",IF(ISNA(MATCH(J36,Drills!$A$5:$A$127,0)),"?",IF(N(INDEX(Drills!$K$5:$K$127,MATCH(J36,Drills!$A$5:$A$127,0)))&gt;N($T36),"A","")&amp;IF(ISNUMBER(SEARCH(INDEX(Drills!$E$5:$E$127,MATCH(J36,Drills!$A$5:$A$127,0)),$U36)),"","C")))</f>
        <v/>
      </c>
      <c r="Z36" s="13" t="str">
        <f aca="false">IF(OR(L36="",$A36=""),"",IF(ISNA(MATCH(L36,Drills!$A$5:$A$127,0)),"?",IF(N(INDEX(Drills!$K$5:$K$127,MATCH(L36,Drills!$A$5:$A$127,0)))&gt;N($T36),"A","")&amp;IF(ISNUMBER(SEARCH(INDEX(Drills!$E$5:$E$127,MATCH(L36,Drills!$A$5:$A$127,0)),$U36)),"","C")))</f>
        <v/>
      </c>
      <c r="AA36" s="13" t="str">
        <f aca="false">IF(OR(N36="",$A36=""),"",IF(ISNA(MATCH(N36,Drills!$A$5:$A$127,0)),"?",IF(N(INDEX(Drills!$K$5:$K$127,MATCH(N36,Drills!$A$5:$A$127,0)))&gt;N($T36),"A","")&amp;IF(ISNUMBER(SEARCH(INDEX(Drills!$E$5:$E$127,MATCH(N36,Drills!$A$5:$A$127,0)),$U36)),"","C")))</f>
        <v/>
      </c>
      <c r="AB36" s="13" t="str">
        <f aca="false">IF(A36="","",IFERROR(INDEX(Classes!$I$5:$I$23,MATCH(A36,Classes!$A$5:$A$23,0)),""))</f>
        <v>No</v>
      </c>
    </row>
    <row r="37" customFormat="false" ht="43.5" hidden="false" customHeight="true" outlineLevel="0" collapsed="false">
      <c r="A37" s="11" t="s">
        <v>88</v>
      </c>
      <c r="B37" s="11" t="n">
        <v>1</v>
      </c>
      <c r="C37" s="11" t="s">
        <v>198</v>
      </c>
      <c r="D37" s="11" t="s">
        <v>160</v>
      </c>
      <c r="E37" s="12" t="n">
        <v>6</v>
      </c>
      <c r="F37" s="11" t="s">
        <v>163</v>
      </c>
      <c r="G37" s="12" t="n">
        <v>10</v>
      </c>
      <c r="H37" s="11" t="s">
        <v>130</v>
      </c>
      <c r="I37" s="12" t="n">
        <v>10</v>
      </c>
      <c r="J37" s="11" t="s">
        <v>199</v>
      </c>
      <c r="K37" s="12" t="n">
        <v>15</v>
      </c>
      <c r="L37" s="11" t="s">
        <v>158</v>
      </c>
      <c r="M37" s="12" t="n">
        <v>8</v>
      </c>
      <c r="N37" s="11" t="s">
        <v>125</v>
      </c>
      <c r="O37" s="12" t="n">
        <v>5</v>
      </c>
      <c r="P37" s="14" t="n">
        <f aca="false">IF(A37="","",SUM(E37,G37,I37,K37,M37,O37))</f>
        <v>54</v>
      </c>
      <c r="Q37" s="14" t="n">
        <f aca="false">IF(A37="","",IFERROR(INDEX(Classes!$C$5:$C$23,MATCH(A37,Classes!$A$5:$A$23,0)),""))</f>
        <v>60</v>
      </c>
      <c r="R37" s="15" t="str">
        <f aca="false">IF(A37="","",IF(TRIM(IF(AND(N(Q37)&gt;0,N(P37)&gt;N(Q37)),"Over by "&amp;(P37-Q37)&amp;" min. ","")&amp;IF(AND(COUNTIF(V37:AA37,"*A*")&gt;0,AB37&lt;&gt;"Yes"),"Age check. ","")&amp;IF(COUNTIF(V37:AA37,"*C*")&gt;0,"Contact check. ","")&amp;IF(COUNTIF(V37:AA37,"~?")&gt;0,"Drill not in library. ",""))="","OK"&amp;IF(AND(COUNTIF(V37:AA37,"*A*")&gt;0,AB37="Yes")," · split by age","")&amp;IF(N(Q37)&gt;N(P37)," ("&amp;(Q37-P37)&amp;" min spare)",""),TRIM(IF(AND(N(Q37)&gt;0,N(P37)&gt;N(Q37)),"Over by "&amp;(P37-Q37)&amp;" min. ","")&amp;IF(AND(COUNTIF(V37:AA37,"*A*")&gt;0,AB37&lt;&gt;"Yes"),"Age check. ","")&amp;IF(COUNTIF(V37:AA37,"*C*")&gt;0,"Contact check. ","")&amp;IF(COUNTIF(V37:AA37,"~?")&gt;0,"Drill not in library. ",""))&amp;IF(AND(COUNTIF(V37:AA37,"*A*")&gt;0,AB37="Yes")," · split by age","")))</f>
        <v>OK (6 min spare)</v>
      </c>
      <c r="S37" s="11"/>
      <c r="T37" s="13" t="n">
        <f aca="false">IF(A37="","",IFERROR(INDEX(Classes!$E$5:$E$23,MATCH(A37,Classes!$A$5:$A$23,0)),""))</f>
        <v>18</v>
      </c>
      <c r="U37" s="13" t="str">
        <f aca="false">IF(A37="","",IFERROR(INDEX(Classes!$F$5:$F$23,MATCH(A37,Classes!$A$5:$A$23,0)),""))</f>
        <v>None;Pads/bag;Partner drilling;Live grappling;Light touch (body);Controlled sparring</v>
      </c>
      <c r="V37" s="13" t="str">
        <f aca="false">IF(OR(D37="",$A37=""),"",IF(ISNA(MATCH(D37,Drills!$A$5:$A$127,0)),"?",IF(N(INDEX(Drills!$K$5:$K$127,MATCH(D37,Drills!$A$5:$A$127,0)))&gt;N($T37),"A","")&amp;IF(ISNUMBER(SEARCH(INDEX(Drills!$E$5:$E$127,MATCH(D37,Drills!$A$5:$A$127,0)),$U37)),"","C")))</f>
        <v/>
      </c>
      <c r="W37" s="13" t="str">
        <f aca="false">IF(OR(F37="",$A37=""),"",IF(ISNA(MATCH(F37,Drills!$A$5:$A$127,0)),"?",IF(N(INDEX(Drills!$K$5:$K$127,MATCH(F37,Drills!$A$5:$A$127,0)))&gt;N($T37),"A","")&amp;IF(ISNUMBER(SEARCH(INDEX(Drills!$E$5:$E$127,MATCH(F37,Drills!$A$5:$A$127,0)),$U37)),"","C")))</f>
        <v/>
      </c>
      <c r="X37" s="13" t="str">
        <f aca="false">IF(OR(H37="",$A37=""),"",IF(ISNA(MATCH(H37,Drills!$A$5:$A$127,0)),"?",IF(N(INDEX(Drills!$K$5:$K$127,MATCH(H37,Drills!$A$5:$A$127,0)))&gt;N($T37),"A","")&amp;IF(ISNUMBER(SEARCH(INDEX(Drills!$E$5:$E$127,MATCH(H37,Drills!$A$5:$A$127,0)),$U37)),"","C")))</f>
        <v/>
      </c>
      <c r="Y37" s="13" t="str">
        <f aca="false">IF(OR(J37="",$A37=""),"",IF(ISNA(MATCH(J37,Drills!$A$5:$A$127,0)),"?",IF(N(INDEX(Drills!$K$5:$K$127,MATCH(J37,Drills!$A$5:$A$127,0)))&gt;N($T37),"A","")&amp;IF(ISNUMBER(SEARCH(INDEX(Drills!$E$5:$E$127,MATCH(J37,Drills!$A$5:$A$127,0)),$U37)),"","C")))</f>
        <v/>
      </c>
      <c r="Z37" s="13" t="str">
        <f aca="false">IF(OR(L37="",$A37=""),"",IF(ISNA(MATCH(L37,Drills!$A$5:$A$127,0)),"?",IF(N(INDEX(Drills!$K$5:$K$127,MATCH(L37,Drills!$A$5:$A$127,0)))&gt;N($T37),"A","")&amp;IF(ISNUMBER(SEARCH(INDEX(Drills!$E$5:$E$127,MATCH(L37,Drills!$A$5:$A$127,0)),$U37)),"","C")))</f>
        <v/>
      </c>
      <c r="AA37" s="13" t="str">
        <f aca="false">IF(OR(N37="",$A37=""),"",IF(ISNA(MATCH(N37,Drills!$A$5:$A$127,0)),"?",IF(N(INDEX(Drills!$K$5:$K$127,MATCH(N37,Drills!$A$5:$A$127,0)))&gt;N($T37),"A","")&amp;IF(ISNUMBER(SEARCH(INDEX(Drills!$E$5:$E$127,MATCH(N37,Drills!$A$5:$A$127,0)),$U37)),"","C")))</f>
        <v/>
      </c>
      <c r="AB37" s="13" t="str">
        <f aca="false">IF(A37="","",IFERROR(INDEX(Classes!$I$5:$I$23,MATCH(A37,Classes!$A$5:$A$23,0)),""))</f>
        <v>No</v>
      </c>
    </row>
    <row r="38" customFormat="false" ht="43.5" hidden="false" customHeight="true" outlineLevel="0" collapsed="false">
      <c r="A38" s="11" t="s">
        <v>88</v>
      </c>
      <c r="B38" s="11" t="n">
        <v>2</v>
      </c>
      <c r="C38" s="11" t="s">
        <v>200</v>
      </c>
      <c r="D38" s="11" t="s">
        <v>133</v>
      </c>
      <c r="E38" s="12" t="n">
        <v>6</v>
      </c>
      <c r="F38" s="11" t="s">
        <v>152</v>
      </c>
      <c r="G38" s="12" t="n">
        <v>8</v>
      </c>
      <c r="H38" s="11" t="s">
        <v>191</v>
      </c>
      <c r="I38" s="12" t="n">
        <v>8</v>
      </c>
      <c r="J38" s="11" t="s">
        <v>193</v>
      </c>
      <c r="K38" s="12" t="n">
        <v>12</v>
      </c>
      <c r="L38" s="11" t="s">
        <v>199</v>
      </c>
      <c r="M38" s="12" t="n">
        <v>15</v>
      </c>
      <c r="N38" s="11" t="s">
        <v>125</v>
      </c>
      <c r="O38" s="12" t="n">
        <v>5</v>
      </c>
      <c r="P38" s="14" t="n">
        <f aca="false">IF(A38="","",SUM(E38,G38,I38,K38,M38,O38))</f>
        <v>54</v>
      </c>
      <c r="Q38" s="14" t="n">
        <f aca="false">IF(A38="","",IFERROR(INDEX(Classes!$C$5:$C$23,MATCH(A38,Classes!$A$5:$A$23,0)),""))</f>
        <v>60</v>
      </c>
      <c r="R38" s="15" t="str">
        <f aca="false">IF(A38="","",IF(TRIM(IF(AND(N(Q38)&gt;0,N(P38)&gt;N(Q38)),"Over by "&amp;(P38-Q38)&amp;" min. ","")&amp;IF(AND(COUNTIF(V38:AA38,"*A*")&gt;0,AB38&lt;&gt;"Yes"),"Age check. ","")&amp;IF(COUNTIF(V38:AA38,"*C*")&gt;0,"Contact check. ","")&amp;IF(COUNTIF(V38:AA38,"~?")&gt;0,"Drill not in library. ",""))="","OK"&amp;IF(AND(COUNTIF(V38:AA38,"*A*")&gt;0,AB38="Yes")," · split by age","")&amp;IF(N(Q38)&gt;N(P38)," ("&amp;(Q38-P38)&amp;" min spare)",""),TRIM(IF(AND(N(Q38)&gt;0,N(P38)&gt;N(Q38)),"Over by "&amp;(P38-Q38)&amp;" min. ","")&amp;IF(AND(COUNTIF(V38:AA38,"*A*")&gt;0,AB38&lt;&gt;"Yes"),"Age check. ","")&amp;IF(COUNTIF(V38:AA38,"*C*")&gt;0,"Contact check. ","")&amp;IF(COUNTIF(V38:AA38,"~?")&gt;0,"Drill not in library. ",""))&amp;IF(AND(COUNTIF(V38:AA38,"*A*")&gt;0,AB38="Yes")," · split by age","")))</f>
        <v>OK (6 min spare)</v>
      </c>
      <c r="S38" s="11"/>
      <c r="T38" s="13" t="n">
        <f aca="false">IF(A38="","",IFERROR(INDEX(Classes!$E$5:$E$23,MATCH(A38,Classes!$A$5:$A$23,0)),""))</f>
        <v>18</v>
      </c>
      <c r="U38" s="13" t="str">
        <f aca="false">IF(A38="","",IFERROR(INDEX(Classes!$F$5:$F$23,MATCH(A38,Classes!$A$5:$A$23,0)),""))</f>
        <v>None;Pads/bag;Partner drilling;Live grappling;Light touch (body);Controlled sparring</v>
      </c>
      <c r="V38" s="13" t="str">
        <f aca="false">IF(OR(D38="",$A38=""),"",IF(ISNA(MATCH(D38,Drills!$A$5:$A$127,0)),"?",IF(N(INDEX(Drills!$K$5:$K$127,MATCH(D38,Drills!$A$5:$A$127,0)))&gt;N($T38),"A","")&amp;IF(ISNUMBER(SEARCH(INDEX(Drills!$E$5:$E$127,MATCH(D38,Drills!$A$5:$A$127,0)),$U38)),"","C")))</f>
        <v/>
      </c>
      <c r="W38" s="13" t="str">
        <f aca="false">IF(OR(F38="",$A38=""),"",IF(ISNA(MATCH(F38,Drills!$A$5:$A$127,0)),"?",IF(N(INDEX(Drills!$K$5:$K$127,MATCH(F38,Drills!$A$5:$A$127,0)))&gt;N($T38),"A","")&amp;IF(ISNUMBER(SEARCH(INDEX(Drills!$E$5:$E$127,MATCH(F38,Drills!$A$5:$A$127,0)),$U38)),"","C")))</f>
        <v/>
      </c>
      <c r="X38" s="13" t="str">
        <f aca="false">IF(OR(H38="",$A38=""),"",IF(ISNA(MATCH(H38,Drills!$A$5:$A$127,0)),"?",IF(N(INDEX(Drills!$K$5:$K$127,MATCH(H38,Drills!$A$5:$A$127,0)))&gt;N($T38),"A","")&amp;IF(ISNUMBER(SEARCH(INDEX(Drills!$E$5:$E$127,MATCH(H38,Drills!$A$5:$A$127,0)),$U38)),"","C")))</f>
        <v/>
      </c>
      <c r="Y38" s="13" t="str">
        <f aca="false">IF(OR(J38="",$A38=""),"",IF(ISNA(MATCH(J38,Drills!$A$5:$A$127,0)),"?",IF(N(INDEX(Drills!$K$5:$K$127,MATCH(J38,Drills!$A$5:$A$127,0)))&gt;N($T38),"A","")&amp;IF(ISNUMBER(SEARCH(INDEX(Drills!$E$5:$E$127,MATCH(J38,Drills!$A$5:$A$127,0)),$U38)),"","C")))</f>
        <v/>
      </c>
      <c r="Z38" s="13" t="str">
        <f aca="false">IF(OR(L38="",$A38=""),"",IF(ISNA(MATCH(L38,Drills!$A$5:$A$127,0)),"?",IF(N(INDEX(Drills!$K$5:$K$127,MATCH(L38,Drills!$A$5:$A$127,0)))&gt;N($T38),"A","")&amp;IF(ISNUMBER(SEARCH(INDEX(Drills!$E$5:$E$127,MATCH(L38,Drills!$A$5:$A$127,0)),$U38)),"","C")))</f>
        <v/>
      </c>
      <c r="AA38" s="13" t="str">
        <f aca="false">IF(OR(N38="",$A38=""),"",IF(ISNA(MATCH(N38,Drills!$A$5:$A$127,0)),"?",IF(N(INDEX(Drills!$K$5:$K$127,MATCH(N38,Drills!$A$5:$A$127,0)))&gt;N($T38),"A","")&amp;IF(ISNUMBER(SEARCH(INDEX(Drills!$E$5:$E$127,MATCH(N38,Drills!$A$5:$A$127,0)),$U38)),"","C")))</f>
        <v/>
      </c>
      <c r="AB38" s="13" t="str">
        <f aca="false">IF(A38="","",IFERROR(INDEX(Classes!$I$5:$I$23,MATCH(A38,Classes!$A$5:$A$23,0)),""))</f>
        <v>No</v>
      </c>
    </row>
    <row r="39" customFormat="false" ht="43.5" hidden="false" customHeight="true" outlineLevel="0" collapsed="false">
      <c r="A39" s="11" t="s">
        <v>88</v>
      </c>
      <c r="B39" s="11" t="n">
        <v>3</v>
      </c>
      <c r="C39" s="11" t="s">
        <v>201</v>
      </c>
      <c r="D39" s="11" t="s">
        <v>127</v>
      </c>
      <c r="E39" s="12" t="n">
        <v>10</v>
      </c>
      <c r="F39" s="11" t="s">
        <v>161</v>
      </c>
      <c r="G39" s="12" t="n">
        <v>6</v>
      </c>
      <c r="H39" s="11" t="s">
        <v>170</v>
      </c>
      <c r="I39" s="12" t="n">
        <v>8</v>
      </c>
      <c r="J39" s="11" t="s">
        <v>178</v>
      </c>
      <c r="K39" s="12" t="n">
        <v>12</v>
      </c>
      <c r="L39" s="11" t="s">
        <v>199</v>
      </c>
      <c r="M39" s="12" t="n">
        <v>15</v>
      </c>
      <c r="N39" s="11" t="s">
        <v>125</v>
      </c>
      <c r="O39" s="12" t="n">
        <v>5</v>
      </c>
      <c r="P39" s="14" t="n">
        <f aca="false">IF(A39="","",SUM(E39,G39,I39,K39,M39,O39))</f>
        <v>56</v>
      </c>
      <c r="Q39" s="14" t="n">
        <f aca="false">IF(A39="","",IFERROR(INDEX(Classes!$C$5:$C$23,MATCH(A39,Classes!$A$5:$A$23,0)),""))</f>
        <v>60</v>
      </c>
      <c r="R39" s="15" t="str">
        <f aca="false">IF(A39="","",IF(TRIM(IF(AND(N(Q39)&gt;0,N(P39)&gt;N(Q39)),"Over by "&amp;(P39-Q39)&amp;" min. ","")&amp;IF(AND(COUNTIF(V39:AA39,"*A*")&gt;0,AB39&lt;&gt;"Yes"),"Age check. ","")&amp;IF(COUNTIF(V39:AA39,"*C*")&gt;0,"Contact check. ","")&amp;IF(COUNTIF(V39:AA39,"~?")&gt;0,"Drill not in library. ",""))="","OK"&amp;IF(AND(COUNTIF(V39:AA39,"*A*")&gt;0,AB39="Yes")," · split by age","")&amp;IF(N(Q39)&gt;N(P39)," ("&amp;(Q39-P39)&amp;" min spare)",""),TRIM(IF(AND(N(Q39)&gt;0,N(P39)&gt;N(Q39)),"Over by "&amp;(P39-Q39)&amp;" min. ","")&amp;IF(AND(COUNTIF(V39:AA39,"*A*")&gt;0,AB39&lt;&gt;"Yes"),"Age check. ","")&amp;IF(COUNTIF(V39:AA39,"*C*")&gt;0,"Contact check. ","")&amp;IF(COUNTIF(V39:AA39,"~?")&gt;0,"Drill not in library. ",""))&amp;IF(AND(COUNTIF(V39:AA39,"*A*")&gt;0,AB39="Yes")," · split by age","")))</f>
        <v>OK (4 min spare)</v>
      </c>
      <c r="S39" s="11"/>
      <c r="T39" s="13" t="n">
        <f aca="false">IF(A39="","",IFERROR(INDEX(Classes!$E$5:$E$23,MATCH(A39,Classes!$A$5:$A$23,0)),""))</f>
        <v>18</v>
      </c>
      <c r="U39" s="13" t="str">
        <f aca="false">IF(A39="","",IFERROR(INDEX(Classes!$F$5:$F$23,MATCH(A39,Classes!$A$5:$A$23,0)),""))</f>
        <v>None;Pads/bag;Partner drilling;Live grappling;Light touch (body);Controlled sparring</v>
      </c>
      <c r="V39" s="13" t="str">
        <f aca="false">IF(OR(D39="",$A39=""),"",IF(ISNA(MATCH(D39,Drills!$A$5:$A$127,0)),"?",IF(N(INDEX(Drills!$K$5:$K$127,MATCH(D39,Drills!$A$5:$A$127,0)))&gt;N($T39),"A","")&amp;IF(ISNUMBER(SEARCH(INDEX(Drills!$E$5:$E$127,MATCH(D39,Drills!$A$5:$A$127,0)),$U39)),"","C")))</f>
        <v/>
      </c>
      <c r="W39" s="13" t="str">
        <f aca="false">IF(OR(F39="",$A39=""),"",IF(ISNA(MATCH(F39,Drills!$A$5:$A$127,0)),"?",IF(N(INDEX(Drills!$K$5:$K$127,MATCH(F39,Drills!$A$5:$A$127,0)))&gt;N($T39),"A","")&amp;IF(ISNUMBER(SEARCH(INDEX(Drills!$E$5:$E$127,MATCH(F39,Drills!$A$5:$A$127,0)),$U39)),"","C")))</f>
        <v/>
      </c>
      <c r="X39" s="13" t="str">
        <f aca="false">IF(OR(H39="",$A39=""),"",IF(ISNA(MATCH(H39,Drills!$A$5:$A$127,0)),"?",IF(N(INDEX(Drills!$K$5:$K$127,MATCH(H39,Drills!$A$5:$A$127,0)))&gt;N($T39),"A","")&amp;IF(ISNUMBER(SEARCH(INDEX(Drills!$E$5:$E$127,MATCH(H39,Drills!$A$5:$A$127,0)),$U39)),"","C")))</f>
        <v/>
      </c>
      <c r="Y39" s="13" t="str">
        <f aca="false">IF(OR(J39="",$A39=""),"",IF(ISNA(MATCH(J39,Drills!$A$5:$A$127,0)),"?",IF(N(INDEX(Drills!$K$5:$K$127,MATCH(J39,Drills!$A$5:$A$127,0)))&gt;N($T39),"A","")&amp;IF(ISNUMBER(SEARCH(INDEX(Drills!$E$5:$E$127,MATCH(J39,Drills!$A$5:$A$127,0)),$U39)),"","C")))</f>
        <v/>
      </c>
      <c r="Z39" s="13" t="str">
        <f aca="false">IF(OR(L39="",$A39=""),"",IF(ISNA(MATCH(L39,Drills!$A$5:$A$127,0)),"?",IF(N(INDEX(Drills!$K$5:$K$127,MATCH(L39,Drills!$A$5:$A$127,0)))&gt;N($T39),"A","")&amp;IF(ISNUMBER(SEARCH(INDEX(Drills!$E$5:$E$127,MATCH(L39,Drills!$A$5:$A$127,0)),$U39)),"","C")))</f>
        <v/>
      </c>
      <c r="AA39" s="13" t="str">
        <f aca="false">IF(OR(N39="",$A39=""),"",IF(ISNA(MATCH(N39,Drills!$A$5:$A$127,0)),"?",IF(N(INDEX(Drills!$K$5:$K$127,MATCH(N39,Drills!$A$5:$A$127,0)))&gt;N($T39),"A","")&amp;IF(ISNUMBER(SEARCH(INDEX(Drills!$E$5:$E$127,MATCH(N39,Drills!$A$5:$A$127,0)),$U39)),"","C")))</f>
        <v/>
      </c>
      <c r="AB39" s="13" t="str">
        <f aca="false">IF(A39="","",IFERROR(INDEX(Classes!$I$5:$I$23,MATCH(A39,Classes!$A$5:$A$23,0)),""))</f>
        <v>No</v>
      </c>
    </row>
    <row r="40" customFormat="false" ht="43.5" hidden="false" customHeight="true" outlineLevel="0" collapsed="false">
      <c r="A40" s="11" t="s">
        <v>88</v>
      </c>
      <c r="B40" s="11" t="n">
        <v>4</v>
      </c>
      <c r="C40" s="11" t="s">
        <v>202</v>
      </c>
      <c r="D40" s="11" t="s">
        <v>160</v>
      </c>
      <c r="E40" s="12" t="n">
        <v>6</v>
      </c>
      <c r="F40" s="11" t="s">
        <v>153</v>
      </c>
      <c r="G40" s="12" t="n">
        <v>8</v>
      </c>
      <c r="H40" s="11" t="s">
        <v>130</v>
      </c>
      <c r="I40" s="12" t="n">
        <v>10</v>
      </c>
      <c r="J40" s="11" t="s">
        <v>199</v>
      </c>
      <c r="K40" s="12" t="n">
        <v>12</v>
      </c>
      <c r="L40" s="11" t="s">
        <v>162</v>
      </c>
      <c r="M40" s="12" t="n">
        <v>12</v>
      </c>
      <c r="N40" s="11" t="s">
        <v>125</v>
      </c>
      <c r="O40" s="12" t="n">
        <v>5</v>
      </c>
      <c r="P40" s="14" t="n">
        <f aca="false">IF(A40="","",SUM(E40,G40,I40,K40,M40,O40))</f>
        <v>53</v>
      </c>
      <c r="Q40" s="14" t="n">
        <f aca="false">IF(A40="","",IFERROR(INDEX(Classes!$C$5:$C$23,MATCH(A40,Classes!$A$5:$A$23,0)),""))</f>
        <v>60</v>
      </c>
      <c r="R40" s="15" t="str">
        <f aca="false">IF(A40="","",IF(TRIM(IF(AND(N(Q40)&gt;0,N(P40)&gt;N(Q40)),"Over by "&amp;(P40-Q40)&amp;" min. ","")&amp;IF(AND(COUNTIF(V40:AA40,"*A*")&gt;0,AB40&lt;&gt;"Yes"),"Age check. ","")&amp;IF(COUNTIF(V40:AA40,"*C*")&gt;0,"Contact check. ","")&amp;IF(COUNTIF(V40:AA40,"~?")&gt;0,"Drill not in library. ",""))="","OK"&amp;IF(AND(COUNTIF(V40:AA40,"*A*")&gt;0,AB40="Yes")," · split by age","")&amp;IF(N(Q40)&gt;N(P40)," ("&amp;(Q40-P40)&amp;" min spare)",""),TRIM(IF(AND(N(Q40)&gt;0,N(P40)&gt;N(Q40)),"Over by "&amp;(P40-Q40)&amp;" min. ","")&amp;IF(AND(COUNTIF(V40:AA40,"*A*")&gt;0,AB40&lt;&gt;"Yes"),"Age check. ","")&amp;IF(COUNTIF(V40:AA40,"*C*")&gt;0,"Contact check. ","")&amp;IF(COUNTIF(V40:AA40,"~?")&gt;0,"Drill not in library. ",""))&amp;IF(AND(COUNTIF(V40:AA40,"*A*")&gt;0,AB40="Yes")," · split by age","")))</f>
        <v>OK (7 min spare)</v>
      </c>
      <c r="S40" s="11"/>
      <c r="T40" s="13" t="n">
        <f aca="false">IF(A40="","",IFERROR(INDEX(Classes!$E$5:$E$23,MATCH(A40,Classes!$A$5:$A$23,0)),""))</f>
        <v>18</v>
      </c>
      <c r="U40" s="13" t="str">
        <f aca="false">IF(A40="","",IFERROR(INDEX(Classes!$F$5:$F$23,MATCH(A40,Classes!$A$5:$A$23,0)),""))</f>
        <v>None;Pads/bag;Partner drilling;Live grappling;Light touch (body);Controlled sparring</v>
      </c>
      <c r="V40" s="13" t="str">
        <f aca="false">IF(OR(D40="",$A40=""),"",IF(ISNA(MATCH(D40,Drills!$A$5:$A$127,0)),"?",IF(N(INDEX(Drills!$K$5:$K$127,MATCH(D40,Drills!$A$5:$A$127,0)))&gt;N($T40),"A","")&amp;IF(ISNUMBER(SEARCH(INDEX(Drills!$E$5:$E$127,MATCH(D40,Drills!$A$5:$A$127,0)),$U40)),"","C")))</f>
        <v/>
      </c>
      <c r="W40" s="13" t="str">
        <f aca="false">IF(OR(F40="",$A40=""),"",IF(ISNA(MATCH(F40,Drills!$A$5:$A$127,0)),"?",IF(N(INDEX(Drills!$K$5:$K$127,MATCH(F40,Drills!$A$5:$A$127,0)))&gt;N($T40),"A","")&amp;IF(ISNUMBER(SEARCH(INDEX(Drills!$E$5:$E$127,MATCH(F40,Drills!$A$5:$A$127,0)),$U40)),"","C")))</f>
        <v/>
      </c>
      <c r="X40" s="13" t="str">
        <f aca="false">IF(OR(H40="",$A40=""),"",IF(ISNA(MATCH(H40,Drills!$A$5:$A$127,0)),"?",IF(N(INDEX(Drills!$K$5:$K$127,MATCH(H40,Drills!$A$5:$A$127,0)))&gt;N($T40),"A","")&amp;IF(ISNUMBER(SEARCH(INDEX(Drills!$E$5:$E$127,MATCH(H40,Drills!$A$5:$A$127,0)),$U40)),"","C")))</f>
        <v/>
      </c>
      <c r="Y40" s="13" t="str">
        <f aca="false">IF(OR(J40="",$A40=""),"",IF(ISNA(MATCH(J40,Drills!$A$5:$A$127,0)),"?",IF(N(INDEX(Drills!$K$5:$K$127,MATCH(J40,Drills!$A$5:$A$127,0)))&gt;N($T40),"A","")&amp;IF(ISNUMBER(SEARCH(INDEX(Drills!$E$5:$E$127,MATCH(J40,Drills!$A$5:$A$127,0)),$U40)),"","C")))</f>
        <v/>
      </c>
      <c r="Z40" s="13" t="str">
        <f aca="false">IF(OR(L40="",$A40=""),"",IF(ISNA(MATCH(L40,Drills!$A$5:$A$127,0)),"?",IF(N(INDEX(Drills!$K$5:$K$127,MATCH(L40,Drills!$A$5:$A$127,0)))&gt;N($T40),"A","")&amp;IF(ISNUMBER(SEARCH(INDEX(Drills!$E$5:$E$127,MATCH(L40,Drills!$A$5:$A$127,0)),$U40)),"","C")))</f>
        <v/>
      </c>
      <c r="AA40" s="13" t="str">
        <f aca="false">IF(OR(N40="",$A40=""),"",IF(ISNA(MATCH(N40,Drills!$A$5:$A$127,0)),"?",IF(N(INDEX(Drills!$K$5:$K$127,MATCH(N40,Drills!$A$5:$A$127,0)))&gt;N($T40),"A","")&amp;IF(ISNUMBER(SEARCH(INDEX(Drills!$E$5:$E$127,MATCH(N40,Drills!$A$5:$A$127,0)),$U40)),"","C")))</f>
        <v/>
      </c>
      <c r="AB40" s="13" t="str">
        <f aca="false">IF(A40="","",IFERROR(INDEX(Classes!$I$5:$I$23,MATCH(A40,Classes!$A$5:$A$23,0)),""))</f>
        <v>No</v>
      </c>
    </row>
    <row r="41" customFormat="false" ht="18" hidden="false" customHeight="true" outlineLevel="0" collapsed="false">
      <c r="A41" s="11"/>
      <c r="B41" s="11"/>
      <c r="C41" s="11"/>
      <c r="D41" s="11"/>
      <c r="E41" s="12" t="str">
        <f aca="false">IF(D41="","",IFERROR(INDEX(Drills!$G$5:$G$127,MATCH(D41,Drills!$A$5:$A$127,0)),""))</f>
        <v/>
      </c>
      <c r="F41" s="11"/>
      <c r="G41" s="12" t="str">
        <f aca="false">IF(F41="","",IFERROR(INDEX(Drills!$G$5:$G$127,MATCH(F41,Drills!$A$5:$A$127,0)),""))</f>
        <v/>
      </c>
      <c r="H41" s="11"/>
      <c r="I41" s="12" t="str">
        <f aca="false">IF(H41="","",IFERROR(INDEX(Drills!$G$5:$G$127,MATCH(H41,Drills!$A$5:$A$127,0)),""))</f>
        <v/>
      </c>
      <c r="J41" s="11"/>
      <c r="K41" s="12" t="str">
        <f aca="false">IF(J41="","",IFERROR(INDEX(Drills!$G$5:$G$127,MATCH(J41,Drills!$A$5:$A$127,0)),""))</f>
        <v/>
      </c>
      <c r="L41" s="11"/>
      <c r="M41" s="12" t="str">
        <f aca="false">IF(L41="","",IFERROR(INDEX(Drills!$G$5:$G$127,MATCH(L41,Drills!$A$5:$A$127,0)),""))</f>
        <v/>
      </c>
      <c r="N41" s="11"/>
      <c r="O41" s="12" t="str">
        <f aca="false">IF(N41="","",IFERROR(INDEX(Drills!$G$5:$G$127,MATCH(N41,Drills!$A$5:$A$127,0)),""))</f>
        <v/>
      </c>
      <c r="P41" s="14" t="str">
        <f aca="false">IF(A41="","",SUM(E41,G41,I41,K41,M41,O41))</f>
        <v/>
      </c>
      <c r="Q41" s="14" t="str">
        <f aca="false">IF(A41="","",IFERROR(INDEX(Classes!$C$5:$C$23,MATCH(A41,Classes!$A$5:$A$23,0)),""))</f>
        <v/>
      </c>
      <c r="R41" s="15" t="str">
        <f aca="false">IF(A41="","",IF(TRIM(IF(AND(N(Q41)&gt;0,N(P41)&gt;N(Q41)),"Over by "&amp;(P41-Q41)&amp;" min. ","")&amp;IF(AND(COUNTIF(V41:AA41,"*A*")&gt;0,AB41&lt;&gt;"Yes"),"Age check. ","")&amp;IF(COUNTIF(V41:AA41,"*C*")&gt;0,"Contact check. ","")&amp;IF(COUNTIF(V41:AA41,"~?")&gt;0,"Drill not in library. ",""))="","OK"&amp;IF(AND(COUNTIF(V41:AA41,"*A*")&gt;0,AB41="Yes")," · split by age","")&amp;IF(N(Q41)&gt;N(P41)," ("&amp;(Q41-P41)&amp;" min spare)",""),TRIM(IF(AND(N(Q41)&gt;0,N(P41)&gt;N(Q41)),"Over by "&amp;(P41-Q41)&amp;" min. ","")&amp;IF(AND(COUNTIF(V41:AA41,"*A*")&gt;0,AB41&lt;&gt;"Yes"),"Age check. ","")&amp;IF(COUNTIF(V41:AA41,"*C*")&gt;0,"Contact check. ","")&amp;IF(COUNTIF(V41:AA41,"~?")&gt;0,"Drill not in library. ",""))&amp;IF(AND(COUNTIF(V41:AA41,"*A*")&gt;0,AB41="Yes")," · split by age","")))</f>
        <v/>
      </c>
      <c r="S41" s="11"/>
      <c r="T41" s="13" t="str">
        <f aca="false">IF(A41="","",IFERROR(INDEX(Classes!$E$5:$E$23,MATCH(A41,Classes!$A$5:$A$23,0)),""))</f>
        <v/>
      </c>
      <c r="U41" s="13" t="str">
        <f aca="false">IF(A41="","",IFERROR(INDEX(Classes!$F$5:$F$23,MATCH(A41,Classes!$A$5:$A$23,0)),""))</f>
        <v/>
      </c>
      <c r="V41" s="13" t="str">
        <f aca="false">IF(OR(D41="",$A41=""),"",IF(ISNA(MATCH(D41,Drills!$A$5:$A$127,0)),"?",IF(N(INDEX(Drills!$K$5:$K$127,MATCH(D41,Drills!$A$5:$A$127,0)))&gt;N($T41),"A","")&amp;IF(ISNUMBER(SEARCH(INDEX(Drills!$E$5:$E$127,MATCH(D41,Drills!$A$5:$A$127,0)),$U41)),"","C")))</f>
        <v/>
      </c>
      <c r="W41" s="13" t="str">
        <f aca="false">IF(OR(F41="",$A41=""),"",IF(ISNA(MATCH(F41,Drills!$A$5:$A$127,0)),"?",IF(N(INDEX(Drills!$K$5:$K$127,MATCH(F41,Drills!$A$5:$A$127,0)))&gt;N($T41),"A","")&amp;IF(ISNUMBER(SEARCH(INDEX(Drills!$E$5:$E$127,MATCH(F41,Drills!$A$5:$A$127,0)),$U41)),"","C")))</f>
        <v/>
      </c>
      <c r="X41" s="13" t="str">
        <f aca="false">IF(OR(H41="",$A41=""),"",IF(ISNA(MATCH(H41,Drills!$A$5:$A$127,0)),"?",IF(N(INDEX(Drills!$K$5:$K$127,MATCH(H41,Drills!$A$5:$A$127,0)))&gt;N($T41),"A","")&amp;IF(ISNUMBER(SEARCH(INDEX(Drills!$E$5:$E$127,MATCH(H41,Drills!$A$5:$A$127,0)),$U41)),"","C")))</f>
        <v/>
      </c>
      <c r="Y41" s="13" t="str">
        <f aca="false">IF(OR(J41="",$A41=""),"",IF(ISNA(MATCH(J41,Drills!$A$5:$A$127,0)),"?",IF(N(INDEX(Drills!$K$5:$K$127,MATCH(J41,Drills!$A$5:$A$127,0)))&gt;N($T41),"A","")&amp;IF(ISNUMBER(SEARCH(INDEX(Drills!$E$5:$E$127,MATCH(J41,Drills!$A$5:$A$127,0)),$U41)),"","C")))</f>
        <v/>
      </c>
      <c r="Z41" s="13" t="str">
        <f aca="false">IF(OR(L41="",$A41=""),"",IF(ISNA(MATCH(L41,Drills!$A$5:$A$127,0)),"?",IF(N(INDEX(Drills!$K$5:$K$127,MATCH(L41,Drills!$A$5:$A$127,0)))&gt;N($T41),"A","")&amp;IF(ISNUMBER(SEARCH(INDEX(Drills!$E$5:$E$127,MATCH(L41,Drills!$A$5:$A$127,0)),$U41)),"","C")))</f>
        <v/>
      </c>
      <c r="AA41" s="13" t="str">
        <f aca="false">IF(OR(N41="",$A41=""),"",IF(ISNA(MATCH(N41,Drills!$A$5:$A$127,0)),"?",IF(N(INDEX(Drills!$K$5:$K$127,MATCH(N41,Drills!$A$5:$A$127,0)))&gt;N($T41),"A","")&amp;IF(ISNUMBER(SEARCH(INDEX(Drills!$E$5:$E$127,MATCH(N41,Drills!$A$5:$A$127,0)),$U41)),"","C")))</f>
        <v/>
      </c>
      <c r="AB41" s="13" t="str">
        <f aca="false">IF(A41="","",IFERROR(INDEX(Classes!$I$5:$I$23,MATCH(A41,Classes!$A$5:$A$23,0)),""))</f>
        <v/>
      </c>
    </row>
    <row r="42" customFormat="false" ht="18" hidden="false" customHeight="true" outlineLevel="0" collapsed="false">
      <c r="A42" s="11"/>
      <c r="B42" s="11"/>
      <c r="C42" s="11"/>
      <c r="D42" s="11"/>
      <c r="E42" s="12" t="str">
        <f aca="false">IF(D42="","",IFERROR(INDEX(Drills!$G$5:$G$127,MATCH(D42,Drills!$A$5:$A$127,0)),""))</f>
        <v/>
      </c>
      <c r="F42" s="11"/>
      <c r="G42" s="12" t="str">
        <f aca="false">IF(F42="","",IFERROR(INDEX(Drills!$G$5:$G$127,MATCH(F42,Drills!$A$5:$A$127,0)),""))</f>
        <v/>
      </c>
      <c r="H42" s="11"/>
      <c r="I42" s="12" t="str">
        <f aca="false">IF(H42="","",IFERROR(INDEX(Drills!$G$5:$G$127,MATCH(H42,Drills!$A$5:$A$127,0)),""))</f>
        <v/>
      </c>
      <c r="J42" s="11"/>
      <c r="K42" s="12" t="str">
        <f aca="false">IF(J42="","",IFERROR(INDEX(Drills!$G$5:$G$127,MATCH(J42,Drills!$A$5:$A$127,0)),""))</f>
        <v/>
      </c>
      <c r="L42" s="11"/>
      <c r="M42" s="12" t="str">
        <f aca="false">IF(L42="","",IFERROR(INDEX(Drills!$G$5:$G$127,MATCH(L42,Drills!$A$5:$A$127,0)),""))</f>
        <v/>
      </c>
      <c r="N42" s="11"/>
      <c r="O42" s="12" t="str">
        <f aca="false">IF(N42="","",IFERROR(INDEX(Drills!$G$5:$G$127,MATCH(N42,Drills!$A$5:$A$127,0)),""))</f>
        <v/>
      </c>
      <c r="P42" s="14" t="str">
        <f aca="false">IF(A42="","",SUM(E42,G42,I42,K42,M42,O42))</f>
        <v/>
      </c>
      <c r="Q42" s="14" t="str">
        <f aca="false">IF(A42="","",IFERROR(INDEX(Classes!$C$5:$C$23,MATCH(A42,Classes!$A$5:$A$23,0)),""))</f>
        <v/>
      </c>
      <c r="R42" s="15" t="str">
        <f aca="false">IF(A42="","",IF(TRIM(IF(AND(N(Q42)&gt;0,N(P42)&gt;N(Q42)),"Over by "&amp;(P42-Q42)&amp;" min. ","")&amp;IF(AND(COUNTIF(V42:AA42,"*A*")&gt;0,AB42&lt;&gt;"Yes"),"Age check. ","")&amp;IF(COUNTIF(V42:AA42,"*C*")&gt;0,"Contact check. ","")&amp;IF(COUNTIF(V42:AA42,"~?")&gt;0,"Drill not in library. ",""))="","OK"&amp;IF(AND(COUNTIF(V42:AA42,"*A*")&gt;0,AB42="Yes")," · split by age","")&amp;IF(N(Q42)&gt;N(P42)," ("&amp;(Q42-P42)&amp;" min spare)",""),TRIM(IF(AND(N(Q42)&gt;0,N(P42)&gt;N(Q42)),"Over by "&amp;(P42-Q42)&amp;" min. ","")&amp;IF(AND(COUNTIF(V42:AA42,"*A*")&gt;0,AB42&lt;&gt;"Yes"),"Age check. ","")&amp;IF(COUNTIF(V42:AA42,"*C*")&gt;0,"Contact check. ","")&amp;IF(COUNTIF(V42:AA42,"~?")&gt;0,"Drill not in library. ",""))&amp;IF(AND(COUNTIF(V42:AA42,"*A*")&gt;0,AB42="Yes")," · split by age","")))</f>
        <v/>
      </c>
      <c r="S42" s="11"/>
      <c r="T42" s="13" t="str">
        <f aca="false">IF(A42="","",IFERROR(INDEX(Classes!$E$5:$E$23,MATCH(A42,Classes!$A$5:$A$23,0)),""))</f>
        <v/>
      </c>
      <c r="U42" s="13" t="str">
        <f aca="false">IF(A42="","",IFERROR(INDEX(Classes!$F$5:$F$23,MATCH(A42,Classes!$A$5:$A$23,0)),""))</f>
        <v/>
      </c>
      <c r="V42" s="13" t="str">
        <f aca="false">IF(OR(D42="",$A42=""),"",IF(ISNA(MATCH(D42,Drills!$A$5:$A$127,0)),"?",IF(N(INDEX(Drills!$K$5:$K$127,MATCH(D42,Drills!$A$5:$A$127,0)))&gt;N($T42),"A","")&amp;IF(ISNUMBER(SEARCH(INDEX(Drills!$E$5:$E$127,MATCH(D42,Drills!$A$5:$A$127,0)),$U42)),"","C")))</f>
        <v/>
      </c>
      <c r="W42" s="13" t="str">
        <f aca="false">IF(OR(F42="",$A42=""),"",IF(ISNA(MATCH(F42,Drills!$A$5:$A$127,0)),"?",IF(N(INDEX(Drills!$K$5:$K$127,MATCH(F42,Drills!$A$5:$A$127,0)))&gt;N($T42),"A","")&amp;IF(ISNUMBER(SEARCH(INDEX(Drills!$E$5:$E$127,MATCH(F42,Drills!$A$5:$A$127,0)),$U42)),"","C")))</f>
        <v/>
      </c>
      <c r="X42" s="13" t="str">
        <f aca="false">IF(OR(H42="",$A42=""),"",IF(ISNA(MATCH(H42,Drills!$A$5:$A$127,0)),"?",IF(N(INDEX(Drills!$K$5:$K$127,MATCH(H42,Drills!$A$5:$A$127,0)))&gt;N($T42),"A","")&amp;IF(ISNUMBER(SEARCH(INDEX(Drills!$E$5:$E$127,MATCH(H42,Drills!$A$5:$A$127,0)),$U42)),"","C")))</f>
        <v/>
      </c>
      <c r="Y42" s="13" t="str">
        <f aca="false">IF(OR(J42="",$A42=""),"",IF(ISNA(MATCH(J42,Drills!$A$5:$A$127,0)),"?",IF(N(INDEX(Drills!$K$5:$K$127,MATCH(J42,Drills!$A$5:$A$127,0)))&gt;N($T42),"A","")&amp;IF(ISNUMBER(SEARCH(INDEX(Drills!$E$5:$E$127,MATCH(J42,Drills!$A$5:$A$127,0)),$U42)),"","C")))</f>
        <v/>
      </c>
      <c r="Z42" s="13" t="str">
        <f aca="false">IF(OR(L42="",$A42=""),"",IF(ISNA(MATCH(L42,Drills!$A$5:$A$127,0)),"?",IF(N(INDEX(Drills!$K$5:$K$127,MATCH(L42,Drills!$A$5:$A$127,0)))&gt;N($T42),"A","")&amp;IF(ISNUMBER(SEARCH(INDEX(Drills!$E$5:$E$127,MATCH(L42,Drills!$A$5:$A$127,0)),$U42)),"","C")))</f>
        <v/>
      </c>
      <c r="AA42" s="13" t="str">
        <f aca="false">IF(OR(N42="",$A42=""),"",IF(ISNA(MATCH(N42,Drills!$A$5:$A$127,0)),"?",IF(N(INDEX(Drills!$K$5:$K$127,MATCH(N42,Drills!$A$5:$A$127,0)))&gt;N($T42),"A","")&amp;IF(ISNUMBER(SEARCH(INDEX(Drills!$E$5:$E$127,MATCH(N42,Drills!$A$5:$A$127,0)),$U42)),"","C")))</f>
        <v/>
      </c>
      <c r="AB42" s="13" t="str">
        <f aca="false">IF(A42="","",IFERROR(INDEX(Classes!$I$5:$I$23,MATCH(A42,Classes!$A$5:$A$23,0)),""))</f>
        <v/>
      </c>
    </row>
    <row r="43" customFormat="false" ht="18" hidden="false" customHeight="true" outlineLevel="0" collapsed="false">
      <c r="A43" s="11"/>
      <c r="B43" s="11"/>
      <c r="C43" s="11"/>
      <c r="D43" s="11"/>
      <c r="E43" s="12" t="str">
        <f aca="false">IF(D43="","",IFERROR(INDEX(Drills!$G$5:$G$127,MATCH(D43,Drills!$A$5:$A$127,0)),""))</f>
        <v/>
      </c>
      <c r="F43" s="11"/>
      <c r="G43" s="12" t="str">
        <f aca="false">IF(F43="","",IFERROR(INDEX(Drills!$G$5:$G$127,MATCH(F43,Drills!$A$5:$A$127,0)),""))</f>
        <v/>
      </c>
      <c r="H43" s="11"/>
      <c r="I43" s="12" t="str">
        <f aca="false">IF(H43="","",IFERROR(INDEX(Drills!$G$5:$G$127,MATCH(H43,Drills!$A$5:$A$127,0)),""))</f>
        <v/>
      </c>
      <c r="J43" s="11"/>
      <c r="K43" s="12" t="str">
        <f aca="false">IF(J43="","",IFERROR(INDEX(Drills!$G$5:$G$127,MATCH(J43,Drills!$A$5:$A$127,0)),""))</f>
        <v/>
      </c>
      <c r="L43" s="11"/>
      <c r="M43" s="12" t="str">
        <f aca="false">IF(L43="","",IFERROR(INDEX(Drills!$G$5:$G$127,MATCH(L43,Drills!$A$5:$A$127,0)),""))</f>
        <v/>
      </c>
      <c r="N43" s="11"/>
      <c r="O43" s="12" t="str">
        <f aca="false">IF(N43="","",IFERROR(INDEX(Drills!$G$5:$G$127,MATCH(N43,Drills!$A$5:$A$127,0)),""))</f>
        <v/>
      </c>
      <c r="P43" s="14" t="str">
        <f aca="false">IF(A43="","",SUM(E43,G43,I43,K43,M43,O43))</f>
        <v/>
      </c>
      <c r="Q43" s="14" t="str">
        <f aca="false">IF(A43="","",IFERROR(INDEX(Classes!$C$5:$C$23,MATCH(A43,Classes!$A$5:$A$23,0)),""))</f>
        <v/>
      </c>
      <c r="R43" s="15" t="str">
        <f aca="false">IF(A43="","",IF(TRIM(IF(AND(N(Q43)&gt;0,N(P43)&gt;N(Q43)),"Over by "&amp;(P43-Q43)&amp;" min. ","")&amp;IF(AND(COUNTIF(V43:AA43,"*A*")&gt;0,AB43&lt;&gt;"Yes"),"Age check. ","")&amp;IF(COUNTIF(V43:AA43,"*C*")&gt;0,"Contact check. ","")&amp;IF(COUNTIF(V43:AA43,"~?")&gt;0,"Drill not in library. ",""))="","OK"&amp;IF(AND(COUNTIF(V43:AA43,"*A*")&gt;0,AB43="Yes")," · split by age","")&amp;IF(N(Q43)&gt;N(P43)," ("&amp;(Q43-P43)&amp;" min spare)",""),TRIM(IF(AND(N(Q43)&gt;0,N(P43)&gt;N(Q43)),"Over by "&amp;(P43-Q43)&amp;" min. ","")&amp;IF(AND(COUNTIF(V43:AA43,"*A*")&gt;0,AB43&lt;&gt;"Yes"),"Age check. ","")&amp;IF(COUNTIF(V43:AA43,"*C*")&gt;0,"Contact check. ","")&amp;IF(COUNTIF(V43:AA43,"~?")&gt;0,"Drill not in library. ",""))&amp;IF(AND(COUNTIF(V43:AA43,"*A*")&gt;0,AB43="Yes")," · split by age","")))</f>
        <v/>
      </c>
      <c r="S43" s="11"/>
      <c r="T43" s="13" t="str">
        <f aca="false">IF(A43="","",IFERROR(INDEX(Classes!$E$5:$E$23,MATCH(A43,Classes!$A$5:$A$23,0)),""))</f>
        <v/>
      </c>
      <c r="U43" s="13" t="str">
        <f aca="false">IF(A43="","",IFERROR(INDEX(Classes!$F$5:$F$23,MATCH(A43,Classes!$A$5:$A$23,0)),""))</f>
        <v/>
      </c>
      <c r="V43" s="13" t="str">
        <f aca="false">IF(OR(D43="",$A43=""),"",IF(ISNA(MATCH(D43,Drills!$A$5:$A$127,0)),"?",IF(N(INDEX(Drills!$K$5:$K$127,MATCH(D43,Drills!$A$5:$A$127,0)))&gt;N($T43),"A","")&amp;IF(ISNUMBER(SEARCH(INDEX(Drills!$E$5:$E$127,MATCH(D43,Drills!$A$5:$A$127,0)),$U43)),"","C")))</f>
        <v/>
      </c>
      <c r="W43" s="13" t="str">
        <f aca="false">IF(OR(F43="",$A43=""),"",IF(ISNA(MATCH(F43,Drills!$A$5:$A$127,0)),"?",IF(N(INDEX(Drills!$K$5:$K$127,MATCH(F43,Drills!$A$5:$A$127,0)))&gt;N($T43),"A","")&amp;IF(ISNUMBER(SEARCH(INDEX(Drills!$E$5:$E$127,MATCH(F43,Drills!$A$5:$A$127,0)),$U43)),"","C")))</f>
        <v/>
      </c>
      <c r="X43" s="13" t="str">
        <f aca="false">IF(OR(H43="",$A43=""),"",IF(ISNA(MATCH(H43,Drills!$A$5:$A$127,0)),"?",IF(N(INDEX(Drills!$K$5:$K$127,MATCH(H43,Drills!$A$5:$A$127,0)))&gt;N($T43),"A","")&amp;IF(ISNUMBER(SEARCH(INDEX(Drills!$E$5:$E$127,MATCH(H43,Drills!$A$5:$A$127,0)),$U43)),"","C")))</f>
        <v/>
      </c>
      <c r="Y43" s="13" t="str">
        <f aca="false">IF(OR(J43="",$A43=""),"",IF(ISNA(MATCH(J43,Drills!$A$5:$A$127,0)),"?",IF(N(INDEX(Drills!$K$5:$K$127,MATCH(J43,Drills!$A$5:$A$127,0)))&gt;N($T43),"A","")&amp;IF(ISNUMBER(SEARCH(INDEX(Drills!$E$5:$E$127,MATCH(J43,Drills!$A$5:$A$127,0)),$U43)),"","C")))</f>
        <v/>
      </c>
      <c r="Z43" s="13" t="str">
        <f aca="false">IF(OR(L43="",$A43=""),"",IF(ISNA(MATCH(L43,Drills!$A$5:$A$127,0)),"?",IF(N(INDEX(Drills!$K$5:$K$127,MATCH(L43,Drills!$A$5:$A$127,0)))&gt;N($T43),"A","")&amp;IF(ISNUMBER(SEARCH(INDEX(Drills!$E$5:$E$127,MATCH(L43,Drills!$A$5:$A$127,0)),$U43)),"","C")))</f>
        <v/>
      </c>
      <c r="AA43" s="13" t="str">
        <f aca="false">IF(OR(N43="",$A43=""),"",IF(ISNA(MATCH(N43,Drills!$A$5:$A$127,0)),"?",IF(N(INDEX(Drills!$K$5:$K$127,MATCH(N43,Drills!$A$5:$A$127,0)))&gt;N($T43),"A","")&amp;IF(ISNUMBER(SEARCH(INDEX(Drills!$E$5:$E$127,MATCH(N43,Drills!$A$5:$A$127,0)),$U43)),"","C")))</f>
        <v/>
      </c>
      <c r="AB43" s="13" t="str">
        <f aca="false">IF(A43="","",IFERROR(INDEX(Classes!$I$5:$I$23,MATCH(A43,Classes!$A$5:$A$23,0)),""))</f>
        <v/>
      </c>
    </row>
    <row r="44" customFormat="false" ht="18" hidden="false" customHeight="true" outlineLevel="0" collapsed="false">
      <c r="A44" s="11"/>
      <c r="B44" s="11"/>
      <c r="C44" s="11"/>
      <c r="D44" s="11"/>
      <c r="E44" s="12" t="str">
        <f aca="false">IF(D44="","",IFERROR(INDEX(Drills!$G$5:$G$127,MATCH(D44,Drills!$A$5:$A$127,0)),""))</f>
        <v/>
      </c>
      <c r="F44" s="11"/>
      <c r="G44" s="12" t="str">
        <f aca="false">IF(F44="","",IFERROR(INDEX(Drills!$G$5:$G$127,MATCH(F44,Drills!$A$5:$A$127,0)),""))</f>
        <v/>
      </c>
      <c r="H44" s="11"/>
      <c r="I44" s="12" t="str">
        <f aca="false">IF(H44="","",IFERROR(INDEX(Drills!$G$5:$G$127,MATCH(H44,Drills!$A$5:$A$127,0)),""))</f>
        <v/>
      </c>
      <c r="J44" s="11"/>
      <c r="K44" s="12" t="str">
        <f aca="false">IF(J44="","",IFERROR(INDEX(Drills!$G$5:$G$127,MATCH(J44,Drills!$A$5:$A$127,0)),""))</f>
        <v/>
      </c>
      <c r="L44" s="11"/>
      <c r="M44" s="12" t="str">
        <f aca="false">IF(L44="","",IFERROR(INDEX(Drills!$G$5:$G$127,MATCH(L44,Drills!$A$5:$A$127,0)),""))</f>
        <v/>
      </c>
      <c r="N44" s="11"/>
      <c r="O44" s="12" t="str">
        <f aca="false">IF(N44="","",IFERROR(INDEX(Drills!$G$5:$G$127,MATCH(N44,Drills!$A$5:$A$127,0)),""))</f>
        <v/>
      </c>
      <c r="P44" s="14" t="str">
        <f aca="false">IF(A44="","",SUM(E44,G44,I44,K44,M44,O44))</f>
        <v/>
      </c>
      <c r="Q44" s="14" t="str">
        <f aca="false">IF(A44="","",IFERROR(INDEX(Classes!$C$5:$C$23,MATCH(A44,Classes!$A$5:$A$23,0)),""))</f>
        <v/>
      </c>
      <c r="R44" s="15" t="str">
        <f aca="false">IF(A44="","",IF(TRIM(IF(AND(N(Q44)&gt;0,N(P44)&gt;N(Q44)),"Over by "&amp;(P44-Q44)&amp;" min. ","")&amp;IF(AND(COUNTIF(V44:AA44,"*A*")&gt;0,AB44&lt;&gt;"Yes"),"Age check. ","")&amp;IF(COUNTIF(V44:AA44,"*C*")&gt;0,"Contact check. ","")&amp;IF(COUNTIF(V44:AA44,"~?")&gt;0,"Drill not in library. ",""))="","OK"&amp;IF(AND(COUNTIF(V44:AA44,"*A*")&gt;0,AB44="Yes")," · split by age","")&amp;IF(N(Q44)&gt;N(P44)," ("&amp;(Q44-P44)&amp;" min spare)",""),TRIM(IF(AND(N(Q44)&gt;0,N(P44)&gt;N(Q44)),"Over by "&amp;(P44-Q44)&amp;" min. ","")&amp;IF(AND(COUNTIF(V44:AA44,"*A*")&gt;0,AB44&lt;&gt;"Yes"),"Age check. ","")&amp;IF(COUNTIF(V44:AA44,"*C*")&gt;0,"Contact check. ","")&amp;IF(COUNTIF(V44:AA44,"~?")&gt;0,"Drill not in library. ",""))&amp;IF(AND(COUNTIF(V44:AA44,"*A*")&gt;0,AB44="Yes")," · split by age","")))</f>
        <v/>
      </c>
      <c r="S44" s="11"/>
      <c r="T44" s="13" t="str">
        <f aca="false">IF(A44="","",IFERROR(INDEX(Classes!$E$5:$E$23,MATCH(A44,Classes!$A$5:$A$23,0)),""))</f>
        <v/>
      </c>
      <c r="U44" s="13" t="str">
        <f aca="false">IF(A44="","",IFERROR(INDEX(Classes!$F$5:$F$23,MATCH(A44,Classes!$A$5:$A$23,0)),""))</f>
        <v/>
      </c>
      <c r="V44" s="13" t="str">
        <f aca="false">IF(OR(D44="",$A44=""),"",IF(ISNA(MATCH(D44,Drills!$A$5:$A$127,0)),"?",IF(N(INDEX(Drills!$K$5:$K$127,MATCH(D44,Drills!$A$5:$A$127,0)))&gt;N($T44),"A","")&amp;IF(ISNUMBER(SEARCH(INDEX(Drills!$E$5:$E$127,MATCH(D44,Drills!$A$5:$A$127,0)),$U44)),"","C")))</f>
        <v/>
      </c>
      <c r="W44" s="13" t="str">
        <f aca="false">IF(OR(F44="",$A44=""),"",IF(ISNA(MATCH(F44,Drills!$A$5:$A$127,0)),"?",IF(N(INDEX(Drills!$K$5:$K$127,MATCH(F44,Drills!$A$5:$A$127,0)))&gt;N($T44),"A","")&amp;IF(ISNUMBER(SEARCH(INDEX(Drills!$E$5:$E$127,MATCH(F44,Drills!$A$5:$A$127,0)),$U44)),"","C")))</f>
        <v/>
      </c>
      <c r="X44" s="13" t="str">
        <f aca="false">IF(OR(H44="",$A44=""),"",IF(ISNA(MATCH(H44,Drills!$A$5:$A$127,0)),"?",IF(N(INDEX(Drills!$K$5:$K$127,MATCH(H44,Drills!$A$5:$A$127,0)))&gt;N($T44),"A","")&amp;IF(ISNUMBER(SEARCH(INDEX(Drills!$E$5:$E$127,MATCH(H44,Drills!$A$5:$A$127,0)),$U44)),"","C")))</f>
        <v/>
      </c>
      <c r="Y44" s="13" t="str">
        <f aca="false">IF(OR(J44="",$A44=""),"",IF(ISNA(MATCH(J44,Drills!$A$5:$A$127,0)),"?",IF(N(INDEX(Drills!$K$5:$K$127,MATCH(J44,Drills!$A$5:$A$127,0)))&gt;N($T44),"A","")&amp;IF(ISNUMBER(SEARCH(INDEX(Drills!$E$5:$E$127,MATCH(J44,Drills!$A$5:$A$127,0)),$U44)),"","C")))</f>
        <v/>
      </c>
      <c r="Z44" s="13" t="str">
        <f aca="false">IF(OR(L44="",$A44=""),"",IF(ISNA(MATCH(L44,Drills!$A$5:$A$127,0)),"?",IF(N(INDEX(Drills!$K$5:$K$127,MATCH(L44,Drills!$A$5:$A$127,0)))&gt;N($T44),"A","")&amp;IF(ISNUMBER(SEARCH(INDEX(Drills!$E$5:$E$127,MATCH(L44,Drills!$A$5:$A$127,0)),$U44)),"","C")))</f>
        <v/>
      </c>
      <c r="AA44" s="13" t="str">
        <f aca="false">IF(OR(N44="",$A44=""),"",IF(ISNA(MATCH(N44,Drills!$A$5:$A$127,0)),"?",IF(N(INDEX(Drills!$K$5:$K$127,MATCH(N44,Drills!$A$5:$A$127,0)))&gt;N($T44),"A","")&amp;IF(ISNUMBER(SEARCH(INDEX(Drills!$E$5:$E$127,MATCH(N44,Drills!$A$5:$A$127,0)),$U44)),"","C")))</f>
        <v/>
      </c>
      <c r="AB44" s="13" t="str">
        <f aca="false">IF(A44="","",IFERROR(INDEX(Classes!$I$5:$I$23,MATCH(A44,Classes!$A$5:$A$23,0)),""))</f>
        <v/>
      </c>
    </row>
    <row r="45" customFormat="false" ht="18" hidden="false" customHeight="true" outlineLevel="0" collapsed="false">
      <c r="A45" s="11"/>
      <c r="B45" s="11"/>
      <c r="C45" s="11"/>
      <c r="D45" s="11"/>
      <c r="E45" s="12" t="str">
        <f aca="false">IF(D45="","",IFERROR(INDEX(Drills!$G$5:$G$127,MATCH(D45,Drills!$A$5:$A$127,0)),""))</f>
        <v/>
      </c>
      <c r="F45" s="11"/>
      <c r="G45" s="12" t="str">
        <f aca="false">IF(F45="","",IFERROR(INDEX(Drills!$G$5:$G$127,MATCH(F45,Drills!$A$5:$A$127,0)),""))</f>
        <v/>
      </c>
      <c r="H45" s="11"/>
      <c r="I45" s="12" t="str">
        <f aca="false">IF(H45="","",IFERROR(INDEX(Drills!$G$5:$G$127,MATCH(H45,Drills!$A$5:$A$127,0)),""))</f>
        <v/>
      </c>
      <c r="J45" s="11"/>
      <c r="K45" s="12" t="str">
        <f aca="false">IF(J45="","",IFERROR(INDEX(Drills!$G$5:$G$127,MATCH(J45,Drills!$A$5:$A$127,0)),""))</f>
        <v/>
      </c>
      <c r="L45" s="11"/>
      <c r="M45" s="12" t="str">
        <f aca="false">IF(L45="","",IFERROR(INDEX(Drills!$G$5:$G$127,MATCH(L45,Drills!$A$5:$A$127,0)),""))</f>
        <v/>
      </c>
      <c r="N45" s="11"/>
      <c r="O45" s="12" t="str">
        <f aca="false">IF(N45="","",IFERROR(INDEX(Drills!$G$5:$G$127,MATCH(N45,Drills!$A$5:$A$127,0)),""))</f>
        <v/>
      </c>
      <c r="P45" s="14" t="str">
        <f aca="false">IF(A45="","",SUM(E45,G45,I45,K45,M45,O45))</f>
        <v/>
      </c>
      <c r="Q45" s="14" t="str">
        <f aca="false">IF(A45="","",IFERROR(INDEX(Classes!$C$5:$C$23,MATCH(A45,Classes!$A$5:$A$23,0)),""))</f>
        <v/>
      </c>
      <c r="R45" s="15" t="str">
        <f aca="false">IF(A45="","",IF(TRIM(IF(AND(N(Q45)&gt;0,N(P45)&gt;N(Q45)),"Over by "&amp;(P45-Q45)&amp;" min. ","")&amp;IF(AND(COUNTIF(V45:AA45,"*A*")&gt;0,AB45&lt;&gt;"Yes"),"Age check. ","")&amp;IF(COUNTIF(V45:AA45,"*C*")&gt;0,"Contact check. ","")&amp;IF(COUNTIF(V45:AA45,"~?")&gt;0,"Drill not in library. ",""))="","OK"&amp;IF(AND(COUNTIF(V45:AA45,"*A*")&gt;0,AB45="Yes")," · split by age","")&amp;IF(N(Q45)&gt;N(P45)," ("&amp;(Q45-P45)&amp;" min spare)",""),TRIM(IF(AND(N(Q45)&gt;0,N(P45)&gt;N(Q45)),"Over by "&amp;(P45-Q45)&amp;" min. ","")&amp;IF(AND(COUNTIF(V45:AA45,"*A*")&gt;0,AB45&lt;&gt;"Yes"),"Age check. ","")&amp;IF(COUNTIF(V45:AA45,"*C*")&gt;0,"Contact check. ","")&amp;IF(COUNTIF(V45:AA45,"~?")&gt;0,"Drill not in library. ",""))&amp;IF(AND(COUNTIF(V45:AA45,"*A*")&gt;0,AB45="Yes")," · split by age","")))</f>
        <v/>
      </c>
      <c r="S45" s="11"/>
      <c r="T45" s="13" t="str">
        <f aca="false">IF(A45="","",IFERROR(INDEX(Classes!$E$5:$E$23,MATCH(A45,Classes!$A$5:$A$23,0)),""))</f>
        <v/>
      </c>
      <c r="U45" s="13" t="str">
        <f aca="false">IF(A45="","",IFERROR(INDEX(Classes!$F$5:$F$23,MATCH(A45,Classes!$A$5:$A$23,0)),""))</f>
        <v/>
      </c>
      <c r="V45" s="13" t="str">
        <f aca="false">IF(OR(D45="",$A45=""),"",IF(ISNA(MATCH(D45,Drills!$A$5:$A$127,0)),"?",IF(N(INDEX(Drills!$K$5:$K$127,MATCH(D45,Drills!$A$5:$A$127,0)))&gt;N($T45),"A","")&amp;IF(ISNUMBER(SEARCH(INDEX(Drills!$E$5:$E$127,MATCH(D45,Drills!$A$5:$A$127,0)),$U45)),"","C")))</f>
        <v/>
      </c>
      <c r="W45" s="13" t="str">
        <f aca="false">IF(OR(F45="",$A45=""),"",IF(ISNA(MATCH(F45,Drills!$A$5:$A$127,0)),"?",IF(N(INDEX(Drills!$K$5:$K$127,MATCH(F45,Drills!$A$5:$A$127,0)))&gt;N($T45),"A","")&amp;IF(ISNUMBER(SEARCH(INDEX(Drills!$E$5:$E$127,MATCH(F45,Drills!$A$5:$A$127,0)),$U45)),"","C")))</f>
        <v/>
      </c>
      <c r="X45" s="13" t="str">
        <f aca="false">IF(OR(H45="",$A45=""),"",IF(ISNA(MATCH(H45,Drills!$A$5:$A$127,0)),"?",IF(N(INDEX(Drills!$K$5:$K$127,MATCH(H45,Drills!$A$5:$A$127,0)))&gt;N($T45),"A","")&amp;IF(ISNUMBER(SEARCH(INDEX(Drills!$E$5:$E$127,MATCH(H45,Drills!$A$5:$A$127,0)),$U45)),"","C")))</f>
        <v/>
      </c>
      <c r="Y45" s="13" t="str">
        <f aca="false">IF(OR(J45="",$A45=""),"",IF(ISNA(MATCH(J45,Drills!$A$5:$A$127,0)),"?",IF(N(INDEX(Drills!$K$5:$K$127,MATCH(J45,Drills!$A$5:$A$127,0)))&gt;N($T45),"A","")&amp;IF(ISNUMBER(SEARCH(INDEX(Drills!$E$5:$E$127,MATCH(J45,Drills!$A$5:$A$127,0)),$U45)),"","C")))</f>
        <v/>
      </c>
      <c r="Z45" s="13" t="str">
        <f aca="false">IF(OR(L45="",$A45=""),"",IF(ISNA(MATCH(L45,Drills!$A$5:$A$127,0)),"?",IF(N(INDEX(Drills!$K$5:$K$127,MATCH(L45,Drills!$A$5:$A$127,0)))&gt;N($T45),"A","")&amp;IF(ISNUMBER(SEARCH(INDEX(Drills!$E$5:$E$127,MATCH(L45,Drills!$A$5:$A$127,0)),$U45)),"","C")))</f>
        <v/>
      </c>
      <c r="AA45" s="13" t="str">
        <f aca="false">IF(OR(N45="",$A45=""),"",IF(ISNA(MATCH(N45,Drills!$A$5:$A$127,0)),"?",IF(N(INDEX(Drills!$K$5:$K$127,MATCH(N45,Drills!$A$5:$A$127,0)))&gt;N($T45),"A","")&amp;IF(ISNUMBER(SEARCH(INDEX(Drills!$E$5:$E$127,MATCH(N45,Drills!$A$5:$A$127,0)),$U45)),"","C")))</f>
        <v/>
      </c>
      <c r="AB45" s="13" t="str">
        <f aca="false">IF(A45="","",IFERROR(INDEX(Classes!$I$5:$I$23,MATCH(A45,Classes!$A$5:$A$23,0)),""))</f>
        <v/>
      </c>
    </row>
    <row r="46" customFormat="false" ht="18" hidden="false" customHeight="true" outlineLevel="0" collapsed="false">
      <c r="A46" s="11"/>
      <c r="B46" s="11"/>
      <c r="C46" s="11"/>
      <c r="D46" s="11"/>
      <c r="E46" s="12" t="str">
        <f aca="false">IF(D46="","",IFERROR(INDEX(Drills!$G$5:$G$127,MATCH(D46,Drills!$A$5:$A$127,0)),""))</f>
        <v/>
      </c>
      <c r="F46" s="11"/>
      <c r="G46" s="12" t="str">
        <f aca="false">IF(F46="","",IFERROR(INDEX(Drills!$G$5:$G$127,MATCH(F46,Drills!$A$5:$A$127,0)),""))</f>
        <v/>
      </c>
      <c r="H46" s="11"/>
      <c r="I46" s="12" t="str">
        <f aca="false">IF(H46="","",IFERROR(INDEX(Drills!$G$5:$G$127,MATCH(H46,Drills!$A$5:$A$127,0)),""))</f>
        <v/>
      </c>
      <c r="J46" s="11"/>
      <c r="K46" s="12" t="str">
        <f aca="false">IF(J46="","",IFERROR(INDEX(Drills!$G$5:$G$127,MATCH(J46,Drills!$A$5:$A$127,0)),""))</f>
        <v/>
      </c>
      <c r="L46" s="11"/>
      <c r="M46" s="12" t="str">
        <f aca="false">IF(L46="","",IFERROR(INDEX(Drills!$G$5:$G$127,MATCH(L46,Drills!$A$5:$A$127,0)),""))</f>
        <v/>
      </c>
      <c r="N46" s="11"/>
      <c r="O46" s="12" t="str">
        <f aca="false">IF(N46="","",IFERROR(INDEX(Drills!$G$5:$G$127,MATCH(N46,Drills!$A$5:$A$127,0)),""))</f>
        <v/>
      </c>
      <c r="P46" s="14" t="str">
        <f aca="false">IF(A46="","",SUM(E46,G46,I46,K46,M46,O46))</f>
        <v/>
      </c>
      <c r="Q46" s="14" t="str">
        <f aca="false">IF(A46="","",IFERROR(INDEX(Classes!$C$5:$C$23,MATCH(A46,Classes!$A$5:$A$23,0)),""))</f>
        <v/>
      </c>
      <c r="R46" s="15" t="str">
        <f aca="false">IF(A46="","",IF(TRIM(IF(AND(N(Q46)&gt;0,N(P46)&gt;N(Q46)),"Over by "&amp;(P46-Q46)&amp;" min. ","")&amp;IF(AND(COUNTIF(V46:AA46,"*A*")&gt;0,AB46&lt;&gt;"Yes"),"Age check. ","")&amp;IF(COUNTIF(V46:AA46,"*C*")&gt;0,"Contact check. ","")&amp;IF(COUNTIF(V46:AA46,"~?")&gt;0,"Drill not in library. ",""))="","OK"&amp;IF(AND(COUNTIF(V46:AA46,"*A*")&gt;0,AB46="Yes")," · split by age","")&amp;IF(N(Q46)&gt;N(P46)," ("&amp;(Q46-P46)&amp;" min spare)",""),TRIM(IF(AND(N(Q46)&gt;0,N(P46)&gt;N(Q46)),"Over by "&amp;(P46-Q46)&amp;" min. ","")&amp;IF(AND(COUNTIF(V46:AA46,"*A*")&gt;0,AB46&lt;&gt;"Yes"),"Age check. ","")&amp;IF(COUNTIF(V46:AA46,"*C*")&gt;0,"Contact check. ","")&amp;IF(COUNTIF(V46:AA46,"~?")&gt;0,"Drill not in library. ",""))&amp;IF(AND(COUNTIF(V46:AA46,"*A*")&gt;0,AB46="Yes")," · split by age","")))</f>
        <v/>
      </c>
      <c r="S46" s="11"/>
      <c r="T46" s="13" t="str">
        <f aca="false">IF(A46="","",IFERROR(INDEX(Classes!$E$5:$E$23,MATCH(A46,Classes!$A$5:$A$23,0)),""))</f>
        <v/>
      </c>
      <c r="U46" s="13" t="str">
        <f aca="false">IF(A46="","",IFERROR(INDEX(Classes!$F$5:$F$23,MATCH(A46,Classes!$A$5:$A$23,0)),""))</f>
        <v/>
      </c>
      <c r="V46" s="13" t="str">
        <f aca="false">IF(OR(D46="",$A46=""),"",IF(ISNA(MATCH(D46,Drills!$A$5:$A$127,0)),"?",IF(N(INDEX(Drills!$K$5:$K$127,MATCH(D46,Drills!$A$5:$A$127,0)))&gt;N($T46),"A","")&amp;IF(ISNUMBER(SEARCH(INDEX(Drills!$E$5:$E$127,MATCH(D46,Drills!$A$5:$A$127,0)),$U46)),"","C")))</f>
        <v/>
      </c>
      <c r="W46" s="13" t="str">
        <f aca="false">IF(OR(F46="",$A46=""),"",IF(ISNA(MATCH(F46,Drills!$A$5:$A$127,0)),"?",IF(N(INDEX(Drills!$K$5:$K$127,MATCH(F46,Drills!$A$5:$A$127,0)))&gt;N($T46),"A","")&amp;IF(ISNUMBER(SEARCH(INDEX(Drills!$E$5:$E$127,MATCH(F46,Drills!$A$5:$A$127,0)),$U46)),"","C")))</f>
        <v/>
      </c>
      <c r="X46" s="13" t="str">
        <f aca="false">IF(OR(H46="",$A46=""),"",IF(ISNA(MATCH(H46,Drills!$A$5:$A$127,0)),"?",IF(N(INDEX(Drills!$K$5:$K$127,MATCH(H46,Drills!$A$5:$A$127,0)))&gt;N($T46),"A","")&amp;IF(ISNUMBER(SEARCH(INDEX(Drills!$E$5:$E$127,MATCH(H46,Drills!$A$5:$A$127,0)),$U46)),"","C")))</f>
        <v/>
      </c>
      <c r="Y46" s="13" t="str">
        <f aca="false">IF(OR(J46="",$A46=""),"",IF(ISNA(MATCH(J46,Drills!$A$5:$A$127,0)),"?",IF(N(INDEX(Drills!$K$5:$K$127,MATCH(J46,Drills!$A$5:$A$127,0)))&gt;N($T46),"A","")&amp;IF(ISNUMBER(SEARCH(INDEX(Drills!$E$5:$E$127,MATCH(J46,Drills!$A$5:$A$127,0)),$U46)),"","C")))</f>
        <v/>
      </c>
      <c r="Z46" s="13" t="str">
        <f aca="false">IF(OR(L46="",$A46=""),"",IF(ISNA(MATCH(L46,Drills!$A$5:$A$127,0)),"?",IF(N(INDEX(Drills!$K$5:$K$127,MATCH(L46,Drills!$A$5:$A$127,0)))&gt;N($T46),"A","")&amp;IF(ISNUMBER(SEARCH(INDEX(Drills!$E$5:$E$127,MATCH(L46,Drills!$A$5:$A$127,0)),$U46)),"","C")))</f>
        <v/>
      </c>
      <c r="AA46" s="13" t="str">
        <f aca="false">IF(OR(N46="",$A46=""),"",IF(ISNA(MATCH(N46,Drills!$A$5:$A$127,0)),"?",IF(N(INDEX(Drills!$K$5:$K$127,MATCH(N46,Drills!$A$5:$A$127,0)))&gt;N($T46),"A","")&amp;IF(ISNUMBER(SEARCH(INDEX(Drills!$E$5:$E$127,MATCH(N46,Drills!$A$5:$A$127,0)),$U46)),"","C")))</f>
        <v/>
      </c>
      <c r="AB46" s="13" t="str">
        <f aca="false">IF(A46="","",IFERROR(INDEX(Classes!$I$5:$I$23,MATCH(A46,Classes!$A$5:$A$23,0)),""))</f>
        <v/>
      </c>
    </row>
    <row r="47" customFormat="false" ht="18" hidden="false" customHeight="true" outlineLevel="0" collapsed="false">
      <c r="A47" s="11"/>
      <c r="B47" s="11"/>
      <c r="C47" s="11"/>
      <c r="D47" s="11"/>
      <c r="E47" s="12" t="str">
        <f aca="false">IF(D47="","",IFERROR(INDEX(Drills!$G$5:$G$127,MATCH(D47,Drills!$A$5:$A$127,0)),""))</f>
        <v/>
      </c>
      <c r="F47" s="11"/>
      <c r="G47" s="12" t="str">
        <f aca="false">IF(F47="","",IFERROR(INDEX(Drills!$G$5:$G$127,MATCH(F47,Drills!$A$5:$A$127,0)),""))</f>
        <v/>
      </c>
      <c r="H47" s="11"/>
      <c r="I47" s="12" t="str">
        <f aca="false">IF(H47="","",IFERROR(INDEX(Drills!$G$5:$G$127,MATCH(H47,Drills!$A$5:$A$127,0)),""))</f>
        <v/>
      </c>
      <c r="J47" s="11"/>
      <c r="K47" s="12" t="str">
        <f aca="false">IF(J47="","",IFERROR(INDEX(Drills!$G$5:$G$127,MATCH(J47,Drills!$A$5:$A$127,0)),""))</f>
        <v/>
      </c>
      <c r="L47" s="11"/>
      <c r="M47" s="12" t="str">
        <f aca="false">IF(L47="","",IFERROR(INDEX(Drills!$G$5:$G$127,MATCH(L47,Drills!$A$5:$A$127,0)),""))</f>
        <v/>
      </c>
      <c r="N47" s="11"/>
      <c r="O47" s="12" t="str">
        <f aca="false">IF(N47="","",IFERROR(INDEX(Drills!$G$5:$G$127,MATCH(N47,Drills!$A$5:$A$127,0)),""))</f>
        <v/>
      </c>
      <c r="P47" s="14" t="str">
        <f aca="false">IF(A47="","",SUM(E47,G47,I47,K47,M47,O47))</f>
        <v/>
      </c>
      <c r="Q47" s="14" t="str">
        <f aca="false">IF(A47="","",IFERROR(INDEX(Classes!$C$5:$C$23,MATCH(A47,Classes!$A$5:$A$23,0)),""))</f>
        <v/>
      </c>
      <c r="R47" s="15" t="str">
        <f aca="false">IF(A47="","",IF(TRIM(IF(AND(N(Q47)&gt;0,N(P47)&gt;N(Q47)),"Over by "&amp;(P47-Q47)&amp;" min. ","")&amp;IF(AND(COUNTIF(V47:AA47,"*A*")&gt;0,AB47&lt;&gt;"Yes"),"Age check. ","")&amp;IF(COUNTIF(V47:AA47,"*C*")&gt;0,"Contact check. ","")&amp;IF(COUNTIF(V47:AA47,"~?")&gt;0,"Drill not in library. ",""))="","OK"&amp;IF(AND(COUNTIF(V47:AA47,"*A*")&gt;0,AB47="Yes")," · split by age","")&amp;IF(N(Q47)&gt;N(P47)," ("&amp;(Q47-P47)&amp;" min spare)",""),TRIM(IF(AND(N(Q47)&gt;0,N(P47)&gt;N(Q47)),"Over by "&amp;(P47-Q47)&amp;" min. ","")&amp;IF(AND(COUNTIF(V47:AA47,"*A*")&gt;0,AB47&lt;&gt;"Yes"),"Age check. ","")&amp;IF(COUNTIF(V47:AA47,"*C*")&gt;0,"Contact check. ","")&amp;IF(COUNTIF(V47:AA47,"~?")&gt;0,"Drill not in library. ",""))&amp;IF(AND(COUNTIF(V47:AA47,"*A*")&gt;0,AB47="Yes")," · split by age","")))</f>
        <v/>
      </c>
      <c r="S47" s="11"/>
      <c r="T47" s="13" t="str">
        <f aca="false">IF(A47="","",IFERROR(INDEX(Classes!$E$5:$E$23,MATCH(A47,Classes!$A$5:$A$23,0)),""))</f>
        <v/>
      </c>
      <c r="U47" s="13" t="str">
        <f aca="false">IF(A47="","",IFERROR(INDEX(Classes!$F$5:$F$23,MATCH(A47,Classes!$A$5:$A$23,0)),""))</f>
        <v/>
      </c>
      <c r="V47" s="13" t="str">
        <f aca="false">IF(OR(D47="",$A47=""),"",IF(ISNA(MATCH(D47,Drills!$A$5:$A$127,0)),"?",IF(N(INDEX(Drills!$K$5:$K$127,MATCH(D47,Drills!$A$5:$A$127,0)))&gt;N($T47),"A","")&amp;IF(ISNUMBER(SEARCH(INDEX(Drills!$E$5:$E$127,MATCH(D47,Drills!$A$5:$A$127,0)),$U47)),"","C")))</f>
        <v/>
      </c>
      <c r="W47" s="13" t="str">
        <f aca="false">IF(OR(F47="",$A47=""),"",IF(ISNA(MATCH(F47,Drills!$A$5:$A$127,0)),"?",IF(N(INDEX(Drills!$K$5:$K$127,MATCH(F47,Drills!$A$5:$A$127,0)))&gt;N($T47),"A","")&amp;IF(ISNUMBER(SEARCH(INDEX(Drills!$E$5:$E$127,MATCH(F47,Drills!$A$5:$A$127,0)),$U47)),"","C")))</f>
        <v/>
      </c>
      <c r="X47" s="13" t="str">
        <f aca="false">IF(OR(H47="",$A47=""),"",IF(ISNA(MATCH(H47,Drills!$A$5:$A$127,0)),"?",IF(N(INDEX(Drills!$K$5:$K$127,MATCH(H47,Drills!$A$5:$A$127,0)))&gt;N($T47),"A","")&amp;IF(ISNUMBER(SEARCH(INDEX(Drills!$E$5:$E$127,MATCH(H47,Drills!$A$5:$A$127,0)),$U47)),"","C")))</f>
        <v/>
      </c>
      <c r="Y47" s="13" t="str">
        <f aca="false">IF(OR(J47="",$A47=""),"",IF(ISNA(MATCH(J47,Drills!$A$5:$A$127,0)),"?",IF(N(INDEX(Drills!$K$5:$K$127,MATCH(J47,Drills!$A$5:$A$127,0)))&gt;N($T47),"A","")&amp;IF(ISNUMBER(SEARCH(INDEX(Drills!$E$5:$E$127,MATCH(J47,Drills!$A$5:$A$127,0)),$U47)),"","C")))</f>
        <v/>
      </c>
      <c r="Z47" s="13" t="str">
        <f aca="false">IF(OR(L47="",$A47=""),"",IF(ISNA(MATCH(L47,Drills!$A$5:$A$127,0)),"?",IF(N(INDEX(Drills!$K$5:$K$127,MATCH(L47,Drills!$A$5:$A$127,0)))&gt;N($T47),"A","")&amp;IF(ISNUMBER(SEARCH(INDEX(Drills!$E$5:$E$127,MATCH(L47,Drills!$A$5:$A$127,0)),$U47)),"","C")))</f>
        <v/>
      </c>
      <c r="AA47" s="13" t="str">
        <f aca="false">IF(OR(N47="",$A47=""),"",IF(ISNA(MATCH(N47,Drills!$A$5:$A$127,0)),"?",IF(N(INDEX(Drills!$K$5:$K$127,MATCH(N47,Drills!$A$5:$A$127,0)))&gt;N($T47),"A","")&amp;IF(ISNUMBER(SEARCH(INDEX(Drills!$E$5:$E$127,MATCH(N47,Drills!$A$5:$A$127,0)),$U47)),"","C")))</f>
        <v/>
      </c>
      <c r="AB47" s="13" t="str">
        <f aca="false">IF(A47="","",IFERROR(INDEX(Classes!$I$5:$I$23,MATCH(A47,Classes!$A$5:$A$23,0)),""))</f>
        <v/>
      </c>
    </row>
    <row r="48" customFormat="false" ht="18" hidden="false" customHeight="true" outlineLevel="0" collapsed="false">
      <c r="A48" s="11"/>
      <c r="B48" s="11"/>
      <c r="C48" s="11"/>
      <c r="D48" s="11"/>
      <c r="E48" s="12" t="str">
        <f aca="false">IF(D48="","",IFERROR(INDEX(Drills!$G$5:$G$127,MATCH(D48,Drills!$A$5:$A$127,0)),""))</f>
        <v/>
      </c>
      <c r="F48" s="11"/>
      <c r="G48" s="12" t="str">
        <f aca="false">IF(F48="","",IFERROR(INDEX(Drills!$G$5:$G$127,MATCH(F48,Drills!$A$5:$A$127,0)),""))</f>
        <v/>
      </c>
      <c r="H48" s="11"/>
      <c r="I48" s="12" t="str">
        <f aca="false">IF(H48="","",IFERROR(INDEX(Drills!$G$5:$G$127,MATCH(H48,Drills!$A$5:$A$127,0)),""))</f>
        <v/>
      </c>
      <c r="J48" s="11"/>
      <c r="K48" s="12" t="str">
        <f aca="false">IF(J48="","",IFERROR(INDEX(Drills!$G$5:$G$127,MATCH(J48,Drills!$A$5:$A$127,0)),""))</f>
        <v/>
      </c>
      <c r="L48" s="11"/>
      <c r="M48" s="12" t="str">
        <f aca="false">IF(L48="","",IFERROR(INDEX(Drills!$G$5:$G$127,MATCH(L48,Drills!$A$5:$A$127,0)),""))</f>
        <v/>
      </c>
      <c r="N48" s="11"/>
      <c r="O48" s="12" t="str">
        <f aca="false">IF(N48="","",IFERROR(INDEX(Drills!$G$5:$G$127,MATCH(N48,Drills!$A$5:$A$127,0)),""))</f>
        <v/>
      </c>
      <c r="P48" s="14" t="str">
        <f aca="false">IF(A48="","",SUM(E48,G48,I48,K48,M48,O48))</f>
        <v/>
      </c>
      <c r="Q48" s="14" t="str">
        <f aca="false">IF(A48="","",IFERROR(INDEX(Classes!$C$5:$C$23,MATCH(A48,Classes!$A$5:$A$23,0)),""))</f>
        <v/>
      </c>
      <c r="R48" s="15" t="str">
        <f aca="false">IF(A48="","",IF(TRIM(IF(AND(N(Q48)&gt;0,N(P48)&gt;N(Q48)),"Over by "&amp;(P48-Q48)&amp;" min. ","")&amp;IF(AND(COUNTIF(V48:AA48,"*A*")&gt;0,AB48&lt;&gt;"Yes"),"Age check. ","")&amp;IF(COUNTIF(V48:AA48,"*C*")&gt;0,"Contact check. ","")&amp;IF(COUNTIF(V48:AA48,"~?")&gt;0,"Drill not in library. ",""))="","OK"&amp;IF(AND(COUNTIF(V48:AA48,"*A*")&gt;0,AB48="Yes")," · split by age","")&amp;IF(N(Q48)&gt;N(P48)," ("&amp;(Q48-P48)&amp;" min spare)",""),TRIM(IF(AND(N(Q48)&gt;0,N(P48)&gt;N(Q48)),"Over by "&amp;(P48-Q48)&amp;" min. ","")&amp;IF(AND(COUNTIF(V48:AA48,"*A*")&gt;0,AB48&lt;&gt;"Yes"),"Age check. ","")&amp;IF(COUNTIF(V48:AA48,"*C*")&gt;0,"Contact check. ","")&amp;IF(COUNTIF(V48:AA48,"~?")&gt;0,"Drill not in library. ",""))&amp;IF(AND(COUNTIF(V48:AA48,"*A*")&gt;0,AB48="Yes")," · split by age","")))</f>
        <v/>
      </c>
      <c r="S48" s="11"/>
      <c r="T48" s="13" t="str">
        <f aca="false">IF(A48="","",IFERROR(INDEX(Classes!$E$5:$E$23,MATCH(A48,Classes!$A$5:$A$23,0)),""))</f>
        <v/>
      </c>
      <c r="U48" s="13" t="str">
        <f aca="false">IF(A48="","",IFERROR(INDEX(Classes!$F$5:$F$23,MATCH(A48,Classes!$A$5:$A$23,0)),""))</f>
        <v/>
      </c>
      <c r="V48" s="13" t="str">
        <f aca="false">IF(OR(D48="",$A48=""),"",IF(ISNA(MATCH(D48,Drills!$A$5:$A$127,0)),"?",IF(N(INDEX(Drills!$K$5:$K$127,MATCH(D48,Drills!$A$5:$A$127,0)))&gt;N($T48),"A","")&amp;IF(ISNUMBER(SEARCH(INDEX(Drills!$E$5:$E$127,MATCH(D48,Drills!$A$5:$A$127,0)),$U48)),"","C")))</f>
        <v/>
      </c>
      <c r="W48" s="13" t="str">
        <f aca="false">IF(OR(F48="",$A48=""),"",IF(ISNA(MATCH(F48,Drills!$A$5:$A$127,0)),"?",IF(N(INDEX(Drills!$K$5:$K$127,MATCH(F48,Drills!$A$5:$A$127,0)))&gt;N($T48),"A","")&amp;IF(ISNUMBER(SEARCH(INDEX(Drills!$E$5:$E$127,MATCH(F48,Drills!$A$5:$A$127,0)),$U48)),"","C")))</f>
        <v/>
      </c>
      <c r="X48" s="13" t="str">
        <f aca="false">IF(OR(H48="",$A48=""),"",IF(ISNA(MATCH(H48,Drills!$A$5:$A$127,0)),"?",IF(N(INDEX(Drills!$K$5:$K$127,MATCH(H48,Drills!$A$5:$A$127,0)))&gt;N($T48),"A","")&amp;IF(ISNUMBER(SEARCH(INDEX(Drills!$E$5:$E$127,MATCH(H48,Drills!$A$5:$A$127,0)),$U48)),"","C")))</f>
        <v/>
      </c>
      <c r="Y48" s="13" t="str">
        <f aca="false">IF(OR(J48="",$A48=""),"",IF(ISNA(MATCH(J48,Drills!$A$5:$A$127,0)),"?",IF(N(INDEX(Drills!$K$5:$K$127,MATCH(J48,Drills!$A$5:$A$127,0)))&gt;N($T48),"A","")&amp;IF(ISNUMBER(SEARCH(INDEX(Drills!$E$5:$E$127,MATCH(J48,Drills!$A$5:$A$127,0)),$U48)),"","C")))</f>
        <v/>
      </c>
      <c r="Z48" s="13" t="str">
        <f aca="false">IF(OR(L48="",$A48=""),"",IF(ISNA(MATCH(L48,Drills!$A$5:$A$127,0)),"?",IF(N(INDEX(Drills!$K$5:$K$127,MATCH(L48,Drills!$A$5:$A$127,0)))&gt;N($T48),"A","")&amp;IF(ISNUMBER(SEARCH(INDEX(Drills!$E$5:$E$127,MATCH(L48,Drills!$A$5:$A$127,0)),$U48)),"","C")))</f>
        <v/>
      </c>
      <c r="AA48" s="13" t="str">
        <f aca="false">IF(OR(N48="",$A48=""),"",IF(ISNA(MATCH(N48,Drills!$A$5:$A$127,0)),"?",IF(N(INDEX(Drills!$K$5:$K$127,MATCH(N48,Drills!$A$5:$A$127,0)))&gt;N($T48),"A","")&amp;IF(ISNUMBER(SEARCH(INDEX(Drills!$E$5:$E$127,MATCH(N48,Drills!$A$5:$A$127,0)),$U48)),"","C")))</f>
        <v/>
      </c>
      <c r="AB48" s="13" t="str">
        <f aca="false">IF(A48="","",IFERROR(INDEX(Classes!$I$5:$I$23,MATCH(A48,Classes!$A$5:$A$23,0)),""))</f>
        <v/>
      </c>
    </row>
    <row r="49" customFormat="false" ht="18" hidden="false" customHeight="true" outlineLevel="0" collapsed="false">
      <c r="A49" s="11"/>
      <c r="B49" s="11"/>
      <c r="C49" s="11"/>
      <c r="D49" s="11"/>
      <c r="E49" s="12" t="str">
        <f aca="false">IF(D49="","",IFERROR(INDEX(Drills!$G$5:$G$127,MATCH(D49,Drills!$A$5:$A$127,0)),""))</f>
        <v/>
      </c>
      <c r="F49" s="11"/>
      <c r="G49" s="12" t="str">
        <f aca="false">IF(F49="","",IFERROR(INDEX(Drills!$G$5:$G$127,MATCH(F49,Drills!$A$5:$A$127,0)),""))</f>
        <v/>
      </c>
      <c r="H49" s="11"/>
      <c r="I49" s="12" t="str">
        <f aca="false">IF(H49="","",IFERROR(INDEX(Drills!$G$5:$G$127,MATCH(H49,Drills!$A$5:$A$127,0)),""))</f>
        <v/>
      </c>
      <c r="J49" s="11"/>
      <c r="K49" s="12" t="str">
        <f aca="false">IF(J49="","",IFERROR(INDEX(Drills!$G$5:$G$127,MATCH(J49,Drills!$A$5:$A$127,0)),""))</f>
        <v/>
      </c>
      <c r="L49" s="11"/>
      <c r="M49" s="12" t="str">
        <f aca="false">IF(L49="","",IFERROR(INDEX(Drills!$G$5:$G$127,MATCH(L49,Drills!$A$5:$A$127,0)),""))</f>
        <v/>
      </c>
      <c r="N49" s="11"/>
      <c r="O49" s="12" t="str">
        <f aca="false">IF(N49="","",IFERROR(INDEX(Drills!$G$5:$G$127,MATCH(N49,Drills!$A$5:$A$127,0)),""))</f>
        <v/>
      </c>
      <c r="P49" s="14" t="str">
        <f aca="false">IF(A49="","",SUM(E49,G49,I49,K49,M49,O49))</f>
        <v/>
      </c>
      <c r="Q49" s="14" t="str">
        <f aca="false">IF(A49="","",IFERROR(INDEX(Classes!$C$5:$C$23,MATCH(A49,Classes!$A$5:$A$23,0)),""))</f>
        <v/>
      </c>
      <c r="R49" s="15" t="str">
        <f aca="false">IF(A49="","",IF(TRIM(IF(AND(N(Q49)&gt;0,N(P49)&gt;N(Q49)),"Over by "&amp;(P49-Q49)&amp;" min. ","")&amp;IF(AND(COUNTIF(V49:AA49,"*A*")&gt;0,AB49&lt;&gt;"Yes"),"Age check. ","")&amp;IF(COUNTIF(V49:AA49,"*C*")&gt;0,"Contact check. ","")&amp;IF(COUNTIF(V49:AA49,"~?")&gt;0,"Drill not in library. ",""))="","OK"&amp;IF(AND(COUNTIF(V49:AA49,"*A*")&gt;0,AB49="Yes")," · split by age","")&amp;IF(N(Q49)&gt;N(P49)," ("&amp;(Q49-P49)&amp;" min spare)",""),TRIM(IF(AND(N(Q49)&gt;0,N(P49)&gt;N(Q49)),"Over by "&amp;(P49-Q49)&amp;" min. ","")&amp;IF(AND(COUNTIF(V49:AA49,"*A*")&gt;0,AB49&lt;&gt;"Yes"),"Age check. ","")&amp;IF(COUNTIF(V49:AA49,"*C*")&gt;0,"Contact check. ","")&amp;IF(COUNTIF(V49:AA49,"~?")&gt;0,"Drill not in library. ",""))&amp;IF(AND(COUNTIF(V49:AA49,"*A*")&gt;0,AB49="Yes")," · split by age","")))</f>
        <v/>
      </c>
      <c r="S49" s="11"/>
      <c r="T49" s="13" t="str">
        <f aca="false">IF(A49="","",IFERROR(INDEX(Classes!$E$5:$E$23,MATCH(A49,Classes!$A$5:$A$23,0)),""))</f>
        <v/>
      </c>
      <c r="U49" s="13" t="str">
        <f aca="false">IF(A49="","",IFERROR(INDEX(Classes!$F$5:$F$23,MATCH(A49,Classes!$A$5:$A$23,0)),""))</f>
        <v/>
      </c>
      <c r="V49" s="13" t="str">
        <f aca="false">IF(OR(D49="",$A49=""),"",IF(ISNA(MATCH(D49,Drills!$A$5:$A$127,0)),"?",IF(N(INDEX(Drills!$K$5:$K$127,MATCH(D49,Drills!$A$5:$A$127,0)))&gt;N($T49),"A","")&amp;IF(ISNUMBER(SEARCH(INDEX(Drills!$E$5:$E$127,MATCH(D49,Drills!$A$5:$A$127,0)),$U49)),"","C")))</f>
        <v/>
      </c>
      <c r="W49" s="13" t="str">
        <f aca="false">IF(OR(F49="",$A49=""),"",IF(ISNA(MATCH(F49,Drills!$A$5:$A$127,0)),"?",IF(N(INDEX(Drills!$K$5:$K$127,MATCH(F49,Drills!$A$5:$A$127,0)))&gt;N($T49),"A","")&amp;IF(ISNUMBER(SEARCH(INDEX(Drills!$E$5:$E$127,MATCH(F49,Drills!$A$5:$A$127,0)),$U49)),"","C")))</f>
        <v/>
      </c>
      <c r="X49" s="13" t="str">
        <f aca="false">IF(OR(H49="",$A49=""),"",IF(ISNA(MATCH(H49,Drills!$A$5:$A$127,0)),"?",IF(N(INDEX(Drills!$K$5:$K$127,MATCH(H49,Drills!$A$5:$A$127,0)))&gt;N($T49),"A","")&amp;IF(ISNUMBER(SEARCH(INDEX(Drills!$E$5:$E$127,MATCH(H49,Drills!$A$5:$A$127,0)),$U49)),"","C")))</f>
        <v/>
      </c>
      <c r="Y49" s="13" t="str">
        <f aca="false">IF(OR(J49="",$A49=""),"",IF(ISNA(MATCH(J49,Drills!$A$5:$A$127,0)),"?",IF(N(INDEX(Drills!$K$5:$K$127,MATCH(J49,Drills!$A$5:$A$127,0)))&gt;N($T49),"A","")&amp;IF(ISNUMBER(SEARCH(INDEX(Drills!$E$5:$E$127,MATCH(J49,Drills!$A$5:$A$127,0)),$U49)),"","C")))</f>
        <v/>
      </c>
      <c r="Z49" s="13" t="str">
        <f aca="false">IF(OR(L49="",$A49=""),"",IF(ISNA(MATCH(L49,Drills!$A$5:$A$127,0)),"?",IF(N(INDEX(Drills!$K$5:$K$127,MATCH(L49,Drills!$A$5:$A$127,0)))&gt;N($T49),"A","")&amp;IF(ISNUMBER(SEARCH(INDEX(Drills!$E$5:$E$127,MATCH(L49,Drills!$A$5:$A$127,0)),$U49)),"","C")))</f>
        <v/>
      </c>
      <c r="AA49" s="13" t="str">
        <f aca="false">IF(OR(N49="",$A49=""),"",IF(ISNA(MATCH(N49,Drills!$A$5:$A$127,0)),"?",IF(N(INDEX(Drills!$K$5:$K$127,MATCH(N49,Drills!$A$5:$A$127,0)))&gt;N($T49),"A","")&amp;IF(ISNUMBER(SEARCH(INDEX(Drills!$E$5:$E$127,MATCH(N49,Drills!$A$5:$A$127,0)),$U49)),"","C")))</f>
        <v/>
      </c>
      <c r="AB49" s="13" t="str">
        <f aca="false">IF(A49="","",IFERROR(INDEX(Classes!$I$5:$I$23,MATCH(A49,Classes!$A$5:$A$23,0)),""))</f>
        <v/>
      </c>
    </row>
    <row r="50" customFormat="false" ht="18" hidden="false" customHeight="true" outlineLevel="0" collapsed="false">
      <c r="A50" s="11"/>
      <c r="B50" s="11"/>
      <c r="C50" s="11"/>
      <c r="D50" s="11"/>
      <c r="E50" s="12" t="str">
        <f aca="false">IF(D50="","",IFERROR(INDEX(Drills!$G$5:$G$127,MATCH(D50,Drills!$A$5:$A$127,0)),""))</f>
        <v/>
      </c>
      <c r="F50" s="11"/>
      <c r="G50" s="12" t="str">
        <f aca="false">IF(F50="","",IFERROR(INDEX(Drills!$G$5:$G$127,MATCH(F50,Drills!$A$5:$A$127,0)),""))</f>
        <v/>
      </c>
      <c r="H50" s="11"/>
      <c r="I50" s="12" t="str">
        <f aca="false">IF(H50="","",IFERROR(INDEX(Drills!$G$5:$G$127,MATCH(H50,Drills!$A$5:$A$127,0)),""))</f>
        <v/>
      </c>
      <c r="J50" s="11"/>
      <c r="K50" s="12" t="str">
        <f aca="false">IF(J50="","",IFERROR(INDEX(Drills!$G$5:$G$127,MATCH(J50,Drills!$A$5:$A$127,0)),""))</f>
        <v/>
      </c>
      <c r="L50" s="11"/>
      <c r="M50" s="12" t="str">
        <f aca="false">IF(L50="","",IFERROR(INDEX(Drills!$G$5:$G$127,MATCH(L50,Drills!$A$5:$A$127,0)),""))</f>
        <v/>
      </c>
      <c r="N50" s="11"/>
      <c r="O50" s="12" t="str">
        <f aca="false">IF(N50="","",IFERROR(INDEX(Drills!$G$5:$G$127,MATCH(N50,Drills!$A$5:$A$127,0)),""))</f>
        <v/>
      </c>
      <c r="P50" s="14" t="str">
        <f aca="false">IF(A50="","",SUM(E50,G50,I50,K50,M50,O50))</f>
        <v/>
      </c>
      <c r="Q50" s="14" t="str">
        <f aca="false">IF(A50="","",IFERROR(INDEX(Classes!$C$5:$C$23,MATCH(A50,Classes!$A$5:$A$23,0)),""))</f>
        <v/>
      </c>
      <c r="R50" s="15" t="str">
        <f aca="false">IF(A50="","",IF(TRIM(IF(AND(N(Q50)&gt;0,N(P50)&gt;N(Q50)),"Over by "&amp;(P50-Q50)&amp;" min. ","")&amp;IF(AND(COUNTIF(V50:AA50,"*A*")&gt;0,AB50&lt;&gt;"Yes"),"Age check. ","")&amp;IF(COUNTIF(V50:AA50,"*C*")&gt;0,"Contact check. ","")&amp;IF(COUNTIF(V50:AA50,"~?")&gt;0,"Drill not in library. ",""))="","OK"&amp;IF(AND(COUNTIF(V50:AA50,"*A*")&gt;0,AB50="Yes")," · split by age","")&amp;IF(N(Q50)&gt;N(P50)," ("&amp;(Q50-P50)&amp;" min spare)",""),TRIM(IF(AND(N(Q50)&gt;0,N(P50)&gt;N(Q50)),"Over by "&amp;(P50-Q50)&amp;" min. ","")&amp;IF(AND(COUNTIF(V50:AA50,"*A*")&gt;0,AB50&lt;&gt;"Yes"),"Age check. ","")&amp;IF(COUNTIF(V50:AA50,"*C*")&gt;0,"Contact check. ","")&amp;IF(COUNTIF(V50:AA50,"~?")&gt;0,"Drill not in library. ",""))&amp;IF(AND(COUNTIF(V50:AA50,"*A*")&gt;0,AB50="Yes")," · split by age","")))</f>
        <v/>
      </c>
      <c r="S50" s="11"/>
      <c r="T50" s="13" t="str">
        <f aca="false">IF(A50="","",IFERROR(INDEX(Classes!$E$5:$E$23,MATCH(A50,Classes!$A$5:$A$23,0)),""))</f>
        <v/>
      </c>
      <c r="U50" s="13" t="str">
        <f aca="false">IF(A50="","",IFERROR(INDEX(Classes!$F$5:$F$23,MATCH(A50,Classes!$A$5:$A$23,0)),""))</f>
        <v/>
      </c>
      <c r="V50" s="13" t="str">
        <f aca="false">IF(OR(D50="",$A50=""),"",IF(ISNA(MATCH(D50,Drills!$A$5:$A$127,0)),"?",IF(N(INDEX(Drills!$K$5:$K$127,MATCH(D50,Drills!$A$5:$A$127,0)))&gt;N($T50),"A","")&amp;IF(ISNUMBER(SEARCH(INDEX(Drills!$E$5:$E$127,MATCH(D50,Drills!$A$5:$A$127,0)),$U50)),"","C")))</f>
        <v/>
      </c>
      <c r="W50" s="13" t="str">
        <f aca="false">IF(OR(F50="",$A50=""),"",IF(ISNA(MATCH(F50,Drills!$A$5:$A$127,0)),"?",IF(N(INDEX(Drills!$K$5:$K$127,MATCH(F50,Drills!$A$5:$A$127,0)))&gt;N($T50),"A","")&amp;IF(ISNUMBER(SEARCH(INDEX(Drills!$E$5:$E$127,MATCH(F50,Drills!$A$5:$A$127,0)),$U50)),"","C")))</f>
        <v/>
      </c>
      <c r="X50" s="13" t="str">
        <f aca="false">IF(OR(H50="",$A50=""),"",IF(ISNA(MATCH(H50,Drills!$A$5:$A$127,0)),"?",IF(N(INDEX(Drills!$K$5:$K$127,MATCH(H50,Drills!$A$5:$A$127,0)))&gt;N($T50),"A","")&amp;IF(ISNUMBER(SEARCH(INDEX(Drills!$E$5:$E$127,MATCH(H50,Drills!$A$5:$A$127,0)),$U50)),"","C")))</f>
        <v/>
      </c>
      <c r="Y50" s="13" t="str">
        <f aca="false">IF(OR(J50="",$A50=""),"",IF(ISNA(MATCH(J50,Drills!$A$5:$A$127,0)),"?",IF(N(INDEX(Drills!$K$5:$K$127,MATCH(J50,Drills!$A$5:$A$127,0)))&gt;N($T50),"A","")&amp;IF(ISNUMBER(SEARCH(INDEX(Drills!$E$5:$E$127,MATCH(J50,Drills!$A$5:$A$127,0)),$U50)),"","C")))</f>
        <v/>
      </c>
      <c r="Z50" s="13" t="str">
        <f aca="false">IF(OR(L50="",$A50=""),"",IF(ISNA(MATCH(L50,Drills!$A$5:$A$127,0)),"?",IF(N(INDEX(Drills!$K$5:$K$127,MATCH(L50,Drills!$A$5:$A$127,0)))&gt;N($T50),"A","")&amp;IF(ISNUMBER(SEARCH(INDEX(Drills!$E$5:$E$127,MATCH(L50,Drills!$A$5:$A$127,0)),$U50)),"","C")))</f>
        <v/>
      </c>
      <c r="AA50" s="13" t="str">
        <f aca="false">IF(OR(N50="",$A50=""),"",IF(ISNA(MATCH(N50,Drills!$A$5:$A$127,0)),"?",IF(N(INDEX(Drills!$K$5:$K$127,MATCH(N50,Drills!$A$5:$A$127,0)))&gt;N($T50),"A","")&amp;IF(ISNUMBER(SEARCH(INDEX(Drills!$E$5:$E$127,MATCH(N50,Drills!$A$5:$A$127,0)),$U50)),"","C")))</f>
        <v/>
      </c>
      <c r="AB50" s="13" t="str">
        <f aca="false">IF(A50="","",IFERROR(INDEX(Classes!$I$5:$I$23,MATCH(A50,Classes!$A$5:$A$23,0)),""))</f>
        <v/>
      </c>
    </row>
    <row r="51" customFormat="false" ht="18" hidden="false" customHeight="true" outlineLevel="0" collapsed="false">
      <c r="A51" s="11"/>
      <c r="B51" s="11"/>
      <c r="C51" s="11"/>
      <c r="D51" s="11"/>
      <c r="E51" s="12" t="str">
        <f aca="false">IF(D51="","",IFERROR(INDEX(Drills!$G$5:$G$127,MATCH(D51,Drills!$A$5:$A$127,0)),""))</f>
        <v/>
      </c>
      <c r="F51" s="11"/>
      <c r="G51" s="12" t="str">
        <f aca="false">IF(F51="","",IFERROR(INDEX(Drills!$G$5:$G$127,MATCH(F51,Drills!$A$5:$A$127,0)),""))</f>
        <v/>
      </c>
      <c r="H51" s="11"/>
      <c r="I51" s="12" t="str">
        <f aca="false">IF(H51="","",IFERROR(INDEX(Drills!$G$5:$G$127,MATCH(H51,Drills!$A$5:$A$127,0)),""))</f>
        <v/>
      </c>
      <c r="J51" s="11"/>
      <c r="K51" s="12" t="str">
        <f aca="false">IF(J51="","",IFERROR(INDEX(Drills!$G$5:$G$127,MATCH(J51,Drills!$A$5:$A$127,0)),""))</f>
        <v/>
      </c>
      <c r="L51" s="11"/>
      <c r="M51" s="12" t="str">
        <f aca="false">IF(L51="","",IFERROR(INDEX(Drills!$G$5:$G$127,MATCH(L51,Drills!$A$5:$A$127,0)),""))</f>
        <v/>
      </c>
      <c r="N51" s="11"/>
      <c r="O51" s="12" t="str">
        <f aca="false">IF(N51="","",IFERROR(INDEX(Drills!$G$5:$G$127,MATCH(N51,Drills!$A$5:$A$127,0)),""))</f>
        <v/>
      </c>
      <c r="P51" s="14" t="str">
        <f aca="false">IF(A51="","",SUM(E51,G51,I51,K51,M51,O51))</f>
        <v/>
      </c>
      <c r="Q51" s="14" t="str">
        <f aca="false">IF(A51="","",IFERROR(INDEX(Classes!$C$5:$C$23,MATCH(A51,Classes!$A$5:$A$23,0)),""))</f>
        <v/>
      </c>
      <c r="R51" s="15" t="str">
        <f aca="false">IF(A51="","",IF(TRIM(IF(AND(N(Q51)&gt;0,N(P51)&gt;N(Q51)),"Over by "&amp;(P51-Q51)&amp;" min. ","")&amp;IF(AND(COUNTIF(V51:AA51,"*A*")&gt;0,AB51&lt;&gt;"Yes"),"Age check. ","")&amp;IF(COUNTIF(V51:AA51,"*C*")&gt;0,"Contact check. ","")&amp;IF(COUNTIF(V51:AA51,"~?")&gt;0,"Drill not in library. ",""))="","OK"&amp;IF(AND(COUNTIF(V51:AA51,"*A*")&gt;0,AB51="Yes")," · split by age","")&amp;IF(N(Q51)&gt;N(P51)," ("&amp;(Q51-P51)&amp;" min spare)",""),TRIM(IF(AND(N(Q51)&gt;0,N(P51)&gt;N(Q51)),"Over by "&amp;(P51-Q51)&amp;" min. ","")&amp;IF(AND(COUNTIF(V51:AA51,"*A*")&gt;0,AB51&lt;&gt;"Yes"),"Age check. ","")&amp;IF(COUNTIF(V51:AA51,"*C*")&gt;0,"Contact check. ","")&amp;IF(COUNTIF(V51:AA51,"~?")&gt;0,"Drill not in library. ",""))&amp;IF(AND(COUNTIF(V51:AA51,"*A*")&gt;0,AB51="Yes")," · split by age","")))</f>
        <v/>
      </c>
      <c r="S51" s="11"/>
      <c r="T51" s="13" t="str">
        <f aca="false">IF(A51="","",IFERROR(INDEX(Classes!$E$5:$E$23,MATCH(A51,Classes!$A$5:$A$23,0)),""))</f>
        <v/>
      </c>
      <c r="U51" s="13" t="str">
        <f aca="false">IF(A51="","",IFERROR(INDEX(Classes!$F$5:$F$23,MATCH(A51,Classes!$A$5:$A$23,0)),""))</f>
        <v/>
      </c>
      <c r="V51" s="13" t="str">
        <f aca="false">IF(OR(D51="",$A51=""),"",IF(ISNA(MATCH(D51,Drills!$A$5:$A$127,0)),"?",IF(N(INDEX(Drills!$K$5:$K$127,MATCH(D51,Drills!$A$5:$A$127,0)))&gt;N($T51),"A","")&amp;IF(ISNUMBER(SEARCH(INDEX(Drills!$E$5:$E$127,MATCH(D51,Drills!$A$5:$A$127,0)),$U51)),"","C")))</f>
        <v/>
      </c>
      <c r="W51" s="13" t="str">
        <f aca="false">IF(OR(F51="",$A51=""),"",IF(ISNA(MATCH(F51,Drills!$A$5:$A$127,0)),"?",IF(N(INDEX(Drills!$K$5:$K$127,MATCH(F51,Drills!$A$5:$A$127,0)))&gt;N($T51),"A","")&amp;IF(ISNUMBER(SEARCH(INDEX(Drills!$E$5:$E$127,MATCH(F51,Drills!$A$5:$A$127,0)),$U51)),"","C")))</f>
        <v/>
      </c>
      <c r="X51" s="13" t="str">
        <f aca="false">IF(OR(H51="",$A51=""),"",IF(ISNA(MATCH(H51,Drills!$A$5:$A$127,0)),"?",IF(N(INDEX(Drills!$K$5:$K$127,MATCH(H51,Drills!$A$5:$A$127,0)))&gt;N($T51),"A","")&amp;IF(ISNUMBER(SEARCH(INDEX(Drills!$E$5:$E$127,MATCH(H51,Drills!$A$5:$A$127,0)),$U51)),"","C")))</f>
        <v/>
      </c>
      <c r="Y51" s="13" t="str">
        <f aca="false">IF(OR(J51="",$A51=""),"",IF(ISNA(MATCH(J51,Drills!$A$5:$A$127,0)),"?",IF(N(INDEX(Drills!$K$5:$K$127,MATCH(J51,Drills!$A$5:$A$127,0)))&gt;N($T51),"A","")&amp;IF(ISNUMBER(SEARCH(INDEX(Drills!$E$5:$E$127,MATCH(J51,Drills!$A$5:$A$127,0)),$U51)),"","C")))</f>
        <v/>
      </c>
      <c r="Z51" s="13" t="str">
        <f aca="false">IF(OR(L51="",$A51=""),"",IF(ISNA(MATCH(L51,Drills!$A$5:$A$127,0)),"?",IF(N(INDEX(Drills!$K$5:$K$127,MATCH(L51,Drills!$A$5:$A$127,0)))&gt;N($T51),"A","")&amp;IF(ISNUMBER(SEARCH(INDEX(Drills!$E$5:$E$127,MATCH(L51,Drills!$A$5:$A$127,0)),$U51)),"","C")))</f>
        <v/>
      </c>
      <c r="AA51" s="13" t="str">
        <f aca="false">IF(OR(N51="",$A51=""),"",IF(ISNA(MATCH(N51,Drills!$A$5:$A$127,0)),"?",IF(N(INDEX(Drills!$K$5:$K$127,MATCH(N51,Drills!$A$5:$A$127,0)))&gt;N($T51),"A","")&amp;IF(ISNUMBER(SEARCH(INDEX(Drills!$E$5:$E$127,MATCH(N51,Drills!$A$5:$A$127,0)),$U51)),"","C")))</f>
        <v/>
      </c>
      <c r="AB51" s="13" t="str">
        <f aca="false">IF(A51="","",IFERROR(INDEX(Classes!$I$5:$I$23,MATCH(A51,Classes!$A$5:$A$23,0)),""))</f>
        <v/>
      </c>
    </row>
    <row r="52" customFormat="false" ht="18" hidden="false" customHeight="true" outlineLevel="0" collapsed="false">
      <c r="A52" s="11"/>
      <c r="B52" s="11"/>
      <c r="C52" s="11"/>
      <c r="D52" s="11"/>
      <c r="E52" s="12" t="str">
        <f aca="false">IF(D52="","",IFERROR(INDEX(Drills!$G$5:$G$127,MATCH(D52,Drills!$A$5:$A$127,0)),""))</f>
        <v/>
      </c>
      <c r="F52" s="11"/>
      <c r="G52" s="12" t="str">
        <f aca="false">IF(F52="","",IFERROR(INDEX(Drills!$G$5:$G$127,MATCH(F52,Drills!$A$5:$A$127,0)),""))</f>
        <v/>
      </c>
      <c r="H52" s="11"/>
      <c r="I52" s="12" t="str">
        <f aca="false">IF(H52="","",IFERROR(INDEX(Drills!$G$5:$G$127,MATCH(H52,Drills!$A$5:$A$127,0)),""))</f>
        <v/>
      </c>
      <c r="J52" s="11"/>
      <c r="K52" s="12" t="str">
        <f aca="false">IF(J52="","",IFERROR(INDEX(Drills!$G$5:$G$127,MATCH(J52,Drills!$A$5:$A$127,0)),""))</f>
        <v/>
      </c>
      <c r="L52" s="11"/>
      <c r="M52" s="12" t="str">
        <f aca="false">IF(L52="","",IFERROR(INDEX(Drills!$G$5:$G$127,MATCH(L52,Drills!$A$5:$A$127,0)),""))</f>
        <v/>
      </c>
      <c r="N52" s="11"/>
      <c r="O52" s="12" t="str">
        <f aca="false">IF(N52="","",IFERROR(INDEX(Drills!$G$5:$G$127,MATCH(N52,Drills!$A$5:$A$127,0)),""))</f>
        <v/>
      </c>
      <c r="P52" s="14" t="str">
        <f aca="false">IF(A52="","",SUM(E52,G52,I52,K52,M52,O52))</f>
        <v/>
      </c>
      <c r="Q52" s="14" t="str">
        <f aca="false">IF(A52="","",IFERROR(INDEX(Classes!$C$5:$C$23,MATCH(A52,Classes!$A$5:$A$23,0)),""))</f>
        <v/>
      </c>
      <c r="R52" s="15" t="str">
        <f aca="false">IF(A52="","",IF(TRIM(IF(AND(N(Q52)&gt;0,N(P52)&gt;N(Q52)),"Over by "&amp;(P52-Q52)&amp;" min. ","")&amp;IF(AND(COUNTIF(V52:AA52,"*A*")&gt;0,AB52&lt;&gt;"Yes"),"Age check. ","")&amp;IF(COUNTIF(V52:AA52,"*C*")&gt;0,"Contact check. ","")&amp;IF(COUNTIF(V52:AA52,"~?")&gt;0,"Drill not in library. ",""))="","OK"&amp;IF(AND(COUNTIF(V52:AA52,"*A*")&gt;0,AB52="Yes")," · split by age","")&amp;IF(N(Q52)&gt;N(P52)," ("&amp;(Q52-P52)&amp;" min spare)",""),TRIM(IF(AND(N(Q52)&gt;0,N(P52)&gt;N(Q52)),"Over by "&amp;(P52-Q52)&amp;" min. ","")&amp;IF(AND(COUNTIF(V52:AA52,"*A*")&gt;0,AB52&lt;&gt;"Yes"),"Age check. ","")&amp;IF(COUNTIF(V52:AA52,"*C*")&gt;0,"Contact check. ","")&amp;IF(COUNTIF(V52:AA52,"~?")&gt;0,"Drill not in library. ",""))&amp;IF(AND(COUNTIF(V52:AA52,"*A*")&gt;0,AB52="Yes")," · split by age","")))</f>
        <v/>
      </c>
      <c r="S52" s="11"/>
      <c r="T52" s="13" t="str">
        <f aca="false">IF(A52="","",IFERROR(INDEX(Classes!$E$5:$E$23,MATCH(A52,Classes!$A$5:$A$23,0)),""))</f>
        <v/>
      </c>
      <c r="U52" s="13" t="str">
        <f aca="false">IF(A52="","",IFERROR(INDEX(Classes!$F$5:$F$23,MATCH(A52,Classes!$A$5:$A$23,0)),""))</f>
        <v/>
      </c>
      <c r="V52" s="13" t="str">
        <f aca="false">IF(OR(D52="",$A52=""),"",IF(ISNA(MATCH(D52,Drills!$A$5:$A$127,0)),"?",IF(N(INDEX(Drills!$K$5:$K$127,MATCH(D52,Drills!$A$5:$A$127,0)))&gt;N($T52),"A","")&amp;IF(ISNUMBER(SEARCH(INDEX(Drills!$E$5:$E$127,MATCH(D52,Drills!$A$5:$A$127,0)),$U52)),"","C")))</f>
        <v/>
      </c>
      <c r="W52" s="13" t="str">
        <f aca="false">IF(OR(F52="",$A52=""),"",IF(ISNA(MATCH(F52,Drills!$A$5:$A$127,0)),"?",IF(N(INDEX(Drills!$K$5:$K$127,MATCH(F52,Drills!$A$5:$A$127,0)))&gt;N($T52),"A","")&amp;IF(ISNUMBER(SEARCH(INDEX(Drills!$E$5:$E$127,MATCH(F52,Drills!$A$5:$A$127,0)),$U52)),"","C")))</f>
        <v/>
      </c>
      <c r="X52" s="13" t="str">
        <f aca="false">IF(OR(H52="",$A52=""),"",IF(ISNA(MATCH(H52,Drills!$A$5:$A$127,0)),"?",IF(N(INDEX(Drills!$K$5:$K$127,MATCH(H52,Drills!$A$5:$A$127,0)))&gt;N($T52),"A","")&amp;IF(ISNUMBER(SEARCH(INDEX(Drills!$E$5:$E$127,MATCH(H52,Drills!$A$5:$A$127,0)),$U52)),"","C")))</f>
        <v/>
      </c>
      <c r="Y52" s="13" t="str">
        <f aca="false">IF(OR(J52="",$A52=""),"",IF(ISNA(MATCH(J52,Drills!$A$5:$A$127,0)),"?",IF(N(INDEX(Drills!$K$5:$K$127,MATCH(J52,Drills!$A$5:$A$127,0)))&gt;N($T52),"A","")&amp;IF(ISNUMBER(SEARCH(INDEX(Drills!$E$5:$E$127,MATCH(J52,Drills!$A$5:$A$127,0)),$U52)),"","C")))</f>
        <v/>
      </c>
      <c r="Z52" s="13" t="str">
        <f aca="false">IF(OR(L52="",$A52=""),"",IF(ISNA(MATCH(L52,Drills!$A$5:$A$127,0)),"?",IF(N(INDEX(Drills!$K$5:$K$127,MATCH(L52,Drills!$A$5:$A$127,0)))&gt;N($T52),"A","")&amp;IF(ISNUMBER(SEARCH(INDEX(Drills!$E$5:$E$127,MATCH(L52,Drills!$A$5:$A$127,0)),$U52)),"","C")))</f>
        <v/>
      </c>
      <c r="AA52" s="13" t="str">
        <f aca="false">IF(OR(N52="",$A52=""),"",IF(ISNA(MATCH(N52,Drills!$A$5:$A$127,0)),"?",IF(N(INDEX(Drills!$K$5:$K$127,MATCH(N52,Drills!$A$5:$A$127,0)))&gt;N($T52),"A","")&amp;IF(ISNUMBER(SEARCH(INDEX(Drills!$E$5:$E$127,MATCH(N52,Drills!$A$5:$A$127,0)),$U52)),"","C")))</f>
        <v/>
      </c>
      <c r="AB52" s="13" t="str">
        <f aca="false">IF(A52="","",IFERROR(INDEX(Classes!$I$5:$I$23,MATCH(A52,Classes!$A$5:$A$23,0)),""))</f>
        <v/>
      </c>
    </row>
    <row r="53" customFormat="false" ht="18" hidden="false" customHeight="true" outlineLevel="0" collapsed="false">
      <c r="A53" s="11"/>
      <c r="B53" s="11"/>
      <c r="C53" s="11"/>
      <c r="D53" s="11"/>
      <c r="E53" s="12" t="str">
        <f aca="false">IF(D53="","",IFERROR(INDEX(Drills!$G$5:$G$127,MATCH(D53,Drills!$A$5:$A$127,0)),""))</f>
        <v/>
      </c>
      <c r="F53" s="11"/>
      <c r="G53" s="12" t="str">
        <f aca="false">IF(F53="","",IFERROR(INDEX(Drills!$G$5:$G$127,MATCH(F53,Drills!$A$5:$A$127,0)),""))</f>
        <v/>
      </c>
      <c r="H53" s="11"/>
      <c r="I53" s="12" t="str">
        <f aca="false">IF(H53="","",IFERROR(INDEX(Drills!$G$5:$G$127,MATCH(H53,Drills!$A$5:$A$127,0)),""))</f>
        <v/>
      </c>
      <c r="J53" s="11"/>
      <c r="K53" s="12" t="str">
        <f aca="false">IF(J53="","",IFERROR(INDEX(Drills!$G$5:$G$127,MATCH(J53,Drills!$A$5:$A$127,0)),""))</f>
        <v/>
      </c>
      <c r="L53" s="11"/>
      <c r="M53" s="12" t="str">
        <f aca="false">IF(L53="","",IFERROR(INDEX(Drills!$G$5:$G$127,MATCH(L53,Drills!$A$5:$A$127,0)),""))</f>
        <v/>
      </c>
      <c r="N53" s="11"/>
      <c r="O53" s="12" t="str">
        <f aca="false">IF(N53="","",IFERROR(INDEX(Drills!$G$5:$G$127,MATCH(N53,Drills!$A$5:$A$127,0)),""))</f>
        <v/>
      </c>
      <c r="P53" s="14" t="str">
        <f aca="false">IF(A53="","",SUM(E53,G53,I53,K53,M53,O53))</f>
        <v/>
      </c>
      <c r="Q53" s="14" t="str">
        <f aca="false">IF(A53="","",IFERROR(INDEX(Classes!$C$5:$C$23,MATCH(A53,Classes!$A$5:$A$23,0)),""))</f>
        <v/>
      </c>
      <c r="R53" s="15" t="str">
        <f aca="false">IF(A53="","",IF(TRIM(IF(AND(N(Q53)&gt;0,N(P53)&gt;N(Q53)),"Over by "&amp;(P53-Q53)&amp;" min. ","")&amp;IF(AND(COUNTIF(V53:AA53,"*A*")&gt;0,AB53&lt;&gt;"Yes"),"Age check. ","")&amp;IF(COUNTIF(V53:AA53,"*C*")&gt;0,"Contact check. ","")&amp;IF(COUNTIF(V53:AA53,"~?")&gt;0,"Drill not in library. ",""))="","OK"&amp;IF(AND(COUNTIF(V53:AA53,"*A*")&gt;0,AB53="Yes")," · split by age","")&amp;IF(N(Q53)&gt;N(P53)," ("&amp;(Q53-P53)&amp;" min spare)",""),TRIM(IF(AND(N(Q53)&gt;0,N(P53)&gt;N(Q53)),"Over by "&amp;(P53-Q53)&amp;" min. ","")&amp;IF(AND(COUNTIF(V53:AA53,"*A*")&gt;0,AB53&lt;&gt;"Yes"),"Age check. ","")&amp;IF(COUNTIF(V53:AA53,"*C*")&gt;0,"Contact check. ","")&amp;IF(COUNTIF(V53:AA53,"~?")&gt;0,"Drill not in library. ",""))&amp;IF(AND(COUNTIF(V53:AA53,"*A*")&gt;0,AB53="Yes")," · split by age","")))</f>
        <v/>
      </c>
      <c r="S53" s="11"/>
      <c r="T53" s="13" t="str">
        <f aca="false">IF(A53="","",IFERROR(INDEX(Classes!$E$5:$E$23,MATCH(A53,Classes!$A$5:$A$23,0)),""))</f>
        <v/>
      </c>
      <c r="U53" s="13" t="str">
        <f aca="false">IF(A53="","",IFERROR(INDEX(Classes!$F$5:$F$23,MATCH(A53,Classes!$A$5:$A$23,0)),""))</f>
        <v/>
      </c>
      <c r="V53" s="13" t="str">
        <f aca="false">IF(OR(D53="",$A53=""),"",IF(ISNA(MATCH(D53,Drills!$A$5:$A$127,0)),"?",IF(N(INDEX(Drills!$K$5:$K$127,MATCH(D53,Drills!$A$5:$A$127,0)))&gt;N($T53),"A","")&amp;IF(ISNUMBER(SEARCH(INDEX(Drills!$E$5:$E$127,MATCH(D53,Drills!$A$5:$A$127,0)),$U53)),"","C")))</f>
        <v/>
      </c>
      <c r="W53" s="13" t="str">
        <f aca="false">IF(OR(F53="",$A53=""),"",IF(ISNA(MATCH(F53,Drills!$A$5:$A$127,0)),"?",IF(N(INDEX(Drills!$K$5:$K$127,MATCH(F53,Drills!$A$5:$A$127,0)))&gt;N($T53),"A","")&amp;IF(ISNUMBER(SEARCH(INDEX(Drills!$E$5:$E$127,MATCH(F53,Drills!$A$5:$A$127,0)),$U53)),"","C")))</f>
        <v/>
      </c>
      <c r="X53" s="13" t="str">
        <f aca="false">IF(OR(H53="",$A53=""),"",IF(ISNA(MATCH(H53,Drills!$A$5:$A$127,0)),"?",IF(N(INDEX(Drills!$K$5:$K$127,MATCH(H53,Drills!$A$5:$A$127,0)))&gt;N($T53),"A","")&amp;IF(ISNUMBER(SEARCH(INDEX(Drills!$E$5:$E$127,MATCH(H53,Drills!$A$5:$A$127,0)),$U53)),"","C")))</f>
        <v/>
      </c>
      <c r="Y53" s="13" t="str">
        <f aca="false">IF(OR(J53="",$A53=""),"",IF(ISNA(MATCH(J53,Drills!$A$5:$A$127,0)),"?",IF(N(INDEX(Drills!$K$5:$K$127,MATCH(J53,Drills!$A$5:$A$127,0)))&gt;N($T53),"A","")&amp;IF(ISNUMBER(SEARCH(INDEX(Drills!$E$5:$E$127,MATCH(J53,Drills!$A$5:$A$127,0)),$U53)),"","C")))</f>
        <v/>
      </c>
      <c r="Z53" s="13" t="str">
        <f aca="false">IF(OR(L53="",$A53=""),"",IF(ISNA(MATCH(L53,Drills!$A$5:$A$127,0)),"?",IF(N(INDEX(Drills!$K$5:$K$127,MATCH(L53,Drills!$A$5:$A$127,0)))&gt;N($T53),"A","")&amp;IF(ISNUMBER(SEARCH(INDEX(Drills!$E$5:$E$127,MATCH(L53,Drills!$A$5:$A$127,0)),$U53)),"","C")))</f>
        <v/>
      </c>
      <c r="AA53" s="13" t="str">
        <f aca="false">IF(OR(N53="",$A53=""),"",IF(ISNA(MATCH(N53,Drills!$A$5:$A$127,0)),"?",IF(N(INDEX(Drills!$K$5:$K$127,MATCH(N53,Drills!$A$5:$A$127,0)))&gt;N($T53),"A","")&amp;IF(ISNUMBER(SEARCH(INDEX(Drills!$E$5:$E$127,MATCH(N53,Drills!$A$5:$A$127,0)),$U53)),"","C")))</f>
        <v/>
      </c>
      <c r="AB53" s="13" t="str">
        <f aca="false">IF(A53="","",IFERROR(INDEX(Classes!$I$5:$I$23,MATCH(A53,Classes!$A$5:$A$23,0)),""))</f>
        <v/>
      </c>
    </row>
    <row r="54" customFormat="false" ht="18" hidden="false" customHeight="true" outlineLevel="0" collapsed="false">
      <c r="A54" s="11"/>
      <c r="B54" s="11"/>
      <c r="C54" s="11"/>
      <c r="D54" s="11"/>
      <c r="E54" s="12" t="str">
        <f aca="false">IF(D54="","",IFERROR(INDEX(Drills!$G$5:$G$127,MATCH(D54,Drills!$A$5:$A$127,0)),""))</f>
        <v/>
      </c>
      <c r="F54" s="11"/>
      <c r="G54" s="12" t="str">
        <f aca="false">IF(F54="","",IFERROR(INDEX(Drills!$G$5:$G$127,MATCH(F54,Drills!$A$5:$A$127,0)),""))</f>
        <v/>
      </c>
      <c r="H54" s="11"/>
      <c r="I54" s="12" t="str">
        <f aca="false">IF(H54="","",IFERROR(INDEX(Drills!$G$5:$G$127,MATCH(H54,Drills!$A$5:$A$127,0)),""))</f>
        <v/>
      </c>
      <c r="J54" s="11"/>
      <c r="K54" s="12" t="str">
        <f aca="false">IF(J54="","",IFERROR(INDEX(Drills!$G$5:$G$127,MATCH(J54,Drills!$A$5:$A$127,0)),""))</f>
        <v/>
      </c>
      <c r="L54" s="11"/>
      <c r="M54" s="12" t="str">
        <f aca="false">IF(L54="","",IFERROR(INDEX(Drills!$G$5:$G$127,MATCH(L54,Drills!$A$5:$A$127,0)),""))</f>
        <v/>
      </c>
      <c r="N54" s="11"/>
      <c r="O54" s="12" t="str">
        <f aca="false">IF(N54="","",IFERROR(INDEX(Drills!$G$5:$G$127,MATCH(N54,Drills!$A$5:$A$127,0)),""))</f>
        <v/>
      </c>
      <c r="P54" s="14" t="str">
        <f aca="false">IF(A54="","",SUM(E54,G54,I54,K54,M54,O54))</f>
        <v/>
      </c>
      <c r="Q54" s="14" t="str">
        <f aca="false">IF(A54="","",IFERROR(INDEX(Classes!$C$5:$C$23,MATCH(A54,Classes!$A$5:$A$23,0)),""))</f>
        <v/>
      </c>
      <c r="R54" s="15" t="str">
        <f aca="false">IF(A54="","",IF(TRIM(IF(AND(N(Q54)&gt;0,N(P54)&gt;N(Q54)),"Over by "&amp;(P54-Q54)&amp;" min. ","")&amp;IF(AND(COUNTIF(V54:AA54,"*A*")&gt;0,AB54&lt;&gt;"Yes"),"Age check. ","")&amp;IF(COUNTIF(V54:AA54,"*C*")&gt;0,"Contact check. ","")&amp;IF(COUNTIF(V54:AA54,"~?")&gt;0,"Drill not in library. ",""))="","OK"&amp;IF(AND(COUNTIF(V54:AA54,"*A*")&gt;0,AB54="Yes")," · split by age","")&amp;IF(N(Q54)&gt;N(P54)," ("&amp;(Q54-P54)&amp;" min spare)",""),TRIM(IF(AND(N(Q54)&gt;0,N(P54)&gt;N(Q54)),"Over by "&amp;(P54-Q54)&amp;" min. ","")&amp;IF(AND(COUNTIF(V54:AA54,"*A*")&gt;0,AB54&lt;&gt;"Yes"),"Age check. ","")&amp;IF(COUNTIF(V54:AA54,"*C*")&gt;0,"Contact check. ","")&amp;IF(COUNTIF(V54:AA54,"~?")&gt;0,"Drill not in library. ",""))&amp;IF(AND(COUNTIF(V54:AA54,"*A*")&gt;0,AB54="Yes")," · split by age","")))</f>
        <v/>
      </c>
      <c r="S54" s="11"/>
      <c r="T54" s="13" t="str">
        <f aca="false">IF(A54="","",IFERROR(INDEX(Classes!$E$5:$E$23,MATCH(A54,Classes!$A$5:$A$23,0)),""))</f>
        <v/>
      </c>
      <c r="U54" s="13" t="str">
        <f aca="false">IF(A54="","",IFERROR(INDEX(Classes!$F$5:$F$23,MATCH(A54,Classes!$A$5:$A$23,0)),""))</f>
        <v/>
      </c>
      <c r="V54" s="13" t="str">
        <f aca="false">IF(OR(D54="",$A54=""),"",IF(ISNA(MATCH(D54,Drills!$A$5:$A$127,0)),"?",IF(N(INDEX(Drills!$K$5:$K$127,MATCH(D54,Drills!$A$5:$A$127,0)))&gt;N($T54),"A","")&amp;IF(ISNUMBER(SEARCH(INDEX(Drills!$E$5:$E$127,MATCH(D54,Drills!$A$5:$A$127,0)),$U54)),"","C")))</f>
        <v/>
      </c>
      <c r="W54" s="13" t="str">
        <f aca="false">IF(OR(F54="",$A54=""),"",IF(ISNA(MATCH(F54,Drills!$A$5:$A$127,0)),"?",IF(N(INDEX(Drills!$K$5:$K$127,MATCH(F54,Drills!$A$5:$A$127,0)))&gt;N($T54),"A","")&amp;IF(ISNUMBER(SEARCH(INDEX(Drills!$E$5:$E$127,MATCH(F54,Drills!$A$5:$A$127,0)),$U54)),"","C")))</f>
        <v/>
      </c>
      <c r="X54" s="13" t="str">
        <f aca="false">IF(OR(H54="",$A54=""),"",IF(ISNA(MATCH(H54,Drills!$A$5:$A$127,0)),"?",IF(N(INDEX(Drills!$K$5:$K$127,MATCH(H54,Drills!$A$5:$A$127,0)))&gt;N($T54),"A","")&amp;IF(ISNUMBER(SEARCH(INDEX(Drills!$E$5:$E$127,MATCH(H54,Drills!$A$5:$A$127,0)),$U54)),"","C")))</f>
        <v/>
      </c>
      <c r="Y54" s="13" t="str">
        <f aca="false">IF(OR(J54="",$A54=""),"",IF(ISNA(MATCH(J54,Drills!$A$5:$A$127,0)),"?",IF(N(INDEX(Drills!$K$5:$K$127,MATCH(J54,Drills!$A$5:$A$127,0)))&gt;N($T54),"A","")&amp;IF(ISNUMBER(SEARCH(INDEX(Drills!$E$5:$E$127,MATCH(J54,Drills!$A$5:$A$127,0)),$U54)),"","C")))</f>
        <v/>
      </c>
      <c r="Z54" s="13" t="str">
        <f aca="false">IF(OR(L54="",$A54=""),"",IF(ISNA(MATCH(L54,Drills!$A$5:$A$127,0)),"?",IF(N(INDEX(Drills!$K$5:$K$127,MATCH(L54,Drills!$A$5:$A$127,0)))&gt;N($T54),"A","")&amp;IF(ISNUMBER(SEARCH(INDEX(Drills!$E$5:$E$127,MATCH(L54,Drills!$A$5:$A$127,0)),$U54)),"","C")))</f>
        <v/>
      </c>
      <c r="AA54" s="13" t="str">
        <f aca="false">IF(OR(N54="",$A54=""),"",IF(ISNA(MATCH(N54,Drills!$A$5:$A$127,0)),"?",IF(N(INDEX(Drills!$K$5:$K$127,MATCH(N54,Drills!$A$5:$A$127,0)))&gt;N($T54),"A","")&amp;IF(ISNUMBER(SEARCH(INDEX(Drills!$E$5:$E$127,MATCH(N54,Drills!$A$5:$A$127,0)),$U54)),"","C")))</f>
        <v/>
      </c>
      <c r="AB54" s="13" t="str">
        <f aca="false">IF(A54="","",IFERROR(INDEX(Classes!$I$5:$I$23,MATCH(A54,Classes!$A$5:$A$23,0)),""))</f>
        <v/>
      </c>
    </row>
    <row r="55" customFormat="false" ht="18" hidden="false" customHeight="true" outlineLevel="0" collapsed="false">
      <c r="A55" s="11"/>
      <c r="B55" s="11"/>
      <c r="C55" s="11"/>
      <c r="D55" s="11"/>
      <c r="E55" s="12" t="str">
        <f aca="false">IF(D55="","",IFERROR(INDEX(Drills!$G$5:$G$127,MATCH(D55,Drills!$A$5:$A$127,0)),""))</f>
        <v/>
      </c>
      <c r="F55" s="11"/>
      <c r="G55" s="12" t="str">
        <f aca="false">IF(F55="","",IFERROR(INDEX(Drills!$G$5:$G$127,MATCH(F55,Drills!$A$5:$A$127,0)),""))</f>
        <v/>
      </c>
      <c r="H55" s="11"/>
      <c r="I55" s="12" t="str">
        <f aca="false">IF(H55="","",IFERROR(INDEX(Drills!$G$5:$G$127,MATCH(H55,Drills!$A$5:$A$127,0)),""))</f>
        <v/>
      </c>
      <c r="J55" s="11"/>
      <c r="K55" s="12" t="str">
        <f aca="false">IF(J55="","",IFERROR(INDEX(Drills!$G$5:$G$127,MATCH(J55,Drills!$A$5:$A$127,0)),""))</f>
        <v/>
      </c>
      <c r="L55" s="11"/>
      <c r="M55" s="12" t="str">
        <f aca="false">IF(L55="","",IFERROR(INDEX(Drills!$G$5:$G$127,MATCH(L55,Drills!$A$5:$A$127,0)),""))</f>
        <v/>
      </c>
      <c r="N55" s="11"/>
      <c r="O55" s="12" t="str">
        <f aca="false">IF(N55="","",IFERROR(INDEX(Drills!$G$5:$G$127,MATCH(N55,Drills!$A$5:$A$127,0)),""))</f>
        <v/>
      </c>
      <c r="P55" s="14" t="str">
        <f aca="false">IF(A55="","",SUM(E55,G55,I55,K55,M55,O55))</f>
        <v/>
      </c>
      <c r="Q55" s="14" t="str">
        <f aca="false">IF(A55="","",IFERROR(INDEX(Classes!$C$5:$C$23,MATCH(A55,Classes!$A$5:$A$23,0)),""))</f>
        <v/>
      </c>
      <c r="R55" s="15" t="str">
        <f aca="false">IF(A55="","",IF(TRIM(IF(AND(N(Q55)&gt;0,N(P55)&gt;N(Q55)),"Over by "&amp;(P55-Q55)&amp;" min. ","")&amp;IF(AND(COUNTIF(V55:AA55,"*A*")&gt;0,AB55&lt;&gt;"Yes"),"Age check. ","")&amp;IF(COUNTIF(V55:AA55,"*C*")&gt;0,"Contact check. ","")&amp;IF(COUNTIF(V55:AA55,"~?")&gt;0,"Drill not in library. ",""))="","OK"&amp;IF(AND(COUNTIF(V55:AA55,"*A*")&gt;0,AB55="Yes")," · split by age","")&amp;IF(N(Q55)&gt;N(P55)," ("&amp;(Q55-P55)&amp;" min spare)",""),TRIM(IF(AND(N(Q55)&gt;0,N(P55)&gt;N(Q55)),"Over by "&amp;(P55-Q55)&amp;" min. ","")&amp;IF(AND(COUNTIF(V55:AA55,"*A*")&gt;0,AB55&lt;&gt;"Yes"),"Age check. ","")&amp;IF(COUNTIF(V55:AA55,"*C*")&gt;0,"Contact check. ","")&amp;IF(COUNTIF(V55:AA55,"~?")&gt;0,"Drill not in library. ",""))&amp;IF(AND(COUNTIF(V55:AA55,"*A*")&gt;0,AB55="Yes")," · split by age","")))</f>
        <v/>
      </c>
      <c r="S55" s="11"/>
      <c r="T55" s="13" t="str">
        <f aca="false">IF(A55="","",IFERROR(INDEX(Classes!$E$5:$E$23,MATCH(A55,Classes!$A$5:$A$23,0)),""))</f>
        <v/>
      </c>
      <c r="U55" s="13" t="str">
        <f aca="false">IF(A55="","",IFERROR(INDEX(Classes!$F$5:$F$23,MATCH(A55,Classes!$A$5:$A$23,0)),""))</f>
        <v/>
      </c>
      <c r="V55" s="13" t="str">
        <f aca="false">IF(OR(D55="",$A55=""),"",IF(ISNA(MATCH(D55,Drills!$A$5:$A$127,0)),"?",IF(N(INDEX(Drills!$K$5:$K$127,MATCH(D55,Drills!$A$5:$A$127,0)))&gt;N($T55),"A","")&amp;IF(ISNUMBER(SEARCH(INDEX(Drills!$E$5:$E$127,MATCH(D55,Drills!$A$5:$A$127,0)),$U55)),"","C")))</f>
        <v/>
      </c>
      <c r="W55" s="13" t="str">
        <f aca="false">IF(OR(F55="",$A55=""),"",IF(ISNA(MATCH(F55,Drills!$A$5:$A$127,0)),"?",IF(N(INDEX(Drills!$K$5:$K$127,MATCH(F55,Drills!$A$5:$A$127,0)))&gt;N($T55),"A","")&amp;IF(ISNUMBER(SEARCH(INDEX(Drills!$E$5:$E$127,MATCH(F55,Drills!$A$5:$A$127,0)),$U55)),"","C")))</f>
        <v/>
      </c>
      <c r="X55" s="13" t="str">
        <f aca="false">IF(OR(H55="",$A55=""),"",IF(ISNA(MATCH(H55,Drills!$A$5:$A$127,0)),"?",IF(N(INDEX(Drills!$K$5:$K$127,MATCH(H55,Drills!$A$5:$A$127,0)))&gt;N($T55),"A","")&amp;IF(ISNUMBER(SEARCH(INDEX(Drills!$E$5:$E$127,MATCH(H55,Drills!$A$5:$A$127,0)),$U55)),"","C")))</f>
        <v/>
      </c>
      <c r="Y55" s="13" t="str">
        <f aca="false">IF(OR(J55="",$A55=""),"",IF(ISNA(MATCH(J55,Drills!$A$5:$A$127,0)),"?",IF(N(INDEX(Drills!$K$5:$K$127,MATCH(J55,Drills!$A$5:$A$127,0)))&gt;N($T55),"A","")&amp;IF(ISNUMBER(SEARCH(INDEX(Drills!$E$5:$E$127,MATCH(J55,Drills!$A$5:$A$127,0)),$U55)),"","C")))</f>
        <v/>
      </c>
      <c r="Z55" s="13" t="str">
        <f aca="false">IF(OR(L55="",$A55=""),"",IF(ISNA(MATCH(L55,Drills!$A$5:$A$127,0)),"?",IF(N(INDEX(Drills!$K$5:$K$127,MATCH(L55,Drills!$A$5:$A$127,0)))&gt;N($T55),"A","")&amp;IF(ISNUMBER(SEARCH(INDEX(Drills!$E$5:$E$127,MATCH(L55,Drills!$A$5:$A$127,0)),$U55)),"","C")))</f>
        <v/>
      </c>
      <c r="AA55" s="13" t="str">
        <f aca="false">IF(OR(N55="",$A55=""),"",IF(ISNA(MATCH(N55,Drills!$A$5:$A$127,0)),"?",IF(N(INDEX(Drills!$K$5:$K$127,MATCH(N55,Drills!$A$5:$A$127,0)))&gt;N($T55),"A","")&amp;IF(ISNUMBER(SEARCH(INDEX(Drills!$E$5:$E$127,MATCH(N55,Drills!$A$5:$A$127,0)),$U55)),"","C")))</f>
        <v/>
      </c>
      <c r="AB55" s="13" t="str">
        <f aca="false">IF(A55="","",IFERROR(INDEX(Classes!$I$5:$I$23,MATCH(A55,Classes!$A$5:$A$23,0)),""))</f>
        <v/>
      </c>
    </row>
    <row r="56" customFormat="false" ht="18" hidden="false" customHeight="true" outlineLevel="0" collapsed="false">
      <c r="A56" s="11"/>
      <c r="B56" s="11"/>
      <c r="C56" s="11"/>
      <c r="D56" s="11"/>
      <c r="E56" s="12" t="str">
        <f aca="false">IF(D56="","",IFERROR(INDEX(Drills!$G$5:$G$127,MATCH(D56,Drills!$A$5:$A$127,0)),""))</f>
        <v/>
      </c>
      <c r="F56" s="11"/>
      <c r="G56" s="12" t="str">
        <f aca="false">IF(F56="","",IFERROR(INDEX(Drills!$G$5:$G$127,MATCH(F56,Drills!$A$5:$A$127,0)),""))</f>
        <v/>
      </c>
      <c r="H56" s="11"/>
      <c r="I56" s="12" t="str">
        <f aca="false">IF(H56="","",IFERROR(INDEX(Drills!$G$5:$G$127,MATCH(H56,Drills!$A$5:$A$127,0)),""))</f>
        <v/>
      </c>
      <c r="J56" s="11"/>
      <c r="K56" s="12" t="str">
        <f aca="false">IF(J56="","",IFERROR(INDEX(Drills!$G$5:$G$127,MATCH(J56,Drills!$A$5:$A$127,0)),""))</f>
        <v/>
      </c>
      <c r="L56" s="11"/>
      <c r="M56" s="12" t="str">
        <f aca="false">IF(L56="","",IFERROR(INDEX(Drills!$G$5:$G$127,MATCH(L56,Drills!$A$5:$A$127,0)),""))</f>
        <v/>
      </c>
      <c r="N56" s="11"/>
      <c r="O56" s="12" t="str">
        <f aca="false">IF(N56="","",IFERROR(INDEX(Drills!$G$5:$G$127,MATCH(N56,Drills!$A$5:$A$127,0)),""))</f>
        <v/>
      </c>
      <c r="P56" s="14" t="str">
        <f aca="false">IF(A56="","",SUM(E56,G56,I56,K56,M56,O56))</f>
        <v/>
      </c>
      <c r="Q56" s="14" t="str">
        <f aca="false">IF(A56="","",IFERROR(INDEX(Classes!$C$5:$C$23,MATCH(A56,Classes!$A$5:$A$23,0)),""))</f>
        <v/>
      </c>
      <c r="R56" s="15" t="str">
        <f aca="false">IF(A56="","",IF(TRIM(IF(AND(N(Q56)&gt;0,N(P56)&gt;N(Q56)),"Over by "&amp;(P56-Q56)&amp;" min. ","")&amp;IF(AND(COUNTIF(V56:AA56,"*A*")&gt;0,AB56&lt;&gt;"Yes"),"Age check. ","")&amp;IF(COUNTIF(V56:AA56,"*C*")&gt;0,"Contact check. ","")&amp;IF(COUNTIF(V56:AA56,"~?")&gt;0,"Drill not in library. ",""))="","OK"&amp;IF(AND(COUNTIF(V56:AA56,"*A*")&gt;0,AB56="Yes")," · split by age","")&amp;IF(N(Q56)&gt;N(P56)," ("&amp;(Q56-P56)&amp;" min spare)",""),TRIM(IF(AND(N(Q56)&gt;0,N(P56)&gt;N(Q56)),"Over by "&amp;(P56-Q56)&amp;" min. ","")&amp;IF(AND(COUNTIF(V56:AA56,"*A*")&gt;0,AB56&lt;&gt;"Yes"),"Age check. ","")&amp;IF(COUNTIF(V56:AA56,"*C*")&gt;0,"Contact check. ","")&amp;IF(COUNTIF(V56:AA56,"~?")&gt;0,"Drill not in library. ",""))&amp;IF(AND(COUNTIF(V56:AA56,"*A*")&gt;0,AB56="Yes")," · split by age","")))</f>
        <v/>
      </c>
      <c r="S56" s="11"/>
      <c r="T56" s="13" t="str">
        <f aca="false">IF(A56="","",IFERROR(INDEX(Classes!$E$5:$E$23,MATCH(A56,Classes!$A$5:$A$23,0)),""))</f>
        <v/>
      </c>
      <c r="U56" s="13" t="str">
        <f aca="false">IF(A56="","",IFERROR(INDEX(Classes!$F$5:$F$23,MATCH(A56,Classes!$A$5:$A$23,0)),""))</f>
        <v/>
      </c>
      <c r="V56" s="13" t="str">
        <f aca="false">IF(OR(D56="",$A56=""),"",IF(ISNA(MATCH(D56,Drills!$A$5:$A$127,0)),"?",IF(N(INDEX(Drills!$K$5:$K$127,MATCH(D56,Drills!$A$5:$A$127,0)))&gt;N($T56),"A","")&amp;IF(ISNUMBER(SEARCH(INDEX(Drills!$E$5:$E$127,MATCH(D56,Drills!$A$5:$A$127,0)),$U56)),"","C")))</f>
        <v/>
      </c>
      <c r="W56" s="13" t="str">
        <f aca="false">IF(OR(F56="",$A56=""),"",IF(ISNA(MATCH(F56,Drills!$A$5:$A$127,0)),"?",IF(N(INDEX(Drills!$K$5:$K$127,MATCH(F56,Drills!$A$5:$A$127,0)))&gt;N($T56),"A","")&amp;IF(ISNUMBER(SEARCH(INDEX(Drills!$E$5:$E$127,MATCH(F56,Drills!$A$5:$A$127,0)),$U56)),"","C")))</f>
        <v/>
      </c>
      <c r="X56" s="13" t="str">
        <f aca="false">IF(OR(H56="",$A56=""),"",IF(ISNA(MATCH(H56,Drills!$A$5:$A$127,0)),"?",IF(N(INDEX(Drills!$K$5:$K$127,MATCH(H56,Drills!$A$5:$A$127,0)))&gt;N($T56),"A","")&amp;IF(ISNUMBER(SEARCH(INDEX(Drills!$E$5:$E$127,MATCH(H56,Drills!$A$5:$A$127,0)),$U56)),"","C")))</f>
        <v/>
      </c>
      <c r="Y56" s="13" t="str">
        <f aca="false">IF(OR(J56="",$A56=""),"",IF(ISNA(MATCH(J56,Drills!$A$5:$A$127,0)),"?",IF(N(INDEX(Drills!$K$5:$K$127,MATCH(J56,Drills!$A$5:$A$127,0)))&gt;N($T56),"A","")&amp;IF(ISNUMBER(SEARCH(INDEX(Drills!$E$5:$E$127,MATCH(J56,Drills!$A$5:$A$127,0)),$U56)),"","C")))</f>
        <v/>
      </c>
      <c r="Z56" s="13" t="str">
        <f aca="false">IF(OR(L56="",$A56=""),"",IF(ISNA(MATCH(L56,Drills!$A$5:$A$127,0)),"?",IF(N(INDEX(Drills!$K$5:$K$127,MATCH(L56,Drills!$A$5:$A$127,0)))&gt;N($T56),"A","")&amp;IF(ISNUMBER(SEARCH(INDEX(Drills!$E$5:$E$127,MATCH(L56,Drills!$A$5:$A$127,0)),$U56)),"","C")))</f>
        <v/>
      </c>
      <c r="AA56" s="13" t="str">
        <f aca="false">IF(OR(N56="",$A56=""),"",IF(ISNA(MATCH(N56,Drills!$A$5:$A$127,0)),"?",IF(N(INDEX(Drills!$K$5:$K$127,MATCH(N56,Drills!$A$5:$A$127,0)))&gt;N($T56),"A","")&amp;IF(ISNUMBER(SEARCH(INDEX(Drills!$E$5:$E$127,MATCH(N56,Drills!$A$5:$A$127,0)),$U56)),"","C")))</f>
        <v/>
      </c>
      <c r="AB56" s="13" t="str">
        <f aca="false">IF(A56="","",IFERROR(INDEX(Classes!$I$5:$I$23,MATCH(A56,Classes!$A$5:$A$23,0)),""))</f>
        <v/>
      </c>
    </row>
    <row r="57" customFormat="false" ht="18" hidden="false" customHeight="true" outlineLevel="0" collapsed="false">
      <c r="A57" s="11"/>
      <c r="B57" s="11"/>
      <c r="C57" s="11"/>
      <c r="D57" s="11"/>
      <c r="E57" s="12" t="str">
        <f aca="false">IF(D57="","",IFERROR(INDEX(Drills!$G$5:$G$127,MATCH(D57,Drills!$A$5:$A$127,0)),""))</f>
        <v/>
      </c>
      <c r="F57" s="11"/>
      <c r="G57" s="12" t="str">
        <f aca="false">IF(F57="","",IFERROR(INDEX(Drills!$G$5:$G$127,MATCH(F57,Drills!$A$5:$A$127,0)),""))</f>
        <v/>
      </c>
      <c r="H57" s="11"/>
      <c r="I57" s="12" t="str">
        <f aca="false">IF(H57="","",IFERROR(INDEX(Drills!$G$5:$G$127,MATCH(H57,Drills!$A$5:$A$127,0)),""))</f>
        <v/>
      </c>
      <c r="J57" s="11"/>
      <c r="K57" s="12" t="str">
        <f aca="false">IF(J57="","",IFERROR(INDEX(Drills!$G$5:$G$127,MATCH(J57,Drills!$A$5:$A$127,0)),""))</f>
        <v/>
      </c>
      <c r="L57" s="11"/>
      <c r="M57" s="12" t="str">
        <f aca="false">IF(L57="","",IFERROR(INDEX(Drills!$G$5:$G$127,MATCH(L57,Drills!$A$5:$A$127,0)),""))</f>
        <v/>
      </c>
      <c r="N57" s="11"/>
      <c r="O57" s="12" t="str">
        <f aca="false">IF(N57="","",IFERROR(INDEX(Drills!$G$5:$G$127,MATCH(N57,Drills!$A$5:$A$127,0)),""))</f>
        <v/>
      </c>
      <c r="P57" s="14" t="str">
        <f aca="false">IF(A57="","",SUM(E57,G57,I57,K57,M57,O57))</f>
        <v/>
      </c>
      <c r="Q57" s="14" t="str">
        <f aca="false">IF(A57="","",IFERROR(INDEX(Classes!$C$5:$C$23,MATCH(A57,Classes!$A$5:$A$23,0)),""))</f>
        <v/>
      </c>
      <c r="R57" s="15" t="str">
        <f aca="false">IF(A57="","",IF(TRIM(IF(AND(N(Q57)&gt;0,N(P57)&gt;N(Q57)),"Over by "&amp;(P57-Q57)&amp;" min. ","")&amp;IF(AND(COUNTIF(V57:AA57,"*A*")&gt;0,AB57&lt;&gt;"Yes"),"Age check. ","")&amp;IF(COUNTIF(V57:AA57,"*C*")&gt;0,"Contact check. ","")&amp;IF(COUNTIF(V57:AA57,"~?")&gt;0,"Drill not in library. ",""))="","OK"&amp;IF(AND(COUNTIF(V57:AA57,"*A*")&gt;0,AB57="Yes")," · split by age","")&amp;IF(N(Q57)&gt;N(P57)," ("&amp;(Q57-P57)&amp;" min spare)",""),TRIM(IF(AND(N(Q57)&gt;0,N(P57)&gt;N(Q57)),"Over by "&amp;(P57-Q57)&amp;" min. ","")&amp;IF(AND(COUNTIF(V57:AA57,"*A*")&gt;0,AB57&lt;&gt;"Yes"),"Age check. ","")&amp;IF(COUNTIF(V57:AA57,"*C*")&gt;0,"Contact check. ","")&amp;IF(COUNTIF(V57:AA57,"~?")&gt;0,"Drill not in library. ",""))&amp;IF(AND(COUNTIF(V57:AA57,"*A*")&gt;0,AB57="Yes")," · split by age","")))</f>
        <v/>
      </c>
      <c r="S57" s="11"/>
      <c r="T57" s="13" t="str">
        <f aca="false">IF(A57="","",IFERROR(INDEX(Classes!$E$5:$E$23,MATCH(A57,Classes!$A$5:$A$23,0)),""))</f>
        <v/>
      </c>
      <c r="U57" s="13" t="str">
        <f aca="false">IF(A57="","",IFERROR(INDEX(Classes!$F$5:$F$23,MATCH(A57,Classes!$A$5:$A$23,0)),""))</f>
        <v/>
      </c>
      <c r="V57" s="13" t="str">
        <f aca="false">IF(OR(D57="",$A57=""),"",IF(ISNA(MATCH(D57,Drills!$A$5:$A$127,0)),"?",IF(N(INDEX(Drills!$K$5:$K$127,MATCH(D57,Drills!$A$5:$A$127,0)))&gt;N($T57),"A","")&amp;IF(ISNUMBER(SEARCH(INDEX(Drills!$E$5:$E$127,MATCH(D57,Drills!$A$5:$A$127,0)),$U57)),"","C")))</f>
        <v/>
      </c>
      <c r="W57" s="13" t="str">
        <f aca="false">IF(OR(F57="",$A57=""),"",IF(ISNA(MATCH(F57,Drills!$A$5:$A$127,0)),"?",IF(N(INDEX(Drills!$K$5:$K$127,MATCH(F57,Drills!$A$5:$A$127,0)))&gt;N($T57),"A","")&amp;IF(ISNUMBER(SEARCH(INDEX(Drills!$E$5:$E$127,MATCH(F57,Drills!$A$5:$A$127,0)),$U57)),"","C")))</f>
        <v/>
      </c>
      <c r="X57" s="13" t="str">
        <f aca="false">IF(OR(H57="",$A57=""),"",IF(ISNA(MATCH(H57,Drills!$A$5:$A$127,0)),"?",IF(N(INDEX(Drills!$K$5:$K$127,MATCH(H57,Drills!$A$5:$A$127,0)))&gt;N($T57),"A","")&amp;IF(ISNUMBER(SEARCH(INDEX(Drills!$E$5:$E$127,MATCH(H57,Drills!$A$5:$A$127,0)),$U57)),"","C")))</f>
        <v/>
      </c>
      <c r="Y57" s="13" t="str">
        <f aca="false">IF(OR(J57="",$A57=""),"",IF(ISNA(MATCH(J57,Drills!$A$5:$A$127,0)),"?",IF(N(INDEX(Drills!$K$5:$K$127,MATCH(J57,Drills!$A$5:$A$127,0)))&gt;N($T57),"A","")&amp;IF(ISNUMBER(SEARCH(INDEX(Drills!$E$5:$E$127,MATCH(J57,Drills!$A$5:$A$127,0)),$U57)),"","C")))</f>
        <v/>
      </c>
      <c r="Z57" s="13" t="str">
        <f aca="false">IF(OR(L57="",$A57=""),"",IF(ISNA(MATCH(L57,Drills!$A$5:$A$127,0)),"?",IF(N(INDEX(Drills!$K$5:$K$127,MATCH(L57,Drills!$A$5:$A$127,0)))&gt;N($T57),"A","")&amp;IF(ISNUMBER(SEARCH(INDEX(Drills!$E$5:$E$127,MATCH(L57,Drills!$A$5:$A$127,0)),$U57)),"","C")))</f>
        <v/>
      </c>
      <c r="AA57" s="13" t="str">
        <f aca="false">IF(OR(N57="",$A57=""),"",IF(ISNA(MATCH(N57,Drills!$A$5:$A$127,0)),"?",IF(N(INDEX(Drills!$K$5:$K$127,MATCH(N57,Drills!$A$5:$A$127,0)))&gt;N($T57),"A","")&amp;IF(ISNUMBER(SEARCH(INDEX(Drills!$E$5:$E$127,MATCH(N57,Drills!$A$5:$A$127,0)),$U57)),"","C")))</f>
        <v/>
      </c>
      <c r="AB57" s="13" t="str">
        <f aca="false">IF(A57="","",IFERROR(INDEX(Classes!$I$5:$I$23,MATCH(A57,Classes!$A$5:$A$23,0)),""))</f>
        <v/>
      </c>
    </row>
    <row r="58" customFormat="false" ht="18" hidden="false" customHeight="true" outlineLevel="0" collapsed="false">
      <c r="A58" s="11"/>
      <c r="B58" s="11"/>
      <c r="C58" s="11"/>
      <c r="D58" s="11"/>
      <c r="E58" s="12" t="str">
        <f aca="false">IF(D58="","",IFERROR(INDEX(Drills!$G$5:$G$127,MATCH(D58,Drills!$A$5:$A$127,0)),""))</f>
        <v/>
      </c>
      <c r="F58" s="11"/>
      <c r="G58" s="12" t="str">
        <f aca="false">IF(F58="","",IFERROR(INDEX(Drills!$G$5:$G$127,MATCH(F58,Drills!$A$5:$A$127,0)),""))</f>
        <v/>
      </c>
      <c r="H58" s="11"/>
      <c r="I58" s="12" t="str">
        <f aca="false">IF(H58="","",IFERROR(INDEX(Drills!$G$5:$G$127,MATCH(H58,Drills!$A$5:$A$127,0)),""))</f>
        <v/>
      </c>
      <c r="J58" s="11"/>
      <c r="K58" s="12" t="str">
        <f aca="false">IF(J58="","",IFERROR(INDEX(Drills!$G$5:$G$127,MATCH(J58,Drills!$A$5:$A$127,0)),""))</f>
        <v/>
      </c>
      <c r="L58" s="11"/>
      <c r="M58" s="12" t="str">
        <f aca="false">IF(L58="","",IFERROR(INDEX(Drills!$G$5:$G$127,MATCH(L58,Drills!$A$5:$A$127,0)),""))</f>
        <v/>
      </c>
      <c r="N58" s="11"/>
      <c r="O58" s="12" t="str">
        <f aca="false">IF(N58="","",IFERROR(INDEX(Drills!$G$5:$G$127,MATCH(N58,Drills!$A$5:$A$127,0)),""))</f>
        <v/>
      </c>
      <c r="P58" s="14" t="str">
        <f aca="false">IF(A58="","",SUM(E58,G58,I58,K58,M58,O58))</f>
        <v/>
      </c>
      <c r="Q58" s="14" t="str">
        <f aca="false">IF(A58="","",IFERROR(INDEX(Classes!$C$5:$C$23,MATCH(A58,Classes!$A$5:$A$23,0)),""))</f>
        <v/>
      </c>
      <c r="R58" s="15" t="str">
        <f aca="false">IF(A58="","",IF(TRIM(IF(AND(N(Q58)&gt;0,N(P58)&gt;N(Q58)),"Over by "&amp;(P58-Q58)&amp;" min. ","")&amp;IF(AND(COUNTIF(V58:AA58,"*A*")&gt;0,AB58&lt;&gt;"Yes"),"Age check. ","")&amp;IF(COUNTIF(V58:AA58,"*C*")&gt;0,"Contact check. ","")&amp;IF(COUNTIF(V58:AA58,"~?")&gt;0,"Drill not in library. ",""))="","OK"&amp;IF(AND(COUNTIF(V58:AA58,"*A*")&gt;0,AB58="Yes")," · split by age","")&amp;IF(N(Q58)&gt;N(P58)," ("&amp;(Q58-P58)&amp;" min spare)",""),TRIM(IF(AND(N(Q58)&gt;0,N(P58)&gt;N(Q58)),"Over by "&amp;(P58-Q58)&amp;" min. ","")&amp;IF(AND(COUNTIF(V58:AA58,"*A*")&gt;0,AB58&lt;&gt;"Yes"),"Age check. ","")&amp;IF(COUNTIF(V58:AA58,"*C*")&gt;0,"Contact check. ","")&amp;IF(COUNTIF(V58:AA58,"~?")&gt;0,"Drill not in library. ",""))&amp;IF(AND(COUNTIF(V58:AA58,"*A*")&gt;0,AB58="Yes")," · split by age","")))</f>
        <v/>
      </c>
      <c r="S58" s="11"/>
      <c r="T58" s="13" t="str">
        <f aca="false">IF(A58="","",IFERROR(INDEX(Classes!$E$5:$E$23,MATCH(A58,Classes!$A$5:$A$23,0)),""))</f>
        <v/>
      </c>
      <c r="U58" s="13" t="str">
        <f aca="false">IF(A58="","",IFERROR(INDEX(Classes!$F$5:$F$23,MATCH(A58,Classes!$A$5:$A$23,0)),""))</f>
        <v/>
      </c>
      <c r="V58" s="13" t="str">
        <f aca="false">IF(OR(D58="",$A58=""),"",IF(ISNA(MATCH(D58,Drills!$A$5:$A$127,0)),"?",IF(N(INDEX(Drills!$K$5:$K$127,MATCH(D58,Drills!$A$5:$A$127,0)))&gt;N($T58),"A","")&amp;IF(ISNUMBER(SEARCH(INDEX(Drills!$E$5:$E$127,MATCH(D58,Drills!$A$5:$A$127,0)),$U58)),"","C")))</f>
        <v/>
      </c>
      <c r="W58" s="13" t="str">
        <f aca="false">IF(OR(F58="",$A58=""),"",IF(ISNA(MATCH(F58,Drills!$A$5:$A$127,0)),"?",IF(N(INDEX(Drills!$K$5:$K$127,MATCH(F58,Drills!$A$5:$A$127,0)))&gt;N($T58),"A","")&amp;IF(ISNUMBER(SEARCH(INDEX(Drills!$E$5:$E$127,MATCH(F58,Drills!$A$5:$A$127,0)),$U58)),"","C")))</f>
        <v/>
      </c>
      <c r="X58" s="13" t="str">
        <f aca="false">IF(OR(H58="",$A58=""),"",IF(ISNA(MATCH(H58,Drills!$A$5:$A$127,0)),"?",IF(N(INDEX(Drills!$K$5:$K$127,MATCH(H58,Drills!$A$5:$A$127,0)))&gt;N($T58),"A","")&amp;IF(ISNUMBER(SEARCH(INDEX(Drills!$E$5:$E$127,MATCH(H58,Drills!$A$5:$A$127,0)),$U58)),"","C")))</f>
        <v/>
      </c>
      <c r="Y58" s="13" t="str">
        <f aca="false">IF(OR(J58="",$A58=""),"",IF(ISNA(MATCH(J58,Drills!$A$5:$A$127,0)),"?",IF(N(INDEX(Drills!$K$5:$K$127,MATCH(J58,Drills!$A$5:$A$127,0)))&gt;N($T58),"A","")&amp;IF(ISNUMBER(SEARCH(INDEX(Drills!$E$5:$E$127,MATCH(J58,Drills!$A$5:$A$127,0)),$U58)),"","C")))</f>
        <v/>
      </c>
      <c r="Z58" s="13" t="str">
        <f aca="false">IF(OR(L58="",$A58=""),"",IF(ISNA(MATCH(L58,Drills!$A$5:$A$127,0)),"?",IF(N(INDEX(Drills!$K$5:$K$127,MATCH(L58,Drills!$A$5:$A$127,0)))&gt;N($T58),"A","")&amp;IF(ISNUMBER(SEARCH(INDEX(Drills!$E$5:$E$127,MATCH(L58,Drills!$A$5:$A$127,0)),$U58)),"","C")))</f>
        <v/>
      </c>
      <c r="AA58" s="13" t="str">
        <f aca="false">IF(OR(N58="",$A58=""),"",IF(ISNA(MATCH(N58,Drills!$A$5:$A$127,0)),"?",IF(N(INDEX(Drills!$K$5:$K$127,MATCH(N58,Drills!$A$5:$A$127,0)))&gt;N($T58),"A","")&amp;IF(ISNUMBER(SEARCH(INDEX(Drills!$E$5:$E$127,MATCH(N58,Drills!$A$5:$A$127,0)),$U58)),"","C")))</f>
        <v/>
      </c>
      <c r="AB58" s="13" t="str">
        <f aca="false">IF(A58="","",IFERROR(INDEX(Classes!$I$5:$I$23,MATCH(A58,Classes!$A$5:$A$23,0)),""))</f>
        <v/>
      </c>
    </row>
    <row r="59" customFormat="false" ht="18" hidden="false" customHeight="true" outlineLevel="0" collapsed="false">
      <c r="A59" s="11"/>
      <c r="B59" s="11"/>
      <c r="C59" s="11"/>
      <c r="D59" s="11"/>
      <c r="E59" s="12" t="str">
        <f aca="false">IF(D59="","",IFERROR(INDEX(Drills!$G$5:$G$127,MATCH(D59,Drills!$A$5:$A$127,0)),""))</f>
        <v/>
      </c>
      <c r="F59" s="11"/>
      <c r="G59" s="12" t="str">
        <f aca="false">IF(F59="","",IFERROR(INDEX(Drills!$G$5:$G$127,MATCH(F59,Drills!$A$5:$A$127,0)),""))</f>
        <v/>
      </c>
      <c r="H59" s="11"/>
      <c r="I59" s="12" t="str">
        <f aca="false">IF(H59="","",IFERROR(INDEX(Drills!$G$5:$G$127,MATCH(H59,Drills!$A$5:$A$127,0)),""))</f>
        <v/>
      </c>
      <c r="J59" s="11"/>
      <c r="K59" s="12" t="str">
        <f aca="false">IF(J59="","",IFERROR(INDEX(Drills!$G$5:$G$127,MATCH(J59,Drills!$A$5:$A$127,0)),""))</f>
        <v/>
      </c>
      <c r="L59" s="11"/>
      <c r="M59" s="12" t="str">
        <f aca="false">IF(L59="","",IFERROR(INDEX(Drills!$G$5:$G$127,MATCH(L59,Drills!$A$5:$A$127,0)),""))</f>
        <v/>
      </c>
      <c r="N59" s="11"/>
      <c r="O59" s="12" t="str">
        <f aca="false">IF(N59="","",IFERROR(INDEX(Drills!$G$5:$G$127,MATCH(N59,Drills!$A$5:$A$127,0)),""))</f>
        <v/>
      </c>
      <c r="P59" s="14" t="str">
        <f aca="false">IF(A59="","",SUM(E59,G59,I59,K59,M59,O59))</f>
        <v/>
      </c>
      <c r="Q59" s="14" t="str">
        <f aca="false">IF(A59="","",IFERROR(INDEX(Classes!$C$5:$C$23,MATCH(A59,Classes!$A$5:$A$23,0)),""))</f>
        <v/>
      </c>
      <c r="R59" s="15" t="str">
        <f aca="false">IF(A59="","",IF(TRIM(IF(AND(N(Q59)&gt;0,N(P59)&gt;N(Q59)),"Over by "&amp;(P59-Q59)&amp;" min. ","")&amp;IF(AND(COUNTIF(V59:AA59,"*A*")&gt;0,AB59&lt;&gt;"Yes"),"Age check. ","")&amp;IF(COUNTIF(V59:AA59,"*C*")&gt;0,"Contact check. ","")&amp;IF(COUNTIF(V59:AA59,"~?")&gt;0,"Drill not in library. ",""))="","OK"&amp;IF(AND(COUNTIF(V59:AA59,"*A*")&gt;0,AB59="Yes")," · split by age","")&amp;IF(N(Q59)&gt;N(P59)," ("&amp;(Q59-P59)&amp;" min spare)",""),TRIM(IF(AND(N(Q59)&gt;0,N(P59)&gt;N(Q59)),"Over by "&amp;(P59-Q59)&amp;" min. ","")&amp;IF(AND(COUNTIF(V59:AA59,"*A*")&gt;0,AB59&lt;&gt;"Yes"),"Age check. ","")&amp;IF(COUNTIF(V59:AA59,"*C*")&gt;0,"Contact check. ","")&amp;IF(COUNTIF(V59:AA59,"~?")&gt;0,"Drill not in library. ",""))&amp;IF(AND(COUNTIF(V59:AA59,"*A*")&gt;0,AB59="Yes")," · split by age","")))</f>
        <v/>
      </c>
      <c r="S59" s="11"/>
      <c r="T59" s="13" t="str">
        <f aca="false">IF(A59="","",IFERROR(INDEX(Classes!$E$5:$E$23,MATCH(A59,Classes!$A$5:$A$23,0)),""))</f>
        <v/>
      </c>
      <c r="U59" s="13" t="str">
        <f aca="false">IF(A59="","",IFERROR(INDEX(Classes!$F$5:$F$23,MATCH(A59,Classes!$A$5:$A$23,0)),""))</f>
        <v/>
      </c>
      <c r="V59" s="13" t="str">
        <f aca="false">IF(OR(D59="",$A59=""),"",IF(ISNA(MATCH(D59,Drills!$A$5:$A$127,0)),"?",IF(N(INDEX(Drills!$K$5:$K$127,MATCH(D59,Drills!$A$5:$A$127,0)))&gt;N($T59),"A","")&amp;IF(ISNUMBER(SEARCH(INDEX(Drills!$E$5:$E$127,MATCH(D59,Drills!$A$5:$A$127,0)),$U59)),"","C")))</f>
        <v/>
      </c>
      <c r="W59" s="13" t="str">
        <f aca="false">IF(OR(F59="",$A59=""),"",IF(ISNA(MATCH(F59,Drills!$A$5:$A$127,0)),"?",IF(N(INDEX(Drills!$K$5:$K$127,MATCH(F59,Drills!$A$5:$A$127,0)))&gt;N($T59),"A","")&amp;IF(ISNUMBER(SEARCH(INDEX(Drills!$E$5:$E$127,MATCH(F59,Drills!$A$5:$A$127,0)),$U59)),"","C")))</f>
        <v/>
      </c>
      <c r="X59" s="13" t="str">
        <f aca="false">IF(OR(H59="",$A59=""),"",IF(ISNA(MATCH(H59,Drills!$A$5:$A$127,0)),"?",IF(N(INDEX(Drills!$K$5:$K$127,MATCH(H59,Drills!$A$5:$A$127,0)))&gt;N($T59),"A","")&amp;IF(ISNUMBER(SEARCH(INDEX(Drills!$E$5:$E$127,MATCH(H59,Drills!$A$5:$A$127,0)),$U59)),"","C")))</f>
        <v/>
      </c>
      <c r="Y59" s="13" t="str">
        <f aca="false">IF(OR(J59="",$A59=""),"",IF(ISNA(MATCH(J59,Drills!$A$5:$A$127,0)),"?",IF(N(INDEX(Drills!$K$5:$K$127,MATCH(J59,Drills!$A$5:$A$127,0)))&gt;N($T59),"A","")&amp;IF(ISNUMBER(SEARCH(INDEX(Drills!$E$5:$E$127,MATCH(J59,Drills!$A$5:$A$127,0)),$U59)),"","C")))</f>
        <v/>
      </c>
      <c r="Z59" s="13" t="str">
        <f aca="false">IF(OR(L59="",$A59=""),"",IF(ISNA(MATCH(L59,Drills!$A$5:$A$127,0)),"?",IF(N(INDEX(Drills!$K$5:$K$127,MATCH(L59,Drills!$A$5:$A$127,0)))&gt;N($T59),"A","")&amp;IF(ISNUMBER(SEARCH(INDEX(Drills!$E$5:$E$127,MATCH(L59,Drills!$A$5:$A$127,0)),$U59)),"","C")))</f>
        <v/>
      </c>
      <c r="AA59" s="13" t="str">
        <f aca="false">IF(OR(N59="",$A59=""),"",IF(ISNA(MATCH(N59,Drills!$A$5:$A$127,0)),"?",IF(N(INDEX(Drills!$K$5:$K$127,MATCH(N59,Drills!$A$5:$A$127,0)))&gt;N($T59),"A","")&amp;IF(ISNUMBER(SEARCH(INDEX(Drills!$E$5:$E$127,MATCH(N59,Drills!$A$5:$A$127,0)),$U59)),"","C")))</f>
        <v/>
      </c>
      <c r="AB59" s="13" t="str">
        <f aca="false">IF(A59="","",IFERROR(INDEX(Classes!$I$5:$I$23,MATCH(A59,Classes!$A$5:$A$23,0)),""))</f>
        <v/>
      </c>
    </row>
    <row r="60" customFormat="false" ht="18" hidden="false" customHeight="true" outlineLevel="0" collapsed="false">
      <c r="A60" s="11"/>
      <c r="B60" s="11"/>
      <c r="C60" s="11"/>
      <c r="D60" s="11"/>
      <c r="E60" s="12" t="str">
        <f aca="false">IF(D60="","",IFERROR(INDEX(Drills!$G$5:$G$127,MATCH(D60,Drills!$A$5:$A$127,0)),""))</f>
        <v/>
      </c>
      <c r="F60" s="11"/>
      <c r="G60" s="12" t="str">
        <f aca="false">IF(F60="","",IFERROR(INDEX(Drills!$G$5:$G$127,MATCH(F60,Drills!$A$5:$A$127,0)),""))</f>
        <v/>
      </c>
      <c r="H60" s="11"/>
      <c r="I60" s="12" t="str">
        <f aca="false">IF(H60="","",IFERROR(INDEX(Drills!$G$5:$G$127,MATCH(H60,Drills!$A$5:$A$127,0)),""))</f>
        <v/>
      </c>
      <c r="J60" s="11"/>
      <c r="K60" s="12" t="str">
        <f aca="false">IF(J60="","",IFERROR(INDEX(Drills!$G$5:$G$127,MATCH(J60,Drills!$A$5:$A$127,0)),""))</f>
        <v/>
      </c>
      <c r="L60" s="11"/>
      <c r="M60" s="12" t="str">
        <f aca="false">IF(L60="","",IFERROR(INDEX(Drills!$G$5:$G$127,MATCH(L60,Drills!$A$5:$A$127,0)),""))</f>
        <v/>
      </c>
      <c r="N60" s="11"/>
      <c r="O60" s="12" t="str">
        <f aca="false">IF(N60="","",IFERROR(INDEX(Drills!$G$5:$G$127,MATCH(N60,Drills!$A$5:$A$127,0)),""))</f>
        <v/>
      </c>
      <c r="P60" s="14" t="str">
        <f aca="false">IF(A60="","",SUM(E60,G60,I60,K60,M60,O60))</f>
        <v/>
      </c>
      <c r="Q60" s="14" t="str">
        <f aca="false">IF(A60="","",IFERROR(INDEX(Classes!$C$5:$C$23,MATCH(A60,Classes!$A$5:$A$23,0)),""))</f>
        <v/>
      </c>
      <c r="R60" s="15" t="str">
        <f aca="false">IF(A60="","",IF(TRIM(IF(AND(N(Q60)&gt;0,N(P60)&gt;N(Q60)),"Over by "&amp;(P60-Q60)&amp;" min. ","")&amp;IF(AND(COUNTIF(V60:AA60,"*A*")&gt;0,AB60&lt;&gt;"Yes"),"Age check. ","")&amp;IF(COUNTIF(V60:AA60,"*C*")&gt;0,"Contact check. ","")&amp;IF(COUNTIF(V60:AA60,"~?")&gt;0,"Drill not in library. ",""))="","OK"&amp;IF(AND(COUNTIF(V60:AA60,"*A*")&gt;0,AB60="Yes")," · split by age","")&amp;IF(N(Q60)&gt;N(P60)," ("&amp;(Q60-P60)&amp;" min spare)",""),TRIM(IF(AND(N(Q60)&gt;0,N(P60)&gt;N(Q60)),"Over by "&amp;(P60-Q60)&amp;" min. ","")&amp;IF(AND(COUNTIF(V60:AA60,"*A*")&gt;0,AB60&lt;&gt;"Yes"),"Age check. ","")&amp;IF(COUNTIF(V60:AA60,"*C*")&gt;0,"Contact check. ","")&amp;IF(COUNTIF(V60:AA60,"~?")&gt;0,"Drill not in library. ",""))&amp;IF(AND(COUNTIF(V60:AA60,"*A*")&gt;0,AB60="Yes")," · split by age","")))</f>
        <v/>
      </c>
      <c r="S60" s="11"/>
      <c r="T60" s="13" t="str">
        <f aca="false">IF(A60="","",IFERROR(INDEX(Classes!$E$5:$E$23,MATCH(A60,Classes!$A$5:$A$23,0)),""))</f>
        <v/>
      </c>
      <c r="U60" s="13" t="str">
        <f aca="false">IF(A60="","",IFERROR(INDEX(Classes!$F$5:$F$23,MATCH(A60,Classes!$A$5:$A$23,0)),""))</f>
        <v/>
      </c>
      <c r="V60" s="13" t="str">
        <f aca="false">IF(OR(D60="",$A60=""),"",IF(ISNA(MATCH(D60,Drills!$A$5:$A$127,0)),"?",IF(N(INDEX(Drills!$K$5:$K$127,MATCH(D60,Drills!$A$5:$A$127,0)))&gt;N($T60),"A","")&amp;IF(ISNUMBER(SEARCH(INDEX(Drills!$E$5:$E$127,MATCH(D60,Drills!$A$5:$A$127,0)),$U60)),"","C")))</f>
        <v/>
      </c>
      <c r="W60" s="13" t="str">
        <f aca="false">IF(OR(F60="",$A60=""),"",IF(ISNA(MATCH(F60,Drills!$A$5:$A$127,0)),"?",IF(N(INDEX(Drills!$K$5:$K$127,MATCH(F60,Drills!$A$5:$A$127,0)))&gt;N($T60),"A","")&amp;IF(ISNUMBER(SEARCH(INDEX(Drills!$E$5:$E$127,MATCH(F60,Drills!$A$5:$A$127,0)),$U60)),"","C")))</f>
        <v/>
      </c>
      <c r="X60" s="13" t="str">
        <f aca="false">IF(OR(H60="",$A60=""),"",IF(ISNA(MATCH(H60,Drills!$A$5:$A$127,0)),"?",IF(N(INDEX(Drills!$K$5:$K$127,MATCH(H60,Drills!$A$5:$A$127,0)))&gt;N($T60),"A","")&amp;IF(ISNUMBER(SEARCH(INDEX(Drills!$E$5:$E$127,MATCH(H60,Drills!$A$5:$A$127,0)),$U60)),"","C")))</f>
        <v/>
      </c>
      <c r="Y60" s="13" t="str">
        <f aca="false">IF(OR(J60="",$A60=""),"",IF(ISNA(MATCH(J60,Drills!$A$5:$A$127,0)),"?",IF(N(INDEX(Drills!$K$5:$K$127,MATCH(J60,Drills!$A$5:$A$127,0)))&gt;N($T60),"A","")&amp;IF(ISNUMBER(SEARCH(INDEX(Drills!$E$5:$E$127,MATCH(J60,Drills!$A$5:$A$127,0)),$U60)),"","C")))</f>
        <v/>
      </c>
      <c r="Z60" s="13" t="str">
        <f aca="false">IF(OR(L60="",$A60=""),"",IF(ISNA(MATCH(L60,Drills!$A$5:$A$127,0)),"?",IF(N(INDEX(Drills!$K$5:$K$127,MATCH(L60,Drills!$A$5:$A$127,0)))&gt;N($T60),"A","")&amp;IF(ISNUMBER(SEARCH(INDEX(Drills!$E$5:$E$127,MATCH(L60,Drills!$A$5:$A$127,0)),$U60)),"","C")))</f>
        <v/>
      </c>
      <c r="AA60" s="13" t="str">
        <f aca="false">IF(OR(N60="",$A60=""),"",IF(ISNA(MATCH(N60,Drills!$A$5:$A$127,0)),"?",IF(N(INDEX(Drills!$K$5:$K$127,MATCH(N60,Drills!$A$5:$A$127,0)))&gt;N($T60),"A","")&amp;IF(ISNUMBER(SEARCH(INDEX(Drills!$E$5:$E$127,MATCH(N60,Drills!$A$5:$A$127,0)),$U60)),"","C")))</f>
        <v/>
      </c>
      <c r="AB60" s="13" t="str">
        <f aca="false">IF(A60="","",IFERROR(INDEX(Classes!$I$5:$I$23,MATCH(A60,Classes!$A$5:$A$23,0)),""))</f>
        <v/>
      </c>
    </row>
    <row r="61" customFormat="false" ht="18" hidden="false" customHeight="true" outlineLevel="0" collapsed="false">
      <c r="A61" s="11"/>
      <c r="B61" s="11"/>
      <c r="C61" s="11"/>
      <c r="D61" s="11"/>
      <c r="E61" s="12" t="str">
        <f aca="false">IF(D61="","",IFERROR(INDEX(Drills!$G$5:$G$127,MATCH(D61,Drills!$A$5:$A$127,0)),""))</f>
        <v/>
      </c>
      <c r="F61" s="11"/>
      <c r="G61" s="12" t="str">
        <f aca="false">IF(F61="","",IFERROR(INDEX(Drills!$G$5:$G$127,MATCH(F61,Drills!$A$5:$A$127,0)),""))</f>
        <v/>
      </c>
      <c r="H61" s="11"/>
      <c r="I61" s="12" t="str">
        <f aca="false">IF(H61="","",IFERROR(INDEX(Drills!$G$5:$G$127,MATCH(H61,Drills!$A$5:$A$127,0)),""))</f>
        <v/>
      </c>
      <c r="J61" s="11"/>
      <c r="K61" s="12" t="str">
        <f aca="false">IF(J61="","",IFERROR(INDEX(Drills!$G$5:$G$127,MATCH(J61,Drills!$A$5:$A$127,0)),""))</f>
        <v/>
      </c>
      <c r="L61" s="11"/>
      <c r="M61" s="12" t="str">
        <f aca="false">IF(L61="","",IFERROR(INDEX(Drills!$G$5:$G$127,MATCH(L61,Drills!$A$5:$A$127,0)),""))</f>
        <v/>
      </c>
      <c r="N61" s="11"/>
      <c r="O61" s="12" t="str">
        <f aca="false">IF(N61="","",IFERROR(INDEX(Drills!$G$5:$G$127,MATCH(N61,Drills!$A$5:$A$127,0)),""))</f>
        <v/>
      </c>
      <c r="P61" s="14" t="str">
        <f aca="false">IF(A61="","",SUM(E61,G61,I61,K61,M61,O61))</f>
        <v/>
      </c>
      <c r="Q61" s="14" t="str">
        <f aca="false">IF(A61="","",IFERROR(INDEX(Classes!$C$5:$C$23,MATCH(A61,Classes!$A$5:$A$23,0)),""))</f>
        <v/>
      </c>
      <c r="R61" s="15" t="str">
        <f aca="false">IF(A61="","",IF(TRIM(IF(AND(N(Q61)&gt;0,N(P61)&gt;N(Q61)),"Over by "&amp;(P61-Q61)&amp;" min. ","")&amp;IF(AND(COUNTIF(V61:AA61,"*A*")&gt;0,AB61&lt;&gt;"Yes"),"Age check. ","")&amp;IF(COUNTIF(V61:AA61,"*C*")&gt;0,"Contact check. ","")&amp;IF(COUNTIF(V61:AA61,"~?")&gt;0,"Drill not in library. ",""))="","OK"&amp;IF(AND(COUNTIF(V61:AA61,"*A*")&gt;0,AB61="Yes")," · split by age","")&amp;IF(N(Q61)&gt;N(P61)," ("&amp;(Q61-P61)&amp;" min spare)",""),TRIM(IF(AND(N(Q61)&gt;0,N(P61)&gt;N(Q61)),"Over by "&amp;(P61-Q61)&amp;" min. ","")&amp;IF(AND(COUNTIF(V61:AA61,"*A*")&gt;0,AB61&lt;&gt;"Yes"),"Age check. ","")&amp;IF(COUNTIF(V61:AA61,"*C*")&gt;0,"Contact check. ","")&amp;IF(COUNTIF(V61:AA61,"~?")&gt;0,"Drill not in library. ",""))&amp;IF(AND(COUNTIF(V61:AA61,"*A*")&gt;0,AB61="Yes")," · split by age","")))</f>
        <v/>
      </c>
      <c r="S61" s="11"/>
      <c r="T61" s="13" t="str">
        <f aca="false">IF(A61="","",IFERROR(INDEX(Classes!$E$5:$E$23,MATCH(A61,Classes!$A$5:$A$23,0)),""))</f>
        <v/>
      </c>
      <c r="U61" s="13" t="str">
        <f aca="false">IF(A61="","",IFERROR(INDEX(Classes!$F$5:$F$23,MATCH(A61,Classes!$A$5:$A$23,0)),""))</f>
        <v/>
      </c>
      <c r="V61" s="13" t="str">
        <f aca="false">IF(OR(D61="",$A61=""),"",IF(ISNA(MATCH(D61,Drills!$A$5:$A$127,0)),"?",IF(N(INDEX(Drills!$K$5:$K$127,MATCH(D61,Drills!$A$5:$A$127,0)))&gt;N($T61),"A","")&amp;IF(ISNUMBER(SEARCH(INDEX(Drills!$E$5:$E$127,MATCH(D61,Drills!$A$5:$A$127,0)),$U61)),"","C")))</f>
        <v/>
      </c>
      <c r="W61" s="13" t="str">
        <f aca="false">IF(OR(F61="",$A61=""),"",IF(ISNA(MATCH(F61,Drills!$A$5:$A$127,0)),"?",IF(N(INDEX(Drills!$K$5:$K$127,MATCH(F61,Drills!$A$5:$A$127,0)))&gt;N($T61),"A","")&amp;IF(ISNUMBER(SEARCH(INDEX(Drills!$E$5:$E$127,MATCH(F61,Drills!$A$5:$A$127,0)),$U61)),"","C")))</f>
        <v/>
      </c>
      <c r="X61" s="13" t="str">
        <f aca="false">IF(OR(H61="",$A61=""),"",IF(ISNA(MATCH(H61,Drills!$A$5:$A$127,0)),"?",IF(N(INDEX(Drills!$K$5:$K$127,MATCH(H61,Drills!$A$5:$A$127,0)))&gt;N($T61),"A","")&amp;IF(ISNUMBER(SEARCH(INDEX(Drills!$E$5:$E$127,MATCH(H61,Drills!$A$5:$A$127,0)),$U61)),"","C")))</f>
        <v/>
      </c>
      <c r="Y61" s="13" t="str">
        <f aca="false">IF(OR(J61="",$A61=""),"",IF(ISNA(MATCH(J61,Drills!$A$5:$A$127,0)),"?",IF(N(INDEX(Drills!$K$5:$K$127,MATCH(J61,Drills!$A$5:$A$127,0)))&gt;N($T61),"A","")&amp;IF(ISNUMBER(SEARCH(INDEX(Drills!$E$5:$E$127,MATCH(J61,Drills!$A$5:$A$127,0)),$U61)),"","C")))</f>
        <v/>
      </c>
      <c r="Z61" s="13" t="str">
        <f aca="false">IF(OR(L61="",$A61=""),"",IF(ISNA(MATCH(L61,Drills!$A$5:$A$127,0)),"?",IF(N(INDEX(Drills!$K$5:$K$127,MATCH(L61,Drills!$A$5:$A$127,0)))&gt;N($T61),"A","")&amp;IF(ISNUMBER(SEARCH(INDEX(Drills!$E$5:$E$127,MATCH(L61,Drills!$A$5:$A$127,0)),$U61)),"","C")))</f>
        <v/>
      </c>
      <c r="AA61" s="13" t="str">
        <f aca="false">IF(OR(N61="",$A61=""),"",IF(ISNA(MATCH(N61,Drills!$A$5:$A$127,0)),"?",IF(N(INDEX(Drills!$K$5:$K$127,MATCH(N61,Drills!$A$5:$A$127,0)))&gt;N($T61),"A","")&amp;IF(ISNUMBER(SEARCH(INDEX(Drills!$E$5:$E$127,MATCH(N61,Drills!$A$5:$A$127,0)),$U61)),"","C")))</f>
        <v/>
      </c>
      <c r="AB61" s="13" t="str">
        <f aca="false">IF(A61="","",IFERROR(INDEX(Classes!$I$5:$I$23,MATCH(A61,Classes!$A$5:$A$23,0)),""))</f>
        <v/>
      </c>
    </row>
    <row r="62" customFormat="false" ht="18" hidden="false" customHeight="true" outlineLevel="0" collapsed="false">
      <c r="A62" s="11"/>
      <c r="B62" s="11"/>
      <c r="C62" s="11"/>
      <c r="D62" s="11"/>
      <c r="E62" s="12" t="str">
        <f aca="false">IF(D62="","",IFERROR(INDEX(Drills!$G$5:$G$127,MATCH(D62,Drills!$A$5:$A$127,0)),""))</f>
        <v/>
      </c>
      <c r="F62" s="11"/>
      <c r="G62" s="12" t="str">
        <f aca="false">IF(F62="","",IFERROR(INDEX(Drills!$G$5:$G$127,MATCH(F62,Drills!$A$5:$A$127,0)),""))</f>
        <v/>
      </c>
      <c r="H62" s="11"/>
      <c r="I62" s="12" t="str">
        <f aca="false">IF(H62="","",IFERROR(INDEX(Drills!$G$5:$G$127,MATCH(H62,Drills!$A$5:$A$127,0)),""))</f>
        <v/>
      </c>
      <c r="J62" s="11"/>
      <c r="K62" s="12" t="str">
        <f aca="false">IF(J62="","",IFERROR(INDEX(Drills!$G$5:$G$127,MATCH(J62,Drills!$A$5:$A$127,0)),""))</f>
        <v/>
      </c>
      <c r="L62" s="11"/>
      <c r="M62" s="12" t="str">
        <f aca="false">IF(L62="","",IFERROR(INDEX(Drills!$G$5:$G$127,MATCH(L62,Drills!$A$5:$A$127,0)),""))</f>
        <v/>
      </c>
      <c r="N62" s="11"/>
      <c r="O62" s="12" t="str">
        <f aca="false">IF(N62="","",IFERROR(INDEX(Drills!$G$5:$G$127,MATCH(N62,Drills!$A$5:$A$127,0)),""))</f>
        <v/>
      </c>
      <c r="P62" s="14" t="str">
        <f aca="false">IF(A62="","",SUM(E62,G62,I62,K62,M62,O62))</f>
        <v/>
      </c>
      <c r="Q62" s="14" t="str">
        <f aca="false">IF(A62="","",IFERROR(INDEX(Classes!$C$5:$C$23,MATCH(A62,Classes!$A$5:$A$23,0)),""))</f>
        <v/>
      </c>
      <c r="R62" s="15" t="str">
        <f aca="false">IF(A62="","",IF(TRIM(IF(AND(N(Q62)&gt;0,N(P62)&gt;N(Q62)),"Over by "&amp;(P62-Q62)&amp;" min. ","")&amp;IF(AND(COUNTIF(V62:AA62,"*A*")&gt;0,AB62&lt;&gt;"Yes"),"Age check. ","")&amp;IF(COUNTIF(V62:AA62,"*C*")&gt;0,"Contact check. ","")&amp;IF(COUNTIF(V62:AA62,"~?")&gt;0,"Drill not in library. ",""))="","OK"&amp;IF(AND(COUNTIF(V62:AA62,"*A*")&gt;0,AB62="Yes")," · split by age","")&amp;IF(N(Q62)&gt;N(P62)," ("&amp;(Q62-P62)&amp;" min spare)",""),TRIM(IF(AND(N(Q62)&gt;0,N(P62)&gt;N(Q62)),"Over by "&amp;(P62-Q62)&amp;" min. ","")&amp;IF(AND(COUNTIF(V62:AA62,"*A*")&gt;0,AB62&lt;&gt;"Yes"),"Age check. ","")&amp;IF(COUNTIF(V62:AA62,"*C*")&gt;0,"Contact check. ","")&amp;IF(COUNTIF(V62:AA62,"~?")&gt;0,"Drill not in library. ",""))&amp;IF(AND(COUNTIF(V62:AA62,"*A*")&gt;0,AB62="Yes")," · split by age","")))</f>
        <v/>
      </c>
      <c r="S62" s="11"/>
      <c r="T62" s="13" t="str">
        <f aca="false">IF(A62="","",IFERROR(INDEX(Classes!$E$5:$E$23,MATCH(A62,Classes!$A$5:$A$23,0)),""))</f>
        <v/>
      </c>
      <c r="U62" s="13" t="str">
        <f aca="false">IF(A62="","",IFERROR(INDEX(Classes!$F$5:$F$23,MATCH(A62,Classes!$A$5:$A$23,0)),""))</f>
        <v/>
      </c>
      <c r="V62" s="13" t="str">
        <f aca="false">IF(OR(D62="",$A62=""),"",IF(ISNA(MATCH(D62,Drills!$A$5:$A$127,0)),"?",IF(N(INDEX(Drills!$K$5:$K$127,MATCH(D62,Drills!$A$5:$A$127,0)))&gt;N($T62),"A","")&amp;IF(ISNUMBER(SEARCH(INDEX(Drills!$E$5:$E$127,MATCH(D62,Drills!$A$5:$A$127,0)),$U62)),"","C")))</f>
        <v/>
      </c>
      <c r="W62" s="13" t="str">
        <f aca="false">IF(OR(F62="",$A62=""),"",IF(ISNA(MATCH(F62,Drills!$A$5:$A$127,0)),"?",IF(N(INDEX(Drills!$K$5:$K$127,MATCH(F62,Drills!$A$5:$A$127,0)))&gt;N($T62),"A","")&amp;IF(ISNUMBER(SEARCH(INDEX(Drills!$E$5:$E$127,MATCH(F62,Drills!$A$5:$A$127,0)),$U62)),"","C")))</f>
        <v/>
      </c>
      <c r="X62" s="13" t="str">
        <f aca="false">IF(OR(H62="",$A62=""),"",IF(ISNA(MATCH(H62,Drills!$A$5:$A$127,0)),"?",IF(N(INDEX(Drills!$K$5:$K$127,MATCH(H62,Drills!$A$5:$A$127,0)))&gt;N($T62),"A","")&amp;IF(ISNUMBER(SEARCH(INDEX(Drills!$E$5:$E$127,MATCH(H62,Drills!$A$5:$A$127,0)),$U62)),"","C")))</f>
        <v/>
      </c>
      <c r="Y62" s="13" t="str">
        <f aca="false">IF(OR(J62="",$A62=""),"",IF(ISNA(MATCH(J62,Drills!$A$5:$A$127,0)),"?",IF(N(INDEX(Drills!$K$5:$K$127,MATCH(J62,Drills!$A$5:$A$127,0)))&gt;N($T62),"A","")&amp;IF(ISNUMBER(SEARCH(INDEX(Drills!$E$5:$E$127,MATCH(J62,Drills!$A$5:$A$127,0)),$U62)),"","C")))</f>
        <v/>
      </c>
      <c r="Z62" s="13" t="str">
        <f aca="false">IF(OR(L62="",$A62=""),"",IF(ISNA(MATCH(L62,Drills!$A$5:$A$127,0)),"?",IF(N(INDEX(Drills!$K$5:$K$127,MATCH(L62,Drills!$A$5:$A$127,0)))&gt;N($T62),"A","")&amp;IF(ISNUMBER(SEARCH(INDEX(Drills!$E$5:$E$127,MATCH(L62,Drills!$A$5:$A$127,0)),$U62)),"","C")))</f>
        <v/>
      </c>
      <c r="AA62" s="13" t="str">
        <f aca="false">IF(OR(N62="",$A62=""),"",IF(ISNA(MATCH(N62,Drills!$A$5:$A$127,0)),"?",IF(N(INDEX(Drills!$K$5:$K$127,MATCH(N62,Drills!$A$5:$A$127,0)))&gt;N($T62),"A","")&amp;IF(ISNUMBER(SEARCH(INDEX(Drills!$E$5:$E$127,MATCH(N62,Drills!$A$5:$A$127,0)),$U62)),"","C")))</f>
        <v/>
      </c>
      <c r="AB62" s="13" t="str">
        <f aca="false">IF(A62="","",IFERROR(INDEX(Classes!$I$5:$I$23,MATCH(A62,Classes!$A$5:$A$23,0)),""))</f>
        <v/>
      </c>
    </row>
    <row r="63" customFormat="false" ht="18" hidden="false" customHeight="true" outlineLevel="0" collapsed="false">
      <c r="A63" s="11"/>
      <c r="B63" s="11"/>
      <c r="C63" s="11"/>
      <c r="D63" s="11"/>
      <c r="E63" s="12" t="str">
        <f aca="false">IF(D63="","",IFERROR(INDEX(Drills!$G$5:$G$127,MATCH(D63,Drills!$A$5:$A$127,0)),""))</f>
        <v/>
      </c>
      <c r="F63" s="11"/>
      <c r="G63" s="12" t="str">
        <f aca="false">IF(F63="","",IFERROR(INDEX(Drills!$G$5:$G$127,MATCH(F63,Drills!$A$5:$A$127,0)),""))</f>
        <v/>
      </c>
      <c r="H63" s="11"/>
      <c r="I63" s="12" t="str">
        <f aca="false">IF(H63="","",IFERROR(INDEX(Drills!$G$5:$G$127,MATCH(H63,Drills!$A$5:$A$127,0)),""))</f>
        <v/>
      </c>
      <c r="J63" s="11"/>
      <c r="K63" s="12" t="str">
        <f aca="false">IF(J63="","",IFERROR(INDEX(Drills!$G$5:$G$127,MATCH(J63,Drills!$A$5:$A$127,0)),""))</f>
        <v/>
      </c>
      <c r="L63" s="11"/>
      <c r="M63" s="12" t="str">
        <f aca="false">IF(L63="","",IFERROR(INDEX(Drills!$G$5:$G$127,MATCH(L63,Drills!$A$5:$A$127,0)),""))</f>
        <v/>
      </c>
      <c r="N63" s="11"/>
      <c r="O63" s="12" t="str">
        <f aca="false">IF(N63="","",IFERROR(INDEX(Drills!$G$5:$G$127,MATCH(N63,Drills!$A$5:$A$127,0)),""))</f>
        <v/>
      </c>
      <c r="P63" s="14" t="str">
        <f aca="false">IF(A63="","",SUM(E63,G63,I63,K63,M63,O63))</f>
        <v/>
      </c>
      <c r="Q63" s="14" t="str">
        <f aca="false">IF(A63="","",IFERROR(INDEX(Classes!$C$5:$C$23,MATCH(A63,Classes!$A$5:$A$23,0)),""))</f>
        <v/>
      </c>
      <c r="R63" s="15" t="str">
        <f aca="false">IF(A63="","",IF(TRIM(IF(AND(N(Q63)&gt;0,N(P63)&gt;N(Q63)),"Over by "&amp;(P63-Q63)&amp;" min. ","")&amp;IF(AND(COUNTIF(V63:AA63,"*A*")&gt;0,AB63&lt;&gt;"Yes"),"Age check. ","")&amp;IF(COUNTIF(V63:AA63,"*C*")&gt;0,"Contact check. ","")&amp;IF(COUNTIF(V63:AA63,"~?")&gt;0,"Drill not in library. ",""))="","OK"&amp;IF(AND(COUNTIF(V63:AA63,"*A*")&gt;0,AB63="Yes")," · split by age","")&amp;IF(N(Q63)&gt;N(P63)," ("&amp;(Q63-P63)&amp;" min spare)",""),TRIM(IF(AND(N(Q63)&gt;0,N(P63)&gt;N(Q63)),"Over by "&amp;(P63-Q63)&amp;" min. ","")&amp;IF(AND(COUNTIF(V63:AA63,"*A*")&gt;0,AB63&lt;&gt;"Yes"),"Age check. ","")&amp;IF(COUNTIF(V63:AA63,"*C*")&gt;0,"Contact check. ","")&amp;IF(COUNTIF(V63:AA63,"~?")&gt;0,"Drill not in library. ",""))&amp;IF(AND(COUNTIF(V63:AA63,"*A*")&gt;0,AB63="Yes")," · split by age","")))</f>
        <v/>
      </c>
      <c r="S63" s="11"/>
      <c r="T63" s="13" t="str">
        <f aca="false">IF(A63="","",IFERROR(INDEX(Classes!$E$5:$E$23,MATCH(A63,Classes!$A$5:$A$23,0)),""))</f>
        <v/>
      </c>
      <c r="U63" s="13" t="str">
        <f aca="false">IF(A63="","",IFERROR(INDEX(Classes!$F$5:$F$23,MATCH(A63,Classes!$A$5:$A$23,0)),""))</f>
        <v/>
      </c>
      <c r="V63" s="13" t="str">
        <f aca="false">IF(OR(D63="",$A63=""),"",IF(ISNA(MATCH(D63,Drills!$A$5:$A$127,0)),"?",IF(N(INDEX(Drills!$K$5:$K$127,MATCH(D63,Drills!$A$5:$A$127,0)))&gt;N($T63),"A","")&amp;IF(ISNUMBER(SEARCH(INDEX(Drills!$E$5:$E$127,MATCH(D63,Drills!$A$5:$A$127,0)),$U63)),"","C")))</f>
        <v/>
      </c>
      <c r="W63" s="13" t="str">
        <f aca="false">IF(OR(F63="",$A63=""),"",IF(ISNA(MATCH(F63,Drills!$A$5:$A$127,0)),"?",IF(N(INDEX(Drills!$K$5:$K$127,MATCH(F63,Drills!$A$5:$A$127,0)))&gt;N($T63),"A","")&amp;IF(ISNUMBER(SEARCH(INDEX(Drills!$E$5:$E$127,MATCH(F63,Drills!$A$5:$A$127,0)),$U63)),"","C")))</f>
        <v/>
      </c>
      <c r="X63" s="13" t="str">
        <f aca="false">IF(OR(H63="",$A63=""),"",IF(ISNA(MATCH(H63,Drills!$A$5:$A$127,0)),"?",IF(N(INDEX(Drills!$K$5:$K$127,MATCH(H63,Drills!$A$5:$A$127,0)))&gt;N($T63),"A","")&amp;IF(ISNUMBER(SEARCH(INDEX(Drills!$E$5:$E$127,MATCH(H63,Drills!$A$5:$A$127,0)),$U63)),"","C")))</f>
        <v/>
      </c>
      <c r="Y63" s="13" t="str">
        <f aca="false">IF(OR(J63="",$A63=""),"",IF(ISNA(MATCH(J63,Drills!$A$5:$A$127,0)),"?",IF(N(INDEX(Drills!$K$5:$K$127,MATCH(J63,Drills!$A$5:$A$127,0)))&gt;N($T63),"A","")&amp;IF(ISNUMBER(SEARCH(INDEX(Drills!$E$5:$E$127,MATCH(J63,Drills!$A$5:$A$127,0)),$U63)),"","C")))</f>
        <v/>
      </c>
      <c r="Z63" s="13" t="str">
        <f aca="false">IF(OR(L63="",$A63=""),"",IF(ISNA(MATCH(L63,Drills!$A$5:$A$127,0)),"?",IF(N(INDEX(Drills!$K$5:$K$127,MATCH(L63,Drills!$A$5:$A$127,0)))&gt;N($T63),"A","")&amp;IF(ISNUMBER(SEARCH(INDEX(Drills!$E$5:$E$127,MATCH(L63,Drills!$A$5:$A$127,0)),$U63)),"","C")))</f>
        <v/>
      </c>
      <c r="AA63" s="13" t="str">
        <f aca="false">IF(OR(N63="",$A63=""),"",IF(ISNA(MATCH(N63,Drills!$A$5:$A$127,0)),"?",IF(N(INDEX(Drills!$K$5:$K$127,MATCH(N63,Drills!$A$5:$A$127,0)))&gt;N($T63),"A","")&amp;IF(ISNUMBER(SEARCH(INDEX(Drills!$E$5:$E$127,MATCH(N63,Drills!$A$5:$A$127,0)),$U63)),"","C")))</f>
        <v/>
      </c>
      <c r="AB63" s="13" t="str">
        <f aca="false">IF(A63="","",IFERROR(INDEX(Classes!$I$5:$I$23,MATCH(A63,Classes!$A$5:$A$23,0)),""))</f>
        <v/>
      </c>
    </row>
    <row r="64" customFormat="false" ht="18" hidden="false" customHeight="true" outlineLevel="0" collapsed="false">
      <c r="A64" s="11"/>
      <c r="B64" s="11"/>
      <c r="C64" s="11"/>
      <c r="D64" s="11"/>
      <c r="E64" s="12" t="str">
        <f aca="false">IF(D64="","",IFERROR(INDEX(Drills!$G$5:$G$127,MATCH(D64,Drills!$A$5:$A$127,0)),""))</f>
        <v/>
      </c>
      <c r="F64" s="11"/>
      <c r="G64" s="12" t="str">
        <f aca="false">IF(F64="","",IFERROR(INDEX(Drills!$G$5:$G$127,MATCH(F64,Drills!$A$5:$A$127,0)),""))</f>
        <v/>
      </c>
      <c r="H64" s="11"/>
      <c r="I64" s="12" t="str">
        <f aca="false">IF(H64="","",IFERROR(INDEX(Drills!$G$5:$G$127,MATCH(H64,Drills!$A$5:$A$127,0)),""))</f>
        <v/>
      </c>
      <c r="J64" s="11"/>
      <c r="K64" s="12" t="str">
        <f aca="false">IF(J64="","",IFERROR(INDEX(Drills!$G$5:$G$127,MATCH(J64,Drills!$A$5:$A$127,0)),""))</f>
        <v/>
      </c>
      <c r="L64" s="11"/>
      <c r="M64" s="12" t="str">
        <f aca="false">IF(L64="","",IFERROR(INDEX(Drills!$G$5:$G$127,MATCH(L64,Drills!$A$5:$A$127,0)),""))</f>
        <v/>
      </c>
      <c r="N64" s="11"/>
      <c r="O64" s="12" t="str">
        <f aca="false">IF(N64="","",IFERROR(INDEX(Drills!$G$5:$G$127,MATCH(N64,Drills!$A$5:$A$127,0)),""))</f>
        <v/>
      </c>
      <c r="P64" s="14" t="str">
        <f aca="false">IF(A64="","",SUM(E64,G64,I64,K64,M64,O64))</f>
        <v/>
      </c>
      <c r="Q64" s="14" t="str">
        <f aca="false">IF(A64="","",IFERROR(INDEX(Classes!$C$5:$C$23,MATCH(A64,Classes!$A$5:$A$23,0)),""))</f>
        <v/>
      </c>
      <c r="R64" s="15" t="str">
        <f aca="false">IF(A64="","",IF(TRIM(IF(AND(N(Q64)&gt;0,N(P64)&gt;N(Q64)),"Over by "&amp;(P64-Q64)&amp;" min. ","")&amp;IF(AND(COUNTIF(V64:AA64,"*A*")&gt;0,AB64&lt;&gt;"Yes"),"Age check. ","")&amp;IF(COUNTIF(V64:AA64,"*C*")&gt;0,"Contact check. ","")&amp;IF(COUNTIF(V64:AA64,"~?")&gt;0,"Drill not in library. ",""))="","OK"&amp;IF(AND(COUNTIF(V64:AA64,"*A*")&gt;0,AB64="Yes")," · split by age","")&amp;IF(N(Q64)&gt;N(P64)," ("&amp;(Q64-P64)&amp;" min spare)",""),TRIM(IF(AND(N(Q64)&gt;0,N(P64)&gt;N(Q64)),"Over by "&amp;(P64-Q64)&amp;" min. ","")&amp;IF(AND(COUNTIF(V64:AA64,"*A*")&gt;0,AB64&lt;&gt;"Yes"),"Age check. ","")&amp;IF(COUNTIF(V64:AA64,"*C*")&gt;0,"Contact check. ","")&amp;IF(COUNTIF(V64:AA64,"~?")&gt;0,"Drill not in library. ",""))&amp;IF(AND(COUNTIF(V64:AA64,"*A*")&gt;0,AB64="Yes")," · split by age","")))</f>
        <v/>
      </c>
      <c r="S64" s="11"/>
      <c r="T64" s="13" t="str">
        <f aca="false">IF(A64="","",IFERROR(INDEX(Classes!$E$5:$E$23,MATCH(A64,Classes!$A$5:$A$23,0)),""))</f>
        <v/>
      </c>
      <c r="U64" s="13" t="str">
        <f aca="false">IF(A64="","",IFERROR(INDEX(Classes!$F$5:$F$23,MATCH(A64,Classes!$A$5:$A$23,0)),""))</f>
        <v/>
      </c>
      <c r="V64" s="13" t="str">
        <f aca="false">IF(OR(D64="",$A64=""),"",IF(ISNA(MATCH(D64,Drills!$A$5:$A$127,0)),"?",IF(N(INDEX(Drills!$K$5:$K$127,MATCH(D64,Drills!$A$5:$A$127,0)))&gt;N($T64),"A","")&amp;IF(ISNUMBER(SEARCH(INDEX(Drills!$E$5:$E$127,MATCH(D64,Drills!$A$5:$A$127,0)),$U64)),"","C")))</f>
        <v/>
      </c>
      <c r="W64" s="13" t="str">
        <f aca="false">IF(OR(F64="",$A64=""),"",IF(ISNA(MATCH(F64,Drills!$A$5:$A$127,0)),"?",IF(N(INDEX(Drills!$K$5:$K$127,MATCH(F64,Drills!$A$5:$A$127,0)))&gt;N($T64),"A","")&amp;IF(ISNUMBER(SEARCH(INDEX(Drills!$E$5:$E$127,MATCH(F64,Drills!$A$5:$A$127,0)),$U64)),"","C")))</f>
        <v/>
      </c>
      <c r="X64" s="13" t="str">
        <f aca="false">IF(OR(H64="",$A64=""),"",IF(ISNA(MATCH(H64,Drills!$A$5:$A$127,0)),"?",IF(N(INDEX(Drills!$K$5:$K$127,MATCH(H64,Drills!$A$5:$A$127,0)))&gt;N($T64),"A","")&amp;IF(ISNUMBER(SEARCH(INDEX(Drills!$E$5:$E$127,MATCH(H64,Drills!$A$5:$A$127,0)),$U64)),"","C")))</f>
        <v/>
      </c>
      <c r="Y64" s="13" t="str">
        <f aca="false">IF(OR(J64="",$A64=""),"",IF(ISNA(MATCH(J64,Drills!$A$5:$A$127,0)),"?",IF(N(INDEX(Drills!$K$5:$K$127,MATCH(J64,Drills!$A$5:$A$127,0)))&gt;N($T64),"A","")&amp;IF(ISNUMBER(SEARCH(INDEX(Drills!$E$5:$E$127,MATCH(J64,Drills!$A$5:$A$127,0)),$U64)),"","C")))</f>
        <v/>
      </c>
      <c r="Z64" s="13" t="str">
        <f aca="false">IF(OR(L64="",$A64=""),"",IF(ISNA(MATCH(L64,Drills!$A$5:$A$127,0)),"?",IF(N(INDEX(Drills!$K$5:$K$127,MATCH(L64,Drills!$A$5:$A$127,0)))&gt;N($T64),"A","")&amp;IF(ISNUMBER(SEARCH(INDEX(Drills!$E$5:$E$127,MATCH(L64,Drills!$A$5:$A$127,0)),$U64)),"","C")))</f>
        <v/>
      </c>
      <c r="AA64" s="13" t="str">
        <f aca="false">IF(OR(N64="",$A64=""),"",IF(ISNA(MATCH(N64,Drills!$A$5:$A$127,0)),"?",IF(N(INDEX(Drills!$K$5:$K$127,MATCH(N64,Drills!$A$5:$A$127,0)))&gt;N($T64),"A","")&amp;IF(ISNUMBER(SEARCH(INDEX(Drills!$E$5:$E$127,MATCH(N64,Drills!$A$5:$A$127,0)),$U64)),"","C")))</f>
        <v/>
      </c>
      <c r="AB64" s="13" t="str">
        <f aca="false">IF(A64="","",IFERROR(INDEX(Classes!$I$5:$I$23,MATCH(A64,Classes!$A$5:$A$23,0)),""))</f>
        <v/>
      </c>
    </row>
    <row r="65" customFormat="false" ht="18" hidden="false" customHeight="true" outlineLevel="0" collapsed="false">
      <c r="A65" s="11"/>
      <c r="B65" s="11"/>
      <c r="C65" s="11"/>
      <c r="D65" s="11"/>
      <c r="E65" s="12" t="str">
        <f aca="false">IF(D65="","",IFERROR(INDEX(Drills!$G$5:$G$127,MATCH(D65,Drills!$A$5:$A$127,0)),""))</f>
        <v/>
      </c>
      <c r="F65" s="11"/>
      <c r="G65" s="12" t="str">
        <f aca="false">IF(F65="","",IFERROR(INDEX(Drills!$G$5:$G$127,MATCH(F65,Drills!$A$5:$A$127,0)),""))</f>
        <v/>
      </c>
      <c r="H65" s="11"/>
      <c r="I65" s="12" t="str">
        <f aca="false">IF(H65="","",IFERROR(INDEX(Drills!$G$5:$G$127,MATCH(H65,Drills!$A$5:$A$127,0)),""))</f>
        <v/>
      </c>
      <c r="J65" s="11"/>
      <c r="K65" s="12" t="str">
        <f aca="false">IF(J65="","",IFERROR(INDEX(Drills!$G$5:$G$127,MATCH(J65,Drills!$A$5:$A$127,0)),""))</f>
        <v/>
      </c>
      <c r="L65" s="11"/>
      <c r="M65" s="12" t="str">
        <f aca="false">IF(L65="","",IFERROR(INDEX(Drills!$G$5:$G$127,MATCH(L65,Drills!$A$5:$A$127,0)),""))</f>
        <v/>
      </c>
      <c r="N65" s="11"/>
      <c r="O65" s="12" t="str">
        <f aca="false">IF(N65="","",IFERROR(INDEX(Drills!$G$5:$G$127,MATCH(N65,Drills!$A$5:$A$127,0)),""))</f>
        <v/>
      </c>
      <c r="P65" s="14" t="str">
        <f aca="false">IF(A65="","",SUM(E65,G65,I65,K65,M65,O65))</f>
        <v/>
      </c>
      <c r="Q65" s="14" t="str">
        <f aca="false">IF(A65="","",IFERROR(INDEX(Classes!$C$5:$C$23,MATCH(A65,Classes!$A$5:$A$23,0)),""))</f>
        <v/>
      </c>
      <c r="R65" s="15" t="str">
        <f aca="false">IF(A65="","",IF(TRIM(IF(AND(N(Q65)&gt;0,N(P65)&gt;N(Q65)),"Over by "&amp;(P65-Q65)&amp;" min. ","")&amp;IF(AND(COUNTIF(V65:AA65,"*A*")&gt;0,AB65&lt;&gt;"Yes"),"Age check. ","")&amp;IF(COUNTIF(V65:AA65,"*C*")&gt;0,"Contact check. ","")&amp;IF(COUNTIF(V65:AA65,"~?")&gt;0,"Drill not in library. ",""))="","OK"&amp;IF(AND(COUNTIF(V65:AA65,"*A*")&gt;0,AB65="Yes")," · split by age","")&amp;IF(N(Q65)&gt;N(P65)," ("&amp;(Q65-P65)&amp;" min spare)",""),TRIM(IF(AND(N(Q65)&gt;0,N(P65)&gt;N(Q65)),"Over by "&amp;(P65-Q65)&amp;" min. ","")&amp;IF(AND(COUNTIF(V65:AA65,"*A*")&gt;0,AB65&lt;&gt;"Yes"),"Age check. ","")&amp;IF(COUNTIF(V65:AA65,"*C*")&gt;0,"Contact check. ","")&amp;IF(COUNTIF(V65:AA65,"~?")&gt;0,"Drill not in library. ",""))&amp;IF(AND(COUNTIF(V65:AA65,"*A*")&gt;0,AB65="Yes")," · split by age","")))</f>
        <v/>
      </c>
      <c r="S65" s="11"/>
      <c r="T65" s="13" t="str">
        <f aca="false">IF(A65="","",IFERROR(INDEX(Classes!$E$5:$E$23,MATCH(A65,Classes!$A$5:$A$23,0)),""))</f>
        <v/>
      </c>
      <c r="U65" s="13" t="str">
        <f aca="false">IF(A65="","",IFERROR(INDEX(Classes!$F$5:$F$23,MATCH(A65,Classes!$A$5:$A$23,0)),""))</f>
        <v/>
      </c>
      <c r="V65" s="13" t="str">
        <f aca="false">IF(OR(D65="",$A65=""),"",IF(ISNA(MATCH(D65,Drills!$A$5:$A$127,0)),"?",IF(N(INDEX(Drills!$K$5:$K$127,MATCH(D65,Drills!$A$5:$A$127,0)))&gt;N($T65),"A","")&amp;IF(ISNUMBER(SEARCH(INDEX(Drills!$E$5:$E$127,MATCH(D65,Drills!$A$5:$A$127,0)),$U65)),"","C")))</f>
        <v/>
      </c>
      <c r="W65" s="13" t="str">
        <f aca="false">IF(OR(F65="",$A65=""),"",IF(ISNA(MATCH(F65,Drills!$A$5:$A$127,0)),"?",IF(N(INDEX(Drills!$K$5:$K$127,MATCH(F65,Drills!$A$5:$A$127,0)))&gt;N($T65),"A","")&amp;IF(ISNUMBER(SEARCH(INDEX(Drills!$E$5:$E$127,MATCH(F65,Drills!$A$5:$A$127,0)),$U65)),"","C")))</f>
        <v/>
      </c>
      <c r="X65" s="13" t="str">
        <f aca="false">IF(OR(H65="",$A65=""),"",IF(ISNA(MATCH(H65,Drills!$A$5:$A$127,0)),"?",IF(N(INDEX(Drills!$K$5:$K$127,MATCH(H65,Drills!$A$5:$A$127,0)))&gt;N($T65),"A","")&amp;IF(ISNUMBER(SEARCH(INDEX(Drills!$E$5:$E$127,MATCH(H65,Drills!$A$5:$A$127,0)),$U65)),"","C")))</f>
        <v/>
      </c>
      <c r="Y65" s="13" t="str">
        <f aca="false">IF(OR(J65="",$A65=""),"",IF(ISNA(MATCH(J65,Drills!$A$5:$A$127,0)),"?",IF(N(INDEX(Drills!$K$5:$K$127,MATCH(J65,Drills!$A$5:$A$127,0)))&gt;N($T65),"A","")&amp;IF(ISNUMBER(SEARCH(INDEX(Drills!$E$5:$E$127,MATCH(J65,Drills!$A$5:$A$127,0)),$U65)),"","C")))</f>
        <v/>
      </c>
      <c r="Z65" s="13" t="str">
        <f aca="false">IF(OR(L65="",$A65=""),"",IF(ISNA(MATCH(L65,Drills!$A$5:$A$127,0)),"?",IF(N(INDEX(Drills!$K$5:$K$127,MATCH(L65,Drills!$A$5:$A$127,0)))&gt;N($T65),"A","")&amp;IF(ISNUMBER(SEARCH(INDEX(Drills!$E$5:$E$127,MATCH(L65,Drills!$A$5:$A$127,0)),$U65)),"","C")))</f>
        <v/>
      </c>
      <c r="AA65" s="13" t="str">
        <f aca="false">IF(OR(N65="",$A65=""),"",IF(ISNA(MATCH(N65,Drills!$A$5:$A$127,0)),"?",IF(N(INDEX(Drills!$K$5:$K$127,MATCH(N65,Drills!$A$5:$A$127,0)))&gt;N($T65),"A","")&amp;IF(ISNUMBER(SEARCH(INDEX(Drills!$E$5:$E$127,MATCH(N65,Drills!$A$5:$A$127,0)),$U65)),"","C")))</f>
        <v/>
      </c>
      <c r="AB65" s="13" t="str">
        <f aca="false">IF(A65="","",IFERROR(INDEX(Classes!$I$5:$I$23,MATCH(A65,Classes!$A$5:$A$23,0)),""))</f>
        <v/>
      </c>
    </row>
    <row r="66" customFormat="false" ht="18" hidden="false" customHeight="true" outlineLevel="0" collapsed="false">
      <c r="A66" s="11"/>
      <c r="B66" s="11"/>
      <c r="C66" s="11"/>
      <c r="D66" s="11"/>
      <c r="E66" s="12" t="str">
        <f aca="false">IF(D66="","",IFERROR(INDEX(Drills!$G$5:$G$127,MATCH(D66,Drills!$A$5:$A$127,0)),""))</f>
        <v/>
      </c>
      <c r="F66" s="11"/>
      <c r="G66" s="12" t="str">
        <f aca="false">IF(F66="","",IFERROR(INDEX(Drills!$G$5:$G$127,MATCH(F66,Drills!$A$5:$A$127,0)),""))</f>
        <v/>
      </c>
      <c r="H66" s="11"/>
      <c r="I66" s="12" t="str">
        <f aca="false">IF(H66="","",IFERROR(INDEX(Drills!$G$5:$G$127,MATCH(H66,Drills!$A$5:$A$127,0)),""))</f>
        <v/>
      </c>
      <c r="J66" s="11"/>
      <c r="K66" s="12" t="str">
        <f aca="false">IF(J66="","",IFERROR(INDEX(Drills!$G$5:$G$127,MATCH(J66,Drills!$A$5:$A$127,0)),""))</f>
        <v/>
      </c>
      <c r="L66" s="11"/>
      <c r="M66" s="12" t="str">
        <f aca="false">IF(L66="","",IFERROR(INDEX(Drills!$G$5:$G$127,MATCH(L66,Drills!$A$5:$A$127,0)),""))</f>
        <v/>
      </c>
      <c r="N66" s="11"/>
      <c r="O66" s="12" t="str">
        <f aca="false">IF(N66="","",IFERROR(INDEX(Drills!$G$5:$G$127,MATCH(N66,Drills!$A$5:$A$127,0)),""))</f>
        <v/>
      </c>
      <c r="P66" s="14" t="str">
        <f aca="false">IF(A66="","",SUM(E66,G66,I66,K66,M66,O66))</f>
        <v/>
      </c>
      <c r="Q66" s="14" t="str">
        <f aca="false">IF(A66="","",IFERROR(INDEX(Classes!$C$5:$C$23,MATCH(A66,Classes!$A$5:$A$23,0)),""))</f>
        <v/>
      </c>
      <c r="R66" s="15" t="str">
        <f aca="false">IF(A66="","",IF(TRIM(IF(AND(N(Q66)&gt;0,N(P66)&gt;N(Q66)),"Over by "&amp;(P66-Q66)&amp;" min. ","")&amp;IF(AND(COUNTIF(V66:AA66,"*A*")&gt;0,AB66&lt;&gt;"Yes"),"Age check. ","")&amp;IF(COUNTIF(V66:AA66,"*C*")&gt;0,"Contact check. ","")&amp;IF(COUNTIF(V66:AA66,"~?")&gt;0,"Drill not in library. ",""))="","OK"&amp;IF(AND(COUNTIF(V66:AA66,"*A*")&gt;0,AB66="Yes")," · split by age","")&amp;IF(N(Q66)&gt;N(P66)," ("&amp;(Q66-P66)&amp;" min spare)",""),TRIM(IF(AND(N(Q66)&gt;0,N(P66)&gt;N(Q66)),"Over by "&amp;(P66-Q66)&amp;" min. ","")&amp;IF(AND(COUNTIF(V66:AA66,"*A*")&gt;0,AB66&lt;&gt;"Yes"),"Age check. ","")&amp;IF(COUNTIF(V66:AA66,"*C*")&gt;0,"Contact check. ","")&amp;IF(COUNTIF(V66:AA66,"~?")&gt;0,"Drill not in library. ",""))&amp;IF(AND(COUNTIF(V66:AA66,"*A*")&gt;0,AB66="Yes")," · split by age","")))</f>
        <v/>
      </c>
      <c r="S66" s="11"/>
      <c r="T66" s="13" t="str">
        <f aca="false">IF(A66="","",IFERROR(INDEX(Classes!$E$5:$E$23,MATCH(A66,Classes!$A$5:$A$23,0)),""))</f>
        <v/>
      </c>
      <c r="U66" s="13" t="str">
        <f aca="false">IF(A66="","",IFERROR(INDEX(Classes!$F$5:$F$23,MATCH(A66,Classes!$A$5:$A$23,0)),""))</f>
        <v/>
      </c>
      <c r="V66" s="13" t="str">
        <f aca="false">IF(OR(D66="",$A66=""),"",IF(ISNA(MATCH(D66,Drills!$A$5:$A$127,0)),"?",IF(N(INDEX(Drills!$K$5:$K$127,MATCH(D66,Drills!$A$5:$A$127,0)))&gt;N($T66),"A","")&amp;IF(ISNUMBER(SEARCH(INDEX(Drills!$E$5:$E$127,MATCH(D66,Drills!$A$5:$A$127,0)),$U66)),"","C")))</f>
        <v/>
      </c>
      <c r="W66" s="13" t="str">
        <f aca="false">IF(OR(F66="",$A66=""),"",IF(ISNA(MATCH(F66,Drills!$A$5:$A$127,0)),"?",IF(N(INDEX(Drills!$K$5:$K$127,MATCH(F66,Drills!$A$5:$A$127,0)))&gt;N($T66),"A","")&amp;IF(ISNUMBER(SEARCH(INDEX(Drills!$E$5:$E$127,MATCH(F66,Drills!$A$5:$A$127,0)),$U66)),"","C")))</f>
        <v/>
      </c>
      <c r="X66" s="13" t="str">
        <f aca="false">IF(OR(H66="",$A66=""),"",IF(ISNA(MATCH(H66,Drills!$A$5:$A$127,0)),"?",IF(N(INDEX(Drills!$K$5:$K$127,MATCH(H66,Drills!$A$5:$A$127,0)))&gt;N($T66),"A","")&amp;IF(ISNUMBER(SEARCH(INDEX(Drills!$E$5:$E$127,MATCH(H66,Drills!$A$5:$A$127,0)),$U66)),"","C")))</f>
        <v/>
      </c>
      <c r="Y66" s="13" t="str">
        <f aca="false">IF(OR(J66="",$A66=""),"",IF(ISNA(MATCH(J66,Drills!$A$5:$A$127,0)),"?",IF(N(INDEX(Drills!$K$5:$K$127,MATCH(J66,Drills!$A$5:$A$127,0)))&gt;N($T66),"A","")&amp;IF(ISNUMBER(SEARCH(INDEX(Drills!$E$5:$E$127,MATCH(J66,Drills!$A$5:$A$127,0)),$U66)),"","C")))</f>
        <v/>
      </c>
      <c r="Z66" s="13" t="str">
        <f aca="false">IF(OR(L66="",$A66=""),"",IF(ISNA(MATCH(L66,Drills!$A$5:$A$127,0)),"?",IF(N(INDEX(Drills!$K$5:$K$127,MATCH(L66,Drills!$A$5:$A$127,0)))&gt;N($T66),"A","")&amp;IF(ISNUMBER(SEARCH(INDEX(Drills!$E$5:$E$127,MATCH(L66,Drills!$A$5:$A$127,0)),$U66)),"","C")))</f>
        <v/>
      </c>
      <c r="AA66" s="13" t="str">
        <f aca="false">IF(OR(N66="",$A66=""),"",IF(ISNA(MATCH(N66,Drills!$A$5:$A$127,0)),"?",IF(N(INDEX(Drills!$K$5:$K$127,MATCH(N66,Drills!$A$5:$A$127,0)))&gt;N($T66),"A","")&amp;IF(ISNUMBER(SEARCH(INDEX(Drills!$E$5:$E$127,MATCH(N66,Drills!$A$5:$A$127,0)),$U66)),"","C")))</f>
        <v/>
      </c>
      <c r="AB66" s="13" t="str">
        <f aca="false">IF(A66="","",IFERROR(INDEX(Classes!$I$5:$I$23,MATCH(A66,Classes!$A$5:$A$23,0)),""))</f>
        <v/>
      </c>
    </row>
    <row r="67" customFormat="false" ht="18" hidden="false" customHeight="true" outlineLevel="0" collapsed="false">
      <c r="A67" s="11"/>
      <c r="B67" s="11"/>
      <c r="C67" s="11"/>
      <c r="D67" s="11"/>
      <c r="E67" s="12" t="str">
        <f aca="false">IF(D67="","",IFERROR(INDEX(Drills!$G$5:$G$127,MATCH(D67,Drills!$A$5:$A$127,0)),""))</f>
        <v/>
      </c>
      <c r="F67" s="11"/>
      <c r="G67" s="12" t="str">
        <f aca="false">IF(F67="","",IFERROR(INDEX(Drills!$G$5:$G$127,MATCH(F67,Drills!$A$5:$A$127,0)),""))</f>
        <v/>
      </c>
      <c r="H67" s="11"/>
      <c r="I67" s="12" t="str">
        <f aca="false">IF(H67="","",IFERROR(INDEX(Drills!$G$5:$G$127,MATCH(H67,Drills!$A$5:$A$127,0)),""))</f>
        <v/>
      </c>
      <c r="J67" s="11"/>
      <c r="K67" s="12" t="str">
        <f aca="false">IF(J67="","",IFERROR(INDEX(Drills!$G$5:$G$127,MATCH(J67,Drills!$A$5:$A$127,0)),""))</f>
        <v/>
      </c>
      <c r="L67" s="11"/>
      <c r="M67" s="12" t="str">
        <f aca="false">IF(L67="","",IFERROR(INDEX(Drills!$G$5:$G$127,MATCH(L67,Drills!$A$5:$A$127,0)),""))</f>
        <v/>
      </c>
      <c r="N67" s="11"/>
      <c r="O67" s="12" t="str">
        <f aca="false">IF(N67="","",IFERROR(INDEX(Drills!$G$5:$G$127,MATCH(N67,Drills!$A$5:$A$127,0)),""))</f>
        <v/>
      </c>
      <c r="P67" s="14" t="str">
        <f aca="false">IF(A67="","",SUM(E67,G67,I67,K67,M67,O67))</f>
        <v/>
      </c>
      <c r="Q67" s="14" t="str">
        <f aca="false">IF(A67="","",IFERROR(INDEX(Classes!$C$5:$C$23,MATCH(A67,Classes!$A$5:$A$23,0)),""))</f>
        <v/>
      </c>
      <c r="R67" s="15" t="str">
        <f aca="false">IF(A67="","",IF(TRIM(IF(AND(N(Q67)&gt;0,N(P67)&gt;N(Q67)),"Over by "&amp;(P67-Q67)&amp;" min. ","")&amp;IF(AND(COUNTIF(V67:AA67,"*A*")&gt;0,AB67&lt;&gt;"Yes"),"Age check. ","")&amp;IF(COUNTIF(V67:AA67,"*C*")&gt;0,"Contact check. ","")&amp;IF(COUNTIF(V67:AA67,"~?")&gt;0,"Drill not in library. ",""))="","OK"&amp;IF(AND(COUNTIF(V67:AA67,"*A*")&gt;0,AB67="Yes")," · split by age","")&amp;IF(N(Q67)&gt;N(P67)," ("&amp;(Q67-P67)&amp;" min spare)",""),TRIM(IF(AND(N(Q67)&gt;0,N(P67)&gt;N(Q67)),"Over by "&amp;(P67-Q67)&amp;" min. ","")&amp;IF(AND(COUNTIF(V67:AA67,"*A*")&gt;0,AB67&lt;&gt;"Yes"),"Age check. ","")&amp;IF(COUNTIF(V67:AA67,"*C*")&gt;0,"Contact check. ","")&amp;IF(COUNTIF(V67:AA67,"~?")&gt;0,"Drill not in library. ",""))&amp;IF(AND(COUNTIF(V67:AA67,"*A*")&gt;0,AB67="Yes")," · split by age","")))</f>
        <v/>
      </c>
      <c r="S67" s="11"/>
      <c r="T67" s="13" t="str">
        <f aca="false">IF(A67="","",IFERROR(INDEX(Classes!$E$5:$E$23,MATCH(A67,Classes!$A$5:$A$23,0)),""))</f>
        <v/>
      </c>
      <c r="U67" s="13" t="str">
        <f aca="false">IF(A67="","",IFERROR(INDEX(Classes!$F$5:$F$23,MATCH(A67,Classes!$A$5:$A$23,0)),""))</f>
        <v/>
      </c>
      <c r="V67" s="13" t="str">
        <f aca="false">IF(OR(D67="",$A67=""),"",IF(ISNA(MATCH(D67,Drills!$A$5:$A$127,0)),"?",IF(N(INDEX(Drills!$K$5:$K$127,MATCH(D67,Drills!$A$5:$A$127,0)))&gt;N($T67),"A","")&amp;IF(ISNUMBER(SEARCH(INDEX(Drills!$E$5:$E$127,MATCH(D67,Drills!$A$5:$A$127,0)),$U67)),"","C")))</f>
        <v/>
      </c>
      <c r="W67" s="13" t="str">
        <f aca="false">IF(OR(F67="",$A67=""),"",IF(ISNA(MATCH(F67,Drills!$A$5:$A$127,0)),"?",IF(N(INDEX(Drills!$K$5:$K$127,MATCH(F67,Drills!$A$5:$A$127,0)))&gt;N($T67),"A","")&amp;IF(ISNUMBER(SEARCH(INDEX(Drills!$E$5:$E$127,MATCH(F67,Drills!$A$5:$A$127,0)),$U67)),"","C")))</f>
        <v/>
      </c>
      <c r="X67" s="13" t="str">
        <f aca="false">IF(OR(H67="",$A67=""),"",IF(ISNA(MATCH(H67,Drills!$A$5:$A$127,0)),"?",IF(N(INDEX(Drills!$K$5:$K$127,MATCH(H67,Drills!$A$5:$A$127,0)))&gt;N($T67),"A","")&amp;IF(ISNUMBER(SEARCH(INDEX(Drills!$E$5:$E$127,MATCH(H67,Drills!$A$5:$A$127,0)),$U67)),"","C")))</f>
        <v/>
      </c>
      <c r="Y67" s="13" t="str">
        <f aca="false">IF(OR(J67="",$A67=""),"",IF(ISNA(MATCH(J67,Drills!$A$5:$A$127,0)),"?",IF(N(INDEX(Drills!$K$5:$K$127,MATCH(J67,Drills!$A$5:$A$127,0)))&gt;N($T67),"A","")&amp;IF(ISNUMBER(SEARCH(INDEX(Drills!$E$5:$E$127,MATCH(J67,Drills!$A$5:$A$127,0)),$U67)),"","C")))</f>
        <v/>
      </c>
      <c r="Z67" s="13" t="str">
        <f aca="false">IF(OR(L67="",$A67=""),"",IF(ISNA(MATCH(L67,Drills!$A$5:$A$127,0)),"?",IF(N(INDEX(Drills!$K$5:$K$127,MATCH(L67,Drills!$A$5:$A$127,0)))&gt;N($T67),"A","")&amp;IF(ISNUMBER(SEARCH(INDEX(Drills!$E$5:$E$127,MATCH(L67,Drills!$A$5:$A$127,0)),$U67)),"","C")))</f>
        <v/>
      </c>
      <c r="AA67" s="13" t="str">
        <f aca="false">IF(OR(N67="",$A67=""),"",IF(ISNA(MATCH(N67,Drills!$A$5:$A$127,0)),"?",IF(N(INDEX(Drills!$K$5:$K$127,MATCH(N67,Drills!$A$5:$A$127,0)))&gt;N($T67),"A","")&amp;IF(ISNUMBER(SEARCH(INDEX(Drills!$E$5:$E$127,MATCH(N67,Drills!$A$5:$A$127,0)),$U67)),"","C")))</f>
        <v/>
      </c>
      <c r="AB67" s="13" t="str">
        <f aca="false">IF(A67="","",IFERROR(INDEX(Classes!$I$5:$I$23,MATCH(A67,Classes!$A$5:$A$23,0)),""))</f>
        <v/>
      </c>
    </row>
    <row r="68" customFormat="false" ht="18" hidden="false" customHeight="true" outlineLevel="0" collapsed="false">
      <c r="A68" s="11"/>
      <c r="B68" s="11"/>
      <c r="C68" s="11"/>
      <c r="D68" s="11"/>
      <c r="E68" s="12" t="str">
        <f aca="false">IF(D68="","",IFERROR(INDEX(Drills!$G$5:$G$127,MATCH(D68,Drills!$A$5:$A$127,0)),""))</f>
        <v/>
      </c>
      <c r="F68" s="11"/>
      <c r="G68" s="12" t="str">
        <f aca="false">IF(F68="","",IFERROR(INDEX(Drills!$G$5:$G$127,MATCH(F68,Drills!$A$5:$A$127,0)),""))</f>
        <v/>
      </c>
      <c r="H68" s="11"/>
      <c r="I68" s="12" t="str">
        <f aca="false">IF(H68="","",IFERROR(INDEX(Drills!$G$5:$G$127,MATCH(H68,Drills!$A$5:$A$127,0)),""))</f>
        <v/>
      </c>
      <c r="J68" s="11"/>
      <c r="K68" s="12" t="str">
        <f aca="false">IF(J68="","",IFERROR(INDEX(Drills!$G$5:$G$127,MATCH(J68,Drills!$A$5:$A$127,0)),""))</f>
        <v/>
      </c>
      <c r="L68" s="11"/>
      <c r="M68" s="12" t="str">
        <f aca="false">IF(L68="","",IFERROR(INDEX(Drills!$G$5:$G$127,MATCH(L68,Drills!$A$5:$A$127,0)),""))</f>
        <v/>
      </c>
      <c r="N68" s="11"/>
      <c r="O68" s="12" t="str">
        <f aca="false">IF(N68="","",IFERROR(INDEX(Drills!$G$5:$G$127,MATCH(N68,Drills!$A$5:$A$127,0)),""))</f>
        <v/>
      </c>
      <c r="P68" s="14" t="str">
        <f aca="false">IF(A68="","",SUM(E68,G68,I68,K68,M68,O68))</f>
        <v/>
      </c>
      <c r="Q68" s="14" t="str">
        <f aca="false">IF(A68="","",IFERROR(INDEX(Classes!$C$5:$C$23,MATCH(A68,Classes!$A$5:$A$23,0)),""))</f>
        <v/>
      </c>
      <c r="R68" s="15" t="str">
        <f aca="false">IF(A68="","",IF(TRIM(IF(AND(N(Q68)&gt;0,N(P68)&gt;N(Q68)),"Over by "&amp;(P68-Q68)&amp;" min. ","")&amp;IF(AND(COUNTIF(V68:AA68,"*A*")&gt;0,AB68&lt;&gt;"Yes"),"Age check. ","")&amp;IF(COUNTIF(V68:AA68,"*C*")&gt;0,"Contact check. ","")&amp;IF(COUNTIF(V68:AA68,"~?")&gt;0,"Drill not in library. ",""))="","OK"&amp;IF(AND(COUNTIF(V68:AA68,"*A*")&gt;0,AB68="Yes")," · split by age","")&amp;IF(N(Q68)&gt;N(P68)," ("&amp;(Q68-P68)&amp;" min spare)",""),TRIM(IF(AND(N(Q68)&gt;0,N(P68)&gt;N(Q68)),"Over by "&amp;(P68-Q68)&amp;" min. ","")&amp;IF(AND(COUNTIF(V68:AA68,"*A*")&gt;0,AB68&lt;&gt;"Yes"),"Age check. ","")&amp;IF(COUNTIF(V68:AA68,"*C*")&gt;0,"Contact check. ","")&amp;IF(COUNTIF(V68:AA68,"~?")&gt;0,"Drill not in library. ",""))&amp;IF(AND(COUNTIF(V68:AA68,"*A*")&gt;0,AB68="Yes")," · split by age","")))</f>
        <v/>
      </c>
      <c r="S68" s="11"/>
      <c r="T68" s="13" t="str">
        <f aca="false">IF(A68="","",IFERROR(INDEX(Classes!$E$5:$E$23,MATCH(A68,Classes!$A$5:$A$23,0)),""))</f>
        <v/>
      </c>
      <c r="U68" s="13" t="str">
        <f aca="false">IF(A68="","",IFERROR(INDEX(Classes!$F$5:$F$23,MATCH(A68,Classes!$A$5:$A$23,0)),""))</f>
        <v/>
      </c>
      <c r="V68" s="13" t="str">
        <f aca="false">IF(OR(D68="",$A68=""),"",IF(ISNA(MATCH(D68,Drills!$A$5:$A$127,0)),"?",IF(N(INDEX(Drills!$K$5:$K$127,MATCH(D68,Drills!$A$5:$A$127,0)))&gt;N($T68),"A","")&amp;IF(ISNUMBER(SEARCH(INDEX(Drills!$E$5:$E$127,MATCH(D68,Drills!$A$5:$A$127,0)),$U68)),"","C")))</f>
        <v/>
      </c>
      <c r="W68" s="13" t="str">
        <f aca="false">IF(OR(F68="",$A68=""),"",IF(ISNA(MATCH(F68,Drills!$A$5:$A$127,0)),"?",IF(N(INDEX(Drills!$K$5:$K$127,MATCH(F68,Drills!$A$5:$A$127,0)))&gt;N($T68),"A","")&amp;IF(ISNUMBER(SEARCH(INDEX(Drills!$E$5:$E$127,MATCH(F68,Drills!$A$5:$A$127,0)),$U68)),"","C")))</f>
        <v/>
      </c>
      <c r="X68" s="13" t="str">
        <f aca="false">IF(OR(H68="",$A68=""),"",IF(ISNA(MATCH(H68,Drills!$A$5:$A$127,0)),"?",IF(N(INDEX(Drills!$K$5:$K$127,MATCH(H68,Drills!$A$5:$A$127,0)))&gt;N($T68),"A","")&amp;IF(ISNUMBER(SEARCH(INDEX(Drills!$E$5:$E$127,MATCH(H68,Drills!$A$5:$A$127,0)),$U68)),"","C")))</f>
        <v/>
      </c>
      <c r="Y68" s="13" t="str">
        <f aca="false">IF(OR(J68="",$A68=""),"",IF(ISNA(MATCH(J68,Drills!$A$5:$A$127,0)),"?",IF(N(INDEX(Drills!$K$5:$K$127,MATCH(J68,Drills!$A$5:$A$127,0)))&gt;N($T68),"A","")&amp;IF(ISNUMBER(SEARCH(INDEX(Drills!$E$5:$E$127,MATCH(J68,Drills!$A$5:$A$127,0)),$U68)),"","C")))</f>
        <v/>
      </c>
      <c r="Z68" s="13" t="str">
        <f aca="false">IF(OR(L68="",$A68=""),"",IF(ISNA(MATCH(L68,Drills!$A$5:$A$127,0)),"?",IF(N(INDEX(Drills!$K$5:$K$127,MATCH(L68,Drills!$A$5:$A$127,0)))&gt;N($T68),"A","")&amp;IF(ISNUMBER(SEARCH(INDEX(Drills!$E$5:$E$127,MATCH(L68,Drills!$A$5:$A$127,0)),$U68)),"","C")))</f>
        <v/>
      </c>
      <c r="AA68" s="13" t="str">
        <f aca="false">IF(OR(N68="",$A68=""),"",IF(ISNA(MATCH(N68,Drills!$A$5:$A$127,0)),"?",IF(N(INDEX(Drills!$K$5:$K$127,MATCH(N68,Drills!$A$5:$A$127,0)))&gt;N($T68),"A","")&amp;IF(ISNUMBER(SEARCH(INDEX(Drills!$E$5:$E$127,MATCH(N68,Drills!$A$5:$A$127,0)),$U68)),"","C")))</f>
        <v/>
      </c>
      <c r="AB68" s="13" t="str">
        <f aca="false">IF(A68="","",IFERROR(INDEX(Classes!$I$5:$I$23,MATCH(A68,Classes!$A$5:$A$23,0)),""))</f>
        <v/>
      </c>
    </row>
    <row r="69" customFormat="false" ht="18" hidden="false" customHeight="true" outlineLevel="0" collapsed="false">
      <c r="A69" s="11"/>
      <c r="B69" s="11"/>
      <c r="C69" s="11"/>
      <c r="D69" s="11"/>
      <c r="E69" s="12" t="str">
        <f aca="false">IF(D69="","",IFERROR(INDEX(Drills!$G$5:$G$127,MATCH(D69,Drills!$A$5:$A$127,0)),""))</f>
        <v/>
      </c>
      <c r="F69" s="11"/>
      <c r="G69" s="12" t="str">
        <f aca="false">IF(F69="","",IFERROR(INDEX(Drills!$G$5:$G$127,MATCH(F69,Drills!$A$5:$A$127,0)),""))</f>
        <v/>
      </c>
      <c r="H69" s="11"/>
      <c r="I69" s="12" t="str">
        <f aca="false">IF(H69="","",IFERROR(INDEX(Drills!$G$5:$G$127,MATCH(H69,Drills!$A$5:$A$127,0)),""))</f>
        <v/>
      </c>
      <c r="J69" s="11"/>
      <c r="K69" s="12" t="str">
        <f aca="false">IF(J69="","",IFERROR(INDEX(Drills!$G$5:$G$127,MATCH(J69,Drills!$A$5:$A$127,0)),""))</f>
        <v/>
      </c>
      <c r="L69" s="11"/>
      <c r="M69" s="12" t="str">
        <f aca="false">IF(L69="","",IFERROR(INDEX(Drills!$G$5:$G$127,MATCH(L69,Drills!$A$5:$A$127,0)),""))</f>
        <v/>
      </c>
      <c r="N69" s="11"/>
      <c r="O69" s="12" t="str">
        <f aca="false">IF(N69="","",IFERROR(INDEX(Drills!$G$5:$G$127,MATCH(N69,Drills!$A$5:$A$127,0)),""))</f>
        <v/>
      </c>
      <c r="P69" s="14" t="str">
        <f aca="false">IF(A69="","",SUM(E69,G69,I69,K69,M69,O69))</f>
        <v/>
      </c>
      <c r="Q69" s="14" t="str">
        <f aca="false">IF(A69="","",IFERROR(INDEX(Classes!$C$5:$C$23,MATCH(A69,Classes!$A$5:$A$23,0)),""))</f>
        <v/>
      </c>
      <c r="R69" s="15" t="str">
        <f aca="false">IF(A69="","",IF(TRIM(IF(AND(N(Q69)&gt;0,N(P69)&gt;N(Q69)),"Over by "&amp;(P69-Q69)&amp;" min. ","")&amp;IF(AND(COUNTIF(V69:AA69,"*A*")&gt;0,AB69&lt;&gt;"Yes"),"Age check. ","")&amp;IF(COUNTIF(V69:AA69,"*C*")&gt;0,"Contact check. ","")&amp;IF(COUNTIF(V69:AA69,"~?")&gt;0,"Drill not in library. ",""))="","OK"&amp;IF(AND(COUNTIF(V69:AA69,"*A*")&gt;0,AB69="Yes")," · split by age","")&amp;IF(N(Q69)&gt;N(P69)," ("&amp;(Q69-P69)&amp;" min spare)",""),TRIM(IF(AND(N(Q69)&gt;0,N(P69)&gt;N(Q69)),"Over by "&amp;(P69-Q69)&amp;" min. ","")&amp;IF(AND(COUNTIF(V69:AA69,"*A*")&gt;0,AB69&lt;&gt;"Yes"),"Age check. ","")&amp;IF(COUNTIF(V69:AA69,"*C*")&gt;0,"Contact check. ","")&amp;IF(COUNTIF(V69:AA69,"~?")&gt;0,"Drill not in library. ",""))&amp;IF(AND(COUNTIF(V69:AA69,"*A*")&gt;0,AB69="Yes")," · split by age","")))</f>
        <v/>
      </c>
      <c r="S69" s="11"/>
      <c r="T69" s="13" t="str">
        <f aca="false">IF(A69="","",IFERROR(INDEX(Classes!$E$5:$E$23,MATCH(A69,Classes!$A$5:$A$23,0)),""))</f>
        <v/>
      </c>
      <c r="U69" s="13" t="str">
        <f aca="false">IF(A69="","",IFERROR(INDEX(Classes!$F$5:$F$23,MATCH(A69,Classes!$A$5:$A$23,0)),""))</f>
        <v/>
      </c>
      <c r="V69" s="13" t="str">
        <f aca="false">IF(OR(D69="",$A69=""),"",IF(ISNA(MATCH(D69,Drills!$A$5:$A$127,0)),"?",IF(N(INDEX(Drills!$K$5:$K$127,MATCH(D69,Drills!$A$5:$A$127,0)))&gt;N($T69),"A","")&amp;IF(ISNUMBER(SEARCH(INDEX(Drills!$E$5:$E$127,MATCH(D69,Drills!$A$5:$A$127,0)),$U69)),"","C")))</f>
        <v/>
      </c>
      <c r="W69" s="13" t="str">
        <f aca="false">IF(OR(F69="",$A69=""),"",IF(ISNA(MATCH(F69,Drills!$A$5:$A$127,0)),"?",IF(N(INDEX(Drills!$K$5:$K$127,MATCH(F69,Drills!$A$5:$A$127,0)))&gt;N($T69),"A","")&amp;IF(ISNUMBER(SEARCH(INDEX(Drills!$E$5:$E$127,MATCH(F69,Drills!$A$5:$A$127,0)),$U69)),"","C")))</f>
        <v/>
      </c>
      <c r="X69" s="13" t="str">
        <f aca="false">IF(OR(H69="",$A69=""),"",IF(ISNA(MATCH(H69,Drills!$A$5:$A$127,0)),"?",IF(N(INDEX(Drills!$K$5:$K$127,MATCH(H69,Drills!$A$5:$A$127,0)))&gt;N($T69),"A","")&amp;IF(ISNUMBER(SEARCH(INDEX(Drills!$E$5:$E$127,MATCH(H69,Drills!$A$5:$A$127,0)),$U69)),"","C")))</f>
        <v/>
      </c>
      <c r="Y69" s="13" t="str">
        <f aca="false">IF(OR(J69="",$A69=""),"",IF(ISNA(MATCH(J69,Drills!$A$5:$A$127,0)),"?",IF(N(INDEX(Drills!$K$5:$K$127,MATCH(J69,Drills!$A$5:$A$127,0)))&gt;N($T69),"A","")&amp;IF(ISNUMBER(SEARCH(INDEX(Drills!$E$5:$E$127,MATCH(J69,Drills!$A$5:$A$127,0)),$U69)),"","C")))</f>
        <v/>
      </c>
      <c r="Z69" s="13" t="str">
        <f aca="false">IF(OR(L69="",$A69=""),"",IF(ISNA(MATCH(L69,Drills!$A$5:$A$127,0)),"?",IF(N(INDEX(Drills!$K$5:$K$127,MATCH(L69,Drills!$A$5:$A$127,0)))&gt;N($T69),"A","")&amp;IF(ISNUMBER(SEARCH(INDEX(Drills!$E$5:$E$127,MATCH(L69,Drills!$A$5:$A$127,0)),$U69)),"","C")))</f>
        <v/>
      </c>
      <c r="AA69" s="13" t="str">
        <f aca="false">IF(OR(N69="",$A69=""),"",IF(ISNA(MATCH(N69,Drills!$A$5:$A$127,0)),"?",IF(N(INDEX(Drills!$K$5:$K$127,MATCH(N69,Drills!$A$5:$A$127,0)))&gt;N($T69),"A","")&amp;IF(ISNUMBER(SEARCH(INDEX(Drills!$E$5:$E$127,MATCH(N69,Drills!$A$5:$A$127,0)),$U69)),"","C")))</f>
        <v/>
      </c>
      <c r="AB69" s="13" t="str">
        <f aca="false">IF(A69="","",IFERROR(INDEX(Classes!$I$5:$I$23,MATCH(A69,Classes!$A$5:$A$23,0)),""))</f>
        <v/>
      </c>
    </row>
    <row r="70" customFormat="false" ht="18" hidden="false" customHeight="true" outlineLevel="0" collapsed="false">
      <c r="A70" s="11"/>
      <c r="B70" s="11"/>
      <c r="C70" s="11"/>
      <c r="D70" s="11"/>
      <c r="E70" s="12" t="str">
        <f aca="false">IF(D70="","",IFERROR(INDEX(Drills!$G$5:$G$127,MATCH(D70,Drills!$A$5:$A$127,0)),""))</f>
        <v/>
      </c>
      <c r="F70" s="11"/>
      <c r="G70" s="12" t="str">
        <f aca="false">IF(F70="","",IFERROR(INDEX(Drills!$G$5:$G$127,MATCH(F70,Drills!$A$5:$A$127,0)),""))</f>
        <v/>
      </c>
      <c r="H70" s="11"/>
      <c r="I70" s="12" t="str">
        <f aca="false">IF(H70="","",IFERROR(INDEX(Drills!$G$5:$G$127,MATCH(H70,Drills!$A$5:$A$127,0)),""))</f>
        <v/>
      </c>
      <c r="J70" s="11"/>
      <c r="K70" s="12" t="str">
        <f aca="false">IF(J70="","",IFERROR(INDEX(Drills!$G$5:$G$127,MATCH(J70,Drills!$A$5:$A$127,0)),""))</f>
        <v/>
      </c>
      <c r="L70" s="11"/>
      <c r="M70" s="12" t="str">
        <f aca="false">IF(L70="","",IFERROR(INDEX(Drills!$G$5:$G$127,MATCH(L70,Drills!$A$5:$A$127,0)),""))</f>
        <v/>
      </c>
      <c r="N70" s="11"/>
      <c r="O70" s="12" t="str">
        <f aca="false">IF(N70="","",IFERROR(INDEX(Drills!$G$5:$G$127,MATCH(N70,Drills!$A$5:$A$127,0)),""))</f>
        <v/>
      </c>
      <c r="P70" s="14" t="str">
        <f aca="false">IF(A70="","",SUM(E70,G70,I70,K70,M70,O70))</f>
        <v/>
      </c>
      <c r="Q70" s="14" t="str">
        <f aca="false">IF(A70="","",IFERROR(INDEX(Classes!$C$5:$C$23,MATCH(A70,Classes!$A$5:$A$23,0)),""))</f>
        <v/>
      </c>
      <c r="R70" s="15" t="str">
        <f aca="false">IF(A70="","",IF(TRIM(IF(AND(N(Q70)&gt;0,N(P70)&gt;N(Q70)),"Over by "&amp;(P70-Q70)&amp;" min. ","")&amp;IF(AND(COUNTIF(V70:AA70,"*A*")&gt;0,AB70&lt;&gt;"Yes"),"Age check. ","")&amp;IF(COUNTIF(V70:AA70,"*C*")&gt;0,"Contact check. ","")&amp;IF(COUNTIF(V70:AA70,"~?")&gt;0,"Drill not in library. ",""))="","OK"&amp;IF(AND(COUNTIF(V70:AA70,"*A*")&gt;0,AB70="Yes")," · split by age","")&amp;IF(N(Q70)&gt;N(P70)," ("&amp;(Q70-P70)&amp;" min spare)",""),TRIM(IF(AND(N(Q70)&gt;0,N(P70)&gt;N(Q70)),"Over by "&amp;(P70-Q70)&amp;" min. ","")&amp;IF(AND(COUNTIF(V70:AA70,"*A*")&gt;0,AB70&lt;&gt;"Yes"),"Age check. ","")&amp;IF(COUNTIF(V70:AA70,"*C*")&gt;0,"Contact check. ","")&amp;IF(COUNTIF(V70:AA70,"~?")&gt;0,"Drill not in library. ",""))&amp;IF(AND(COUNTIF(V70:AA70,"*A*")&gt;0,AB70="Yes")," · split by age","")))</f>
        <v/>
      </c>
      <c r="S70" s="11"/>
      <c r="T70" s="13" t="str">
        <f aca="false">IF(A70="","",IFERROR(INDEX(Classes!$E$5:$E$23,MATCH(A70,Classes!$A$5:$A$23,0)),""))</f>
        <v/>
      </c>
      <c r="U70" s="13" t="str">
        <f aca="false">IF(A70="","",IFERROR(INDEX(Classes!$F$5:$F$23,MATCH(A70,Classes!$A$5:$A$23,0)),""))</f>
        <v/>
      </c>
      <c r="V70" s="13" t="str">
        <f aca="false">IF(OR(D70="",$A70=""),"",IF(ISNA(MATCH(D70,Drills!$A$5:$A$127,0)),"?",IF(N(INDEX(Drills!$K$5:$K$127,MATCH(D70,Drills!$A$5:$A$127,0)))&gt;N($T70),"A","")&amp;IF(ISNUMBER(SEARCH(INDEX(Drills!$E$5:$E$127,MATCH(D70,Drills!$A$5:$A$127,0)),$U70)),"","C")))</f>
        <v/>
      </c>
      <c r="W70" s="13" t="str">
        <f aca="false">IF(OR(F70="",$A70=""),"",IF(ISNA(MATCH(F70,Drills!$A$5:$A$127,0)),"?",IF(N(INDEX(Drills!$K$5:$K$127,MATCH(F70,Drills!$A$5:$A$127,0)))&gt;N($T70),"A","")&amp;IF(ISNUMBER(SEARCH(INDEX(Drills!$E$5:$E$127,MATCH(F70,Drills!$A$5:$A$127,0)),$U70)),"","C")))</f>
        <v/>
      </c>
      <c r="X70" s="13" t="str">
        <f aca="false">IF(OR(H70="",$A70=""),"",IF(ISNA(MATCH(H70,Drills!$A$5:$A$127,0)),"?",IF(N(INDEX(Drills!$K$5:$K$127,MATCH(H70,Drills!$A$5:$A$127,0)))&gt;N($T70),"A","")&amp;IF(ISNUMBER(SEARCH(INDEX(Drills!$E$5:$E$127,MATCH(H70,Drills!$A$5:$A$127,0)),$U70)),"","C")))</f>
        <v/>
      </c>
      <c r="Y70" s="13" t="str">
        <f aca="false">IF(OR(J70="",$A70=""),"",IF(ISNA(MATCH(J70,Drills!$A$5:$A$127,0)),"?",IF(N(INDEX(Drills!$K$5:$K$127,MATCH(J70,Drills!$A$5:$A$127,0)))&gt;N($T70),"A","")&amp;IF(ISNUMBER(SEARCH(INDEX(Drills!$E$5:$E$127,MATCH(J70,Drills!$A$5:$A$127,0)),$U70)),"","C")))</f>
        <v/>
      </c>
      <c r="Z70" s="13" t="str">
        <f aca="false">IF(OR(L70="",$A70=""),"",IF(ISNA(MATCH(L70,Drills!$A$5:$A$127,0)),"?",IF(N(INDEX(Drills!$K$5:$K$127,MATCH(L70,Drills!$A$5:$A$127,0)))&gt;N($T70),"A","")&amp;IF(ISNUMBER(SEARCH(INDEX(Drills!$E$5:$E$127,MATCH(L70,Drills!$A$5:$A$127,0)),$U70)),"","C")))</f>
        <v/>
      </c>
      <c r="AA70" s="13" t="str">
        <f aca="false">IF(OR(N70="",$A70=""),"",IF(ISNA(MATCH(N70,Drills!$A$5:$A$127,0)),"?",IF(N(INDEX(Drills!$K$5:$K$127,MATCH(N70,Drills!$A$5:$A$127,0)))&gt;N($T70),"A","")&amp;IF(ISNUMBER(SEARCH(INDEX(Drills!$E$5:$E$127,MATCH(N70,Drills!$A$5:$A$127,0)),$U70)),"","C")))</f>
        <v/>
      </c>
      <c r="AB70" s="13" t="str">
        <f aca="false">IF(A70="","",IFERROR(INDEX(Classes!$I$5:$I$23,MATCH(A70,Classes!$A$5:$A$23,0)),""))</f>
        <v/>
      </c>
    </row>
    <row r="71" customFormat="false" ht="18" hidden="false" customHeight="true" outlineLevel="0" collapsed="false">
      <c r="A71" s="11"/>
      <c r="B71" s="11"/>
      <c r="C71" s="11"/>
      <c r="D71" s="11"/>
      <c r="E71" s="12" t="str">
        <f aca="false">IF(D71="","",IFERROR(INDEX(Drills!$G$5:$G$127,MATCH(D71,Drills!$A$5:$A$127,0)),""))</f>
        <v/>
      </c>
      <c r="F71" s="11"/>
      <c r="G71" s="12" t="str">
        <f aca="false">IF(F71="","",IFERROR(INDEX(Drills!$G$5:$G$127,MATCH(F71,Drills!$A$5:$A$127,0)),""))</f>
        <v/>
      </c>
      <c r="H71" s="11"/>
      <c r="I71" s="12" t="str">
        <f aca="false">IF(H71="","",IFERROR(INDEX(Drills!$G$5:$G$127,MATCH(H71,Drills!$A$5:$A$127,0)),""))</f>
        <v/>
      </c>
      <c r="J71" s="11"/>
      <c r="K71" s="12" t="str">
        <f aca="false">IF(J71="","",IFERROR(INDEX(Drills!$G$5:$G$127,MATCH(J71,Drills!$A$5:$A$127,0)),""))</f>
        <v/>
      </c>
      <c r="L71" s="11"/>
      <c r="M71" s="12" t="str">
        <f aca="false">IF(L71="","",IFERROR(INDEX(Drills!$G$5:$G$127,MATCH(L71,Drills!$A$5:$A$127,0)),""))</f>
        <v/>
      </c>
      <c r="N71" s="11"/>
      <c r="O71" s="12" t="str">
        <f aca="false">IF(N71="","",IFERROR(INDEX(Drills!$G$5:$G$127,MATCH(N71,Drills!$A$5:$A$127,0)),""))</f>
        <v/>
      </c>
      <c r="P71" s="14" t="str">
        <f aca="false">IF(A71="","",SUM(E71,G71,I71,K71,M71,O71))</f>
        <v/>
      </c>
      <c r="Q71" s="14" t="str">
        <f aca="false">IF(A71="","",IFERROR(INDEX(Classes!$C$5:$C$23,MATCH(A71,Classes!$A$5:$A$23,0)),""))</f>
        <v/>
      </c>
      <c r="R71" s="15" t="str">
        <f aca="false">IF(A71="","",IF(TRIM(IF(AND(N(Q71)&gt;0,N(P71)&gt;N(Q71)),"Over by "&amp;(P71-Q71)&amp;" min. ","")&amp;IF(AND(COUNTIF(V71:AA71,"*A*")&gt;0,AB71&lt;&gt;"Yes"),"Age check. ","")&amp;IF(COUNTIF(V71:AA71,"*C*")&gt;0,"Contact check. ","")&amp;IF(COUNTIF(V71:AA71,"~?")&gt;0,"Drill not in library. ",""))="","OK"&amp;IF(AND(COUNTIF(V71:AA71,"*A*")&gt;0,AB71="Yes")," · split by age","")&amp;IF(N(Q71)&gt;N(P71)," ("&amp;(Q71-P71)&amp;" min spare)",""),TRIM(IF(AND(N(Q71)&gt;0,N(P71)&gt;N(Q71)),"Over by "&amp;(P71-Q71)&amp;" min. ","")&amp;IF(AND(COUNTIF(V71:AA71,"*A*")&gt;0,AB71&lt;&gt;"Yes"),"Age check. ","")&amp;IF(COUNTIF(V71:AA71,"*C*")&gt;0,"Contact check. ","")&amp;IF(COUNTIF(V71:AA71,"~?")&gt;0,"Drill not in library. ",""))&amp;IF(AND(COUNTIF(V71:AA71,"*A*")&gt;0,AB71="Yes")," · split by age","")))</f>
        <v/>
      </c>
      <c r="S71" s="11"/>
      <c r="T71" s="13" t="str">
        <f aca="false">IF(A71="","",IFERROR(INDEX(Classes!$E$5:$E$23,MATCH(A71,Classes!$A$5:$A$23,0)),""))</f>
        <v/>
      </c>
      <c r="U71" s="13" t="str">
        <f aca="false">IF(A71="","",IFERROR(INDEX(Classes!$F$5:$F$23,MATCH(A71,Classes!$A$5:$A$23,0)),""))</f>
        <v/>
      </c>
      <c r="V71" s="13" t="str">
        <f aca="false">IF(OR(D71="",$A71=""),"",IF(ISNA(MATCH(D71,Drills!$A$5:$A$127,0)),"?",IF(N(INDEX(Drills!$K$5:$K$127,MATCH(D71,Drills!$A$5:$A$127,0)))&gt;N($T71),"A","")&amp;IF(ISNUMBER(SEARCH(INDEX(Drills!$E$5:$E$127,MATCH(D71,Drills!$A$5:$A$127,0)),$U71)),"","C")))</f>
        <v/>
      </c>
      <c r="W71" s="13" t="str">
        <f aca="false">IF(OR(F71="",$A71=""),"",IF(ISNA(MATCH(F71,Drills!$A$5:$A$127,0)),"?",IF(N(INDEX(Drills!$K$5:$K$127,MATCH(F71,Drills!$A$5:$A$127,0)))&gt;N($T71),"A","")&amp;IF(ISNUMBER(SEARCH(INDEX(Drills!$E$5:$E$127,MATCH(F71,Drills!$A$5:$A$127,0)),$U71)),"","C")))</f>
        <v/>
      </c>
      <c r="X71" s="13" t="str">
        <f aca="false">IF(OR(H71="",$A71=""),"",IF(ISNA(MATCH(H71,Drills!$A$5:$A$127,0)),"?",IF(N(INDEX(Drills!$K$5:$K$127,MATCH(H71,Drills!$A$5:$A$127,0)))&gt;N($T71),"A","")&amp;IF(ISNUMBER(SEARCH(INDEX(Drills!$E$5:$E$127,MATCH(H71,Drills!$A$5:$A$127,0)),$U71)),"","C")))</f>
        <v/>
      </c>
      <c r="Y71" s="13" t="str">
        <f aca="false">IF(OR(J71="",$A71=""),"",IF(ISNA(MATCH(J71,Drills!$A$5:$A$127,0)),"?",IF(N(INDEX(Drills!$K$5:$K$127,MATCH(J71,Drills!$A$5:$A$127,0)))&gt;N($T71),"A","")&amp;IF(ISNUMBER(SEARCH(INDEX(Drills!$E$5:$E$127,MATCH(J71,Drills!$A$5:$A$127,0)),$U71)),"","C")))</f>
        <v/>
      </c>
      <c r="Z71" s="13" t="str">
        <f aca="false">IF(OR(L71="",$A71=""),"",IF(ISNA(MATCH(L71,Drills!$A$5:$A$127,0)),"?",IF(N(INDEX(Drills!$K$5:$K$127,MATCH(L71,Drills!$A$5:$A$127,0)))&gt;N($T71),"A","")&amp;IF(ISNUMBER(SEARCH(INDEX(Drills!$E$5:$E$127,MATCH(L71,Drills!$A$5:$A$127,0)),$U71)),"","C")))</f>
        <v/>
      </c>
      <c r="AA71" s="13" t="str">
        <f aca="false">IF(OR(N71="",$A71=""),"",IF(ISNA(MATCH(N71,Drills!$A$5:$A$127,0)),"?",IF(N(INDEX(Drills!$K$5:$K$127,MATCH(N71,Drills!$A$5:$A$127,0)))&gt;N($T71),"A","")&amp;IF(ISNUMBER(SEARCH(INDEX(Drills!$E$5:$E$127,MATCH(N71,Drills!$A$5:$A$127,0)),$U71)),"","C")))</f>
        <v/>
      </c>
      <c r="AB71" s="13" t="str">
        <f aca="false">IF(A71="","",IFERROR(INDEX(Classes!$I$5:$I$23,MATCH(A71,Classes!$A$5:$A$23,0)),""))</f>
        <v/>
      </c>
    </row>
    <row r="72" customFormat="false" ht="18" hidden="false" customHeight="true" outlineLevel="0" collapsed="false">
      <c r="A72" s="11"/>
      <c r="B72" s="11"/>
      <c r="C72" s="11"/>
      <c r="D72" s="11"/>
      <c r="E72" s="12" t="str">
        <f aca="false">IF(D72="","",IFERROR(INDEX(Drills!$G$5:$G$127,MATCH(D72,Drills!$A$5:$A$127,0)),""))</f>
        <v/>
      </c>
      <c r="F72" s="11"/>
      <c r="G72" s="12" t="str">
        <f aca="false">IF(F72="","",IFERROR(INDEX(Drills!$G$5:$G$127,MATCH(F72,Drills!$A$5:$A$127,0)),""))</f>
        <v/>
      </c>
      <c r="H72" s="11"/>
      <c r="I72" s="12" t="str">
        <f aca="false">IF(H72="","",IFERROR(INDEX(Drills!$G$5:$G$127,MATCH(H72,Drills!$A$5:$A$127,0)),""))</f>
        <v/>
      </c>
      <c r="J72" s="11"/>
      <c r="K72" s="12" t="str">
        <f aca="false">IF(J72="","",IFERROR(INDEX(Drills!$G$5:$G$127,MATCH(J72,Drills!$A$5:$A$127,0)),""))</f>
        <v/>
      </c>
      <c r="L72" s="11"/>
      <c r="M72" s="12" t="str">
        <f aca="false">IF(L72="","",IFERROR(INDEX(Drills!$G$5:$G$127,MATCH(L72,Drills!$A$5:$A$127,0)),""))</f>
        <v/>
      </c>
      <c r="N72" s="11"/>
      <c r="O72" s="12" t="str">
        <f aca="false">IF(N72="","",IFERROR(INDEX(Drills!$G$5:$G$127,MATCH(N72,Drills!$A$5:$A$127,0)),""))</f>
        <v/>
      </c>
      <c r="P72" s="14" t="str">
        <f aca="false">IF(A72="","",SUM(E72,G72,I72,K72,M72,O72))</f>
        <v/>
      </c>
      <c r="Q72" s="14" t="str">
        <f aca="false">IF(A72="","",IFERROR(INDEX(Classes!$C$5:$C$23,MATCH(A72,Classes!$A$5:$A$23,0)),""))</f>
        <v/>
      </c>
      <c r="R72" s="15" t="str">
        <f aca="false">IF(A72="","",IF(TRIM(IF(AND(N(Q72)&gt;0,N(P72)&gt;N(Q72)),"Over by "&amp;(P72-Q72)&amp;" min. ","")&amp;IF(AND(COUNTIF(V72:AA72,"*A*")&gt;0,AB72&lt;&gt;"Yes"),"Age check. ","")&amp;IF(COUNTIF(V72:AA72,"*C*")&gt;0,"Contact check. ","")&amp;IF(COUNTIF(V72:AA72,"~?")&gt;0,"Drill not in library. ",""))="","OK"&amp;IF(AND(COUNTIF(V72:AA72,"*A*")&gt;0,AB72="Yes")," · split by age","")&amp;IF(N(Q72)&gt;N(P72)," ("&amp;(Q72-P72)&amp;" min spare)",""),TRIM(IF(AND(N(Q72)&gt;0,N(P72)&gt;N(Q72)),"Over by "&amp;(P72-Q72)&amp;" min. ","")&amp;IF(AND(COUNTIF(V72:AA72,"*A*")&gt;0,AB72&lt;&gt;"Yes"),"Age check. ","")&amp;IF(COUNTIF(V72:AA72,"*C*")&gt;0,"Contact check. ","")&amp;IF(COUNTIF(V72:AA72,"~?")&gt;0,"Drill not in library. ",""))&amp;IF(AND(COUNTIF(V72:AA72,"*A*")&gt;0,AB72="Yes")," · split by age","")))</f>
        <v/>
      </c>
      <c r="S72" s="11"/>
      <c r="T72" s="13" t="str">
        <f aca="false">IF(A72="","",IFERROR(INDEX(Classes!$E$5:$E$23,MATCH(A72,Classes!$A$5:$A$23,0)),""))</f>
        <v/>
      </c>
      <c r="U72" s="13" t="str">
        <f aca="false">IF(A72="","",IFERROR(INDEX(Classes!$F$5:$F$23,MATCH(A72,Classes!$A$5:$A$23,0)),""))</f>
        <v/>
      </c>
      <c r="V72" s="13" t="str">
        <f aca="false">IF(OR(D72="",$A72=""),"",IF(ISNA(MATCH(D72,Drills!$A$5:$A$127,0)),"?",IF(N(INDEX(Drills!$K$5:$K$127,MATCH(D72,Drills!$A$5:$A$127,0)))&gt;N($T72),"A","")&amp;IF(ISNUMBER(SEARCH(INDEX(Drills!$E$5:$E$127,MATCH(D72,Drills!$A$5:$A$127,0)),$U72)),"","C")))</f>
        <v/>
      </c>
      <c r="W72" s="13" t="str">
        <f aca="false">IF(OR(F72="",$A72=""),"",IF(ISNA(MATCH(F72,Drills!$A$5:$A$127,0)),"?",IF(N(INDEX(Drills!$K$5:$K$127,MATCH(F72,Drills!$A$5:$A$127,0)))&gt;N($T72),"A","")&amp;IF(ISNUMBER(SEARCH(INDEX(Drills!$E$5:$E$127,MATCH(F72,Drills!$A$5:$A$127,0)),$U72)),"","C")))</f>
        <v/>
      </c>
      <c r="X72" s="13" t="str">
        <f aca="false">IF(OR(H72="",$A72=""),"",IF(ISNA(MATCH(H72,Drills!$A$5:$A$127,0)),"?",IF(N(INDEX(Drills!$K$5:$K$127,MATCH(H72,Drills!$A$5:$A$127,0)))&gt;N($T72),"A","")&amp;IF(ISNUMBER(SEARCH(INDEX(Drills!$E$5:$E$127,MATCH(H72,Drills!$A$5:$A$127,0)),$U72)),"","C")))</f>
        <v/>
      </c>
      <c r="Y72" s="13" t="str">
        <f aca="false">IF(OR(J72="",$A72=""),"",IF(ISNA(MATCH(J72,Drills!$A$5:$A$127,0)),"?",IF(N(INDEX(Drills!$K$5:$K$127,MATCH(J72,Drills!$A$5:$A$127,0)))&gt;N($T72),"A","")&amp;IF(ISNUMBER(SEARCH(INDEX(Drills!$E$5:$E$127,MATCH(J72,Drills!$A$5:$A$127,0)),$U72)),"","C")))</f>
        <v/>
      </c>
      <c r="Z72" s="13" t="str">
        <f aca="false">IF(OR(L72="",$A72=""),"",IF(ISNA(MATCH(L72,Drills!$A$5:$A$127,0)),"?",IF(N(INDEX(Drills!$K$5:$K$127,MATCH(L72,Drills!$A$5:$A$127,0)))&gt;N($T72),"A","")&amp;IF(ISNUMBER(SEARCH(INDEX(Drills!$E$5:$E$127,MATCH(L72,Drills!$A$5:$A$127,0)),$U72)),"","C")))</f>
        <v/>
      </c>
      <c r="AA72" s="13" t="str">
        <f aca="false">IF(OR(N72="",$A72=""),"",IF(ISNA(MATCH(N72,Drills!$A$5:$A$127,0)),"?",IF(N(INDEX(Drills!$K$5:$K$127,MATCH(N72,Drills!$A$5:$A$127,0)))&gt;N($T72),"A","")&amp;IF(ISNUMBER(SEARCH(INDEX(Drills!$E$5:$E$127,MATCH(N72,Drills!$A$5:$A$127,0)),$U72)),"","C")))</f>
        <v/>
      </c>
      <c r="AB72" s="13" t="str">
        <f aca="false">IF(A72="","",IFERROR(INDEX(Classes!$I$5:$I$23,MATCH(A72,Classes!$A$5:$A$23,0)),""))</f>
        <v/>
      </c>
    </row>
    <row r="73" customFormat="false" ht="18" hidden="false" customHeight="true" outlineLevel="0" collapsed="false">
      <c r="A73" s="11"/>
      <c r="B73" s="11"/>
      <c r="C73" s="11"/>
      <c r="D73" s="11"/>
      <c r="E73" s="12" t="str">
        <f aca="false">IF(D73="","",IFERROR(INDEX(Drills!$G$5:$G$127,MATCH(D73,Drills!$A$5:$A$127,0)),""))</f>
        <v/>
      </c>
      <c r="F73" s="11"/>
      <c r="G73" s="12" t="str">
        <f aca="false">IF(F73="","",IFERROR(INDEX(Drills!$G$5:$G$127,MATCH(F73,Drills!$A$5:$A$127,0)),""))</f>
        <v/>
      </c>
      <c r="H73" s="11"/>
      <c r="I73" s="12" t="str">
        <f aca="false">IF(H73="","",IFERROR(INDEX(Drills!$G$5:$G$127,MATCH(H73,Drills!$A$5:$A$127,0)),""))</f>
        <v/>
      </c>
      <c r="J73" s="11"/>
      <c r="K73" s="12" t="str">
        <f aca="false">IF(J73="","",IFERROR(INDEX(Drills!$G$5:$G$127,MATCH(J73,Drills!$A$5:$A$127,0)),""))</f>
        <v/>
      </c>
      <c r="L73" s="11"/>
      <c r="M73" s="12" t="str">
        <f aca="false">IF(L73="","",IFERROR(INDEX(Drills!$G$5:$G$127,MATCH(L73,Drills!$A$5:$A$127,0)),""))</f>
        <v/>
      </c>
      <c r="N73" s="11"/>
      <c r="O73" s="12" t="str">
        <f aca="false">IF(N73="","",IFERROR(INDEX(Drills!$G$5:$G$127,MATCH(N73,Drills!$A$5:$A$127,0)),""))</f>
        <v/>
      </c>
      <c r="P73" s="14" t="str">
        <f aca="false">IF(A73="","",SUM(E73,G73,I73,K73,M73,O73))</f>
        <v/>
      </c>
      <c r="Q73" s="14" t="str">
        <f aca="false">IF(A73="","",IFERROR(INDEX(Classes!$C$5:$C$23,MATCH(A73,Classes!$A$5:$A$23,0)),""))</f>
        <v/>
      </c>
      <c r="R73" s="15" t="str">
        <f aca="false">IF(A73="","",IF(TRIM(IF(AND(N(Q73)&gt;0,N(P73)&gt;N(Q73)),"Over by "&amp;(P73-Q73)&amp;" min. ","")&amp;IF(AND(COUNTIF(V73:AA73,"*A*")&gt;0,AB73&lt;&gt;"Yes"),"Age check. ","")&amp;IF(COUNTIF(V73:AA73,"*C*")&gt;0,"Contact check. ","")&amp;IF(COUNTIF(V73:AA73,"~?")&gt;0,"Drill not in library. ",""))="","OK"&amp;IF(AND(COUNTIF(V73:AA73,"*A*")&gt;0,AB73="Yes")," · split by age","")&amp;IF(N(Q73)&gt;N(P73)," ("&amp;(Q73-P73)&amp;" min spare)",""),TRIM(IF(AND(N(Q73)&gt;0,N(P73)&gt;N(Q73)),"Over by "&amp;(P73-Q73)&amp;" min. ","")&amp;IF(AND(COUNTIF(V73:AA73,"*A*")&gt;0,AB73&lt;&gt;"Yes"),"Age check. ","")&amp;IF(COUNTIF(V73:AA73,"*C*")&gt;0,"Contact check. ","")&amp;IF(COUNTIF(V73:AA73,"~?")&gt;0,"Drill not in library. ",""))&amp;IF(AND(COUNTIF(V73:AA73,"*A*")&gt;0,AB73="Yes")," · split by age","")))</f>
        <v/>
      </c>
      <c r="S73" s="11"/>
      <c r="T73" s="13" t="str">
        <f aca="false">IF(A73="","",IFERROR(INDEX(Classes!$E$5:$E$23,MATCH(A73,Classes!$A$5:$A$23,0)),""))</f>
        <v/>
      </c>
      <c r="U73" s="13" t="str">
        <f aca="false">IF(A73="","",IFERROR(INDEX(Classes!$F$5:$F$23,MATCH(A73,Classes!$A$5:$A$23,0)),""))</f>
        <v/>
      </c>
      <c r="V73" s="13" t="str">
        <f aca="false">IF(OR(D73="",$A73=""),"",IF(ISNA(MATCH(D73,Drills!$A$5:$A$127,0)),"?",IF(N(INDEX(Drills!$K$5:$K$127,MATCH(D73,Drills!$A$5:$A$127,0)))&gt;N($T73),"A","")&amp;IF(ISNUMBER(SEARCH(INDEX(Drills!$E$5:$E$127,MATCH(D73,Drills!$A$5:$A$127,0)),$U73)),"","C")))</f>
        <v/>
      </c>
      <c r="W73" s="13" t="str">
        <f aca="false">IF(OR(F73="",$A73=""),"",IF(ISNA(MATCH(F73,Drills!$A$5:$A$127,0)),"?",IF(N(INDEX(Drills!$K$5:$K$127,MATCH(F73,Drills!$A$5:$A$127,0)))&gt;N($T73),"A","")&amp;IF(ISNUMBER(SEARCH(INDEX(Drills!$E$5:$E$127,MATCH(F73,Drills!$A$5:$A$127,0)),$U73)),"","C")))</f>
        <v/>
      </c>
      <c r="X73" s="13" t="str">
        <f aca="false">IF(OR(H73="",$A73=""),"",IF(ISNA(MATCH(H73,Drills!$A$5:$A$127,0)),"?",IF(N(INDEX(Drills!$K$5:$K$127,MATCH(H73,Drills!$A$5:$A$127,0)))&gt;N($T73),"A","")&amp;IF(ISNUMBER(SEARCH(INDEX(Drills!$E$5:$E$127,MATCH(H73,Drills!$A$5:$A$127,0)),$U73)),"","C")))</f>
        <v/>
      </c>
      <c r="Y73" s="13" t="str">
        <f aca="false">IF(OR(J73="",$A73=""),"",IF(ISNA(MATCH(J73,Drills!$A$5:$A$127,0)),"?",IF(N(INDEX(Drills!$K$5:$K$127,MATCH(J73,Drills!$A$5:$A$127,0)))&gt;N($T73),"A","")&amp;IF(ISNUMBER(SEARCH(INDEX(Drills!$E$5:$E$127,MATCH(J73,Drills!$A$5:$A$127,0)),$U73)),"","C")))</f>
        <v/>
      </c>
      <c r="Z73" s="13" t="str">
        <f aca="false">IF(OR(L73="",$A73=""),"",IF(ISNA(MATCH(L73,Drills!$A$5:$A$127,0)),"?",IF(N(INDEX(Drills!$K$5:$K$127,MATCH(L73,Drills!$A$5:$A$127,0)))&gt;N($T73),"A","")&amp;IF(ISNUMBER(SEARCH(INDEX(Drills!$E$5:$E$127,MATCH(L73,Drills!$A$5:$A$127,0)),$U73)),"","C")))</f>
        <v/>
      </c>
      <c r="AA73" s="13" t="str">
        <f aca="false">IF(OR(N73="",$A73=""),"",IF(ISNA(MATCH(N73,Drills!$A$5:$A$127,0)),"?",IF(N(INDEX(Drills!$K$5:$K$127,MATCH(N73,Drills!$A$5:$A$127,0)))&gt;N($T73),"A","")&amp;IF(ISNUMBER(SEARCH(INDEX(Drills!$E$5:$E$127,MATCH(N73,Drills!$A$5:$A$127,0)),$U73)),"","C")))</f>
        <v/>
      </c>
      <c r="AB73" s="13" t="str">
        <f aca="false">IF(A73="","",IFERROR(INDEX(Classes!$I$5:$I$23,MATCH(A73,Classes!$A$5:$A$23,0)),""))</f>
        <v/>
      </c>
    </row>
    <row r="74" customFormat="false" ht="18" hidden="false" customHeight="true" outlineLevel="0" collapsed="false">
      <c r="A74" s="11"/>
      <c r="B74" s="11"/>
      <c r="C74" s="11"/>
      <c r="D74" s="11"/>
      <c r="E74" s="12" t="str">
        <f aca="false">IF(D74="","",IFERROR(INDEX(Drills!$G$5:$G$127,MATCH(D74,Drills!$A$5:$A$127,0)),""))</f>
        <v/>
      </c>
      <c r="F74" s="11"/>
      <c r="G74" s="12" t="str">
        <f aca="false">IF(F74="","",IFERROR(INDEX(Drills!$G$5:$G$127,MATCH(F74,Drills!$A$5:$A$127,0)),""))</f>
        <v/>
      </c>
      <c r="H74" s="11"/>
      <c r="I74" s="12" t="str">
        <f aca="false">IF(H74="","",IFERROR(INDEX(Drills!$G$5:$G$127,MATCH(H74,Drills!$A$5:$A$127,0)),""))</f>
        <v/>
      </c>
      <c r="J74" s="11"/>
      <c r="K74" s="12" t="str">
        <f aca="false">IF(J74="","",IFERROR(INDEX(Drills!$G$5:$G$127,MATCH(J74,Drills!$A$5:$A$127,0)),""))</f>
        <v/>
      </c>
      <c r="L74" s="11"/>
      <c r="M74" s="12" t="str">
        <f aca="false">IF(L74="","",IFERROR(INDEX(Drills!$G$5:$G$127,MATCH(L74,Drills!$A$5:$A$127,0)),""))</f>
        <v/>
      </c>
      <c r="N74" s="11"/>
      <c r="O74" s="12" t="str">
        <f aca="false">IF(N74="","",IFERROR(INDEX(Drills!$G$5:$G$127,MATCH(N74,Drills!$A$5:$A$127,0)),""))</f>
        <v/>
      </c>
      <c r="P74" s="14" t="str">
        <f aca="false">IF(A74="","",SUM(E74,G74,I74,K74,M74,O74))</f>
        <v/>
      </c>
      <c r="Q74" s="14" t="str">
        <f aca="false">IF(A74="","",IFERROR(INDEX(Classes!$C$5:$C$23,MATCH(A74,Classes!$A$5:$A$23,0)),""))</f>
        <v/>
      </c>
      <c r="R74" s="15" t="str">
        <f aca="false">IF(A74="","",IF(TRIM(IF(AND(N(Q74)&gt;0,N(P74)&gt;N(Q74)),"Over by "&amp;(P74-Q74)&amp;" min. ","")&amp;IF(AND(COUNTIF(V74:AA74,"*A*")&gt;0,AB74&lt;&gt;"Yes"),"Age check. ","")&amp;IF(COUNTIF(V74:AA74,"*C*")&gt;0,"Contact check. ","")&amp;IF(COUNTIF(V74:AA74,"~?")&gt;0,"Drill not in library. ",""))="","OK"&amp;IF(AND(COUNTIF(V74:AA74,"*A*")&gt;0,AB74="Yes")," · split by age","")&amp;IF(N(Q74)&gt;N(P74)," ("&amp;(Q74-P74)&amp;" min spare)",""),TRIM(IF(AND(N(Q74)&gt;0,N(P74)&gt;N(Q74)),"Over by "&amp;(P74-Q74)&amp;" min. ","")&amp;IF(AND(COUNTIF(V74:AA74,"*A*")&gt;0,AB74&lt;&gt;"Yes"),"Age check. ","")&amp;IF(COUNTIF(V74:AA74,"*C*")&gt;0,"Contact check. ","")&amp;IF(COUNTIF(V74:AA74,"~?")&gt;0,"Drill not in library. ",""))&amp;IF(AND(COUNTIF(V74:AA74,"*A*")&gt;0,AB74="Yes")," · split by age","")))</f>
        <v/>
      </c>
      <c r="S74" s="11"/>
      <c r="T74" s="13" t="str">
        <f aca="false">IF(A74="","",IFERROR(INDEX(Classes!$E$5:$E$23,MATCH(A74,Classes!$A$5:$A$23,0)),""))</f>
        <v/>
      </c>
      <c r="U74" s="13" t="str">
        <f aca="false">IF(A74="","",IFERROR(INDEX(Classes!$F$5:$F$23,MATCH(A74,Classes!$A$5:$A$23,0)),""))</f>
        <v/>
      </c>
      <c r="V74" s="13" t="str">
        <f aca="false">IF(OR(D74="",$A74=""),"",IF(ISNA(MATCH(D74,Drills!$A$5:$A$127,0)),"?",IF(N(INDEX(Drills!$K$5:$K$127,MATCH(D74,Drills!$A$5:$A$127,0)))&gt;N($T74),"A","")&amp;IF(ISNUMBER(SEARCH(INDEX(Drills!$E$5:$E$127,MATCH(D74,Drills!$A$5:$A$127,0)),$U74)),"","C")))</f>
        <v/>
      </c>
      <c r="W74" s="13" t="str">
        <f aca="false">IF(OR(F74="",$A74=""),"",IF(ISNA(MATCH(F74,Drills!$A$5:$A$127,0)),"?",IF(N(INDEX(Drills!$K$5:$K$127,MATCH(F74,Drills!$A$5:$A$127,0)))&gt;N($T74),"A","")&amp;IF(ISNUMBER(SEARCH(INDEX(Drills!$E$5:$E$127,MATCH(F74,Drills!$A$5:$A$127,0)),$U74)),"","C")))</f>
        <v/>
      </c>
      <c r="X74" s="13" t="str">
        <f aca="false">IF(OR(H74="",$A74=""),"",IF(ISNA(MATCH(H74,Drills!$A$5:$A$127,0)),"?",IF(N(INDEX(Drills!$K$5:$K$127,MATCH(H74,Drills!$A$5:$A$127,0)))&gt;N($T74),"A","")&amp;IF(ISNUMBER(SEARCH(INDEX(Drills!$E$5:$E$127,MATCH(H74,Drills!$A$5:$A$127,0)),$U74)),"","C")))</f>
        <v/>
      </c>
      <c r="Y74" s="13" t="str">
        <f aca="false">IF(OR(J74="",$A74=""),"",IF(ISNA(MATCH(J74,Drills!$A$5:$A$127,0)),"?",IF(N(INDEX(Drills!$K$5:$K$127,MATCH(J74,Drills!$A$5:$A$127,0)))&gt;N($T74),"A","")&amp;IF(ISNUMBER(SEARCH(INDEX(Drills!$E$5:$E$127,MATCH(J74,Drills!$A$5:$A$127,0)),$U74)),"","C")))</f>
        <v/>
      </c>
      <c r="Z74" s="13" t="str">
        <f aca="false">IF(OR(L74="",$A74=""),"",IF(ISNA(MATCH(L74,Drills!$A$5:$A$127,0)),"?",IF(N(INDEX(Drills!$K$5:$K$127,MATCH(L74,Drills!$A$5:$A$127,0)))&gt;N($T74),"A","")&amp;IF(ISNUMBER(SEARCH(INDEX(Drills!$E$5:$E$127,MATCH(L74,Drills!$A$5:$A$127,0)),$U74)),"","C")))</f>
        <v/>
      </c>
      <c r="AA74" s="13" t="str">
        <f aca="false">IF(OR(N74="",$A74=""),"",IF(ISNA(MATCH(N74,Drills!$A$5:$A$127,0)),"?",IF(N(INDEX(Drills!$K$5:$K$127,MATCH(N74,Drills!$A$5:$A$127,0)))&gt;N($T74),"A","")&amp;IF(ISNUMBER(SEARCH(INDEX(Drills!$E$5:$E$127,MATCH(N74,Drills!$A$5:$A$127,0)),$U74)),"","C")))</f>
        <v/>
      </c>
      <c r="AB74" s="13" t="str">
        <f aca="false">IF(A74="","",IFERROR(INDEX(Classes!$I$5:$I$23,MATCH(A74,Classes!$A$5:$A$23,0)),""))</f>
        <v/>
      </c>
    </row>
    <row r="75" customFormat="false" ht="18" hidden="false" customHeight="true" outlineLevel="0" collapsed="false">
      <c r="A75" s="11"/>
      <c r="B75" s="11"/>
      <c r="C75" s="11"/>
      <c r="D75" s="11"/>
      <c r="E75" s="12" t="str">
        <f aca="false">IF(D75="","",IFERROR(INDEX(Drills!$G$5:$G$127,MATCH(D75,Drills!$A$5:$A$127,0)),""))</f>
        <v/>
      </c>
      <c r="F75" s="11"/>
      <c r="G75" s="12" t="str">
        <f aca="false">IF(F75="","",IFERROR(INDEX(Drills!$G$5:$G$127,MATCH(F75,Drills!$A$5:$A$127,0)),""))</f>
        <v/>
      </c>
      <c r="H75" s="11"/>
      <c r="I75" s="12" t="str">
        <f aca="false">IF(H75="","",IFERROR(INDEX(Drills!$G$5:$G$127,MATCH(H75,Drills!$A$5:$A$127,0)),""))</f>
        <v/>
      </c>
      <c r="J75" s="11"/>
      <c r="K75" s="12" t="str">
        <f aca="false">IF(J75="","",IFERROR(INDEX(Drills!$G$5:$G$127,MATCH(J75,Drills!$A$5:$A$127,0)),""))</f>
        <v/>
      </c>
      <c r="L75" s="11"/>
      <c r="M75" s="12" t="str">
        <f aca="false">IF(L75="","",IFERROR(INDEX(Drills!$G$5:$G$127,MATCH(L75,Drills!$A$5:$A$127,0)),""))</f>
        <v/>
      </c>
      <c r="N75" s="11"/>
      <c r="O75" s="12" t="str">
        <f aca="false">IF(N75="","",IFERROR(INDEX(Drills!$G$5:$G$127,MATCH(N75,Drills!$A$5:$A$127,0)),""))</f>
        <v/>
      </c>
      <c r="P75" s="14" t="str">
        <f aca="false">IF(A75="","",SUM(E75,G75,I75,K75,M75,O75))</f>
        <v/>
      </c>
      <c r="Q75" s="14" t="str">
        <f aca="false">IF(A75="","",IFERROR(INDEX(Classes!$C$5:$C$23,MATCH(A75,Classes!$A$5:$A$23,0)),""))</f>
        <v/>
      </c>
      <c r="R75" s="15" t="str">
        <f aca="false">IF(A75="","",IF(TRIM(IF(AND(N(Q75)&gt;0,N(P75)&gt;N(Q75)),"Over by "&amp;(P75-Q75)&amp;" min. ","")&amp;IF(AND(COUNTIF(V75:AA75,"*A*")&gt;0,AB75&lt;&gt;"Yes"),"Age check. ","")&amp;IF(COUNTIF(V75:AA75,"*C*")&gt;0,"Contact check. ","")&amp;IF(COUNTIF(V75:AA75,"~?")&gt;0,"Drill not in library. ",""))="","OK"&amp;IF(AND(COUNTIF(V75:AA75,"*A*")&gt;0,AB75="Yes")," · split by age","")&amp;IF(N(Q75)&gt;N(P75)," ("&amp;(Q75-P75)&amp;" min spare)",""),TRIM(IF(AND(N(Q75)&gt;0,N(P75)&gt;N(Q75)),"Over by "&amp;(P75-Q75)&amp;" min. ","")&amp;IF(AND(COUNTIF(V75:AA75,"*A*")&gt;0,AB75&lt;&gt;"Yes"),"Age check. ","")&amp;IF(COUNTIF(V75:AA75,"*C*")&gt;0,"Contact check. ","")&amp;IF(COUNTIF(V75:AA75,"~?")&gt;0,"Drill not in library. ",""))&amp;IF(AND(COUNTIF(V75:AA75,"*A*")&gt;0,AB75="Yes")," · split by age","")))</f>
        <v/>
      </c>
      <c r="S75" s="11"/>
      <c r="T75" s="13" t="str">
        <f aca="false">IF(A75="","",IFERROR(INDEX(Classes!$E$5:$E$23,MATCH(A75,Classes!$A$5:$A$23,0)),""))</f>
        <v/>
      </c>
      <c r="U75" s="13" t="str">
        <f aca="false">IF(A75="","",IFERROR(INDEX(Classes!$F$5:$F$23,MATCH(A75,Classes!$A$5:$A$23,0)),""))</f>
        <v/>
      </c>
      <c r="V75" s="13" t="str">
        <f aca="false">IF(OR(D75="",$A75=""),"",IF(ISNA(MATCH(D75,Drills!$A$5:$A$127,0)),"?",IF(N(INDEX(Drills!$K$5:$K$127,MATCH(D75,Drills!$A$5:$A$127,0)))&gt;N($T75),"A","")&amp;IF(ISNUMBER(SEARCH(INDEX(Drills!$E$5:$E$127,MATCH(D75,Drills!$A$5:$A$127,0)),$U75)),"","C")))</f>
        <v/>
      </c>
      <c r="W75" s="13" t="str">
        <f aca="false">IF(OR(F75="",$A75=""),"",IF(ISNA(MATCH(F75,Drills!$A$5:$A$127,0)),"?",IF(N(INDEX(Drills!$K$5:$K$127,MATCH(F75,Drills!$A$5:$A$127,0)))&gt;N($T75),"A","")&amp;IF(ISNUMBER(SEARCH(INDEX(Drills!$E$5:$E$127,MATCH(F75,Drills!$A$5:$A$127,0)),$U75)),"","C")))</f>
        <v/>
      </c>
      <c r="X75" s="13" t="str">
        <f aca="false">IF(OR(H75="",$A75=""),"",IF(ISNA(MATCH(H75,Drills!$A$5:$A$127,0)),"?",IF(N(INDEX(Drills!$K$5:$K$127,MATCH(H75,Drills!$A$5:$A$127,0)))&gt;N($T75),"A","")&amp;IF(ISNUMBER(SEARCH(INDEX(Drills!$E$5:$E$127,MATCH(H75,Drills!$A$5:$A$127,0)),$U75)),"","C")))</f>
        <v/>
      </c>
      <c r="Y75" s="13" t="str">
        <f aca="false">IF(OR(J75="",$A75=""),"",IF(ISNA(MATCH(J75,Drills!$A$5:$A$127,0)),"?",IF(N(INDEX(Drills!$K$5:$K$127,MATCH(J75,Drills!$A$5:$A$127,0)))&gt;N($T75),"A","")&amp;IF(ISNUMBER(SEARCH(INDEX(Drills!$E$5:$E$127,MATCH(J75,Drills!$A$5:$A$127,0)),$U75)),"","C")))</f>
        <v/>
      </c>
      <c r="Z75" s="13" t="str">
        <f aca="false">IF(OR(L75="",$A75=""),"",IF(ISNA(MATCH(L75,Drills!$A$5:$A$127,0)),"?",IF(N(INDEX(Drills!$K$5:$K$127,MATCH(L75,Drills!$A$5:$A$127,0)))&gt;N($T75),"A","")&amp;IF(ISNUMBER(SEARCH(INDEX(Drills!$E$5:$E$127,MATCH(L75,Drills!$A$5:$A$127,0)),$U75)),"","C")))</f>
        <v/>
      </c>
      <c r="AA75" s="13" t="str">
        <f aca="false">IF(OR(N75="",$A75=""),"",IF(ISNA(MATCH(N75,Drills!$A$5:$A$127,0)),"?",IF(N(INDEX(Drills!$K$5:$K$127,MATCH(N75,Drills!$A$5:$A$127,0)))&gt;N($T75),"A","")&amp;IF(ISNUMBER(SEARCH(INDEX(Drills!$E$5:$E$127,MATCH(N75,Drills!$A$5:$A$127,0)),$U75)),"","C")))</f>
        <v/>
      </c>
      <c r="AB75" s="13" t="str">
        <f aca="false">IF(A75="","",IFERROR(INDEX(Classes!$I$5:$I$23,MATCH(A75,Classes!$A$5:$A$23,0)),""))</f>
        <v/>
      </c>
    </row>
    <row r="76" customFormat="false" ht="18" hidden="false" customHeight="true" outlineLevel="0" collapsed="false">
      <c r="A76" s="11"/>
      <c r="B76" s="11"/>
      <c r="C76" s="11"/>
      <c r="D76" s="11"/>
      <c r="E76" s="12" t="str">
        <f aca="false">IF(D76="","",IFERROR(INDEX(Drills!$G$5:$G$127,MATCH(D76,Drills!$A$5:$A$127,0)),""))</f>
        <v/>
      </c>
      <c r="F76" s="11"/>
      <c r="G76" s="12" t="str">
        <f aca="false">IF(F76="","",IFERROR(INDEX(Drills!$G$5:$G$127,MATCH(F76,Drills!$A$5:$A$127,0)),""))</f>
        <v/>
      </c>
      <c r="H76" s="11"/>
      <c r="I76" s="12" t="str">
        <f aca="false">IF(H76="","",IFERROR(INDEX(Drills!$G$5:$G$127,MATCH(H76,Drills!$A$5:$A$127,0)),""))</f>
        <v/>
      </c>
      <c r="J76" s="11"/>
      <c r="K76" s="12" t="str">
        <f aca="false">IF(J76="","",IFERROR(INDEX(Drills!$G$5:$G$127,MATCH(J76,Drills!$A$5:$A$127,0)),""))</f>
        <v/>
      </c>
      <c r="L76" s="11"/>
      <c r="M76" s="12" t="str">
        <f aca="false">IF(L76="","",IFERROR(INDEX(Drills!$G$5:$G$127,MATCH(L76,Drills!$A$5:$A$127,0)),""))</f>
        <v/>
      </c>
      <c r="N76" s="11"/>
      <c r="O76" s="12" t="str">
        <f aca="false">IF(N76="","",IFERROR(INDEX(Drills!$G$5:$G$127,MATCH(N76,Drills!$A$5:$A$127,0)),""))</f>
        <v/>
      </c>
      <c r="P76" s="14" t="str">
        <f aca="false">IF(A76="","",SUM(E76,G76,I76,K76,M76,O76))</f>
        <v/>
      </c>
      <c r="Q76" s="14" t="str">
        <f aca="false">IF(A76="","",IFERROR(INDEX(Classes!$C$5:$C$23,MATCH(A76,Classes!$A$5:$A$23,0)),""))</f>
        <v/>
      </c>
      <c r="R76" s="15" t="str">
        <f aca="false">IF(A76="","",IF(TRIM(IF(AND(N(Q76)&gt;0,N(P76)&gt;N(Q76)),"Over by "&amp;(P76-Q76)&amp;" min. ","")&amp;IF(AND(COUNTIF(V76:AA76,"*A*")&gt;0,AB76&lt;&gt;"Yes"),"Age check. ","")&amp;IF(COUNTIF(V76:AA76,"*C*")&gt;0,"Contact check. ","")&amp;IF(COUNTIF(V76:AA76,"~?")&gt;0,"Drill not in library. ",""))="","OK"&amp;IF(AND(COUNTIF(V76:AA76,"*A*")&gt;0,AB76="Yes")," · split by age","")&amp;IF(N(Q76)&gt;N(P76)," ("&amp;(Q76-P76)&amp;" min spare)",""),TRIM(IF(AND(N(Q76)&gt;0,N(P76)&gt;N(Q76)),"Over by "&amp;(P76-Q76)&amp;" min. ","")&amp;IF(AND(COUNTIF(V76:AA76,"*A*")&gt;0,AB76&lt;&gt;"Yes"),"Age check. ","")&amp;IF(COUNTIF(V76:AA76,"*C*")&gt;0,"Contact check. ","")&amp;IF(COUNTIF(V76:AA76,"~?")&gt;0,"Drill not in library. ",""))&amp;IF(AND(COUNTIF(V76:AA76,"*A*")&gt;0,AB76="Yes")," · split by age","")))</f>
        <v/>
      </c>
      <c r="S76" s="11"/>
      <c r="T76" s="13" t="str">
        <f aca="false">IF(A76="","",IFERROR(INDEX(Classes!$E$5:$E$23,MATCH(A76,Classes!$A$5:$A$23,0)),""))</f>
        <v/>
      </c>
      <c r="U76" s="13" t="str">
        <f aca="false">IF(A76="","",IFERROR(INDEX(Classes!$F$5:$F$23,MATCH(A76,Classes!$A$5:$A$23,0)),""))</f>
        <v/>
      </c>
      <c r="V76" s="13" t="str">
        <f aca="false">IF(OR(D76="",$A76=""),"",IF(ISNA(MATCH(D76,Drills!$A$5:$A$127,0)),"?",IF(N(INDEX(Drills!$K$5:$K$127,MATCH(D76,Drills!$A$5:$A$127,0)))&gt;N($T76),"A","")&amp;IF(ISNUMBER(SEARCH(INDEX(Drills!$E$5:$E$127,MATCH(D76,Drills!$A$5:$A$127,0)),$U76)),"","C")))</f>
        <v/>
      </c>
      <c r="W76" s="13" t="str">
        <f aca="false">IF(OR(F76="",$A76=""),"",IF(ISNA(MATCH(F76,Drills!$A$5:$A$127,0)),"?",IF(N(INDEX(Drills!$K$5:$K$127,MATCH(F76,Drills!$A$5:$A$127,0)))&gt;N($T76),"A","")&amp;IF(ISNUMBER(SEARCH(INDEX(Drills!$E$5:$E$127,MATCH(F76,Drills!$A$5:$A$127,0)),$U76)),"","C")))</f>
        <v/>
      </c>
      <c r="X76" s="13" t="str">
        <f aca="false">IF(OR(H76="",$A76=""),"",IF(ISNA(MATCH(H76,Drills!$A$5:$A$127,0)),"?",IF(N(INDEX(Drills!$K$5:$K$127,MATCH(H76,Drills!$A$5:$A$127,0)))&gt;N($T76),"A","")&amp;IF(ISNUMBER(SEARCH(INDEX(Drills!$E$5:$E$127,MATCH(H76,Drills!$A$5:$A$127,0)),$U76)),"","C")))</f>
        <v/>
      </c>
      <c r="Y76" s="13" t="str">
        <f aca="false">IF(OR(J76="",$A76=""),"",IF(ISNA(MATCH(J76,Drills!$A$5:$A$127,0)),"?",IF(N(INDEX(Drills!$K$5:$K$127,MATCH(J76,Drills!$A$5:$A$127,0)))&gt;N($T76),"A","")&amp;IF(ISNUMBER(SEARCH(INDEX(Drills!$E$5:$E$127,MATCH(J76,Drills!$A$5:$A$127,0)),$U76)),"","C")))</f>
        <v/>
      </c>
      <c r="Z76" s="13" t="str">
        <f aca="false">IF(OR(L76="",$A76=""),"",IF(ISNA(MATCH(L76,Drills!$A$5:$A$127,0)),"?",IF(N(INDEX(Drills!$K$5:$K$127,MATCH(L76,Drills!$A$5:$A$127,0)))&gt;N($T76),"A","")&amp;IF(ISNUMBER(SEARCH(INDEX(Drills!$E$5:$E$127,MATCH(L76,Drills!$A$5:$A$127,0)),$U76)),"","C")))</f>
        <v/>
      </c>
      <c r="AA76" s="13" t="str">
        <f aca="false">IF(OR(N76="",$A76=""),"",IF(ISNA(MATCH(N76,Drills!$A$5:$A$127,0)),"?",IF(N(INDEX(Drills!$K$5:$K$127,MATCH(N76,Drills!$A$5:$A$127,0)))&gt;N($T76),"A","")&amp;IF(ISNUMBER(SEARCH(INDEX(Drills!$E$5:$E$127,MATCH(N76,Drills!$A$5:$A$127,0)),$U76)),"","C")))</f>
        <v/>
      </c>
      <c r="AB76" s="13" t="str">
        <f aca="false">IF(A76="","",IFERROR(INDEX(Classes!$I$5:$I$23,MATCH(A76,Classes!$A$5:$A$23,0)),""))</f>
        <v/>
      </c>
    </row>
    <row r="77" customFormat="false" ht="18" hidden="false" customHeight="true" outlineLevel="0" collapsed="false">
      <c r="A77" s="11"/>
      <c r="B77" s="11"/>
      <c r="C77" s="11"/>
      <c r="D77" s="11"/>
      <c r="E77" s="12" t="str">
        <f aca="false">IF(D77="","",IFERROR(INDEX(Drills!$G$5:$G$127,MATCH(D77,Drills!$A$5:$A$127,0)),""))</f>
        <v/>
      </c>
      <c r="F77" s="11"/>
      <c r="G77" s="12" t="str">
        <f aca="false">IF(F77="","",IFERROR(INDEX(Drills!$G$5:$G$127,MATCH(F77,Drills!$A$5:$A$127,0)),""))</f>
        <v/>
      </c>
      <c r="H77" s="11"/>
      <c r="I77" s="12" t="str">
        <f aca="false">IF(H77="","",IFERROR(INDEX(Drills!$G$5:$G$127,MATCH(H77,Drills!$A$5:$A$127,0)),""))</f>
        <v/>
      </c>
      <c r="J77" s="11"/>
      <c r="K77" s="12" t="str">
        <f aca="false">IF(J77="","",IFERROR(INDEX(Drills!$G$5:$G$127,MATCH(J77,Drills!$A$5:$A$127,0)),""))</f>
        <v/>
      </c>
      <c r="L77" s="11"/>
      <c r="M77" s="12" t="str">
        <f aca="false">IF(L77="","",IFERROR(INDEX(Drills!$G$5:$G$127,MATCH(L77,Drills!$A$5:$A$127,0)),""))</f>
        <v/>
      </c>
      <c r="N77" s="11"/>
      <c r="O77" s="12" t="str">
        <f aca="false">IF(N77="","",IFERROR(INDEX(Drills!$G$5:$G$127,MATCH(N77,Drills!$A$5:$A$127,0)),""))</f>
        <v/>
      </c>
      <c r="P77" s="14" t="str">
        <f aca="false">IF(A77="","",SUM(E77,G77,I77,K77,M77,O77))</f>
        <v/>
      </c>
      <c r="Q77" s="14" t="str">
        <f aca="false">IF(A77="","",IFERROR(INDEX(Classes!$C$5:$C$23,MATCH(A77,Classes!$A$5:$A$23,0)),""))</f>
        <v/>
      </c>
      <c r="R77" s="15" t="str">
        <f aca="false">IF(A77="","",IF(TRIM(IF(AND(N(Q77)&gt;0,N(P77)&gt;N(Q77)),"Over by "&amp;(P77-Q77)&amp;" min. ","")&amp;IF(AND(COUNTIF(V77:AA77,"*A*")&gt;0,AB77&lt;&gt;"Yes"),"Age check. ","")&amp;IF(COUNTIF(V77:AA77,"*C*")&gt;0,"Contact check. ","")&amp;IF(COUNTIF(V77:AA77,"~?")&gt;0,"Drill not in library. ",""))="","OK"&amp;IF(AND(COUNTIF(V77:AA77,"*A*")&gt;0,AB77="Yes")," · split by age","")&amp;IF(N(Q77)&gt;N(P77)," ("&amp;(Q77-P77)&amp;" min spare)",""),TRIM(IF(AND(N(Q77)&gt;0,N(P77)&gt;N(Q77)),"Over by "&amp;(P77-Q77)&amp;" min. ","")&amp;IF(AND(COUNTIF(V77:AA77,"*A*")&gt;0,AB77&lt;&gt;"Yes"),"Age check. ","")&amp;IF(COUNTIF(V77:AA77,"*C*")&gt;0,"Contact check. ","")&amp;IF(COUNTIF(V77:AA77,"~?")&gt;0,"Drill not in library. ",""))&amp;IF(AND(COUNTIF(V77:AA77,"*A*")&gt;0,AB77="Yes")," · split by age","")))</f>
        <v/>
      </c>
      <c r="S77" s="11"/>
      <c r="T77" s="13" t="str">
        <f aca="false">IF(A77="","",IFERROR(INDEX(Classes!$E$5:$E$23,MATCH(A77,Classes!$A$5:$A$23,0)),""))</f>
        <v/>
      </c>
      <c r="U77" s="13" t="str">
        <f aca="false">IF(A77="","",IFERROR(INDEX(Classes!$F$5:$F$23,MATCH(A77,Classes!$A$5:$A$23,0)),""))</f>
        <v/>
      </c>
      <c r="V77" s="13" t="str">
        <f aca="false">IF(OR(D77="",$A77=""),"",IF(ISNA(MATCH(D77,Drills!$A$5:$A$127,0)),"?",IF(N(INDEX(Drills!$K$5:$K$127,MATCH(D77,Drills!$A$5:$A$127,0)))&gt;N($T77),"A","")&amp;IF(ISNUMBER(SEARCH(INDEX(Drills!$E$5:$E$127,MATCH(D77,Drills!$A$5:$A$127,0)),$U77)),"","C")))</f>
        <v/>
      </c>
      <c r="W77" s="13" t="str">
        <f aca="false">IF(OR(F77="",$A77=""),"",IF(ISNA(MATCH(F77,Drills!$A$5:$A$127,0)),"?",IF(N(INDEX(Drills!$K$5:$K$127,MATCH(F77,Drills!$A$5:$A$127,0)))&gt;N($T77),"A","")&amp;IF(ISNUMBER(SEARCH(INDEX(Drills!$E$5:$E$127,MATCH(F77,Drills!$A$5:$A$127,0)),$U77)),"","C")))</f>
        <v/>
      </c>
      <c r="X77" s="13" t="str">
        <f aca="false">IF(OR(H77="",$A77=""),"",IF(ISNA(MATCH(H77,Drills!$A$5:$A$127,0)),"?",IF(N(INDEX(Drills!$K$5:$K$127,MATCH(H77,Drills!$A$5:$A$127,0)))&gt;N($T77),"A","")&amp;IF(ISNUMBER(SEARCH(INDEX(Drills!$E$5:$E$127,MATCH(H77,Drills!$A$5:$A$127,0)),$U77)),"","C")))</f>
        <v/>
      </c>
      <c r="Y77" s="13" t="str">
        <f aca="false">IF(OR(J77="",$A77=""),"",IF(ISNA(MATCH(J77,Drills!$A$5:$A$127,0)),"?",IF(N(INDEX(Drills!$K$5:$K$127,MATCH(J77,Drills!$A$5:$A$127,0)))&gt;N($T77),"A","")&amp;IF(ISNUMBER(SEARCH(INDEX(Drills!$E$5:$E$127,MATCH(J77,Drills!$A$5:$A$127,0)),$U77)),"","C")))</f>
        <v/>
      </c>
      <c r="Z77" s="13" t="str">
        <f aca="false">IF(OR(L77="",$A77=""),"",IF(ISNA(MATCH(L77,Drills!$A$5:$A$127,0)),"?",IF(N(INDEX(Drills!$K$5:$K$127,MATCH(L77,Drills!$A$5:$A$127,0)))&gt;N($T77),"A","")&amp;IF(ISNUMBER(SEARCH(INDEX(Drills!$E$5:$E$127,MATCH(L77,Drills!$A$5:$A$127,0)),$U77)),"","C")))</f>
        <v/>
      </c>
      <c r="AA77" s="13" t="str">
        <f aca="false">IF(OR(N77="",$A77=""),"",IF(ISNA(MATCH(N77,Drills!$A$5:$A$127,0)),"?",IF(N(INDEX(Drills!$K$5:$K$127,MATCH(N77,Drills!$A$5:$A$127,0)))&gt;N($T77),"A","")&amp;IF(ISNUMBER(SEARCH(INDEX(Drills!$E$5:$E$127,MATCH(N77,Drills!$A$5:$A$127,0)),$U77)),"","C")))</f>
        <v/>
      </c>
      <c r="AB77" s="13" t="str">
        <f aca="false">IF(A77="","",IFERROR(INDEX(Classes!$I$5:$I$23,MATCH(A77,Classes!$A$5:$A$23,0)),""))</f>
        <v/>
      </c>
    </row>
    <row r="78" customFormat="false" ht="18" hidden="false" customHeight="true" outlineLevel="0" collapsed="false">
      <c r="A78" s="11"/>
      <c r="B78" s="11"/>
      <c r="C78" s="11"/>
      <c r="D78" s="11"/>
      <c r="E78" s="12" t="str">
        <f aca="false">IF(D78="","",IFERROR(INDEX(Drills!$G$5:$G$127,MATCH(D78,Drills!$A$5:$A$127,0)),""))</f>
        <v/>
      </c>
      <c r="F78" s="11"/>
      <c r="G78" s="12" t="str">
        <f aca="false">IF(F78="","",IFERROR(INDEX(Drills!$G$5:$G$127,MATCH(F78,Drills!$A$5:$A$127,0)),""))</f>
        <v/>
      </c>
      <c r="H78" s="11"/>
      <c r="I78" s="12" t="str">
        <f aca="false">IF(H78="","",IFERROR(INDEX(Drills!$G$5:$G$127,MATCH(H78,Drills!$A$5:$A$127,0)),""))</f>
        <v/>
      </c>
      <c r="J78" s="11"/>
      <c r="K78" s="12" t="str">
        <f aca="false">IF(J78="","",IFERROR(INDEX(Drills!$G$5:$G$127,MATCH(J78,Drills!$A$5:$A$127,0)),""))</f>
        <v/>
      </c>
      <c r="L78" s="11"/>
      <c r="M78" s="12" t="str">
        <f aca="false">IF(L78="","",IFERROR(INDEX(Drills!$G$5:$G$127,MATCH(L78,Drills!$A$5:$A$127,0)),""))</f>
        <v/>
      </c>
      <c r="N78" s="11"/>
      <c r="O78" s="12" t="str">
        <f aca="false">IF(N78="","",IFERROR(INDEX(Drills!$G$5:$G$127,MATCH(N78,Drills!$A$5:$A$127,0)),""))</f>
        <v/>
      </c>
      <c r="P78" s="14" t="str">
        <f aca="false">IF(A78="","",SUM(E78,G78,I78,K78,M78,O78))</f>
        <v/>
      </c>
      <c r="Q78" s="14" t="str">
        <f aca="false">IF(A78="","",IFERROR(INDEX(Classes!$C$5:$C$23,MATCH(A78,Classes!$A$5:$A$23,0)),""))</f>
        <v/>
      </c>
      <c r="R78" s="15" t="str">
        <f aca="false">IF(A78="","",IF(TRIM(IF(AND(N(Q78)&gt;0,N(P78)&gt;N(Q78)),"Over by "&amp;(P78-Q78)&amp;" min. ","")&amp;IF(AND(COUNTIF(V78:AA78,"*A*")&gt;0,AB78&lt;&gt;"Yes"),"Age check. ","")&amp;IF(COUNTIF(V78:AA78,"*C*")&gt;0,"Contact check. ","")&amp;IF(COUNTIF(V78:AA78,"~?")&gt;0,"Drill not in library. ",""))="","OK"&amp;IF(AND(COUNTIF(V78:AA78,"*A*")&gt;0,AB78="Yes")," · split by age","")&amp;IF(N(Q78)&gt;N(P78)," ("&amp;(Q78-P78)&amp;" min spare)",""),TRIM(IF(AND(N(Q78)&gt;0,N(P78)&gt;N(Q78)),"Over by "&amp;(P78-Q78)&amp;" min. ","")&amp;IF(AND(COUNTIF(V78:AA78,"*A*")&gt;0,AB78&lt;&gt;"Yes"),"Age check. ","")&amp;IF(COUNTIF(V78:AA78,"*C*")&gt;0,"Contact check. ","")&amp;IF(COUNTIF(V78:AA78,"~?")&gt;0,"Drill not in library. ",""))&amp;IF(AND(COUNTIF(V78:AA78,"*A*")&gt;0,AB78="Yes")," · split by age","")))</f>
        <v/>
      </c>
      <c r="S78" s="11"/>
      <c r="T78" s="13" t="str">
        <f aca="false">IF(A78="","",IFERROR(INDEX(Classes!$E$5:$E$23,MATCH(A78,Classes!$A$5:$A$23,0)),""))</f>
        <v/>
      </c>
      <c r="U78" s="13" t="str">
        <f aca="false">IF(A78="","",IFERROR(INDEX(Classes!$F$5:$F$23,MATCH(A78,Classes!$A$5:$A$23,0)),""))</f>
        <v/>
      </c>
      <c r="V78" s="13" t="str">
        <f aca="false">IF(OR(D78="",$A78=""),"",IF(ISNA(MATCH(D78,Drills!$A$5:$A$127,0)),"?",IF(N(INDEX(Drills!$K$5:$K$127,MATCH(D78,Drills!$A$5:$A$127,0)))&gt;N($T78),"A","")&amp;IF(ISNUMBER(SEARCH(INDEX(Drills!$E$5:$E$127,MATCH(D78,Drills!$A$5:$A$127,0)),$U78)),"","C")))</f>
        <v/>
      </c>
      <c r="W78" s="13" t="str">
        <f aca="false">IF(OR(F78="",$A78=""),"",IF(ISNA(MATCH(F78,Drills!$A$5:$A$127,0)),"?",IF(N(INDEX(Drills!$K$5:$K$127,MATCH(F78,Drills!$A$5:$A$127,0)))&gt;N($T78),"A","")&amp;IF(ISNUMBER(SEARCH(INDEX(Drills!$E$5:$E$127,MATCH(F78,Drills!$A$5:$A$127,0)),$U78)),"","C")))</f>
        <v/>
      </c>
      <c r="X78" s="13" t="str">
        <f aca="false">IF(OR(H78="",$A78=""),"",IF(ISNA(MATCH(H78,Drills!$A$5:$A$127,0)),"?",IF(N(INDEX(Drills!$K$5:$K$127,MATCH(H78,Drills!$A$5:$A$127,0)))&gt;N($T78),"A","")&amp;IF(ISNUMBER(SEARCH(INDEX(Drills!$E$5:$E$127,MATCH(H78,Drills!$A$5:$A$127,0)),$U78)),"","C")))</f>
        <v/>
      </c>
      <c r="Y78" s="13" t="str">
        <f aca="false">IF(OR(J78="",$A78=""),"",IF(ISNA(MATCH(J78,Drills!$A$5:$A$127,0)),"?",IF(N(INDEX(Drills!$K$5:$K$127,MATCH(J78,Drills!$A$5:$A$127,0)))&gt;N($T78),"A","")&amp;IF(ISNUMBER(SEARCH(INDEX(Drills!$E$5:$E$127,MATCH(J78,Drills!$A$5:$A$127,0)),$U78)),"","C")))</f>
        <v/>
      </c>
      <c r="Z78" s="13" t="str">
        <f aca="false">IF(OR(L78="",$A78=""),"",IF(ISNA(MATCH(L78,Drills!$A$5:$A$127,0)),"?",IF(N(INDEX(Drills!$K$5:$K$127,MATCH(L78,Drills!$A$5:$A$127,0)))&gt;N($T78),"A","")&amp;IF(ISNUMBER(SEARCH(INDEX(Drills!$E$5:$E$127,MATCH(L78,Drills!$A$5:$A$127,0)),$U78)),"","C")))</f>
        <v/>
      </c>
      <c r="AA78" s="13" t="str">
        <f aca="false">IF(OR(N78="",$A78=""),"",IF(ISNA(MATCH(N78,Drills!$A$5:$A$127,0)),"?",IF(N(INDEX(Drills!$K$5:$K$127,MATCH(N78,Drills!$A$5:$A$127,0)))&gt;N($T78),"A","")&amp;IF(ISNUMBER(SEARCH(INDEX(Drills!$E$5:$E$127,MATCH(N78,Drills!$A$5:$A$127,0)),$U78)),"","C")))</f>
        <v/>
      </c>
      <c r="AB78" s="13" t="str">
        <f aca="false">IF(A78="","",IFERROR(INDEX(Classes!$I$5:$I$23,MATCH(A78,Classes!$A$5:$A$23,0)),""))</f>
        <v/>
      </c>
    </row>
    <row r="79" customFormat="false" ht="18" hidden="false" customHeight="true" outlineLevel="0" collapsed="false">
      <c r="A79" s="11"/>
      <c r="B79" s="11"/>
      <c r="C79" s="11"/>
      <c r="D79" s="11"/>
      <c r="E79" s="12" t="str">
        <f aca="false">IF(D79="","",IFERROR(INDEX(Drills!$G$5:$G$127,MATCH(D79,Drills!$A$5:$A$127,0)),""))</f>
        <v/>
      </c>
      <c r="F79" s="11"/>
      <c r="G79" s="12" t="str">
        <f aca="false">IF(F79="","",IFERROR(INDEX(Drills!$G$5:$G$127,MATCH(F79,Drills!$A$5:$A$127,0)),""))</f>
        <v/>
      </c>
      <c r="H79" s="11"/>
      <c r="I79" s="12" t="str">
        <f aca="false">IF(H79="","",IFERROR(INDEX(Drills!$G$5:$G$127,MATCH(H79,Drills!$A$5:$A$127,0)),""))</f>
        <v/>
      </c>
      <c r="J79" s="11"/>
      <c r="K79" s="12" t="str">
        <f aca="false">IF(J79="","",IFERROR(INDEX(Drills!$G$5:$G$127,MATCH(J79,Drills!$A$5:$A$127,0)),""))</f>
        <v/>
      </c>
      <c r="L79" s="11"/>
      <c r="M79" s="12" t="str">
        <f aca="false">IF(L79="","",IFERROR(INDEX(Drills!$G$5:$G$127,MATCH(L79,Drills!$A$5:$A$127,0)),""))</f>
        <v/>
      </c>
      <c r="N79" s="11"/>
      <c r="O79" s="12" t="str">
        <f aca="false">IF(N79="","",IFERROR(INDEX(Drills!$G$5:$G$127,MATCH(N79,Drills!$A$5:$A$127,0)),""))</f>
        <v/>
      </c>
      <c r="P79" s="14" t="str">
        <f aca="false">IF(A79="","",SUM(E79,G79,I79,K79,M79,O79))</f>
        <v/>
      </c>
      <c r="Q79" s="14" t="str">
        <f aca="false">IF(A79="","",IFERROR(INDEX(Classes!$C$5:$C$23,MATCH(A79,Classes!$A$5:$A$23,0)),""))</f>
        <v/>
      </c>
      <c r="R79" s="15" t="str">
        <f aca="false">IF(A79="","",IF(TRIM(IF(AND(N(Q79)&gt;0,N(P79)&gt;N(Q79)),"Over by "&amp;(P79-Q79)&amp;" min. ","")&amp;IF(AND(COUNTIF(V79:AA79,"*A*")&gt;0,AB79&lt;&gt;"Yes"),"Age check. ","")&amp;IF(COUNTIF(V79:AA79,"*C*")&gt;0,"Contact check. ","")&amp;IF(COUNTIF(V79:AA79,"~?")&gt;0,"Drill not in library. ",""))="","OK"&amp;IF(AND(COUNTIF(V79:AA79,"*A*")&gt;0,AB79="Yes")," · split by age","")&amp;IF(N(Q79)&gt;N(P79)," ("&amp;(Q79-P79)&amp;" min spare)",""),TRIM(IF(AND(N(Q79)&gt;0,N(P79)&gt;N(Q79)),"Over by "&amp;(P79-Q79)&amp;" min. ","")&amp;IF(AND(COUNTIF(V79:AA79,"*A*")&gt;0,AB79&lt;&gt;"Yes"),"Age check. ","")&amp;IF(COUNTIF(V79:AA79,"*C*")&gt;0,"Contact check. ","")&amp;IF(COUNTIF(V79:AA79,"~?")&gt;0,"Drill not in library. ",""))&amp;IF(AND(COUNTIF(V79:AA79,"*A*")&gt;0,AB79="Yes")," · split by age","")))</f>
        <v/>
      </c>
      <c r="S79" s="11"/>
      <c r="T79" s="13" t="str">
        <f aca="false">IF(A79="","",IFERROR(INDEX(Classes!$E$5:$E$23,MATCH(A79,Classes!$A$5:$A$23,0)),""))</f>
        <v/>
      </c>
      <c r="U79" s="13" t="str">
        <f aca="false">IF(A79="","",IFERROR(INDEX(Classes!$F$5:$F$23,MATCH(A79,Classes!$A$5:$A$23,0)),""))</f>
        <v/>
      </c>
      <c r="V79" s="13" t="str">
        <f aca="false">IF(OR(D79="",$A79=""),"",IF(ISNA(MATCH(D79,Drills!$A$5:$A$127,0)),"?",IF(N(INDEX(Drills!$K$5:$K$127,MATCH(D79,Drills!$A$5:$A$127,0)))&gt;N($T79),"A","")&amp;IF(ISNUMBER(SEARCH(INDEX(Drills!$E$5:$E$127,MATCH(D79,Drills!$A$5:$A$127,0)),$U79)),"","C")))</f>
        <v/>
      </c>
      <c r="W79" s="13" t="str">
        <f aca="false">IF(OR(F79="",$A79=""),"",IF(ISNA(MATCH(F79,Drills!$A$5:$A$127,0)),"?",IF(N(INDEX(Drills!$K$5:$K$127,MATCH(F79,Drills!$A$5:$A$127,0)))&gt;N($T79),"A","")&amp;IF(ISNUMBER(SEARCH(INDEX(Drills!$E$5:$E$127,MATCH(F79,Drills!$A$5:$A$127,0)),$U79)),"","C")))</f>
        <v/>
      </c>
      <c r="X79" s="13" t="str">
        <f aca="false">IF(OR(H79="",$A79=""),"",IF(ISNA(MATCH(H79,Drills!$A$5:$A$127,0)),"?",IF(N(INDEX(Drills!$K$5:$K$127,MATCH(H79,Drills!$A$5:$A$127,0)))&gt;N($T79),"A","")&amp;IF(ISNUMBER(SEARCH(INDEX(Drills!$E$5:$E$127,MATCH(H79,Drills!$A$5:$A$127,0)),$U79)),"","C")))</f>
        <v/>
      </c>
      <c r="Y79" s="13" t="str">
        <f aca="false">IF(OR(J79="",$A79=""),"",IF(ISNA(MATCH(J79,Drills!$A$5:$A$127,0)),"?",IF(N(INDEX(Drills!$K$5:$K$127,MATCH(J79,Drills!$A$5:$A$127,0)))&gt;N($T79),"A","")&amp;IF(ISNUMBER(SEARCH(INDEX(Drills!$E$5:$E$127,MATCH(J79,Drills!$A$5:$A$127,0)),$U79)),"","C")))</f>
        <v/>
      </c>
      <c r="Z79" s="13" t="str">
        <f aca="false">IF(OR(L79="",$A79=""),"",IF(ISNA(MATCH(L79,Drills!$A$5:$A$127,0)),"?",IF(N(INDEX(Drills!$K$5:$K$127,MATCH(L79,Drills!$A$5:$A$127,0)))&gt;N($T79),"A","")&amp;IF(ISNUMBER(SEARCH(INDEX(Drills!$E$5:$E$127,MATCH(L79,Drills!$A$5:$A$127,0)),$U79)),"","C")))</f>
        <v/>
      </c>
      <c r="AA79" s="13" t="str">
        <f aca="false">IF(OR(N79="",$A79=""),"",IF(ISNA(MATCH(N79,Drills!$A$5:$A$127,0)),"?",IF(N(INDEX(Drills!$K$5:$K$127,MATCH(N79,Drills!$A$5:$A$127,0)))&gt;N($T79),"A","")&amp;IF(ISNUMBER(SEARCH(INDEX(Drills!$E$5:$E$127,MATCH(N79,Drills!$A$5:$A$127,0)),$U79)),"","C")))</f>
        <v/>
      </c>
      <c r="AB79" s="13" t="str">
        <f aca="false">IF(A79="","",IFERROR(INDEX(Classes!$I$5:$I$23,MATCH(A79,Classes!$A$5:$A$23,0)),""))</f>
        <v/>
      </c>
    </row>
    <row r="80" customFormat="false" ht="18" hidden="false" customHeight="true" outlineLevel="0" collapsed="false">
      <c r="A80" s="11"/>
      <c r="B80" s="11"/>
      <c r="C80" s="11"/>
      <c r="D80" s="11"/>
      <c r="E80" s="12" t="str">
        <f aca="false">IF(D80="","",IFERROR(INDEX(Drills!$G$5:$G$127,MATCH(D80,Drills!$A$5:$A$127,0)),""))</f>
        <v/>
      </c>
      <c r="F80" s="11"/>
      <c r="G80" s="12" t="str">
        <f aca="false">IF(F80="","",IFERROR(INDEX(Drills!$G$5:$G$127,MATCH(F80,Drills!$A$5:$A$127,0)),""))</f>
        <v/>
      </c>
      <c r="H80" s="11"/>
      <c r="I80" s="12" t="str">
        <f aca="false">IF(H80="","",IFERROR(INDEX(Drills!$G$5:$G$127,MATCH(H80,Drills!$A$5:$A$127,0)),""))</f>
        <v/>
      </c>
      <c r="J80" s="11"/>
      <c r="K80" s="12" t="str">
        <f aca="false">IF(J80="","",IFERROR(INDEX(Drills!$G$5:$G$127,MATCH(J80,Drills!$A$5:$A$127,0)),""))</f>
        <v/>
      </c>
      <c r="L80" s="11"/>
      <c r="M80" s="12" t="str">
        <f aca="false">IF(L80="","",IFERROR(INDEX(Drills!$G$5:$G$127,MATCH(L80,Drills!$A$5:$A$127,0)),""))</f>
        <v/>
      </c>
      <c r="N80" s="11"/>
      <c r="O80" s="12" t="str">
        <f aca="false">IF(N80="","",IFERROR(INDEX(Drills!$G$5:$G$127,MATCH(N80,Drills!$A$5:$A$127,0)),""))</f>
        <v/>
      </c>
      <c r="P80" s="14" t="str">
        <f aca="false">IF(A80="","",SUM(E80,G80,I80,K80,M80,O80))</f>
        <v/>
      </c>
      <c r="Q80" s="14" t="str">
        <f aca="false">IF(A80="","",IFERROR(INDEX(Classes!$C$5:$C$23,MATCH(A80,Classes!$A$5:$A$23,0)),""))</f>
        <v/>
      </c>
      <c r="R80" s="15" t="str">
        <f aca="false">IF(A80="","",IF(TRIM(IF(AND(N(Q80)&gt;0,N(P80)&gt;N(Q80)),"Over by "&amp;(P80-Q80)&amp;" min. ","")&amp;IF(AND(COUNTIF(V80:AA80,"*A*")&gt;0,AB80&lt;&gt;"Yes"),"Age check. ","")&amp;IF(COUNTIF(V80:AA80,"*C*")&gt;0,"Contact check. ","")&amp;IF(COUNTIF(V80:AA80,"~?")&gt;0,"Drill not in library. ",""))="","OK"&amp;IF(AND(COUNTIF(V80:AA80,"*A*")&gt;0,AB80="Yes")," · split by age","")&amp;IF(N(Q80)&gt;N(P80)," ("&amp;(Q80-P80)&amp;" min spare)",""),TRIM(IF(AND(N(Q80)&gt;0,N(P80)&gt;N(Q80)),"Over by "&amp;(P80-Q80)&amp;" min. ","")&amp;IF(AND(COUNTIF(V80:AA80,"*A*")&gt;0,AB80&lt;&gt;"Yes"),"Age check. ","")&amp;IF(COUNTIF(V80:AA80,"*C*")&gt;0,"Contact check. ","")&amp;IF(COUNTIF(V80:AA80,"~?")&gt;0,"Drill not in library. ",""))&amp;IF(AND(COUNTIF(V80:AA80,"*A*")&gt;0,AB80="Yes")," · split by age","")))</f>
        <v/>
      </c>
      <c r="S80" s="11"/>
      <c r="T80" s="13" t="str">
        <f aca="false">IF(A80="","",IFERROR(INDEX(Classes!$E$5:$E$23,MATCH(A80,Classes!$A$5:$A$23,0)),""))</f>
        <v/>
      </c>
      <c r="U80" s="13" t="str">
        <f aca="false">IF(A80="","",IFERROR(INDEX(Classes!$F$5:$F$23,MATCH(A80,Classes!$A$5:$A$23,0)),""))</f>
        <v/>
      </c>
      <c r="V80" s="13" t="str">
        <f aca="false">IF(OR(D80="",$A80=""),"",IF(ISNA(MATCH(D80,Drills!$A$5:$A$127,0)),"?",IF(N(INDEX(Drills!$K$5:$K$127,MATCH(D80,Drills!$A$5:$A$127,0)))&gt;N($T80),"A","")&amp;IF(ISNUMBER(SEARCH(INDEX(Drills!$E$5:$E$127,MATCH(D80,Drills!$A$5:$A$127,0)),$U80)),"","C")))</f>
        <v/>
      </c>
      <c r="W80" s="13" t="str">
        <f aca="false">IF(OR(F80="",$A80=""),"",IF(ISNA(MATCH(F80,Drills!$A$5:$A$127,0)),"?",IF(N(INDEX(Drills!$K$5:$K$127,MATCH(F80,Drills!$A$5:$A$127,0)))&gt;N($T80),"A","")&amp;IF(ISNUMBER(SEARCH(INDEX(Drills!$E$5:$E$127,MATCH(F80,Drills!$A$5:$A$127,0)),$U80)),"","C")))</f>
        <v/>
      </c>
      <c r="X80" s="13" t="str">
        <f aca="false">IF(OR(H80="",$A80=""),"",IF(ISNA(MATCH(H80,Drills!$A$5:$A$127,0)),"?",IF(N(INDEX(Drills!$K$5:$K$127,MATCH(H80,Drills!$A$5:$A$127,0)))&gt;N($T80),"A","")&amp;IF(ISNUMBER(SEARCH(INDEX(Drills!$E$5:$E$127,MATCH(H80,Drills!$A$5:$A$127,0)),$U80)),"","C")))</f>
        <v/>
      </c>
      <c r="Y80" s="13" t="str">
        <f aca="false">IF(OR(J80="",$A80=""),"",IF(ISNA(MATCH(J80,Drills!$A$5:$A$127,0)),"?",IF(N(INDEX(Drills!$K$5:$K$127,MATCH(J80,Drills!$A$5:$A$127,0)))&gt;N($T80),"A","")&amp;IF(ISNUMBER(SEARCH(INDEX(Drills!$E$5:$E$127,MATCH(J80,Drills!$A$5:$A$127,0)),$U80)),"","C")))</f>
        <v/>
      </c>
      <c r="Z80" s="13" t="str">
        <f aca="false">IF(OR(L80="",$A80=""),"",IF(ISNA(MATCH(L80,Drills!$A$5:$A$127,0)),"?",IF(N(INDEX(Drills!$K$5:$K$127,MATCH(L80,Drills!$A$5:$A$127,0)))&gt;N($T80),"A","")&amp;IF(ISNUMBER(SEARCH(INDEX(Drills!$E$5:$E$127,MATCH(L80,Drills!$A$5:$A$127,0)),$U80)),"","C")))</f>
        <v/>
      </c>
      <c r="AA80" s="13" t="str">
        <f aca="false">IF(OR(N80="",$A80=""),"",IF(ISNA(MATCH(N80,Drills!$A$5:$A$127,0)),"?",IF(N(INDEX(Drills!$K$5:$K$127,MATCH(N80,Drills!$A$5:$A$127,0)))&gt;N($T80),"A","")&amp;IF(ISNUMBER(SEARCH(INDEX(Drills!$E$5:$E$127,MATCH(N80,Drills!$A$5:$A$127,0)),$U80)),"","C")))</f>
        <v/>
      </c>
      <c r="AB80" s="13" t="str">
        <f aca="false">IF(A80="","",IFERROR(INDEX(Classes!$I$5:$I$23,MATCH(A80,Classes!$A$5:$A$23,0)),""))</f>
        <v/>
      </c>
    </row>
    <row r="81" customFormat="false" ht="18" hidden="false" customHeight="true" outlineLevel="0" collapsed="false">
      <c r="A81" s="11"/>
      <c r="B81" s="11"/>
      <c r="C81" s="11"/>
      <c r="D81" s="11"/>
      <c r="E81" s="12" t="str">
        <f aca="false">IF(D81="","",IFERROR(INDEX(Drills!$G$5:$G$127,MATCH(D81,Drills!$A$5:$A$127,0)),""))</f>
        <v/>
      </c>
      <c r="F81" s="11"/>
      <c r="G81" s="12" t="str">
        <f aca="false">IF(F81="","",IFERROR(INDEX(Drills!$G$5:$G$127,MATCH(F81,Drills!$A$5:$A$127,0)),""))</f>
        <v/>
      </c>
      <c r="H81" s="11"/>
      <c r="I81" s="12" t="str">
        <f aca="false">IF(H81="","",IFERROR(INDEX(Drills!$G$5:$G$127,MATCH(H81,Drills!$A$5:$A$127,0)),""))</f>
        <v/>
      </c>
      <c r="J81" s="11"/>
      <c r="K81" s="12" t="str">
        <f aca="false">IF(J81="","",IFERROR(INDEX(Drills!$G$5:$G$127,MATCH(J81,Drills!$A$5:$A$127,0)),""))</f>
        <v/>
      </c>
      <c r="L81" s="11"/>
      <c r="M81" s="12" t="str">
        <f aca="false">IF(L81="","",IFERROR(INDEX(Drills!$G$5:$G$127,MATCH(L81,Drills!$A$5:$A$127,0)),""))</f>
        <v/>
      </c>
      <c r="N81" s="11"/>
      <c r="O81" s="12" t="str">
        <f aca="false">IF(N81="","",IFERROR(INDEX(Drills!$G$5:$G$127,MATCH(N81,Drills!$A$5:$A$127,0)),""))</f>
        <v/>
      </c>
      <c r="P81" s="14" t="str">
        <f aca="false">IF(A81="","",SUM(E81,G81,I81,K81,M81,O81))</f>
        <v/>
      </c>
      <c r="Q81" s="14" t="str">
        <f aca="false">IF(A81="","",IFERROR(INDEX(Classes!$C$5:$C$23,MATCH(A81,Classes!$A$5:$A$23,0)),""))</f>
        <v/>
      </c>
      <c r="R81" s="15" t="str">
        <f aca="false">IF(A81="","",IF(TRIM(IF(AND(N(Q81)&gt;0,N(P81)&gt;N(Q81)),"Over by "&amp;(P81-Q81)&amp;" min. ","")&amp;IF(AND(COUNTIF(V81:AA81,"*A*")&gt;0,AB81&lt;&gt;"Yes"),"Age check. ","")&amp;IF(COUNTIF(V81:AA81,"*C*")&gt;0,"Contact check. ","")&amp;IF(COUNTIF(V81:AA81,"~?")&gt;0,"Drill not in library. ",""))="","OK"&amp;IF(AND(COUNTIF(V81:AA81,"*A*")&gt;0,AB81="Yes")," · split by age","")&amp;IF(N(Q81)&gt;N(P81)," ("&amp;(Q81-P81)&amp;" min spare)",""),TRIM(IF(AND(N(Q81)&gt;0,N(P81)&gt;N(Q81)),"Over by "&amp;(P81-Q81)&amp;" min. ","")&amp;IF(AND(COUNTIF(V81:AA81,"*A*")&gt;0,AB81&lt;&gt;"Yes"),"Age check. ","")&amp;IF(COUNTIF(V81:AA81,"*C*")&gt;0,"Contact check. ","")&amp;IF(COUNTIF(V81:AA81,"~?")&gt;0,"Drill not in library. ",""))&amp;IF(AND(COUNTIF(V81:AA81,"*A*")&gt;0,AB81="Yes")," · split by age","")))</f>
        <v/>
      </c>
      <c r="S81" s="11"/>
      <c r="T81" s="13" t="str">
        <f aca="false">IF(A81="","",IFERROR(INDEX(Classes!$E$5:$E$23,MATCH(A81,Classes!$A$5:$A$23,0)),""))</f>
        <v/>
      </c>
      <c r="U81" s="13" t="str">
        <f aca="false">IF(A81="","",IFERROR(INDEX(Classes!$F$5:$F$23,MATCH(A81,Classes!$A$5:$A$23,0)),""))</f>
        <v/>
      </c>
      <c r="V81" s="13" t="str">
        <f aca="false">IF(OR(D81="",$A81=""),"",IF(ISNA(MATCH(D81,Drills!$A$5:$A$127,0)),"?",IF(N(INDEX(Drills!$K$5:$K$127,MATCH(D81,Drills!$A$5:$A$127,0)))&gt;N($T81),"A","")&amp;IF(ISNUMBER(SEARCH(INDEX(Drills!$E$5:$E$127,MATCH(D81,Drills!$A$5:$A$127,0)),$U81)),"","C")))</f>
        <v/>
      </c>
      <c r="W81" s="13" t="str">
        <f aca="false">IF(OR(F81="",$A81=""),"",IF(ISNA(MATCH(F81,Drills!$A$5:$A$127,0)),"?",IF(N(INDEX(Drills!$K$5:$K$127,MATCH(F81,Drills!$A$5:$A$127,0)))&gt;N($T81),"A","")&amp;IF(ISNUMBER(SEARCH(INDEX(Drills!$E$5:$E$127,MATCH(F81,Drills!$A$5:$A$127,0)),$U81)),"","C")))</f>
        <v/>
      </c>
      <c r="X81" s="13" t="str">
        <f aca="false">IF(OR(H81="",$A81=""),"",IF(ISNA(MATCH(H81,Drills!$A$5:$A$127,0)),"?",IF(N(INDEX(Drills!$K$5:$K$127,MATCH(H81,Drills!$A$5:$A$127,0)))&gt;N($T81),"A","")&amp;IF(ISNUMBER(SEARCH(INDEX(Drills!$E$5:$E$127,MATCH(H81,Drills!$A$5:$A$127,0)),$U81)),"","C")))</f>
        <v/>
      </c>
      <c r="Y81" s="13" t="str">
        <f aca="false">IF(OR(J81="",$A81=""),"",IF(ISNA(MATCH(J81,Drills!$A$5:$A$127,0)),"?",IF(N(INDEX(Drills!$K$5:$K$127,MATCH(J81,Drills!$A$5:$A$127,0)))&gt;N($T81),"A","")&amp;IF(ISNUMBER(SEARCH(INDEX(Drills!$E$5:$E$127,MATCH(J81,Drills!$A$5:$A$127,0)),$U81)),"","C")))</f>
        <v/>
      </c>
      <c r="Z81" s="13" t="str">
        <f aca="false">IF(OR(L81="",$A81=""),"",IF(ISNA(MATCH(L81,Drills!$A$5:$A$127,0)),"?",IF(N(INDEX(Drills!$K$5:$K$127,MATCH(L81,Drills!$A$5:$A$127,0)))&gt;N($T81),"A","")&amp;IF(ISNUMBER(SEARCH(INDEX(Drills!$E$5:$E$127,MATCH(L81,Drills!$A$5:$A$127,0)),$U81)),"","C")))</f>
        <v/>
      </c>
      <c r="AA81" s="13" t="str">
        <f aca="false">IF(OR(N81="",$A81=""),"",IF(ISNA(MATCH(N81,Drills!$A$5:$A$127,0)),"?",IF(N(INDEX(Drills!$K$5:$K$127,MATCH(N81,Drills!$A$5:$A$127,0)))&gt;N($T81),"A","")&amp;IF(ISNUMBER(SEARCH(INDEX(Drills!$E$5:$E$127,MATCH(N81,Drills!$A$5:$A$127,0)),$U81)),"","C")))</f>
        <v/>
      </c>
      <c r="AB81" s="13" t="str">
        <f aca="false">IF(A81="","",IFERROR(INDEX(Classes!$I$5:$I$23,MATCH(A81,Classes!$A$5:$A$23,0)),""))</f>
        <v/>
      </c>
    </row>
    <row r="82" customFormat="false" ht="18" hidden="false" customHeight="true" outlineLevel="0" collapsed="false">
      <c r="A82" s="11"/>
      <c r="B82" s="11"/>
      <c r="C82" s="11"/>
      <c r="D82" s="11"/>
      <c r="E82" s="12" t="str">
        <f aca="false">IF(D82="","",IFERROR(INDEX(Drills!$G$5:$G$127,MATCH(D82,Drills!$A$5:$A$127,0)),""))</f>
        <v/>
      </c>
      <c r="F82" s="11"/>
      <c r="G82" s="12" t="str">
        <f aca="false">IF(F82="","",IFERROR(INDEX(Drills!$G$5:$G$127,MATCH(F82,Drills!$A$5:$A$127,0)),""))</f>
        <v/>
      </c>
      <c r="H82" s="11"/>
      <c r="I82" s="12" t="str">
        <f aca="false">IF(H82="","",IFERROR(INDEX(Drills!$G$5:$G$127,MATCH(H82,Drills!$A$5:$A$127,0)),""))</f>
        <v/>
      </c>
      <c r="J82" s="11"/>
      <c r="K82" s="12" t="str">
        <f aca="false">IF(J82="","",IFERROR(INDEX(Drills!$G$5:$G$127,MATCH(J82,Drills!$A$5:$A$127,0)),""))</f>
        <v/>
      </c>
      <c r="L82" s="11"/>
      <c r="M82" s="12" t="str">
        <f aca="false">IF(L82="","",IFERROR(INDEX(Drills!$G$5:$G$127,MATCH(L82,Drills!$A$5:$A$127,0)),""))</f>
        <v/>
      </c>
      <c r="N82" s="11"/>
      <c r="O82" s="12" t="str">
        <f aca="false">IF(N82="","",IFERROR(INDEX(Drills!$G$5:$G$127,MATCH(N82,Drills!$A$5:$A$127,0)),""))</f>
        <v/>
      </c>
      <c r="P82" s="14" t="str">
        <f aca="false">IF(A82="","",SUM(E82,G82,I82,K82,M82,O82))</f>
        <v/>
      </c>
      <c r="Q82" s="14" t="str">
        <f aca="false">IF(A82="","",IFERROR(INDEX(Classes!$C$5:$C$23,MATCH(A82,Classes!$A$5:$A$23,0)),""))</f>
        <v/>
      </c>
      <c r="R82" s="15" t="str">
        <f aca="false">IF(A82="","",IF(TRIM(IF(AND(N(Q82)&gt;0,N(P82)&gt;N(Q82)),"Over by "&amp;(P82-Q82)&amp;" min. ","")&amp;IF(AND(COUNTIF(V82:AA82,"*A*")&gt;0,AB82&lt;&gt;"Yes"),"Age check. ","")&amp;IF(COUNTIF(V82:AA82,"*C*")&gt;0,"Contact check. ","")&amp;IF(COUNTIF(V82:AA82,"~?")&gt;0,"Drill not in library. ",""))="","OK"&amp;IF(AND(COUNTIF(V82:AA82,"*A*")&gt;0,AB82="Yes")," · split by age","")&amp;IF(N(Q82)&gt;N(P82)," ("&amp;(Q82-P82)&amp;" min spare)",""),TRIM(IF(AND(N(Q82)&gt;0,N(P82)&gt;N(Q82)),"Over by "&amp;(P82-Q82)&amp;" min. ","")&amp;IF(AND(COUNTIF(V82:AA82,"*A*")&gt;0,AB82&lt;&gt;"Yes"),"Age check. ","")&amp;IF(COUNTIF(V82:AA82,"*C*")&gt;0,"Contact check. ","")&amp;IF(COUNTIF(V82:AA82,"~?")&gt;0,"Drill not in library. ",""))&amp;IF(AND(COUNTIF(V82:AA82,"*A*")&gt;0,AB82="Yes")," · split by age","")))</f>
        <v/>
      </c>
      <c r="S82" s="11"/>
      <c r="T82" s="13" t="str">
        <f aca="false">IF(A82="","",IFERROR(INDEX(Classes!$E$5:$E$23,MATCH(A82,Classes!$A$5:$A$23,0)),""))</f>
        <v/>
      </c>
      <c r="U82" s="13" t="str">
        <f aca="false">IF(A82="","",IFERROR(INDEX(Classes!$F$5:$F$23,MATCH(A82,Classes!$A$5:$A$23,0)),""))</f>
        <v/>
      </c>
      <c r="V82" s="13" t="str">
        <f aca="false">IF(OR(D82="",$A82=""),"",IF(ISNA(MATCH(D82,Drills!$A$5:$A$127,0)),"?",IF(N(INDEX(Drills!$K$5:$K$127,MATCH(D82,Drills!$A$5:$A$127,0)))&gt;N($T82),"A","")&amp;IF(ISNUMBER(SEARCH(INDEX(Drills!$E$5:$E$127,MATCH(D82,Drills!$A$5:$A$127,0)),$U82)),"","C")))</f>
        <v/>
      </c>
      <c r="W82" s="13" t="str">
        <f aca="false">IF(OR(F82="",$A82=""),"",IF(ISNA(MATCH(F82,Drills!$A$5:$A$127,0)),"?",IF(N(INDEX(Drills!$K$5:$K$127,MATCH(F82,Drills!$A$5:$A$127,0)))&gt;N($T82),"A","")&amp;IF(ISNUMBER(SEARCH(INDEX(Drills!$E$5:$E$127,MATCH(F82,Drills!$A$5:$A$127,0)),$U82)),"","C")))</f>
        <v/>
      </c>
      <c r="X82" s="13" t="str">
        <f aca="false">IF(OR(H82="",$A82=""),"",IF(ISNA(MATCH(H82,Drills!$A$5:$A$127,0)),"?",IF(N(INDEX(Drills!$K$5:$K$127,MATCH(H82,Drills!$A$5:$A$127,0)))&gt;N($T82),"A","")&amp;IF(ISNUMBER(SEARCH(INDEX(Drills!$E$5:$E$127,MATCH(H82,Drills!$A$5:$A$127,0)),$U82)),"","C")))</f>
        <v/>
      </c>
      <c r="Y82" s="13" t="str">
        <f aca="false">IF(OR(J82="",$A82=""),"",IF(ISNA(MATCH(J82,Drills!$A$5:$A$127,0)),"?",IF(N(INDEX(Drills!$K$5:$K$127,MATCH(J82,Drills!$A$5:$A$127,0)))&gt;N($T82),"A","")&amp;IF(ISNUMBER(SEARCH(INDEX(Drills!$E$5:$E$127,MATCH(J82,Drills!$A$5:$A$127,0)),$U82)),"","C")))</f>
        <v/>
      </c>
      <c r="Z82" s="13" t="str">
        <f aca="false">IF(OR(L82="",$A82=""),"",IF(ISNA(MATCH(L82,Drills!$A$5:$A$127,0)),"?",IF(N(INDEX(Drills!$K$5:$K$127,MATCH(L82,Drills!$A$5:$A$127,0)))&gt;N($T82),"A","")&amp;IF(ISNUMBER(SEARCH(INDEX(Drills!$E$5:$E$127,MATCH(L82,Drills!$A$5:$A$127,0)),$U82)),"","C")))</f>
        <v/>
      </c>
      <c r="AA82" s="13" t="str">
        <f aca="false">IF(OR(N82="",$A82=""),"",IF(ISNA(MATCH(N82,Drills!$A$5:$A$127,0)),"?",IF(N(INDEX(Drills!$K$5:$K$127,MATCH(N82,Drills!$A$5:$A$127,0)))&gt;N($T82),"A","")&amp;IF(ISNUMBER(SEARCH(INDEX(Drills!$E$5:$E$127,MATCH(N82,Drills!$A$5:$A$127,0)),$U82)),"","C")))</f>
        <v/>
      </c>
      <c r="AB82" s="13" t="str">
        <f aca="false">IF(A82="","",IFERROR(INDEX(Classes!$I$5:$I$23,MATCH(A82,Classes!$A$5:$A$23,0)),""))</f>
        <v/>
      </c>
    </row>
    <row r="83" customFormat="false" ht="18" hidden="false" customHeight="true" outlineLevel="0" collapsed="false">
      <c r="A83" s="11"/>
      <c r="B83" s="11"/>
      <c r="C83" s="11"/>
      <c r="D83" s="11"/>
      <c r="E83" s="12" t="str">
        <f aca="false">IF(D83="","",IFERROR(INDEX(Drills!$G$5:$G$127,MATCH(D83,Drills!$A$5:$A$127,0)),""))</f>
        <v/>
      </c>
      <c r="F83" s="11"/>
      <c r="G83" s="12" t="str">
        <f aca="false">IF(F83="","",IFERROR(INDEX(Drills!$G$5:$G$127,MATCH(F83,Drills!$A$5:$A$127,0)),""))</f>
        <v/>
      </c>
      <c r="H83" s="11"/>
      <c r="I83" s="12" t="str">
        <f aca="false">IF(H83="","",IFERROR(INDEX(Drills!$G$5:$G$127,MATCH(H83,Drills!$A$5:$A$127,0)),""))</f>
        <v/>
      </c>
      <c r="J83" s="11"/>
      <c r="K83" s="12" t="str">
        <f aca="false">IF(J83="","",IFERROR(INDEX(Drills!$G$5:$G$127,MATCH(J83,Drills!$A$5:$A$127,0)),""))</f>
        <v/>
      </c>
      <c r="L83" s="11"/>
      <c r="M83" s="12" t="str">
        <f aca="false">IF(L83="","",IFERROR(INDEX(Drills!$G$5:$G$127,MATCH(L83,Drills!$A$5:$A$127,0)),""))</f>
        <v/>
      </c>
      <c r="N83" s="11"/>
      <c r="O83" s="12" t="str">
        <f aca="false">IF(N83="","",IFERROR(INDEX(Drills!$G$5:$G$127,MATCH(N83,Drills!$A$5:$A$127,0)),""))</f>
        <v/>
      </c>
      <c r="P83" s="14" t="str">
        <f aca="false">IF(A83="","",SUM(E83,G83,I83,K83,M83,O83))</f>
        <v/>
      </c>
      <c r="Q83" s="14" t="str">
        <f aca="false">IF(A83="","",IFERROR(INDEX(Classes!$C$5:$C$23,MATCH(A83,Classes!$A$5:$A$23,0)),""))</f>
        <v/>
      </c>
      <c r="R83" s="15" t="str">
        <f aca="false">IF(A83="","",IF(TRIM(IF(AND(N(Q83)&gt;0,N(P83)&gt;N(Q83)),"Over by "&amp;(P83-Q83)&amp;" min. ","")&amp;IF(AND(COUNTIF(V83:AA83,"*A*")&gt;0,AB83&lt;&gt;"Yes"),"Age check. ","")&amp;IF(COUNTIF(V83:AA83,"*C*")&gt;0,"Contact check. ","")&amp;IF(COUNTIF(V83:AA83,"~?")&gt;0,"Drill not in library. ",""))="","OK"&amp;IF(AND(COUNTIF(V83:AA83,"*A*")&gt;0,AB83="Yes")," · split by age","")&amp;IF(N(Q83)&gt;N(P83)," ("&amp;(Q83-P83)&amp;" min spare)",""),TRIM(IF(AND(N(Q83)&gt;0,N(P83)&gt;N(Q83)),"Over by "&amp;(P83-Q83)&amp;" min. ","")&amp;IF(AND(COUNTIF(V83:AA83,"*A*")&gt;0,AB83&lt;&gt;"Yes"),"Age check. ","")&amp;IF(COUNTIF(V83:AA83,"*C*")&gt;0,"Contact check. ","")&amp;IF(COUNTIF(V83:AA83,"~?")&gt;0,"Drill not in library. ",""))&amp;IF(AND(COUNTIF(V83:AA83,"*A*")&gt;0,AB83="Yes")," · split by age","")))</f>
        <v/>
      </c>
      <c r="S83" s="11"/>
      <c r="T83" s="13" t="str">
        <f aca="false">IF(A83="","",IFERROR(INDEX(Classes!$E$5:$E$23,MATCH(A83,Classes!$A$5:$A$23,0)),""))</f>
        <v/>
      </c>
      <c r="U83" s="13" t="str">
        <f aca="false">IF(A83="","",IFERROR(INDEX(Classes!$F$5:$F$23,MATCH(A83,Classes!$A$5:$A$23,0)),""))</f>
        <v/>
      </c>
      <c r="V83" s="13" t="str">
        <f aca="false">IF(OR(D83="",$A83=""),"",IF(ISNA(MATCH(D83,Drills!$A$5:$A$127,0)),"?",IF(N(INDEX(Drills!$K$5:$K$127,MATCH(D83,Drills!$A$5:$A$127,0)))&gt;N($T83),"A","")&amp;IF(ISNUMBER(SEARCH(INDEX(Drills!$E$5:$E$127,MATCH(D83,Drills!$A$5:$A$127,0)),$U83)),"","C")))</f>
        <v/>
      </c>
      <c r="W83" s="13" t="str">
        <f aca="false">IF(OR(F83="",$A83=""),"",IF(ISNA(MATCH(F83,Drills!$A$5:$A$127,0)),"?",IF(N(INDEX(Drills!$K$5:$K$127,MATCH(F83,Drills!$A$5:$A$127,0)))&gt;N($T83),"A","")&amp;IF(ISNUMBER(SEARCH(INDEX(Drills!$E$5:$E$127,MATCH(F83,Drills!$A$5:$A$127,0)),$U83)),"","C")))</f>
        <v/>
      </c>
      <c r="X83" s="13" t="str">
        <f aca="false">IF(OR(H83="",$A83=""),"",IF(ISNA(MATCH(H83,Drills!$A$5:$A$127,0)),"?",IF(N(INDEX(Drills!$K$5:$K$127,MATCH(H83,Drills!$A$5:$A$127,0)))&gt;N($T83),"A","")&amp;IF(ISNUMBER(SEARCH(INDEX(Drills!$E$5:$E$127,MATCH(H83,Drills!$A$5:$A$127,0)),$U83)),"","C")))</f>
        <v/>
      </c>
      <c r="Y83" s="13" t="str">
        <f aca="false">IF(OR(J83="",$A83=""),"",IF(ISNA(MATCH(J83,Drills!$A$5:$A$127,0)),"?",IF(N(INDEX(Drills!$K$5:$K$127,MATCH(J83,Drills!$A$5:$A$127,0)))&gt;N($T83),"A","")&amp;IF(ISNUMBER(SEARCH(INDEX(Drills!$E$5:$E$127,MATCH(J83,Drills!$A$5:$A$127,0)),$U83)),"","C")))</f>
        <v/>
      </c>
      <c r="Z83" s="13" t="str">
        <f aca="false">IF(OR(L83="",$A83=""),"",IF(ISNA(MATCH(L83,Drills!$A$5:$A$127,0)),"?",IF(N(INDEX(Drills!$K$5:$K$127,MATCH(L83,Drills!$A$5:$A$127,0)))&gt;N($T83),"A","")&amp;IF(ISNUMBER(SEARCH(INDEX(Drills!$E$5:$E$127,MATCH(L83,Drills!$A$5:$A$127,0)),$U83)),"","C")))</f>
        <v/>
      </c>
      <c r="AA83" s="13" t="str">
        <f aca="false">IF(OR(N83="",$A83=""),"",IF(ISNA(MATCH(N83,Drills!$A$5:$A$127,0)),"?",IF(N(INDEX(Drills!$K$5:$K$127,MATCH(N83,Drills!$A$5:$A$127,0)))&gt;N($T83),"A","")&amp;IF(ISNUMBER(SEARCH(INDEX(Drills!$E$5:$E$127,MATCH(N83,Drills!$A$5:$A$127,0)),$U83)),"","C")))</f>
        <v/>
      </c>
      <c r="AB83" s="13" t="str">
        <f aca="false">IF(A83="","",IFERROR(INDEX(Classes!$I$5:$I$23,MATCH(A83,Classes!$A$5:$A$23,0)),""))</f>
        <v/>
      </c>
    </row>
    <row r="84" customFormat="false" ht="18" hidden="false" customHeight="true" outlineLevel="0" collapsed="false">
      <c r="A84" s="11"/>
      <c r="B84" s="11"/>
      <c r="C84" s="11"/>
      <c r="D84" s="11"/>
      <c r="E84" s="12" t="str">
        <f aca="false">IF(D84="","",IFERROR(INDEX(Drills!$G$5:$G$127,MATCH(D84,Drills!$A$5:$A$127,0)),""))</f>
        <v/>
      </c>
      <c r="F84" s="11"/>
      <c r="G84" s="12" t="str">
        <f aca="false">IF(F84="","",IFERROR(INDEX(Drills!$G$5:$G$127,MATCH(F84,Drills!$A$5:$A$127,0)),""))</f>
        <v/>
      </c>
      <c r="H84" s="11"/>
      <c r="I84" s="12" t="str">
        <f aca="false">IF(H84="","",IFERROR(INDEX(Drills!$G$5:$G$127,MATCH(H84,Drills!$A$5:$A$127,0)),""))</f>
        <v/>
      </c>
      <c r="J84" s="11"/>
      <c r="K84" s="12" t="str">
        <f aca="false">IF(J84="","",IFERROR(INDEX(Drills!$G$5:$G$127,MATCH(J84,Drills!$A$5:$A$127,0)),""))</f>
        <v/>
      </c>
      <c r="L84" s="11"/>
      <c r="M84" s="12" t="str">
        <f aca="false">IF(L84="","",IFERROR(INDEX(Drills!$G$5:$G$127,MATCH(L84,Drills!$A$5:$A$127,0)),""))</f>
        <v/>
      </c>
      <c r="N84" s="11"/>
      <c r="O84" s="12" t="str">
        <f aca="false">IF(N84="","",IFERROR(INDEX(Drills!$G$5:$G$127,MATCH(N84,Drills!$A$5:$A$127,0)),""))</f>
        <v/>
      </c>
      <c r="P84" s="14" t="str">
        <f aca="false">IF(A84="","",SUM(E84,G84,I84,K84,M84,O84))</f>
        <v/>
      </c>
      <c r="Q84" s="14" t="str">
        <f aca="false">IF(A84="","",IFERROR(INDEX(Classes!$C$5:$C$23,MATCH(A84,Classes!$A$5:$A$23,0)),""))</f>
        <v/>
      </c>
      <c r="R84" s="15" t="str">
        <f aca="false">IF(A84="","",IF(TRIM(IF(AND(N(Q84)&gt;0,N(P84)&gt;N(Q84)),"Over by "&amp;(P84-Q84)&amp;" min. ","")&amp;IF(AND(COUNTIF(V84:AA84,"*A*")&gt;0,AB84&lt;&gt;"Yes"),"Age check. ","")&amp;IF(COUNTIF(V84:AA84,"*C*")&gt;0,"Contact check. ","")&amp;IF(COUNTIF(V84:AA84,"~?")&gt;0,"Drill not in library. ",""))="","OK"&amp;IF(AND(COUNTIF(V84:AA84,"*A*")&gt;0,AB84="Yes")," · split by age","")&amp;IF(N(Q84)&gt;N(P84)," ("&amp;(Q84-P84)&amp;" min spare)",""),TRIM(IF(AND(N(Q84)&gt;0,N(P84)&gt;N(Q84)),"Over by "&amp;(P84-Q84)&amp;" min. ","")&amp;IF(AND(COUNTIF(V84:AA84,"*A*")&gt;0,AB84&lt;&gt;"Yes"),"Age check. ","")&amp;IF(COUNTIF(V84:AA84,"*C*")&gt;0,"Contact check. ","")&amp;IF(COUNTIF(V84:AA84,"~?")&gt;0,"Drill not in library. ",""))&amp;IF(AND(COUNTIF(V84:AA84,"*A*")&gt;0,AB84="Yes")," · split by age","")))</f>
        <v/>
      </c>
      <c r="S84" s="11"/>
      <c r="T84" s="13" t="str">
        <f aca="false">IF(A84="","",IFERROR(INDEX(Classes!$E$5:$E$23,MATCH(A84,Classes!$A$5:$A$23,0)),""))</f>
        <v/>
      </c>
      <c r="U84" s="13" t="str">
        <f aca="false">IF(A84="","",IFERROR(INDEX(Classes!$F$5:$F$23,MATCH(A84,Classes!$A$5:$A$23,0)),""))</f>
        <v/>
      </c>
      <c r="V84" s="13" t="str">
        <f aca="false">IF(OR(D84="",$A84=""),"",IF(ISNA(MATCH(D84,Drills!$A$5:$A$127,0)),"?",IF(N(INDEX(Drills!$K$5:$K$127,MATCH(D84,Drills!$A$5:$A$127,0)))&gt;N($T84),"A","")&amp;IF(ISNUMBER(SEARCH(INDEX(Drills!$E$5:$E$127,MATCH(D84,Drills!$A$5:$A$127,0)),$U84)),"","C")))</f>
        <v/>
      </c>
      <c r="W84" s="13" t="str">
        <f aca="false">IF(OR(F84="",$A84=""),"",IF(ISNA(MATCH(F84,Drills!$A$5:$A$127,0)),"?",IF(N(INDEX(Drills!$K$5:$K$127,MATCH(F84,Drills!$A$5:$A$127,0)))&gt;N($T84),"A","")&amp;IF(ISNUMBER(SEARCH(INDEX(Drills!$E$5:$E$127,MATCH(F84,Drills!$A$5:$A$127,0)),$U84)),"","C")))</f>
        <v/>
      </c>
      <c r="X84" s="13" t="str">
        <f aca="false">IF(OR(H84="",$A84=""),"",IF(ISNA(MATCH(H84,Drills!$A$5:$A$127,0)),"?",IF(N(INDEX(Drills!$K$5:$K$127,MATCH(H84,Drills!$A$5:$A$127,0)))&gt;N($T84),"A","")&amp;IF(ISNUMBER(SEARCH(INDEX(Drills!$E$5:$E$127,MATCH(H84,Drills!$A$5:$A$127,0)),$U84)),"","C")))</f>
        <v/>
      </c>
      <c r="Y84" s="13" t="str">
        <f aca="false">IF(OR(J84="",$A84=""),"",IF(ISNA(MATCH(J84,Drills!$A$5:$A$127,0)),"?",IF(N(INDEX(Drills!$K$5:$K$127,MATCH(J84,Drills!$A$5:$A$127,0)))&gt;N($T84),"A","")&amp;IF(ISNUMBER(SEARCH(INDEX(Drills!$E$5:$E$127,MATCH(J84,Drills!$A$5:$A$127,0)),$U84)),"","C")))</f>
        <v/>
      </c>
      <c r="Z84" s="13" t="str">
        <f aca="false">IF(OR(L84="",$A84=""),"",IF(ISNA(MATCH(L84,Drills!$A$5:$A$127,0)),"?",IF(N(INDEX(Drills!$K$5:$K$127,MATCH(L84,Drills!$A$5:$A$127,0)))&gt;N($T84),"A","")&amp;IF(ISNUMBER(SEARCH(INDEX(Drills!$E$5:$E$127,MATCH(L84,Drills!$A$5:$A$127,0)),$U84)),"","C")))</f>
        <v/>
      </c>
      <c r="AA84" s="13" t="str">
        <f aca="false">IF(OR(N84="",$A84=""),"",IF(ISNA(MATCH(N84,Drills!$A$5:$A$127,0)),"?",IF(N(INDEX(Drills!$K$5:$K$127,MATCH(N84,Drills!$A$5:$A$127,0)))&gt;N($T84),"A","")&amp;IF(ISNUMBER(SEARCH(INDEX(Drills!$E$5:$E$127,MATCH(N84,Drills!$A$5:$A$127,0)),$U84)),"","C")))</f>
        <v/>
      </c>
      <c r="AB84" s="13" t="str">
        <f aca="false">IF(A84="","",IFERROR(INDEX(Classes!$I$5:$I$23,MATCH(A84,Classes!$A$5:$A$23,0)),""))</f>
        <v/>
      </c>
    </row>
    <row r="85" customFormat="false" ht="18" hidden="false" customHeight="true" outlineLevel="0" collapsed="false">
      <c r="A85" s="11"/>
      <c r="B85" s="11"/>
      <c r="C85" s="11"/>
      <c r="D85" s="11"/>
      <c r="E85" s="12" t="str">
        <f aca="false">IF(D85="","",IFERROR(INDEX(Drills!$G$5:$G$127,MATCH(D85,Drills!$A$5:$A$127,0)),""))</f>
        <v/>
      </c>
      <c r="F85" s="11"/>
      <c r="G85" s="12" t="str">
        <f aca="false">IF(F85="","",IFERROR(INDEX(Drills!$G$5:$G$127,MATCH(F85,Drills!$A$5:$A$127,0)),""))</f>
        <v/>
      </c>
      <c r="H85" s="11"/>
      <c r="I85" s="12" t="str">
        <f aca="false">IF(H85="","",IFERROR(INDEX(Drills!$G$5:$G$127,MATCH(H85,Drills!$A$5:$A$127,0)),""))</f>
        <v/>
      </c>
      <c r="J85" s="11"/>
      <c r="K85" s="12" t="str">
        <f aca="false">IF(J85="","",IFERROR(INDEX(Drills!$G$5:$G$127,MATCH(J85,Drills!$A$5:$A$127,0)),""))</f>
        <v/>
      </c>
      <c r="L85" s="11"/>
      <c r="M85" s="12" t="str">
        <f aca="false">IF(L85="","",IFERROR(INDEX(Drills!$G$5:$G$127,MATCH(L85,Drills!$A$5:$A$127,0)),""))</f>
        <v/>
      </c>
      <c r="N85" s="11"/>
      <c r="O85" s="12" t="str">
        <f aca="false">IF(N85="","",IFERROR(INDEX(Drills!$G$5:$G$127,MATCH(N85,Drills!$A$5:$A$127,0)),""))</f>
        <v/>
      </c>
      <c r="P85" s="14" t="str">
        <f aca="false">IF(A85="","",SUM(E85,G85,I85,K85,M85,O85))</f>
        <v/>
      </c>
      <c r="Q85" s="14" t="str">
        <f aca="false">IF(A85="","",IFERROR(INDEX(Classes!$C$5:$C$23,MATCH(A85,Classes!$A$5:$A$23,0)),""))</f>
        <v/>
      </c>
      <c r="R85" s="15" t="str">
        <f aca="false">IF(A85="","",IF(TRIM(IF(AND(N(Q85)&gt;0,N(P85)&gt;N(Q85)),"Over by "&amp;(P85-Q85)&amp;" min. ","")&amp;IF(AND(COUNTIF(V85:AA85,"*A*")&gt;0,AB85&lt;&gt;"Yes"),"Age check. ","")&amp;IF(COUNTIF(V85:AA85,"*C*")&gt;0,"Contact check. ","")&amp;IF(COUNTIF(V85:AA85,"~?")&gt;0,"Drill not in library. ",""))="","OK"&amp;IF(AND(COUNTIF(V85:AA85,"*A*")&gt;0,AB85="Yes")," · split by age","")&amp;IF(N(Q85)&gt;N(P85)," ("&amp;(Q85-P85)&amp;" min spare)",""),TRIM(IF(AND(N(Q85)&gt;0,N(P85)&gt;N(Q85)),"Over by "&amp;(P85-Q85)&amp;" min. ","")&amp;IF(AND(COUNTIF(V85:AA85,"*A*")&gt;0,AB85&lt;&gt;"Yes"),"Age check. ","")&amp;IF(COUNTIF(V85:AA85,"*C*")&gt;0,"Contact check. ","")&amp;IF(COUNTIF(V85:AA85,"~?")&gt;0,"Drill not in library. ",""))&amp;IF(AND(COUNTIF(V85:AA85,"*A*")&gt;0,AB85="Yes")," · split by age","")))</f>
        <v/>
      </c>
      <c r="S85" s="11"/>
      <c r="T85" s="13" t="str">
        <f aca="false">IF(A85="","",IFERROR(INDEX(Classes!$E$5:$E$23,MATCH(A85,Classes!$A$5:$A$23,0)),""))</f>
        <v/>
      </c>
      <c r="U85" s="13" t="str">
        <f aca="false">IF(A85="","",IFERROR(INDEX(Classes!$F$5:$F$23,MATCH(A85,Classes!$A$5:$A$23,0)),""))</f>
        <v/>
      </c>
      <c r="V85" s="13" t="str">
        <f aca="false">IF(OR(D85="",$A85=""),"",IF(ISNA(MATCH(D85,Drills!$A$5:$A$127,0)),"?",IF(N(INDEX(Drills!$K$5:$K$127,MATCH(D85,Drills!$A$5:$A$127,0)))&gt;N($T85),"A","")&amp;IF(ISNUMBER(SEARCH(INDEX(Drills!$E$5:$E$127,MATCH(D85,Drills!$A$5:$A$127,0)),$U85)),"","C")))</f>
        <v/>
      </c>
      <c r="W85" s="13" t="str">
        <f aca="false">IF(OR(F85="",$A85=""),"",IF(ISNA(MATCH(F85,Drills!$A$5:$A$127,0)),"?",IF(N(INDEX(Drills!$K$5:$K$127,MATCH(F85,Drills!$A$5:$A$127,0)))&gt;N($T85),"A","")&amp;IF(ISNUMBER(SEARCH(INDEX(Drills!$E$5:$E$127,MATCH(F85,Drills!$A$5:$A$127,0)),$U85)),"","C")))</f>
        <v/>
      </c>
      <c r="X85" s="13" t="str">
        <f aca="false">IF(OR(H85="",$A85=""),"",IF(ISNA(MATCH(H85,Drills!$A$5:$A$127,0)),"?",IF(N(INDEX(Drills!$K$5:$K$127,MATCH(H85,Drills!$A$5:$A$127,0)))&gt;N($T85),"A","")&amp;IF(ISNUMBER(SEARCH(INDEX(Drills!$E$5:$E$127,MATCH(H85,Drills!$A$5:$A$127,0)),$U85)),"","C")))</f>
        <v/>
      </c>
      <c r="Y85" s="13" t="str">
        <f aca="false">IF(OR(J85="",$A85=""),"",IF(ISNA(MATCH(J85,Drills!$A$5:$A$127,0)),"?",IF(N(INDEX(Drills!$K$5:$K$127,MATCH(J85,Drills!$A$5:$A$127,0)))&gt;N($T85),"A","")&amp;IF(ISNUMBER(SEARCH(INDEX(Drills!$E$5:$E$127,MATCH(J85,Drills!$A$5:$A$127,0)),$U85)),"","C")))</f>
        <v/>
      </c>
      <c r="Z85" s="13" t="str">
        <f aca="false">IF(OR(L85="",$A85=""),"",IF(ISNA(MATCH(L85,Drills!$A$5:$A$127,0)),"?",IF(N(INDEX(Drills!$K$5:$K$127,MATCH(L85,Drills!$A$5:$A$127,0)))&gt;N($T85),"A","")&amp;IF(ISNUMBER(SEARCH(INDEX(Drills!$E$5:$E$127,MATCH(L85,Drills!$A$5:$A$127,0)),$U85)),"","C")))</f>
        <v/>
      </c>
      <c r="AA85" s="13" t="str">
        <f aca="false">IF(OR(N85="",$A85=""),"",IF(ISNA(MATCH(N85,Drills!$A$5:$A$127,0)),"?",IF(N(INDEX(Drills!$K$5:$K$127,MATCH(N85,Drills!$A$5:$A$127,0)))&gt;N($T85),"A","")&amp;IF(ISNUMBER(SEARCH(INDEX(Drills!$E$5:$E$127,MATCH(N85,Drills!$A$5:$A$127,0)),$U85)),"","C")))</f>
        <v/>
      </c>
      <c r="AB85" s="13" t="str">
        <f aca="false">IF(A85="","",IFERROR(INDEX(Classes!$I$5:$I$23,MATCH(A85,Classes!$A$5:$A$23,0)),""))</f>
        <v/>
      </c>
    </row>
    <row r="86" customFormat="false" ht="18" hidden="false" customHeight="true" outlineLevel="0" collapsed="false">
      <c r="A86" s="11"/>
      <c r="B86" s="11"/>
      <c r="C86" s="11"/>
      <c r="D86" s="11"/>
      <c r="E86" s="12" t="str">
        <f aca="false">IF(D86="","",IFERROR(INDEX(Drills!$G$5:$G$127,MATCH(D86,Drills!$A$5:$A$127,0)),""))</f>
        <v/>
      </c>
      <c r="F86" s="11"/>
      <c r="G86" s="12" t="str">
        <f aca="false">IF(F86="","",IFERROR(INDEX(Drills!$G$5:$G$127,MATCH(F86,Drills!$A$5:$A$127,0)),""))</f>
        <v/>
      </c>
      <c r="H86" s="11"/>
      <c r="I86" s="12" t="str">
        <f aca="false">IF(H86="","",IFERROR(INDEX(Drills!$G$5:$G$127,MATCH(H86,Drills!$A$5:$A$127,0)),""))</f>
        <v/>
      </c>
      <c r="J86" s="11"/>
      <c r="K86" s="12" t="str">
        <f aca="false">IF(J86="","",IFERROR(INDEX(Drills!$G$5:$G$127,MATCH(J86,Drills!$A$5:$A$127,0)),""))</f>
        <v/>
      </c>
      <c r="L86" s="11"/>
      <c r="M86" s="12" t="str">
        <f aca="false">IF(L86="","",IFERROR(INDEX(Drills!$G$5:$G$127,MATCH(L86,Drills!$A$5:$A$127,0)),""))</f>
        <v/>
      </c>
      <c r="N86" s="11"/>
      <c r="O86" s="12" t="str">
        <f aca="false">IF(N86="","",IFERROR(INDEX(Drills!$G$5:$G$127,MATCH(N86,Drills!$A$5:$A$127,0)),""))</f>
        <v/>
      </c>
      <c r="P86" s="14" t="str">
        <f aca="false">IF(A86="","",SUM(E86,G86,I86,K86,M86,O86))</f>
        <v/>
      </c>
      <c r="Q86" s="14" t="str">
        <f aca="false">IF(A86="","",IFERROR(INDEX(Classes!$C$5:$C$23,MATCH(A86,Classes!$A$5:$A$23,0)),""))</f>
        <v/>
      </c>
      <c r="R86" s="15" t="str">
        <f aca="false">IF(A86="","",IF(TRIM(IF(AND(N(Q86)&gt;0,N(P86)&gt;N(Q86)),"Over by "&amp;(P86-Q86)&amp;" min. ","")&amp;IF(AND(COUNTIF(V86:AA86,"*A*")&gt;0,AB86&lt;&gt;"Yes"),"Age check. ","")&amp;IF(COUNTIF(V86:AA86,"*C*")&gt;0,"Contact check. ","")&amp;IF(COUNTIF(V86:AA86,"~?")&gt;0,"Drill not in library. ",""))="","OK"&amp;IF(AND(COUNTIF(V86:AA86,"*A*")&gt;0,AB86="Yes")," · split by age","")&amp;IF(N(Q86)&gt;N(P86)," ("&amp;(Q86-P86)&amp;" min spare)",""),TRIM(IF(AND(N(Q86)&gt;0,N(P86)&gt;N(Q86)),"Over by "&amp;(P86-Q86)&amp;" min. ","")&amp;IF(AND(COUNTIF(V86:AA86,"*A*")&gt;0,AB86&lt;&gt;"Yes"),"Age check. ","")&amp;IF(COUNTIF(V86:AA86,"*C*")&gt;0,"Contact check. ","")&amp;IF(COUNTIF(V86:AA86,"~?")&gt;0,"Drill not in library. ",""))&amp;IF(AND(COUNTIF(V86:AA86,"*A*")&gt;0,AB86="Yes")," · split by age","")))</f>
        <v/>
      </c>
      <c r="S86" s="11"/>
      <c r="T86" s="13" t="str">
        <f aca="false">IF(A86="","",IFERROR(INDEX(Classes!$E$5:$E$23,MATCH(A86,Classes!$A$5:$A$23,0)),""))</f>
        <v/>
      </c>
      <c r="U86" s="13" t="str">
        <f aca="false">IF(A86="","",IFERROR(INDEX(Classes!$F$5:$F$23,MATCH(A86,Classes!$A$5:$A$23,0)),""))</f>
        <v/>
      </c>
      <c r="V86" s="13" t="str">
        <f aca="false">IF(OR(D86="",$A86=""),"",IF(ISNA(MATCH(D86,Drills!$A$5:$A$127,0)),"?",IF(N(INDEX(Drills!$K$5:$K$127,MATCH(D86,Drills!$A$5:$A$127,0)))&gt;N($T86),"A","")&amp;IF(ISNUMBER(SEARCH(INDEX(Drills!$E$5:$E$127,MATCH(D86,Drills!$A$5:$A$127,0)),$U86)),"","C")))</f>
        <v/>
      </c>
      <c r="W86" s="13" t="str">
        <f aca="false">IF(OR(F86="",$A86=""),"",IF(ISNA(MATCH(F86,Drills!$A$5:$A$127,0)),"?",IF(N(INDEX(Drills!$K$5:$K$127,MATCH(F86,Drills!$A$5:$A$127,0)))&gt;N($T86),"A","")&amp;IF(ISNUMBER(SEARCH(INDEX(Drills!$E$5:$E$127,MATCH(F86,Drills!$A$5:$A$127,0)),$U86)),"","C")))</f>
        <v/>
      </c>
      <c r="X86" s="13" t="str">
        <f aca="false">IF(OR(H86="",$A86=""),"",IF(ISNA(MATCH(H86,Drills!$A$5:$A$127,0)),"?",IF(N(INDEX(Drills!$K$5:$K$127,MATCH(H86,Drills!$A$5:$A$127,0)))&gt;N($T86),"A","")&amp;IF(ISNUMBER(SEARCH(INDEX(Drills!$E$5:$E$127,MATCH(H86,Drills!$A$5:$A$127,0)),$U86)),"","C")))</f>
        <v/>
      </c>
      <c r="Y86" s="13" t="str">
        <f aca="false">IF(OR(J86="",$A86=""),"",IF(ISNA(MATCH(J86,Drills!$A$5:$A$127,0)),"?",IF(N(INDEX(Drills!$K$5:$K$127,MATCH(J86,Drills!$A$5:$A$127,0)))&gt;N($T86),"A","")&amp;IF(ISNUMBER(SEARCH(INDEX(Drills!$E$5:$E$127,MATCH(J86,Drills!$A$5:$A$127,0)),$U86)),"","C")))</f>
        <v/>
      </c>
      <c r="Z86" s="13" t="str">
        <f aca="false">IF(OR(L86="",$A86=""),"",IF(ISNA(MATCH(L86,Drills!$A$5:$A$127,0)),"?",IF(N(INDEX(Drills!$K$5:$K$127,MATCH(L86,Drills!$A$5:$A$127,0)))&gt;N($T86),"A","")&amp;IF(ISNUMBER(SEARCH(INDEX(Drills!$E$5:$E$127,MATCH(L86,Drills!$A$5:$A$127,0)),$U86)),"","C")))</f>
        <v/>
      </c>
      <c r="AA86" s="13" t="str">
        <f aca="false">IF(OR(N86="",$A86=""),"",IF(ISNA(MATCH(N86,Drills!$A$5:$A$127,0)),"?",IF(N(INDEX(Drills!$K$5:$K$127,MATCH(N86,Drills!$A$5:$A$127,0)))&gt;N($T86),"A","")&amp;IF(ISNUMBER(SEARCH(INDEX(Drills!$E$5:$E$127,MATCH(N86,Drills!$A$5:$A$127,0)),$U86)),"","C")))</f>
        <v/>
      </c>
      <c r="AB86" s="13" t="str">
        <f aca="false">IF(A86="","",IFERROR(INDEX(Classes!$I$5:$I$23,MATCH(A86,Classes!$A$5:$A$23,0)),""))</f>
        <v/>
      </c>
    </row>
    <row r="87" customFormat="false" ht="18" hidden="false" customHeight="true" outlineLevel="0" collapsed="false">
      <c r="A87" s="11"/>
      <c r="B87" s="11"/>
      <c r="C87" s="11"/>
      <c r="D87" s="11"/>
      <c r="E87" s="12" t="str">
        <f aca="false">IF(D87="","",IFERROR(INDEX(Drills!$G$5:$G$127,MATCH(D87,Drills!$A$5:$A$127,0)),""))</f>
        <v/>
      </c>
      <c r="F87" s="11"/>
      <c r="G87" s="12" t="str">
        <f aca="false">IF(F87="","",IFERROR(INDEX(Drills!$G$5:$G$127,MATCH(F87,Drills!$A$5:$A$127,0)),""))</f>
        <v/>
      </c>
      <c r="H87" s="11"/>
      <c r="I87" s="12" t="str">
        <f aca="false">IF(H87="","",IFERROR(INDEX(Drills!$G$5:$G$127,MATCH(H87,Drills!$A$5:$A$127,0)),""))</f>
        <v/>
      </c>
      <c r="J87" s="11"/>
      <c r="K87" s="12" t="str">
        <f aca="false">IF(J87="","",IFERROR(INDEX(Drills!$G$5:$G$127,MATCH(J87,Drills!$A$5:$A$127,0)),""))</f>
        <v/>
      </c>
      <c r="L87" s="11"/>
      <c r="M87" s="12" t="str">
        <f aca="false">IF(L87="","",IFERROR(INDEX(Drills!$G$5:$G$127,MATCH(L87,Drills!$A$5:$A$127,0)),""))</f>
        <v/>
      </c>
      <c r="N87" s="11"/>
      <c r="O87" s="12" t="str">
        <f aca="false">IF(N87="","",IFERROR(INDEX(Drills!$G$5:$G$127,MATCH(N87,Drills!$A$5:$A$127,0)),""))</f>
        <v/>
      </c>
      <c r="P87" s="14" t="str">
        <f aca="false">IF(A87="","",SUM(E87,G87,I87,K87,M87,O87))</f>
        <v/>
      </c>
      <c r="Q87" s="14" t="str">
        <f aca="false">IF(A87="","",IFERROR(INDEX(Classes!$C$5:$C$23,MATCH(A87,Classes!$A$5:$A$23,0)),""))</f>
        <v/>
      </c>
      <c r="R87" s="15" t="str">
        <f aca="false">IF(A87="","",IF(TRIM(IF(AND(N(Q87)&gt;0,N(P87)&gt;N(Q87)),"Over by "&amp;(P87-Q87)&amp;" min. ","")&amp;IF(AND(COUNTIF(V87:AA87,"*A*")&gt;0,AB87&lt;&gt;"Yes"),"Age check. ","")&amp;IF(COUNTIF(V87:AA87,"*C*")&gt;0,"Contact check. ","")&amp;IF(COUNTIF(V87:AA87,"~?")&gt;0,"Drill not in library. ",""))="","OK"&amp;IF(AND(COUNTIF(V87:AA87,"*A*")&gt;0,AB87="Yes")," · split by age","")&amp;IF(N(Q87)&gt;N(P87)," ("&amp;(Q87-P87)&amp;" min spare)",""),TRIM(IF(AND(N(Q87)&gt;0,N(P87)&gt;N(Q87)),"Over by "&amp;(P87-Q87)&amp;" min. ","")&amp;IF(AND(COUNTIF(V87:AA87,"*A*")&gt;0,AB87&lt;&gt;"Yes"),"Age check. ","")&amp;IF(COUNTIF(V87:AA87,"*C*")&gt;0,"Contact check. ","")&amp;IF(COUNTIF(V87:AA87,"~?")&gt;0,"Drill not in library. ",""))&amp;IF(AND(COUNTIF(V87:AA87,"*A*")&gt;0,AB87="Yes")," · split by age","")))</f>
        <v/>
      </c>
      <c r="S87" s="11"/>
      <c r="T87" s="13" t="str">
        <f aca="false">IF(A87="","",IFERROR(INDEX(Classes!$E$5:$E$23,MATCH(A87,Classes!$A$5:$A$23,0)),""))</f>
        <v/>
      </c>
      <c r="U87" s="13" t="str">
        <f aca="false">IF(A87="","",IFERROR(INDEX(Classes!$F$5:$F$23,MATCH(A87,Classes!$A$5:$A$23,0)),""))</f>
        <v/>
      </c>
      <c r="V87" s="13" t="str">
        <f aca="false">IF(OR(D87="",$A87=""),"",IF(ISNA(MATCH(D87,Drills!$A$5:$A$127,0)),"?",IF(N(INDEX(Drills!$K$5:$K$127,MATCH(D87,Drills!$A$5:$A$127,0)))&gt;N($T87),"A","")&amp;IF(ISNUMBER(SEARCH(INDEX(Drills!$E$5:$E$127,MATCH(D87,Drills!$A$5:$A$127,0)),$U87)),"","C")))</f>
        <v/>
      </c>
      <c r="W87" s="13" t="str">
        <f aca="false">IF(OR(F87="",$A87=""),"",IF(ISNA(MATCH(F87,Drills!$A$5:$A$127,0)),"?",IF(N(INDEX(Drills!$K$5:$K$127,MATCH(F87,Drills!$A$5:$A$127,0)))&gt;N($T87),"A","")&amp;IF(ISNUMBER(SEARCH(INDEX(Drills!$E$5:$E$127,MATCH(F87,Drills!$A$5:$A$127,0)),$U87)),"","C")))</f>
        <v/>
      </c>
      <c r="X87" s="13" t="str">
        <f aca="false">IF(OR(H87="",$A87=""),"",IF(ISNA(MATCH(H87,Drills!$A$5:$A$127,0)),"?",IF(N(INDEX(Drills!$K$5:$K$127,MATCH(H87,Drills!$A$5:$A$127,0)))&gt;N($T87),"A","")&amp;IF(ISNUMBER(SEARCH(INDEX(Drills!$E$5:$E$127,MATCH(H87,Drills!$A$5:$A$127,0)),$U87)),"","C")))</f>
        <v/>
      </c>
      <c r="Y87" s="13" t="str">
        <f aca="false">IF(OR(J87="",$A87=""),"",IF(ISNA(MATCH(J87,Drills!$A$5:$A$127,0)),"?",IF(N(INDEX(Drills!$K$5:$K$127,MATCH(J87,Drills!$A$5:$A$127,0)))&gt;N($T87),"A","")&amp;IF(ISNUMBER(SEARCH(INDEX(Drills!$E$5:$E$127,MATCH(J87,Drills!$A$5:$A$127,0)),$U87)),"","C")))</f>
        <v/>
      </c>
      <c r="Z87" s="13" t="str">
        <f aca="false">IF(OR(L87="",$A87=""),"",IF(ISNA(MATCH(L87,Drills!$A$5:$A$127,0)),"?",IF(N(INDEX(Drills!$K$5:$K$127,MATCH(L87,Drills!$A$5:$A$127,0)))&gt;N($T87),"A","")&amp;IF(ISNUMBER(SEARCH(INDEX(Drills!$E$5:$E$127,MATCH(L87,Drills!$A$5:$A$127,0)),$U87)),"","C")))</f>
        <v/>
      </c>
      <c r="AA87" s="13" t="str">
        <f aca="false">IF(OR(N87="",$A87=""),"",IF(ISNA(MATCH(N87,Drills!$A$5:$A$127,0)),"?",IF(N(INDEX(Drills!$K$5:$K$127,MATCH(N87,Drills!$A$5:$A$127,0)))&gt;N($T87),"A","")&amp;IF(ISNUMBER(SEARCH(INDEX(Drills!$E$5:$E$127,MATCH(N87,Drills!$A$5:$A$127,0)),$U87)),"","C")))</f>
        <v/>
      </c>
      <c r="AB87" s="13" t="str">
        <f aca="false">IF(A87="","",IFERROR(INDEX(Classes!$I$5:$I$23,MATCH(A87,Classes!$A$5:$A$23,0)),""))</f>
        <v/>
      </c>
    </row>
    <row r="88" customFormat="false" ht="18" hidden="false" customHeight="true" outlineLevel="0" collapsed="false">
      <c r="A88" s="11"/>
      <c r="B88" s="11"/>
      <c r="C88" s="11"/>
      <c r="D88" s="11"/>
      <c r="E88" s="12" t="str">
        <f aca="false">IF(D88="","",IFERROR(INDEX(Drills!$G$5:$G$127,MATCH(D88,Drills!$A$5:$A$127,0)),""))</f>
        <v/>
      </c>
      <c r="F88" s="11"/>
      <c r="G88" s="12" t="str">
        <f aca="false">IF(F88="","",IFERROR(INDEX(Drills!$G$5:$G$127,MATCH(F88,Drills!$A$5:$A$127,0)),""))</f>
        <v/>
      </c>
      <c r="H88" s="11"/>
      <c r="I88" s="12" t="str">
        <f aca="false">IF(H88="","",IFERROR(INDEX(Drills!$G$5:$G$127,MATCH(H88,Drills!$A$5:$A$127,0)),""))</f>
        <v/>
      </c>
      <c r="J88" s="11"/>
      <c r="K88" s="12" t="str">
        <f aca="false">IF(J88="","",IFERROR(INDEX(Drills!$G$5:$G$127,MATCH(J88,Drills!$A$5:$A$127,0)),""))</f>
        <v/>
      </c>
      <c r="L88" s="11"/>
      <c r="M88" s="12" t="str">
        <f aca="false">IF(L88="","",IFERROR(INDEX(Drills!$G$5:$G$127,MATCH(L88,Drills!$A$5:$A$127,0)),""))</f>
        <v/>
      </c>
      <c r="N88" s="11"/>
      <c r="O88" s="12" t="str">
        <f aca="false">IF(N88="","",IFERROR(INDEX(Drills!$G$5:$G$127,MATCH(N88,Drills!$A$5:$A$127,0)),""))</f>
        <v/>
      </c>
      <c r="P88" s="14" t="str">
        <f aca="false">IF(A88="","",SUM(E88,G88,I88,K88,M88,O88))</f>
        <v/>
      </c>
      <c r="Q88" s="14" t="str">
        <f aca="false">IF(A88="","",IFERROR(INDEX(Classes!$C$5:$C$23,MATCH(A88,Classes!$A$5:$A$23,0)),""))</f>
        <v/>
      </c>
      <c r="R88" s="15" t="str">
        <f aca="false">IF(A88="","",IF(TRIM(IF(AND(N(Q88)&gt;0,N(P88)&gt;N(Q88)),"Over by "&amp;(P88-Q88)&amp;" min. ","")&amp;IF(AND(COUNTIF(V88:AA88,"*A*")&gt;0,AB88&lt;&gt;"Yes"),"Age check. ","")&amp;IF(COUNTIF(V88:AA88,"*C*")&gt;0,"Contact check. ","")&amp;IF(COUNTIF(V88:AA88,"~?")&gt;0,"Drill not in library. ",""))="","OK"&amp;IF(AND(COUNTIF(V88:AA88,"*A*")&gt;0,AB88="Yes")," · split by age","")&amp;IF(N(Q88)&gt;N(P88)," ("&amp;(Q88-P88)&amp;" min spare)",""),TRIM(IF(AND(N(Q88)&gt;0,N(P88)&gt;N(Q88)),"Over by "&amp;(P88-Q88)&amp;" min. ","")&amp;IF(AND(COUNTIF(V88:AA88,"*A*")&gt;0,AB88&lt;&gt;"Yes"),"Age check. ","")&amp;IF(COUNTIF(V88:AA88,"*C*")&gt;0,"Contact check. ","")&amp;IF(COUNTIF(V88:AA88,"~?")&gt;0,"Drill not in library. ",""))&amp;IF(AND(COUNTIF(V88:AA88,"*A*")&gt;0,AB88="Yes")," · split by age","")))</f>
        <v/>
      </c>
      <c r="S88" s="11"/>
      <c r="T88" s="13" t="str">
        <f aca="false">IF(A88="","",IFERROR(INDEX(Classes!$E$5:$E$23,MATCH(A88,Classes!$A$5:$A$23,0)),""))</f>
        <v/>
      </c>
      <c r="U88" s="13" t="str">
        <f aca="false">IF(A88="","",IFERROR(INDEX(Classes!$F$5:$F$23,MATCH(A88,Classes!$A$5:$A$23,0)),""))</f>
        <v/>
      </c>
      <c r="V88" s="13" t="str">
        <f aca="false">IF(OR(D88="",$A88=""),"",IF(ISNA(MATCH(D88,Drills!$A$5:$A$127,0)),"?",IF(N(INDEX(Drills!$K$5:$K$127,MATCH(D88,Drills!$A$5:$A$127,0)))&gt;N($T88),"A","")&amp;IF(ISNUMBER(SEARCH(INDEX(Drills!$E$5:$E$127,MATCH(D88,Drills!$A$5:$A$127,0)),$U88)),"","C")))</f>
        <v/>
      </c>
      <c r="W88" s="13" t="str">
        <f aca="false">IF(OR(F88="",$A88=""),"",IF(ISNA(MATCH(F88,Drills!$A$5:$A$127,0)),"?",IF(N(INDEX(Drills!$K$5:$K$127,MATCH(F88,Drills!$A$5:$A$127,0)))&gt;N($T88),"A","")&amp;IF(ISNUMBER(SEARCH(INDEX(Drills!$E$5:$E$127,MATCH(F88,Drills!$A$5:$A$127,0)),$U88)),"","C")))</f>
        <v/>
      </c>
      <c r="X88" s="13" t="str">
        <f aca="false">IF(OR(H88="",$A88=""),"",IF(ISNA(MATCH(H88,Drills!$A$5:$A$127,0)),"?",IF(N(INDEX(Drills!$K$5:$K$127,MATCH(H88,Drills!$A$5:$A$127,0)))&gt;N($T88),"A","")&amp;IF(ISNUMBER(SEARCH(INDEX(Drills!$E$5:$E$127,MATCH(H88,Drills!$A$5:$A$127,0)),$U88)),"","C")))</f>
        <v/>
      </c>
      <c r="Y88" s="13" t="str">
        <f aca="false">IF(OR(J88="",$A88=""),"",IF(ISNA(MATCH(J88,Drills!$A$5:$A$127,0)),"?",IF(N(INDEX(Drills!$K$5:$K$127,MATCH(J88,Drills!$A$5:$A$127,0)))&gt;N($T88),"A","")&amp;IF(ISNUMBER(SEARCH(INDEX(Drills!$E$5:$E$127,MATCH(J88,Drills!$A$5:$A$127,0)),$U88)),"","C")))</f>
        <v/>
      </c>
      <c r="Z88" s="13" t="str">
        <f aca="false">IF(OR(L88="",$A88=""),"",IF(ISNA(MATCH(L88,Drills!$A$5:$A$127,0)),"?",IF(N(INDEX(Drills!$K$5:$K$127,MATCH(L88,Drills!$A$5:$A$127,0)))&gt;N($T88),"A","")&amp;IF(ISNUMBER(SEARCH(INDEX(Drills!$E$5:$E$127,MATCH(L88,Drills!$A$5:$A$127,0)),$U88)),"","C")))</f>
        <v/>
      </c>
      <c r="AA88" s="13" t="str">
        <f aca="false">IF(OR(N88="",$A88=""),"",IF(ISNA(MATCH(N88,Drills!$A$5:$A$127,0)),"?",IF(N(INDEX(Drills!$K$5:$K$127,MATCH(N88,Drills!$A$5:$A$127,0)))&gt;N($T88),"A","")&amp;IF(ISNUMBER(SEARCH(INDEX(Drills!$E$5:$E$127,MATCH(N88,Drills!$A$5:$A$127,0)),$U88)),"","C")))</f>
        <v/>
      </c>
      <c r="AB88" s="13" t="str">
        <f aca="false">IF(A88="","",IFERROR(INDEX(Classes!$I$5:$I$23,MATCH(A88,Classes!$A$5:$A$23,0)),""))</f>
        <v/>
      </c>
    </row>
    <row r="89" customFormat="false" ht="18" hidden="false" customHeight="true" outlineLevel="0" collapsed="false">
      <c r="A89" s="11"/>
      <c r="B89" s="11"/>
      <c r="C89" s="11"/>
      <c r="D89" s="11"/>
      <c r="E89" s="12" t="str">
        <f aca="false">IF(D89="","",IFERROR(INDEX(Drills!$G$5:$G$127,MATCH(D89,Drills!$A$5:$A$127,0)),""))</f>
        <v/>
      </c>
      <c r="F89" s="11"/>
      <c r="G89" s="12" t="str">
        <f aca="false">IF(F89="","",IFERROR(INDEX(Drills!$G$5:$G$127,MATCH(F89,Drills!$A$5:$A$127,0)),""))</f>
        <v/>
      </c>
      <c r="H89" s="11"/>
      <c r="I89" s="12" t="str">
        <f aca="false">IF(H89="","",IFERROR(INDEX(Drills!$G$5:$G$127,MATCH(H89,Drills!$A$5:$A$127,0)),""))</f>
        <v/>
      </c>
      <c r="J89" s="11"/>
      <c r="K89" s="12" t="str">
        <f aca="false">IF(J89="","",IFERROR(INDEX(Drills!$G$5:$G$127,MATCH(J89,Drills!$A$5:$A$127,0)),""))</f>
        <v/>
      </c>
      <c r="L89" s="11"/>
      <c r="M89" s="12" t="str">
        <f aca="false">IF(L89="","",IFERROR(INDEX(Drills!$G$5:$G$127,MATCH(L89,Drills!$A$5:$A$127,0)),""))</f>
        <v/>
      </c>
      <c r="N89" s="11"/>
      <c r="O89" s="12" t="str">
        <f aca="false">IF(N89="","",IFERROR(INDEX(Drills!$G$5:$G$127,MATCH(N89,Drills!$A$5:$A$127,0)),""))</f>
        <v/>
      </c>
      <c r="P89" s="14" t="str">
        <f aca="false">IF(A89="","",SUM(E89,G89,I89,K89,M89,O89))</f>
        <v/>
      </c>
      <c r="Q89" s="14" t="str">
        <f aca="false">IF(A89="","",IFERROR(INDEX(Classes!$C$5:$C$23,MATCH(A89,Classes!$A$5:$A$23,0)),""))</f>
        <v/>
      </c>
      <c r="R89" s="15" t="str">
        <f aca="false">IF(A89="","",IF(TRIM(IF(AND(N(Q89)&gt;0,N(P89)&gt;N(Q89)),"Over by "&amp;(P89-Q89)&amp;" min. ","")&amp;IF(AND(COUNTIF(V89:AA89,"*A*")&gt;0,AB89&lt;&gt;"Yes"),"Age check. ","")&amp;IF(COUNTIF(V89:AA89,"*C*")&gt;0,"Contact check. ","")&amp;IF(COUNTIF(V89:AA89,"~?")&gt;0,"Drill not in library. ",""))="","OK"&amp;IF(AND(COUNTIF(V89:AA89,"*A*")&gt;0,AB89="Yes")," · split by age","")&amp;IF(N(Q89)&gt;N(P89)," ("&amp;(Q89-P89)&amp;" min spare)",""),TRIM(IF(AND(N(Q89)&gt;0,N(P89)&gt;N(Q89)),"Over by "&amp;(P89-Q89)&amp;" min. ","")&amp;IF(AND(COUNTIF(V89:AA89,"*A*")&gt;0,AB89&lt;&gt;"Yes"),"Age check. ","")&amp;IF(COUNTIF(V89:AA89,"*C*")&gt;0,"Contact check. ","")&amp;IF(COUNTIF(V89:AA89,"~?")&gt;0,"Drill not in library. ",""))&amp;IF(AND(COUNTIF(V89:AA89,"*A*")&gt;0,AB89="Yes")," · split by age","")))</f>
        <v/>
      </c>
      <c r="S89" s="11"/>
      <c r="T89" s="13" t="str">
        <f aca="false">IF(A89="","",IFERROR(INDEX(Classes!$E$5:$E$23,MATCH(A89,Classes!$A$5:$A$23,0)),""))</f>
        <v/>
      </c>
      <c r="U89" s="13" t="str">
        <f aca="false">IF(A89="","",IFERROR(INDEX(Classes!$F$5:$F$23,MATCH(A89,Classes!$A$5:$A$23,0)),""))</f>
        <v/>
      </c>
      <c r="V89" s="13" t="str">
        <f aca="false">IF(OR(D89="",$A89=""),"",IF(ISNA(MATCH(D89,Drills!$A$5:$A$127,0)),"?",IF(N(INDEX(Drills!$K$5:$K$127,MATCH(D89,Drills!$A$5:$A$127,0)))&gt;N($T89),"A","")&amp;IF(ISNUMBER(SEARCH(INDEX(Drills!$E$5:$E$127,MATCH(D89,Drills!$A$5:$A$127,0)),$U89)),"","C")))</f>
        <v/>
      </c>
      <c r="W89" s="13" t="str">
        <f aca="false">IF(OR(F89="",$A89=""),"",IF(ISNA(MATCH(F89,Drills!$A$5:$A$127,0)),"?",IF(N(INDEX(Drills!$K$5:$K$127,MATCH(F89,Drills!$A$5:$A$127,0)))&gt;N($T89),"A","")&amp;IF(ISNUMBER(SEARCH(INDEX(Drills!$E$5:$E$127,MATCH(F89,Drills!$A$5:$A$127,0)),$U89)),"","C")))</f>
        <v/>
      </c>
      <c r="X89" s="13" t="str">
        <f aca="false">IF(OR(H89="",$A89=""),"",IF(ISNA(MATCH(H89,Drills!$A$5:$A$127,0)),"?",IF(N(INDEX(Drills!$K$5:$K$127,MATCH(H89,Drills!$A$5:$A$127,0)))&gt;N($T89),"A","")&amp;IF(ISNUMBER(SEARCH(INDEX(Drills!$E$5:$E$127,MATCH(H89,Drills!$A$5:$A$127,0)),$U89)),"","C")))</f>
        <v/>
      </c>
      <c r="Y89" s="13" t="str">
        <f aca="false">IF(OR(J89="",$A89=""),"",IF(ISNA(MATCH(J89,Drills!$A$5:$A$127,0)),"?",IF(N(INDEX(Drills!$K$5:$K$127,MATCH(J89,Drills!$A$5:$A$127,0)))&gt;N($T89),"A","")&amp;IF(ISNUMBER(SEARCH(INDEX(Drills!$E$5:$E$127,MATCH(J89,Drills!$A$5:$A$127,0)),$U89)),"","C")))</f>
        <v/>
      </c>
      <c r="Z89" s="13" t="str">
        <f aca="false">IF(OR(L89="",$A89=""),"",IF(ISNA(MATCH(L89,Drills!$A$5:$A$127,0)),"?",IF(N(INDEX(Drills!$K$5:$K$127,MATCH(L89,Drills!$A$5:$A$127,0)))&gt;N($T89),"A","")&amp;IF(ISNUMBER(SEARCH(INDEX(Drills!$E$5:$E$127,MATCH(L89,Drills!$A$5:$A$127,0)),$U89)),"","C")))</f>
        <v/>
      </c>
      <c r="AA89" s="13" t="str">
        <f aca="false">IF(OR(N89="",$A89=""),"",IF(ISNA(MATCH(N89,Drills!$A$5:$A$127,0)),"?",IF(N(INDEX(Drills!$K$5:$K$127,MATCH(N89,Drills!$A$5:$A$127,0)))&gt;N($T89),"A","")&amp;IF(ISNUMBER(SEARCH(INDEX(Drills!$E$5:$E$127,MATCH(N89,Drills!$A$5:$A$127,0)),$U89)),"","C")))</f>
        <v/>
      </c>
      <c r="AB89" s="13" t="str">
        <f aca="false">IF(A89="","",IFERROR(INDEX(Classes!$I$5:$I$23,MATCH(A89,Classes!$A$5:$A$23,0)),""))</f>
        <v/>
      </c>
    </row>
    <row r="90" customFormat="false" ht="18" hidden="false" customHeight="true" outlineLevel="0" collapsed="false">
      <c r="A90" s="11"/>
      <c r="B90" s="11"/>
      <c r="C90" s="11"/>
      <c r="D90" s="11"/>
      <c r="E90" s="12" t="str">
        <f aca="false">IF(D90="","",IFERROR(INDEX(Drills!$G$5:$G$127,MATCH(D90,Drills!$A$5:$A$127,0)),""))</f>
        <v/>
      </c>
      <c r="F90" s="11"/>
      <c r="G90" s="12" t="str">
        <f aca="false">IF(F90="","",IFERROR(INDEX(Drills!$G$5:$G$127,MATCH(F90,Drills!$A$5:$A$127,0)),""))</f>
        <v/>
      </c>
      <c r="H90" s="11"/>
      <c r="I90" s="12" t="str">
        <f aca="false">IF(H90="","",IFERROR(INDEX(Drills!$G$5:$G$127,MATCH(H90,Drills!$A$5:$A$127,0)),""))</f>
        <v/>
      </c>
      <c r="J90" s="11"/>
      <c r="K90" s="12" t="str">
        <f aca="false">IF(J90="","",IFERROR(INDEX(Drills!$G$5:$G$127,MATCH(J90,Drills!$A$5:$A$127,0)),""))</f>
        <v/>
      </c>
      <c r="L90" s="11"/>
      <c r="M90" s="12" t="str">
        <f aca="false">IF(L90="","",IFERROR(INDEX(Drills!$G$5:$G$127,MATCH(L90,Drills!$A$5:$A$127,0)),""))</f>
        <v/>
      </c>
      <c r="N90" s="11"/>
      <c r="O90" s="12" t="str">
        <f aca="false">IF(N90="","",IFERROR(INDEX(Drills!$G$5:$G$127,MATCH(N90,Drills!$A$5:$A$127,0)),""))</f>
        <v/>
      </c>
      <c r="P90" s="14" t="str">
        <f aca="false">IF(A90="","",SUM(E90,G90,I90,K90,M90,O90))</f>
        <v/>
      </c>
      <c r="Q90" s="14" t="str">
        <f aca="false">IF(A90="","",IFERROR(INDEX(Classes!$C$5:$C$23,MATCH(A90,Classes!$A$5:$A$23,0)),""))</f>
        <v/>
      </c>
      <c r="R90" s="15" t="str">
        <f aca="false">IF(A90="","",IF(TRIM(IF(AND(N(Q90)&gt;0,N(P90)&gt;N(Q90)),"Over by "&amp;(P90-Q90)&amp;" min. ","")&amp;IF(AND(COUNTIF(V90:AA90,"*A*")&gt;0,AB90&lt;&gt;"Yes"),"Age check. ","")&amp;IF(COUNTIF(V90:AA90,"*C*")&gt;0,"Contact check. ","")&amp;IF(COUNTIF(V90:AA90,"~?")&gt;0,"Drill not in library. ",""))="","OK"&amp;IF(AND(COUNTIF(V90:AA90,"*A*")&gt;0,AB90="Yes")," · split by age","")&amp;IF(N(Q90)&gt;N(P90)," ("&amp;(Q90-P90)&amp;" min spare)",""),TRIM(IF(AND(N(Q90)&gt;0,N(P90)&gt;N(Q90)),"Over by "&amp;(P90-Q90)&amp;" min. ","")&amp;IF(AND(COUNTIF(V90:AA90,"*A*")&gt;0,AB90&lt;&gt;"Yes"),"Age check. ","")&amp;IF(COUNTIF(V90:AA90,"*C*")&gt;0,"Contact check. ","")&amp;IF(COUNTIF(V90:AA90,"~?")&gt;0,"Drill not in library. ",""))&amp;IF(AND(COUNTIF(V90:AA90,"*A*")&gt;0,AB90="Yes")," · split by age","")))</f>
        <v/>
      </c>
      <c r="S90" s="11"/>
      <c r="T90" s="13" t="str">
        <f aca="false">IF(A90="","",IFERROR(INDEX(Classes!$E$5:$E$23,MATCH(A90,Classes!$A$5:$A$23,0)),""))</f>
        <v/>
      </c>
      <c r="U90" s="13" t="str">
        <f aca="false">IF(A90="","",IFERROR(INDEX(Classes!$F$5:$F$23,MATCH(A90,Classes!$A$5:$A$23,0)),""))</f>
        <v/>
      </c>
      <c r="V90" s="13" t="str">
        <f aca="false">IF(OR(D90="",$A90=""),"",IF(ISNA(MATCH(D90,Drills!$A$5:$A$127,0)),"?",IF(N(INDEX(Drills!$K$5:$K$127,MATCH(D90,Drills!$A$5:$A$127,0)))&gt;N($T90),"A","")&amp;IF(ISNUMBER(SEARCH(INDEX(Drills!$E$5:$E$127,MATCH(D90,Drills!$A$5:$A$127,0)),$U90)),"","C")))</f>
        <v/>
      </c>
      <c r="W90" s="13" t="str">
        <f aca="false">IF(OR(F90="",$A90=""),"",IF(ISNA(MATCH(F90,Drills!$A$5:$A$127,0)),"?",IF(N(INDEX(Drills!$K$5:$K$127,MATCH(F90,Drills!$A$5:$A$127,0)))&gt;N($T90),"A","")&amp;IF(ISNUMBER(SEARCH(INDEX(Drills!$E$5:$E$127,MATCH(F90,Drills!$A$5:$A$127,0)),$U90)),"","C")))</f>
        <v/>
      </c>
      <c r="X90" s="13" t="str">
        <f aca="false">IF(OR(H90="",$A90=""),"",IF(ISNA(MATCH(H90,Drills!$A$5:$A$127,0)),"?",IF(N(INDEX(Drills!$K$5:$K$127,MATCH(H90,Drills!$A$5:$A$127,0)))&gt;N($T90),"A","")&amp;IF(ISNUMBER(SEARCH(INDEX(Drills!$E$5:$E$127,MATCH(H90,Drills!$A$5:$A$127,0)),$U90)),"","C")))</f>
        <v/>
      </c>
      <c r="Y90" s="13" t="str">
        <f aca="false">IF(OR(J90="",$A90=""),"",IF(ISNA(MATCH(J90,Drills!$A$5:$A$127,0)),"?",IF(N(INDEX(Drills!$K$5:$K$127,MATCH(J90,Drills!$A$5:$A$127,0)))&gt;N($T90),"A","")&amp;IF(ISNUMBER(SEARCH(INDEX(Drills!$E$5:$E$127,MATCH(J90,Drills!$A$5:$A$127,0)),$U90)),"","C")))</f>
        <v/>
      </c>
      <c r="Z90" s="13" t="str">
        <f aca="false">IF(OR(L90="",$A90=""),"",IF(ISNA(MATCH(L90,Drills!$A$5:$A$127,0)),"?",IF(N(INDEX(Drills!$K$5:$K$127,MATCH(L90,Drills!$A$5:$A$127,0)))&gt;N($T90),"A","")&amp;IF(ISNUMBER(SEARCH(INDEX(Drills!$E$5:$E$127,MATCH(L90,Drills!$A$5:$A$127,0)),$U90)),"","C")))</f>
        <v/>
      </c>
      <c r="AA90" s="13" t="str">
        <f aca="false">IF(OR(N90="",$A90=""),"",IF(ISNA(MATCH(N90,Drills!$A$5:$A$127,0)),"?",IF(N(INDEX(Drills!$K$5:$K$127,MATCH(N90,Drills!$A$5:$A$127,0)))&gt;N($T90),"A","")&amp;IF(ISNUMBER(SEARCH(INDEX(Drills!$E$5:$E$127,MATCH(N90,Drills!$A$5:$A$127,0)),$U90)),"","C")))</f>
        <v/>
      </c>
      <c r="AB90" s="13" t="str">
        <f aca="false">IF(A90="","",IFERROR(INDEX(Classes!$I$5:$I$23,MATCH(A90,Classes!$A$5:$A$23,0)),""))</f>
        <v/>
      </c>
    </row>
    <row r="91" customFormat="false" ht="18" hidden="false" customHeight="true" outlineLevel="0" collapsed="false">
      <c r="A91" s="11"/>
      <c r="B91" s="11"/>
      <c r="C91" s="11"/>
      <c r="D91" s="11"/>
      <c r="E91" s="12" t="str">
        <f aca="false">IF(D91="","",IFERROR(INDEX(Drills!$G$5:$G$127,MATCH(D91,Drills!$A$5:$A$127,0)),""))</f>
        <v/>
      </c>
      <c r="F91" s="11"/>
      <c r="G91" s="12" t="str">
        <f aca="false">IF(F91="","",IFERROR(INDEX(Drills!$G$5:$G$127,MATCH(F91,Drills!$A$5:$A$127,0)),""))</f>
        <v/>
      </c>
      <c r="H91" s="11"/>
      <c r="I91" s="12" t="str">
        <f aca="false">IF(H91="","",IFERROR(INDEX(Drills!$G$5:$G$127,MATCH(H91,Drills!$A$5:$A$127,0)),""))</f>
        <v/>
      </c>
      <c r="J91" s="11"/>
      <c r="K91" s="12" t="str">
        <f aca="false">IF(J91="","",IFERROR(INDEX(Drills!$G$5:$G$127,MATCH(J91,Drills!$A$5:$A$127,0)),""))</f>
        <v/>
      </c>
      <c r="L91" s="11"/>
      <c r="M91" s="12" t="str">
        <f aca="false">IF(L91="","",IFERROR(INDEX(Drills!$G$5:$G$127,MATCH(L91,Drills!$A$5:$A$127,0)),""))</f>
        <v/>
      </c>
      <c r="N91" s="11"/>
      <c r="O91" s="12" t="str">
        <f aca="false">IF(N91="","",IFERROR(INDEX(Drills!$G$5:$G$127,MATCH(N91,Drills!$A$5:$A$127,0)),""))</f>
        <v/>
      </c>
      <c r="P91" s="14" t="str">
        <f aca="false">IF(A91="","",SUM(E91,G91,I91,K91,M91,O91))</f>
        <v/>
      </c>
      <c r="Q91" s="14" t="str">
        <f aca="false">IF(A91="","",IFERROR(INDEX(Classes!$C$5:$C$23,MATCH(A91,Classes!$A$5:$A$23,0)),""))</f>
        <v/>
      </c>
      <c r="R91" s="15" t="str">
        <f aca="false">IF(A91="","",IF(TRIM(IF(AND(N(Q91)&gt;0,N(P91)&gt;N(Q91)),"Over by "&amp;(P91-Q91)&amp;" min. ","")&amp;IF(AND(COUNTIF(V91:AA91,"*A*")&gt;0,AB91&lt;&gt;"Yes"),"Age check. ","")&amp;IF(COUNTIF(V91:AA91,"*C*")&gt;0,"Contact check. ","")&amp;IF(COUNTIF(V91:AA91,"~?")&gt;0,"Drill not in library. ",""))="","OK"&amp;IF(AND(COUNTIF(V91:AA91,"*A*")&gt;0,AB91="Yes")," · split by age","")&amp;IF(N(Q91)&gt;N(P91)," ("&amp;(Q91-P91)&amp;" min spare)",""),TRIM(IF(AND(N(Q91)&gt;0,N(P91)&gt;N(Q91)),"Over by "&amp;(P91-Q91)&amp;" min. ","")&amp;IF(AND(COUNTIF(V91:AA91,"*A*")&gt;0,AB91&lt;&gt;"Yes"),"Age check. ","")&amp;IF(COUNTIF(V91:AA91,"*C*")&gt;0,"Contact check. ","")&amp;IF(COUNTIF(V91:AA91,"~?")&gt;0,"Drill not in library. ",""))&amp;IF(AND(COUNTIF(V91:AA91,"*A*")&gt;0,AB91="Yes")," · split by age","")))</f>
        <v/>
      </c>
      <c r="S91" s="11"/>
      <c r="T91" s="13" t="str">
        <f aca="false">IF(A91="","",IFERROR(INDEX(Classes!$E$5:$E$23,MATCH(A91,Classes!$A$5:$A$23,0)),""))</f>
        <v/>
      </c>
      <c r="U91" s="13" t="str">
        <f aca="false">IF(A91="","",IFERROR(INDEX(Classes!$F$5:$F$23,MATCH(A91,Classes!$A$5:$A$23,0)),""))</f>
        <v/>
      </c>
      <c r="V91" s="13" t="str">
        <f aca="false">IF(OR(D91="",$A91=""),"",IF(ISNA(MATCH(D91,Drills!$A$5:$A$127,0)),"?",IF(N(INDEX(Drills!$K$5:$K$127,MATCH(D91,Drills!$A$5:$A$127,0)))&gt;N($T91),"A","")&amp;IF(ISNUMBER(SEARCH(INDEX(Drills!$E$5:$E$127,MATCH(D91,Drills!$A$5:$A$127,0)),$U91)),"","C")))</f>
        <v/>
      </c>
      <c r="W91" s="13" t="str">
        <f aca="false">IF(OR(F91="",$A91=""),"",IF(ISNA(MATCH(F91,Drills!$A$5:$A$127,0)),"?",IF(N(INDEX(Drills!$K$5:$K$127,MATCH(F91,Drills!$A$5:$A$127,0)))&gt;N($T91),"A","")&amp;IF(ISNUMBER(SEARCH(INDEX(Drills!$E$5:$E$127,MATCH(F91,Drills!$A$5:$A$127,0)),$U91)),"","C")))</f>
        <v/>
      </c>
      <c r="X91" s="13" t="str">
        <f aca="false">IF(OR(H91="",$A91=""),"",IF(ISNA(MATCH(H91,Drills!$A$5:$A$127,0)),"?",IF(N(INDEX(Drills!$K$5:$K$127,MATCH(H91,Drills!$A$5:$A$127,0)))&gt;N($T91),"A","")&amp;IF(ISNUMBER(SEARCH(INDEX(Drills!$E$5:$E$127,MATCH(H91,Drills!$A$5:$A$127,0)),$U91)),"","C")))</f>
        <v/>
      </c>
      <c r="Y91" s="13" t="str">
        <f aca="false">IF(OR(J91="",$A91=""),"",IF(ISNA(MATCH(J91,Drills!$A$5:$A$127,0)),"?",IF(N(INDEX(Drills!$K$5:$K$127,MATCH(J91,Drills!$A$5:$A$127,0)))&gt;N($T91),"A","")&amp;IF(ISNUMBER(SEARCH(INDEX(Drills!$E$5:$E$127,MATCH(J91,Drills!$A$5:$A$127,0)),$U91)),"","C")))</f>
        <v/>
      </c>
      <c r="Z91" s="13" t="str">
        <f aca="false">IF(OR(L91="",$A91=""),"",IF(ISNA(MATCH(L91,Drills!$A$5:$A$127,0)),"?",IF(N(INDEX(Drills!$K$5:$K$127,MATCH(L91,Drills!$A$5:$A$127,0)))&gt;N($T91),"A","")&amp;IF(ISNUMBER(SEARCH(INDEX(Drills!$E$5:$E$127,MATCH(L91,Drills!$A$5:$A$127,0)),$U91)),"","C")))</f>
        <v/>
      </c>
      <c r="AA91" s="13" t="str">
        <f aca="false">IF(OR(N91="",$A91=""),"",IF(ISNA(MATCH(N91,Drills!$A$5:$A$127,0)),"?",IF(N(INDEX(Drills!$K$5:$K$127,MATCH(N91,Drills!$A$5:$A$127,0)))&gt;N($T91),"A","")&amp;IF(ISNUMBER(SEARCH(INDEX(Drills!$E$5:$E$127,MATCH(N91,Drills!$A$5:$A$127,0)),$U91)),"","C")))</f>
        <v/>
      </c>
      <c r="AB91" s="13" t="str">
        <f aca="false">IF(A91="","",IFERROR(INDEX(Classes!$I$5:$I$23,MATCH(A91,Classes!$A$5:$A$23,0)),""))</f>
        <v/>
      </c>
    </row>
    <row r="92" customFormat="false" ht="18" hidden="false" customHeight="true" outlineLevel="0" collapsed="false">
      <c r="A92" s="11"/>
      <c r="B92" s="11"/>
      <c r="C92" s="11"/>
      <c r="D92" s="11"/>
      <c r="E92" s="12" t="str">
        <f aca="false">IF(D92="","",IFERROR(INDEX(Drills!$G$5:$G$127,MATCH(D92,Drills!$A$5:$A$127,0)),""))</f>
        <v/>
      </c>
      <c r="F92" s="11"/>
      <c r="G92" s="12" t="str">
        <f aca="false">IF(F92="","",IFERROR(INDEX(Drills!$G$5:$G$127,MATCH(F92,Drills!$A$5:$A$127,0)),""))</f>
        <v/>
      </c>
      <c r="H92" s="11"/>
      <c r="I92" s="12" t="str">
        <f aca="false">IF(H92="","",IFERROR(INDEX(Drills!$G$5:$G$127,MATCH(H92,Drills!$A$5:$A$127,0)),""))</f>
        <v/>
      </c>
      <c r="J92" s="11"/>
      <c r="K92" s="12" t="str">
        <f aca="false">IF(J92="","",IFERROR(INDEX(Drills!$G$5:$G$127,MATCH(J92,Drills!$A$5:$A$127,0)),""))</f>
        <v/>
      </c>
      <c r="L92" s="11"/>
      <c r="M92" s="12" t="str">
        <f aca="false">IF(L92="","",IFERROR(INDEX(Drills!$G$5:$G$127,MATCH(L92,Drills!$A$5:$A$127,0)),""))</f>
        <v/>
      </c>
      <c r="N92" s="11"/>
      <c r="O92" s="12" t="str">
        <f aca="false">IF(N92="","",IFERROR(INDEX(Drills!$G$5:$G$127,MATCH(N92,Drills!$A$5:$A$127,0)),""))</f>
        <v/>
      </c>
      <c r="P92" s="14" t="str">
        <f aca="false">IF(A92="","",SUM(E92,G92,I92,K92,M92,O92))</f>
        <v/>
      </c>
      <c r="Q92" s="14" t="str">
        <f aca="false">IF(A92="","",IFERROR(INDEX(Classes!$C$5:$C$23,MATCH(A92,Classes!$A$5:$A$23,0)),""))</f>
        <v/>
      </c>
      <c r="R92" s="15" t="str">
        <f aca="false">IF(A92="","",IF(TRIM(IF(AND(N(Q92)&gt;0,N(P92)&gt;N(Q92)),"Over by "&amp;(P92-Q92)&amp;" min. ","")&amp;IF(AND(COUNTIF(V92:AA92,"*A*")&gt;0,AB92&lt;&gt;"Yes"),"Age check. ","")&amp;IF(COUNTIF(V92:AA92,"*C*")&gt;0,"Contact check. ","")&amp;IF(COUNTIF(V92:AA92,"~?")&gt;0,"Drill not in library. ",""))="","OK"&amp;IF(AND(COUNTIF(V92:AA92,"*A*")&gt;0,AB92="Yes")," · split by age","")&amp;IF(N(Q92)&gt;N(P92)," ("&amp;(Q92-P92)&amp;" min spare)",""),TRIM(IF(AND(N(Q92)&gt;0,N(P92)&gt;N(Q92)),"Over by "&amp;(P92-Q92)&amp;" min. ","")&amp;IF(AND(COUNTIF(V92:AA92,"*A*")&gt;0,AB92&lt;&gt;"Yes"),"Age check. ","")&amp;IF(COUNTIF(V92:AA92,"*C*")&gt;0,"Contact check. ","")&amp;IF(COUNTIF(V92:AA92,"~?")&gt;0,"Drill not in library. ",""))&amp;IF(AND(COUNTIF(V92:AA92,"*A*")&gt;0,AB92="Yes")," · split by age","")))</f>
        <v/>
      </c>
      <c r="S92" s="11"/>
      <c r="T92" s="13" t="str">
        <f aca="false">IF(A92="","",IFERROR(INDEX(Classes!$E$5:$E$23,MATCH(A92,Classes!$A$5:$A$23,0)),""))</f>
        <v/>
      </c>
      <c r="U92" s="13" t="str">
        <f aca="false">IF(A92="","",IFERROR(INDEX(Classes!$F$5:$F$23,MATCH(A92,Classes!$A$5:$A$23,0)),""))</f>
        <v/>
      </c>
      <c r="V92" s="13" t="str">
        <f aca="false">IF(OR(D92="",$A92=""),"",IF(ISNA(MATCH(D92,Drills!$A$5:$A$127,0)),"?",IF(N(INDEX(Drills!$K$5:$K$127,MATCH(D92,Drills!$A$5:$A$127,0)))&gt;N($T92),"A","")&amp;IF(ISNUMBER(SEARCH(INDEX(Drills!$E$5:$E$127,MATCH(D92,Drills!$A$5:$A$127,0)),$U92)),"","C")))</f>
        <v/>
      </c>
      <c r="W92" s="13" t="str">
        <f aca="false">IF(OR(F92="",$A92=""),"",IF(ISNA(MATCH(F92,Drills!$A$5:$A$127,0)),"?",IF(N(INDEX(Drills!$K$5:$K$127,MATCH(F92,Drills!$A$5:$A$127,0)))&gt;N($T92),"A","")&amp;IF(ISNUMBER(SEARCH(INDEX(Drills!$E$5:$E$127,MATCH(F92,Drills!$A$5:$A$127,0)),$U92)),"","C")))</f>
        <v/>
      </c>
      <c r="X92" s="13" t="str">
        <f aca="false">IF(OR(H92="",$A92=""),"",IF(ISNA(MATCH(H92,Drills!$A$5:$A$127,0)),"?",IF(N(INDEX(Drills!$K$5:$K$127,MATCH(H92,Drills!$A$5:$A$127,0)))&gt;N($T92),"A","")&amp;IF(ISNUMBER(SEARCH(INDEX(Drills!$E$5:$E$127,MATCH(H92,Drills!$A$5:$A$127,0)),$U92)),"","C")))</f>
        <v/>
      </c>
      <c r="Y92" s="13" t="str">
        <f aca="false">IF(OR(J92="",$A92=""),"",IF(ISNA(MATCH(J92,Drills!$A$5:$A$127,0)),"?",IF(N(INDEX(Drills!$K$5:$K$127,MATCH(J92,Drills!$A$5:$A$127,0)))&gt;N($T92),"A","")&amp;IF(ISNUMBER(SEARCH(INDEX(Drills!$E$5:$E$127,MATCH(J92,Drills!$A$5:$A$127,0)),$U92)),"","C")))</f>
        <v/>
      </c>
      <c r="Z92" s="13" t="str">
        <f aca="false">IF(OR(L92="",$A92=""),"",IF(ISNA(MATCH(L92,Drills!$A$5:$A$127,0)),"?",IF(N(INDEX(Drills!$K$5:$K$127,MATCH(L92,Drills!$A$5:$A$127,0)))&gt;N($T92),"A","")&amp;IF(ISNUMBER(SEARCH(INDEX(Drills!$E$5:$E$127,MATCH(L92,Drills!$A$5:$A$127,0)),$U92)),"","C")))</f>
        <v/>
      </c>
      <c r="AA92" s="13" t="str">
        <f aca="false">IF(OR(N92="",$A92=""),"",IF(ISNA(MATCH(N92,Drills!$A$5:$A$127,0)),"?",IF(N(INDEX(Drills!$K$5:$K$127,MATCH(N92,Drills!$A$5:$A$127,0)))&gt;N($T92),"A","")&amp;IF(ISNUMBER(SEARCH(INDEX(Drills!$E$5:$E$127,MATCH(N92,Drills!$A$5:$A$127,0)),$U92)),"","C")))</f>
        <v/>
      </c>
      <c r="AB92" s="13" t="str">
        <f aca="false">IF(A92="","",IFERROR(INDEX(Classes!$I$5:$I$23,MATCH(A92,Classes!$A$5:$A$23,0)),""))</f>
        <v/>
      </c>
    </row>
    <row r="93" customFormat="false" ht="18" hidden="false" customHeight="true" outlineLevel="0" collapsed="false">
      <c r="A93" s="11"/>
      <c r="B93" s="11"/>
      <c r="C93" s="11"/>
      <c r="D93" s="11"/>
      <c r="E93" s="12" t="str">
        <f aca="false">IF(D93="","",IFERROR(INDEX(Drills!$G$5:$G$127,MATCH(D93,Drills!$A$5:$A$127,0)),""))</f>
        <v/>
      </c>
      <c r="F93" s="11"/>
      <c r="G93" s="12" t="str">
        <f aca="false">IF(F93="","",IFERROR(INDEX(Drills!$G$5:$G$127,MATCH(F93,Drills!$A$5:$A$127,0)),""))</f>
        <v/>
      </c>
      <c r="H93" s="11"/>
      <c r="I93" s="12" t="str">
        <f aca="false">IF(H93="","",IFERROR(INDEX(Drills!$G$5:$G$127,MATCH(H93,Drills!$A$5:$A$127,0)),""))</f>
        <v/>
      </c>
      <c r="J93" s="11"/>
      <c r="K93" s="12" t="str">
        <f aca="false">IF(J93="","",IFERROR(INDEX(Drills!$G$5:$G$127,MATCH(J93,Drills!$A$5:$A$127,0)),""))</f>
        <v/>
      </c>
      <c r="L93" s="11"/>
      <c r="M93" s="12" t="str">
        <f aca="false">IF(L93="","",IFERROR(INDEX(Drills!$G$5:$G$127,MATCH(L93,Drills!$A$5:$A$127,0)),""))</f>
        <v/>
      </c>
      <c r="N93" s="11"/>
      <c r="O93" s="12" t="str">
        <f aca="false">IF(N93="","",IFERROR(INDEX(Drills!$G$5:$G$127,MATCH(N93,Drills!$A$5:$A$127,0)),""))</f>
        <v/>
      </c>
      <c r="P93" s="14" t="str">
        <f aca="false">IF(A93="","",SUM(E93,G93,I93,K93,M93,O93))</f>
        <v/>
      </c>
      <c r="Q93" s="14" t="str">
        <f aca="false">IF(A93="","",IFERROR(INDEX(Classes!$C$5:$C$23,MATCH(A93,Classes!$A$5:$A$23,0)),""))</f>
        <v/>
      </c>
      <c r="R93" s="15" t="str">
        <f aca="false">IF(A93="","",IF(TRIM(IF(AND(N(Q93)&gt;0,N(P93)&gt;N(Q93)),"Over by "&amp;(P93-Q93)&amp;" min. ","")&amp;IF(AND(COUNTIF(V93:AA93,"*A*")&gt;0,AB93&lt;&gt;"Yes"),"Age check. ","")&amp;IF(COUNTIF(V93:AA93,"*C*")&gt;0,"Contact check. ","")&amp;IF(COUNTIF(V93:AA93,"~?")&gt;0,"Drill not in library. ",""))="","OK"&amp;IF(AND(COUNTIF(V93:AA93,"*A*")&gt;0,AB93="Yes")," · split by age","")&amp;IF(N(Q93)&gt;N(P93)," ("&amp;(Q93-P93)&amp;" min spare)",""),TRIM(IF(AND(N(Q93)&gt;0,N(P93)&gt;N(Q93)),"Over by "&amp;(P93-Q93)&amp;" min. ","")&amp;IF(AND(COUNTIF(V93:AA93,"*A*")&gt;0,AB93&lt;&gt;"Yes"),"Age check. ","")&amp;IF(COUNTIF(V93:AA93,"*C*")&gt;0,"Contact check. ","")&amp;IF(COUNTIF(V93:AA93,"~?")&gt;0,"Drill not in library. ",""))&amp;IF(AND(COUNTIF(V93:AA93,"*A*")&gt;0,AB93="Yes")," · split by age","")))</f>
        <v/>
      </c>
      <c r="S93" s="11"/>
      <c r="T93" s="13" t="str">
        <f aca="false">IF(A93="","",IFERROR(INDEX(Classes!$E$5:$E$23,MATCH(A93,Classes!$A$5:$A$23,0)),""))</f>
        <v/>
      </c>
      <c r="U93" s="13" t="str">
        <f aca="false">IF(A93="","",IFERROR(INDEX(Classes!$F$5:$F$23,MATCH(A93,Classes!$A$5:$A$23,0)),""))</f>
        <v/>
      </c>
      <c r="V93" s="13" t="str">
        <f aca="false">IF(OR(D93="",$A93=""),"",IF(ISNA(MATCH(D93,Drills!$A$5:$A$127,0)),"?",IF(N(INDEX(Drills!$K$5:$K$127,MATCH(D93,Drills!$A$5:$A$127,0)))&gt;N($T93),"A","")&amp;IF(ISNUMBER(SEARCH(INDEX(Drills!$E$5:$E$127,MATCH(D93,Drills!$A$5:$A$127,0)),$U93)),"","C")))</f>
        <v/>
      </c>
      <c r="W93" s="13" t="str">
        <f aca="false">IF(OR(F93="",$A93=""),"",IF(ISNA(MATCH(F93,Drills!$A$5:$A$127,0)),"?",IF(N(INDEX(Drills!$K$5:$K$127,MATCH(F93,Drills!$A$5:$A$127,0)))&gt;N($T93),"A","")&amp;IF(ISNUMBER(SEARCH(INDEX(Drills!$E$5:$E$127,MATCH(F93,Drills!$A$5:$A$127,0)),$U93)),"","C")))</f>
        <v/>
      </c>
      <c r="X93" s="13" t="str">
        <f aca="false">IF(OR(H93="",$A93=""),"",IF(ISNA(MATCH(H93,Drills!$A$5:$A$127,0)),"?",IF(N(INDEX(Drills!$K$5:$K$127,MATCH(H93,Drills!$A$5:$A$127,0)))&gt;N($T93),"A","")&amp;IF(ISNUMBER(SEARCH(INDEX(Drills!$E$5:$E$127,MATCH(H93,Drills!$A$5:$A$127,0)),$U93)),"","C")))</f>
        <v/>
      </c>
      <c r="Y93" s="13" t="str">
        <f aca="false">IF(OR(J93="",$A93=""),"",IF(ISNA(MATCH(J93,Drills!$A$5:$A$127,0)),"?",IF(N(INDEX(Drills!$K$5:$K$127,MATCH(J93,Drills!$A$5:$A$127,0)))&gt;N($T93),"A","")&amp;IF(ISNUMBER(SEARCH(INDEX(Drills!$E$5:$E$127,MATCH(J93,Drills!$A$5:$A$127,0)),$U93)),"","C")))</f>
        <v/>
      </c>
      <c r="Z93" s="13" t="str">
        <f aca="false">IF(OR(L93="",$A93=""),"",IF(ISNA(MATCH(L93,Drills!$A$5:$A$127,0)),"?",IF(N(INDEX(Drills!$K$5:$K$127,MATCH(L93,Drills!$A$5:$A$127,0)))&gt;N($T93),"A","")&amp;IF(ISNUMBER(SEARCH(INDEX(Drills!$E$5:$E$127,MATCH(L93,Drills!$A$5:$A$127,0)),$U93)),"","C")))</f>
        <v/>
      </c>
      <c r="AA93" s="13" t="str">
        <f aca="false">IF(OR(N93="",$A93=""),"",IF(ISNA(MATCH(N93,Drills!$A$5:$A$127,0)),"?",IF(N(INDEX(Drills!$K$5:$K$127,MATCH(N93,Drills!$A$5:$A$127,0)))&gt;N($T93),"A","")&amp;IF(ISNUMBER(SEARCH(INDEX(Drills!$E$5:$E$127,MATCH(N93,Drills!$A$5:$A$127,0)),$U93)),"","C")))</f>
        <v/>
      </c>
      <c r="AB93" s="13" t="str">
        <f aca="false">IF(A93="","",IFERROR(INDEX(Classes!$I$5:$I$23,MATCH(A93,Classes!$A$5:$A$23,0)),""))</f>
        <v/>
      </c>
    </row>
    <row r="94" customFormat="false" ht="18" hidden="false" customHeight="true" outlineLevel="0" collapsed="false">
      <c r="A94" s="11"/>
      <c r="B94" s="11"/>
      <c r="C94" s="11"/>
      <c r="D94" s="11"/>
      <c r="E94" s="12" t="str">
        <f aca="false">IF(D94="","",IFERROR(INDEX(Drills!$G$5:$G$127,MATCH(D94,Drills!$A$5:$A$127,0)),""))</f>
        <v/>
      </c>
      <c r="F94" s="11"/>
      <c r="G94" s="12" t="str">
        <f aca="false">IF(F94="","",IFERROR(INDEX(Drills!$G$5:$G$127,MATCH(F94,Drills!$A$5:$A$127,0)),""))</f>
        <v/>
      </c>
      <c r="H94" s="11"/>
      <c r="I94" s="12" t="str">
        <f aca="false">IF(H94="","",IFERROR(INDEX(Drills!$G$5:$G$127,MATCH(H94,Drills!$A$5:$A$127,0)),""))</f>
        <v/>
      </c>
      <c r="J94" s="11"/>
      <c r="K94" s="12" t="str">
        <f aca="false">IF(J94="","",IFERROR(INDEX(Drills!$G$5:$G$127,MATCH(J94,Drills!$A$5:$A$127,0)),""))</f>
        <v/>
      </c>
      <c r="L94" s="11"/>
      <c r="M94" s="12" t="str">
        <f aca="false">IF(L94="","",IFERROR(INDEX(Drills!$G$5:$G$127,MATCH(L94,Drills!$A$5:$A$127,0)),""))</f>
        <v/>
      </c>
      <c r="N94" s="11"/>
      <c r="O94" s="12" t="str">
        <f aca="false">IF(N94="","",IFERROR(INDEX(Drills!$G$5:$G$127,MATCH(N94,Drills!$A$5:$A$127,0)),""))</f>
        <v/>
      </c>
      <c r="P94" s="14" t="str">
        <f aca="false">IF(A94="","",SUM(E94,G94,I94,K94,M94,O94))</f>
        <v/>
      </c>
      <c r="Q94" s="14" t="str">
        <f aca="false">IF(A94="","",IFERROR(INDEX(Classes!$C$5:$C$23,MATCH(A94,Classes!$A$5:$A$23,0)),""))</f>
        <v/>
      </c>
      <c r="R94" s="15" t="str">
        <f aca="false">IF(A94="","",IF(TRIM(IF(AND(N(Q94)&gt;0,N(P94)&gt;N(Q94)),"Over by "&amp;(P94-Q94)&amp;" min. ","")&amp;IF(AND(COUNTIF(V94:AA94,"*A*")&gt;0,AB94&lt;&gt;"Yes"),"Age check. ","")&amp;IF(COUNTIF(V94:AA94,"*C*")&gt;0,"Contact check. ","")&amp;IF(COUNTIF(V94:AA94,"~?")&gt;0,"Drill not in library. ",""))="","OK"&amp;IF(AND(COUNTIF(V94:AA94,"*A*")&gt;0,AB94="Yes")," · split by age","")&amp;IF(N(Q94)&gt;N(P94)," ("&amp;(Q94-P94)&amp;" min spare)",""),TRIM(IF(AND(N(Q94)&gt;0,N(P94)&gt;N(Q94)),"Over by "&amp;(P94-Q94)&amp;" min. ","")&amp;IF(AND(COUNTIF(V94:AA94,"*A*")&gt;0,AB94&lt;&gt;"Yes"),"Age check. ","")&amp;IF(COUNTIF(V94:AA94,"*C*")&gt;0,"Contact check. ","")&amp;IF(COUNTIF(V94:AA94,"~?")&gt;0,"Drill not in library. ",""))&amp;IF(AND(COUNTIF(V94:AA94,"*A*")&gt;0,AB94="Yes")," · split by age","")))</f>
        <v/>
      </c>
      <c r="S94" s="11"/>
      <c r="T94" s="13" t="str">
        <f aca="false">IF(A94="","",IFERROR(INDEX(Classes!$E$5:$E$23,MATCH(A94,Classes!$A$5:$A$23,0)),""))</f>
        <v/>
      </c>
      <c r="U94" s="13" t="str">
        <f aca="false">IF(A94="","",IFERROR(INDEX(Classes!$F$5:$F$23,MATCH(A94,Classes!$A$5:$A$23,0)),""))</f>
        <v/>
      </c>
      <c r="V94" s="13" t="str">
        <f aca="false">IF(OR(D94="",$A94=""),"",IF(ISNA(MATCH(D94,Drills!$A$5:$A$127,0)),"?",IF(N(INDEX(Drills!$K$5:$K$127,MATCH(D94,Drills!$A$5:$A$127,0)))&gt;N($T94),"A","")&amp;IF(ISNUMBER(SEARCH(INDEX(Drills!$E$5:$E$127,MATCH(D94,Drills!$A$5:$A$127,0)),$U94)),"","C")))</f>
        <v/>
      </c>
      <c r="W94" s="13" t="str">
        <f aca="false">IF(OR(F94="",$A94=""),"",IF(ISNA(MATCH(F94,Drills!$A$5:$A$127,0)),"?",IF(N(INDEX(Drills!$K$5:$K$127,MATCH(F94,Drills!$A$5:$A$127,0)))&gt;N($T94),"A","")&amp;IF(ISNUMBER(SEARCH(INDEX(Drills!$E$5:$E$127,MATCH(F94,Drills!$A$5:$A$127,0)),$U94)),"","C")))</f>
        <v/>
      </c>
      <c r="X94" s="13" t="str">
        <f aca="false">IF(OR(H94="",$A94=""),"",IF(ISNA(MATCH(H94,Drills!$A$5:$A$127,0)),"?",IF(N(INDEX(Drills!$K$5:$K$127,MATCH(H94,Drills!$A$5:$A$127,0)))&gt;N($T94),"A","")&amp;IF(ISNUMBER(SEARCH(INDEX(Drills!$E$5:$E$127,MATCH(H94,Drills!$A$5:$A$127,0)),$U94)),"","C")))</f>
        <v/>
      </c>
      <c r="Y94" s="13" t="str">
        <f aca="false">IF(OR(J94="",$A94=""),"",IF(ISNA(MATCH(J94,Drills!$A$5:$A$127,0)),"?",IF(N(INDEX(Drills!$K$5:$K$127,MATCH(J94,Drills!$A$5:$A$127,0)))&gt;N($T94),"A","")&amp;IF(ISNUMBER(SEARCH(INDEX(Drills!$E$5:$E$127,MATCH(J94,Drills!$A$5:$A$127,0)),$U94)),"","C")))</f>
        <v/>
      </c>
      <c r="Z94" s="13" t="str">
        <f aca="false">IF(OR(L94="",$A94=""),"",IF(ISNA(MATCH(L94,Drills!$A$5:$A$127,0)),"?",IF(N(INDEX(Drills!$K$5:$K$127,MATCH(L94,Drills!$A$5:$A$127,0)))&gt;N($T94),"A","")&amp;IF(ISNUMBER(SEARCH(INDEX(Drills!$E$5:$E$127,MATCH(L94,Drills!$A$5:$A$127,0)),$U94)),"","C")))</f>
        <v/>
      </c>
      <c r="AA94" s="13" t="str">
        <f aca="false">IF(OR(N94="",$A94=""),"",IF(ISNA(MATCH(N94,Drills!$A$5:$A$127,0)),"?",IF(N(INDEX(Drills!$K$5:$K$127,MATCH(N94,Drills!$A$5:$A$127,0)))&gt;N($T94),"A","")&amp;IF(ISNUMBER(SEARCH(INDEX(Drills!$E$5:$E$127,MATCH(N94,Drills!$A$5:$A$127,0)),$U94)),"","C")))</f>
        <v/>
      </c>
      <c r="AB94" s="13" t="str">
        <f aca="false">IF(A94="","",IFERROR(INDEX(Classes!$I$5:$I$23,MATCH(A94,Classes!$A$5:$A$23,0)),""))</f>
        <v/>
      </c>
    </row>
    <row r="95" customFormat="false" ht="18" hidden="false" customHeight="true" outlineLevel="0" collapsed="false">
      <c r="A95" s="11"/>
      <c r="B95" s="11"/>
      <c r="C95" s="11"/>
      <c r="D95" s="11"/>
      <c r="E95" s="12" t="str">
        <f aca="false">IF(D95="","",IFERROR(INDEX(Drills!$G$5:$G$127,MATCH(D95,Drills!$A$5:$A$127,0)),""))</f>
        <v/>
      </c>
      <c r="F95" s="11"/>
      <c r="G95" s="12" t="str">
        <f aca="false">IF(F95="","",IFERROR(INDEX(Drills!$G$5:$G$127,MATCH(F95,Drills!$A$5:$A$127,0)),""))</f>
        <v/>
      </c>
      <c r="H95" s="11"/>
      <c r="I95" s="12" t="str">
        <f aca="false">IF(H95="","",IFERROR(INDEX(Drills!$G$5:$G$127,MATCH(H95,Drills!$A$5:$A$127,0)),""))</f>
        <v/>
      </c>
      <c r="J95" s="11"/>
      <c r="K95" s="12" t="str">
        <f aca="false">IF(J95="","",IFERROR(INDEX(Drills!$G$5:$G$127,MATCH(J95,Drills!$A$5:$A$127,0)),""))</f>
        <v/>
      </c>
      <c r="L95" s="11"/>
      <c r="M95" s="12" t="str">
        <f aca="false">IF(L95="","",IFERROR(INDEX(Drills!$G$5:$G$127,MATCH(L95,Drills!$A$5:$A$127,0)),""))</f>
        <v/>
      </c>
      <c r="N95" s="11"/>
      <c r="O95" s="12" t="str">
        <f aca="false">IF(N95="","",IFERROR(INDEX(Drills!$G$5:$G$127,MATCH(N95,Drills!$A$5:$A$127,0)),""))</f>
        <v/>
      </c>
      <c r="P95" s="14" t="str">
        <f aca="false">IF(A95="","",SUM(E95,G95,I95,K95,M95,O95))</f>
        <v/>
      </c>
      <c r="Q95" s="14" t="str">
        <f aca="false">IF(A95="","",IFERROR(INDEX(Classes!$C$5:$C$23,MATCH(A95,Classes!$A$5:$A$23,0)),""))</f>
        <v/>
      </c>
      <c r="R95" s="15" t="str">
        <f aca="false">IF(A95="","",IF(TRIM(IF(AND(N(Q95)&gt;0,N(P95)&gt;N(Q95)),"Over by "&amp;(P95-Q95)&amp;" min. ","")&amp;IF(AND(COUNTIF(V95:AA95,"*A*")&gt;0,AB95&lt;&gt;"Yes"),"Age check. ","")&amp;IF(COUNTIF(V95:AA95,"*C*")&gt;0,"Contact check. ","")&amp;IF(COUNTIF(V95:AA95,"~?")&gt;0,"Drill not in library. ",""))="","OK"&amp;IF(AND(COUNTIF(V95:AA95,"*A*")&gt;0,AB95="Yes")," · split by age","")&amp;IF(N(Q95)&gt;N(P95)," ("&amp;(Q95-P95)&amp;" min spare)",""),TRIM(IF(AND(N(Q95)&gt;0,N(P95)&gt;N(Q95)),"Over by "&amp;(P95-Q95)&amp;" min. ","")&amp;IF(AND(COUNTIF(V95:AA95,"*A*")&gt;0,AB95&lt;&gt;"Yes"),"Age check. ","")&amp;IF(COUNTIF(V95:AA95,"*C*")&gt;0,"Contact check. ","")&amp;IF(COUNTIF(V95:AA95,"~?")&gt;0,"Drill not in library. ",""))&amp;IF(AND(COUNTIF(V95:AA95,"*A*")&gt;0,AB95="Yes")," · split by age","")))</f>
        <v/>
      </c>
      <c r="S95" s="11"/>
      <c r="T95" s="13" t="str">
        <f aca="false">IF(A95="","",IFERROR(INDEX(Classes!$E$5:$E$23,MATCH(A95,Classes!$A$5:$A$23,0)),""))</f>
        <v/>
      </c>
      <c r="U95" s="13" t="str">
        <f aca="false">IF(A95="","",IFERROR(INDEX(Classes!$F$5:$F$23,MATCH(A95,Classes!$A$5:$A$23,0)),""))</f>
        <v/>
      </c>
      <c r="V95" s="13" t="str">
        <f aca="false">IF(OR(D95="",$A95=""),"",IF(ISNA(MATCH(D95,Drills!$A$5:$A$127,0)),"?",IF(N(INDEX(Drills!$K$5:$K$127,MATCH(D95,Drills!$A$5:$A$127,0)))&gt;N($T95),"A","")&amp;IF(ISNUMBER(SEARCH(INDEX(Drills!$E$5:$E$127,MATCH(D95,Drills!$A$5:$A$127,0)),$U95)),"","C")))</f>
        <v/>
      </c>
      <c r="W95" s="13" t="str">
        <f aca="false">IF(OR(F95="",$A95=""),"",IF(ISNA(MATCH(F95,Drills!$A$5:$A$127,0)),"?",IF(N(INDEX(Drills!$K$5:$K$127,MATCH(F95,Drills!$A$5:$A$127,0)))&gt;N($T95),"A","")&amp;IF(ISNUMBER(SEARCH(INDEX(Drills!$E$5:$E$127,MATCH(F95,Drills!$A$5:$A$127,0)),$U95)),"","C")))</f>
        <v/>
      </c>
      <c r="X95" s="13" t="str">
        <f aca="false">IF(OR(H95="",$A95=""),"",IF(ISNA(MATCH(H95,Drills!$A$5:$A$127,0)),"?",IF(N(INDEX(Drills!$K$5:$K$127,MATCH(H95,Drills!$A$5:$A$127,0)))&gt;N($T95),"A","")&amp;IF(ISNUMBER(SEARCH(INDEX(Drills!$E$5:$E$127,MATCH(H95,Drills!$A$5:$A$127,0)),$U95)),"","C")))</f>
        <v/>
      </c>
      <c r="Y95" s="13" t="str">
        <f aca="false">IF(OR(J95="",$A95=""),"",IF(ISNA(MATCH(J95,Drills!$A$5:$A$127,0)),"?",IF(N(INDEX(Drills!$K$5:$K$127,MATCH(J95,Drills!$A$5:$A$127,0)))&gt;N($T95),"A","")&amp;IF(ISNUMBER(SEARCH(INDEX(Drills!$E$5:$E$127,MATCH(J95,Drills!$A$5:$A$127,0)),$U95)),"","C")))</f>
        <v/>
      </c>
      <c r="Z95" s="13" t="str">
        <f aca="false">IF(OR(L95="",$A95=""),"",IF(ISNA(MATCH(L95,Drills!$A$5:$A$127,0)),"?",IF(N(INDEX(Drills!$K$5:$K$127,MATCH(L95,Drills!$A$5:$A$127,0)))&gt;N($T95),"A","")&amp;IF(ISNUMBER(SEARCH(INDEX(Drills!$E$5:$E$127,MATCH(L95,Drills!$A$5:$A$127,0)),$U95)),"","C")))</f>
        <v/>
      </c>
      <c r="AA95" s="13" t="str">
        <f aca="false">IF(OR(N95="",$A95=""),"",IF(ISNA(MATCH(N95,Drills!$A$5:$A$127,0)),"?",IF(N(INDEX(Drills!$K$5:$K$127,MATCH(N95,Drills!$A$5:$A$127,0)))&gt;N($T95),"A","")&amp;IF(ISNUMBER(SEARCH(INDEX(Drills!$E$5:$E$127,MATCH(N95,Drills!$A$5:$A$127,0)),$U95)),"","C")))</f>
        <v/>
      </c>
      <c r="AB95" s="13" t="str">
        <f aca="false">IF(A95="","",IFERROR(INDEX(Classes!$I$5:$I$23,MATCH(A95,Classes!$A$5:$A$23,0)),""))</f>
        <v/>
      </c>
    </row>
    <row r="96" customFormat="false" ht="18" hidden="false" customHeight="true" outlineLevel="0" collapsed="false">
      <c r="A96" s="11"/>
      <c r="B96" s="11"/>
      <c r="C96" s="11"/>
      <c r="D96" s="11"/>
      <c r="E96" s="12" t="str">
        <f aca="false">IF(D96="","",IFERROR(INDEX(Drills!$G$5:$G$127,MATCH(D96,Drills!$A$5:$A$127,0)),""))</f>
        <v/>
      </c>
      <c r="F96" s="11"/>
      <c r="G96" s="12" t="str">
        <f aca="false">IF(F96="","",IFERROR(INDEX(Drills!$G$5:$G$127,MATCH(F96,Drills!$A$5:$A$127,0)),""))</f>
        <v/>
      </c>
      <c r="H96" s="11"/>
      <c r="I96" s="12" t="str">
        <f aca="false">IF(H96="","",IFERROR(INDEX(Drills!$G$5:$G$127,MATCH(H96,Drills!$A$5:$A$127,0)),""))</f>
        <v/>
      </c>
      <c r="J96" s="11"/>
      <c r="K96" s="12" t="str">
        <f aca="false">IF(J96="","",IFERROR(INDEX(Drills!$G$5:$G$127,MATCH(J96,Drills!$A$5:$A$127,0)),""))</f>
        <v/>
      </c>
      <c r="L96" s="11"/>
      <c r="M96" s="12" t="str">
        <f aca="false">IF(L96="","",IFERROR(INDEX(Drills!$G$5:$G$127,MATCH(L96,Drills!$A$5:$A$127,0)),""))</f>
        <v/>
      </c>
      <c r="N96" s="11"/>
      <c r="O96" s="12" t="str">
        <f aca="false">IF(N96="","",IFERROR(INDEX(Drills!$G$5:$G$127,MATCH(N96,Drills!$A$5:$A$127,0)),""))</f>
        <v/>
      </c>
      <c r="P96" s="14" t="str">
        <f aca="false">IF(A96="","",SUM(E96,G96,I96,K96,M96,O96))</f>
        <v/>
      </c>
      <c r="Q96" s="14" t="str">
        <f aca="false">IF(A96="","",IFERROR(INDEX(Classes!$C$5:$C$23,MATCH(A96,Classes!$A$5:$A$23,0)),""))</f>
        <v/>
      </c>
      <c r="R96" s="15" t="str">
        <f aca="false">IF(A96="","",IF(TRIM(IF(AND(N(Q96)&gt;0,N(P96)&gt;N(Q96)),"Over by "&amp;(P96-Q96)&amp;" min. ","")&amp;IF(AND(COUNTIF(V96:AA96,"*A*")&gt;0,AB96&lt;&gt;"Yes"),"Age check. ","")&amp;IF(COUNTIF(V96:AA96,"*C*")&gt;0,"Contact check. ","")&amp;IF(COUNTIF(V96:AA96,"~?")&gt;0,"Drill not in library. ",""))="","OK"&amp;IF(AND(COUNTIF(V96:AA96,"*A*")&gt;0,AB96="Yes")," · split by age","")&amp;IF(N(Q96)&gt;N(P96)," ("&amp;(Q96-P96)&amp;" min spare)",""),TRIM(IF(AND(N(Q96)&gt;0,N(P96)&gt;N(Q96)),"Over by "&amp;(P96-Q96)&amp;" min. ","")&amp;IF(AND(COUNTIF(V96:AA96,"*A*")&gt;0,AB96&lt;&gt;"Yes"),"Age check. ","")&amp;IF(COUNTIF(V96:AA96,"*C*")&gt;0,"Contact check. ","")&amp;IF(COUNTIF(V96:AA96,"~?")&gt;0,"Drill not in library. ",""))&amp;IF(AND(COUNTIF(V96:AA96,"*A*")&gt;0,AB96="Yes")," · split by age","")))</f>
        <v/>
      </c>
      <c r="S96" s="11"/>
      <c r="T96" s="13" t="str">
        <f aca="false">IF(A96="","",IFERROR(INDEX(Classes!$E$5:$E$23,MATCH(A96,Classes!$A$5:$A$23,0)),""))</f>
        <v/>
      </c>
      <c r="U96" s="13" t="str">
        <f aca="false">IF(A96="","",IFERROR(INDEX(Classes!$F$5:$F$23,MATCH(A96,Classes!$A$5:$A$23,0)),""))</f>
        <v/>
      </c>
      <c r="V96" s="13" t="str">
        <f aca="false">IF(OR(D96="",$A96=""),"",IF(ISNA(MATCH(D96,Drills!$A$5:$A$127,0)),"?",IF(N(INDEX(Drills!$K$5:$K$127,MATCH(D96,Drills!$A$5:$A$127,0)))&gt;N($T96),"A","")&amp;IF(ISNUMBER(SEARCH(INDEX(Drills!$E$5:$E$127,MATCH(D96,Drills!$A$5:$A$127,0)),$U96)),"","C")))</f>
        <v/>
      </c>
      <c r="W96" s="13" t="str">
        <f aca="false">IF(OR(F96="",$A96=""),"",IF(ISNA(MATCH(F96,Drills!$A$5:$A$127,0)),"?",IF(N(INDEX(Drills!$K$5:$K$127,MATCH(F96,Drills!$A$5:$A$127,0)))&gt;N($T96),"A","")&amp;IF(ISNUMBER(SEARCH(INDEX(Drills!$E$5:$E$127,MATCH(F96,Drills!$A$5:$A$127,0)),$U96)),"","C")))</f>
        <v/>
      </c>
      <c r="X96" s="13" t="str">
        <f aca="false">IF(OR(H96="",$A96=""),"",IF(ISNA(MATCH(H96,Drills!$A$5:$A$127,0)),"?",IF(N(INDEX(Drills!$K$5:$K$127,MATCH(H96,Drills!$A$5:$A$127,0)))&gt;N($T96),"A","")&amp;IF(ISNUMBER(SEARCH(INDEX(Drills!$E$5:$E$127,MATCH(H96,Drills!$A$5:$A$127,0)),$U96)),"","C")))</f>
        <v/>
      </c>
      <c r="Y96" s="13" t="str">
        <f aca="false">IF(OR(J96="",$A96=""),"",IF(ISNA(MATCH(J96,Drills!$A$5:$A$127,0)),"?",IF(N(INDEX(Drills!$K$5:$K$127,MATCH(J96,Drills!$A$5:$A$127,0)))&gt;N($T96),"A","")&amp;IF(ISNUMBER(SEARCH(INDEX(Drills!$E$5:$E$127,MATCH(J96,Drills!$A$5:$A$127,0)),$U96)),"","C")))</f>
        <v/>
      </c>
      <c r="Z96" s="13" t="str">
        <f aca="false">IF(OR(L96="",$A96=""),"",IF(ISNA(MATCH(L96,Drills!$A$5:$A$127,0)),"?",IF(N(INDEX(Drills!$K$5:$K$127,MATCH(L96,Drills!$A$5:$A$127,0)))&gt;N($T96),"A","")&amp;IF(ISNUMBER(SEARCH(INDEX(Drills!$E$5:$E$127,MATCH(L96,Drills!$A$5:$A$127,0)),$U96)),"","C")))</f>
        <v/>
      </c>
      <c r="AA96" s="13" t="str">
        <f aca="false">IF(OR(N96="",$A96=""),"",IF(ISNA(MATCH(N96,Drills!$A$5:$A$127,0)),"?",IF(N(INDEX(Drills!$K$5:$K$127,MATCH(N96,Drills!$A$5:$A$127,0)))&gt;N($T96),"A","")&amp;IF(ISNUMBER(SEARCH(INDEX(Drills!$E$5:$E$127,MATCH(N96,Drills!$A$5:$A$127,0)),$U96)),"","C")))</f>
        <v/>
      </c>
      <c r="AB96" s="13" t="str">
        <f aca="false">IF(A96="","",IFERROR(INDEX(Classes!$I$5:$I$23,MATCH(A96,Classes!$A$5:$A$23,0)),""))</f>
        <v/>
      </c>
    </row>
    <row r="97" customFormat="false" ht="18" hidden="false" customHeight="true" outlineLevel="0" collapsed="false">
      <c r="A97" s="11"/>
      <c r="B97" s="11"/>
      <c r="C97" s="11"/>
      <c r="D97" s="11"/>
      <c r="E97" s="12" t="str">
        <f aca="false">IF(D97="","",IFERROR(INDEX(Drills!$G$5:$G$127,MATCH(D97,Drills!$A$5:$A$127,0)),""))</f>
        <v/>
      </c>
      <c r="F97" s="11"/>
      <c r="G97" s="12" t="str">
        <f aca="false">IF(F97="","",IFERROR(INDEX(Drills!$G$5:$G$127,MATCH(F97,Drills!$A$5:$A$127,0)),""))</f>
        <v/>
      </c>
      <c r="H97" s="11"/>
      <c r="I97" s="12" t="str">
        <f aca="false">IF(H97="","",IFERROR(INDEX(Drills!$G$5:$G$127,MATCH(H97,Drills!$A$5:$A$127,0)),""))</f>
        <v/>
      </c>
      <c r="J97" s="11"/>
      <c r="K97" s="12" t="str">
        <f aca="false">IF(J97="","",IFERROR(INDEX(Drills!$G$5:$G$127,MATCH(J97,Drills!$A$5:$A$127,0)),""))</f>
        <v/>
      </c>
      <c r="L97" s="11"/>
      <c r="M97" s="12" t="str">
        <f aca="false">IF(L97="","",IFERROR(INDEX(Drills!$G$5:$G$127,MATCH(L97,Drills!$A$5:$A$127,0)),""))</f>
        <v/>
      </c>
      <c r="N97" s="11"/>
      <c r="O97" s="12" t="str">
        <f aca="false">IF(N97="","",IFERROR(INDEX(Drills!$G$5:$G$127,MATCH(N97,Drills!$A$5:$A$127,0)),""))</f>
        <v/>
      </c>
      <c r="P97" s="14" t="str">
        <f aca="false">IF(A97="","",SUM(E97,G97,I97,K97,M97,O97))</f>
        <v/>
      </c>
      <c r="Q97" s="14" t="str">
        <f aca="false">IF(A97="","",IFERROR(INDEX(Classes!$C$5:$C$23,MATCH(A97,Classes!$A$5:$A$23,0)),""))</f>
        <v/>
      </c>
      <c r="R97" s="15" t="str">
        <f aca="false">IF(A97="","",IF(TRIM(IF(AND(N(Q97)&gt;0,N(P97)&gt;N(Q97)),"Over by "&amp;(P97-Q97)&amp;" min. ","")&amp;IF(AND(COUNTIF(V97:AA97,"*A*")&gt;0,AB97&lt;&gt;"Yes"),"Age check. ","")&amp;IF(COUNTIF(V97:AA97,"*C*")&gt;0,"Contact check. ","")&amp;IF(COUNTIF(V97:AA97,"~?")&gt;0,"Drill not in library. ",""))="","OK"&amp;IF(AND(COUNTIF(V97:AA97,"*A*")&gt;0,AB97="Yes")," · split by age","")&amp;IF(N(Q97)&gt;N(P97)," ("&amp;(Q97-P97)&amp;" min spare)",""),TRIM(IF(AND(N(Q97)&gt;0,N(P97)&gt;N(Q97)),"Over by "&amp;(P97-Q97)&amp;" min. ","")&amp;IF(AND(COUNTIF(V97:AA97,"*A*")&gt;0,AB97&lt;&gt;"Yes"),"Age check. ","")&amp;IF(COUNTIF(V97:AA97,"*C*")&gt;0,"Contact check. ","")&amp;IF(COUNTIF(V97:AA97,"~?")&gt;0,"Drill not in library. ",""))&amp;IF(AND(COUNTIF(V97:AA97,"*A*")&gt;0,AB97="Yes")," · split by age","")))</f>
        <v/>
      </c>
      <c r="S97" s="11"/>
      <c r="T97" s="13" t="str">
        <f aca="false">IF(A97="","",IFERROR(INDEX(Classes!$E$5:$E$23,MATCH(A97,Classes!$A$5:$A$23,0)),""))</f>
        <v/>
      </c>
      <c r="U97" s="13" t="str">
        <f aca="false">IF(A97="","",IFERROR(INDEX(Classes!$F$5:$F$23,MATCH(A97,Classes!$A$5:$A$23,0)),""))</f>
        <v/>
      </c>
      <c r="V97" s="13" t="str">
        <f aca="false">IF(OR(D97="",$A97=""),"",IF(ISNA(MATCH(D97,Drills!$A$5:$A$127,0)),"?",IF(N(INDEX(Drills!$K$5:$K$127,MATCH(D97,Drills!$A$5:$A$127,0)))&gt;N($T97),"A","")&amp;IF(ISNUMBER(SEARCH(INDEX(Drills!$E$5:$E$127,MATCH(D97,Drills!$A$5:$A$127,0)),$U97)),"","C")))</f>
        <v/>
      </c>
      <c r="W97" s="13" t="str">
        <f aca="false">IF(OR(F97="",$A97=""),"",IF(ISNA(MATCH(F97,Drills!$A$5:$A$127,0)),"?",IF(N(INDEX(Drills!$K$5:$K$127,MATCH(F97,Drills!$A$5:$A$127,0)))&gt;N($T97),"A","")&amp;IF(ISNUMBER(SEARCH(INDEX(Drills!$E$5:$E$127,MATCH(F97,Drills!$A$5:$A$127,0)),$U97)),"","C")))</f>
        <v/>
      </c>
      <c r="X97" s="13" t="str">
        <f aca="false">IF(OR(H97="",$A97=""),"",IF(ISNA(MATCH(H97,Drills!$A$5:$A$127,0)),"?",IF(N(INDEX(Drills!$K$5:$K$127,MATCH(H97,Drills!$A$5:$A$127,0)))&gt;N($T97),"A","")&amp;IF(ISNUMBER(SEARCH(INDEX(Drills!$E$5:$E$127,MATCH(H97,Drills!$A$5:$A$127,0)),$U97)),"","C")))</f>
        <v/>
      </c>
      <c r="Y97" s="13" t="str">
        <f aca="false">IF(OR(J97="",$A97=""),"",IF(ISNA(MATCH(J97,Drills!$A$5:$A$127,0)),"?",IF(N(INDEX(Drills!$K$5:$K$127,MATCH(J97,Drills!$A$5:$A$127,0)))&gt;N($T97),"A","")&amp;IF(ISNUMBER(SEARCH(INDEX(Drills!$E$5:$E$127,MATCH(J97,Drills!$A$5:$A$127,0)),$U97)),"","C")))</f>
        <v/>
      </c>
      <c r="Z97" s="13" t="str">
        <f aca="false">IF(OR(L97="",$A97=""),"",IF(ISNA(MATCH(L97,Drills!$A$5:$A$127,0)),"?",IF(N(INDEX(Drills!$K$5:$K$127,MATCH(L97,Drills!$A$5:$A$127,0)))&gt;N($T97),"A","")&amp;IF(ISNUMBER(SEARCH(INDEX(Drills!$E$5:$E$127,MATCH(L97,Drills!$A$5:$A$127,0)),$U97)),"","C")))</f>
        <v/>
      </c>
      <c r="AA97" s="13" t="str">
        <f aca="false">IF(OR(N97="",$A97=""),"",IF(ISNA(MATCH(N97,Drills!$A$5:$A$127,0)),"?",IF(N(INDEX(Drills!$K$5:$K$127,MATCH(N97,Drills!$A$5:$A$127,0)))&gt;N($T97),"A","")&amp;IF(ISNUMBER(SEARCH(INDEX(Drills!$E$5:$E$127,MATCH(N97,Drills!$A$5:$A$127,0)),$U97)),"","C")))</f>
        <v/>
      </c>
      <c r="AB97" s="13" t="str">
        <f aca="false">IF(A97="","",IFERROR(INDEX(Classes!$I$5:$I$23,MATCH(A97,Classes!$A$5:$A$23,0)),""))</f>
        <v/>
      </c>
    </row>
    <row r="98" customFormat="false" ht="18" hidden="false" customHeight="true" outlineLevel="0" collapsed="false">
      <c r="A98" s="11"/>
      <c r="B98" s="11"/>
      <c r="C98" s="11"/>
      <c r="D98" s="11"/>
      <c r="E98" s="12" t="str">
        <f aca="false">IF(D98="","",IFERROR(INDEX(Drills!$G$5:$G$127,MATCH(D98,Drills!$A$5:$A$127,0)),""))</f>
        <v/>
      </c>
      <c r="F98" s="11"/>
      <c r="G98" s="12" t="str">
        <f aca="false">IF(F98="","",IFERROR(INDEX(Drills!$G$5:$G$127,MATCH(F98,Drills!$A$5:$A$127,0)),""))</f>
        <v/>
      </c>
      <c r="H98" s="11"/>
      <c r="I98" s="12" t="str">
        <f aca="false">IF(H98="","",IFERROR(INDEX(Drills!$G$5:$G$127,MATCH(H98,Drills!$A$5:$A$127,0)),""))</f>
        <v/>
      </c>
      <c r="J98" s="11"/>
      <c r="K98" s="12" t="str">
        <f aca="false">IF(J98="","",IFERROR(INDEX(Drills!$G$5:$G$127,MATCH(J98,Drills!$A$5:$A$127,0)),""))</f>
        <v/>
      </c>
      <c r="L98" s="11"/>
      <c r="M98" s="12" t="str">
        <f aca="false">IF(L98="","",IFERROR(INDEX(Drills!$G$5:$G$127,MATCH(L98,Drills!$A$5:$A$127,0)),""))</f>
        <v/>
      </c>
      <c r="N98" s="11"/>
      <c r="O98" s="12" t="str">
        <f aca="false">IF(N98="","",IFERROR(INDEX(Drills!$G$5:$G$127,MATCH(N98,Drills!$A$5:$A$127,0)),""))</f>
        <v/>
      </c>
      <c r="P98" s="14" t="str">
        <f aca="false">IF(A98="","",SUM(E98,G98,I98,K98,M98,O98))</f>
        <v/>
      </c>
      <c r="Q98" s="14" t="str">
        <f aca="false">IF(A98="","",IFERROR(INDEX(Classes!$C$5:$C$23,MATCH(A98,Classes!$A$5:$A$23,0)),""))</f>
        <v/>
      </c>
      <c r="R98" s="15" t="str">
        <f aca="false">IF(A98="","",IF(TRIM(IF(AND(N(Q98)&gt;0,N(P98)&gt;N(Q98)),"Over by "&amp;(P98-Q98)&amp;" min. ","")&amp;IF(AND(COUNTIF(V98:AA98,"*A*")&gt;0,AB98&lt;&gt;"Yes"),"Age check. ","")&amp;IF(COUNTIF(V98:AA98,"*C*")&gt;0,"Contact check. ","")&amp;IF(COUNTIF(V98:AA98,"~?")&gt;0,"Drill not in library. ",""))="","OK"&amp;IF(AND(COUNTIF(V98:AA98,"*A*")&gt;0,AB98="Yes")," · split by age","")&amp;IF(N(Q98)&gt;N(P98)," ("&amp;(Q98-P98)&amp;" min spare)",""),TRIM(IF(AND(N(Q98)&gt;0,N(P98)&gt;N(Q98)),"Over by "&amp;(P98-Q98)&amp;" min. ","")&amp;IF(AND(COUNTIF(V98:AA98,"*A*")&gt;0,AB98&lt;&gt;"Yes"),"Age check. ","")&amp;IF(COUNTIF(V98:AA98,"*C*")&gt;0,"Contact check. ","")&amp;IF(COUNTIF(V98:AA98,"~?")&gt;0,"Drill not in library. ",""))&amp;IF(AND(COUNTIF(V98:AA98,"*A*")&gt;0,AB98="Yes")," · split by age","")))</f>
        <v/>
      </c>
      <c r="S98" s="11"/>
      <c r="T98" s="13" t="str">
        <f aca="false">IF(A98="","",IFERROR(INDEX(Classes!$E$5:$E$23,MATCH(A98,Classes!$A$5:$A$23,0)),""))</f>
        <v/>
      </c>
      <c r="U98" s="13" t="str">
        <f aca="false">IF(A98="","",IFERROR(INDEX(Classes!$F$5:$F$23,MATCH(A98,Classes!$A$5:$A$23,0)),""))</f>
        <v/>
      </c>
      <c r="V98" s="13" t="str">
        <f aca="false">IF(OR(D98="",$A98=""),"",IF(ISNA(MATCH(D98,Drills!$A$5:$A$127,0)),"?",IF(N(INDEX(Drills!$K$5:$K$127,MATCH(D98,Drills!$A$5:$A$127,0)))&gt;N($T98),"A","")&amp;IF(ISNUMBER(SEARCH(INDEX(Drills!$E$5:$E$127,MATCH(D98,Drills!$A$5:$A$127,0)),$U98)),"","C")))</f>
        <v/>
      </c>
      <c r="W98" s="13" t="str">
        <f aca="false">IF(OR(F98="",$A98=""),"",IF(ISNA(MATCH(F98,Drills!$A$5:$A$127,0)),"?",IF(N(INDEX(Drills!$K$5:$K$127,MATCH(F98,Drills!$A$5:$A$127,0)))&gt;N($T98),"A","")&amp;IF(ISNUMBER(SEARCH(INDEX(Drills!$E$5:$E$127,MATCH(F98,Drills!$A$5:$A$127,0)),$U98)),"","C")))</f>
        <v/>
      </c>
      <c r="X98" s="13" t="str">
        <f aca="false">IF(OR(H98="",$A98=""),"",IF(ISNA(MATCH(H98,Drills!$A$5:$A$127,0)),"?",IF(N(INDEX(Drills!$K$5:$K$127,MATCH(H98,Drills!$A$5:$A$127,0)))&gt;N($T98),"A","")&amp;IF(ISNUMBER(SEARCH(INDEX(Drills!$E$5:$E$127,MATCH(H98,Drills!$A$5:$A$127,0)),$U98)),"","C")))</f>
        <v/>
      </c>
      <c r="Y98" s="13" t="str">
        <f aca="false">IF(OR(J98="",$A98=""),"",IF(ISNA(MATCH(J98,Drills!$A$5:$A$127,0)),"?",IF(N(INDEX(Drills!$K$5:$K$127,MATCH(J98,Drills!$A$5:$A$127,0)))&gt;N($T98),"A","")&amp;IF(ISNUMBER(SEARCH(INDEX(Drills!$E$5:$E$127,MATCH(J98,Drills!$A$5:$A$127,0)),$U98)),"","C")))</f>
        <v/>
      </c>
      <c r="Z98" s="13" t="str">
        <f aca="false">IF(OR(L98="",$A98=""),"",IF(ISNA(MATCH(L98,Drills!$A$5:$A$127,0)),"?",IF(N(INDEX(Drills!$K$5:$K$127,MATCH(L98,Drills!$A$5:$A$127,0)))&gt;N($T98),"A","")&amp;IF(ISNUMBER(SEARCH(INDEX(Drills!$E$5:$E$127,MATCH(L98,Drills!$A$5:$A$127,0)),$U98)),"","C")))</f>
        <v/>
      </c>
      <c r="AA98" s="13" t="str">
        <f aca="false">IF(OR(N98="",$A98=""),"",IF(ISNA(MATCH(N98,Drills!$A$5:$A$127,0)),"?",IF(N(INDEX(Drills!$K$5:$K$127,MATCH(N98,Drills!$A$5:$A$127,0)))&gt;N($T98),"A","")&amp;IF(ISNUMBER(SEARCH(INDEX(Drills!$E$5:$E$127,MATCH(N98,Drills!$A$5:$A$127,0)),$U98)),"","C")))</f>
        <v/>
      </c>
      <c r="AB98" s="13" t="str">
        <f aca="false">IF(A98="","",IFERROR(INDEX(Classes!$I$5:$I$23,MATCH(A98,Classes!$A$5:$A$23,0)),""))</f>
        <v/>
      </c>
    </row>
    <row r="99" customFormat="false" ht="18" hidden="false" customHeight="true" outlineLevel="0" collapsed="false">
      <c r="A99" s="11"/>
      <c r="B99" s="11"/>
      <c r="C99" s="11"/>
      <c r="D99" s="11"/>
      <c r="E99" s="12" t="str">
        <f aca="false">IF(D99="","",IFERROR(INDEX(Drills!$G$5:$G$127,MATCH(D99,Drills!$A$5:$A$127,0)),""))</f>
        <v/>
      </c>
      <c r="F99" s="11"/>
      <c r="G99" s="12" t="str">
        <f aca="false">IF(F99="","",IFERROR(INDEX(Drills!$G$5:$G$127,MATCH(F99,Drills!$A$5:$A$127,0)),""))</f>
        <v/>
      </c>
      <c r="H99" s="11"/>
      <c r="I99" s="12" t="str">
        <f aca="false">IF(H99="","",IFERROR(INDEX(Drills!$G$5:$G$127,MATCH(H99,Drills!$A$5:$A$127,0)),""))</f>
        <v/>
      </c>
      <c r="J99" s="11"/>
      <c r="K99" s="12" t="str">
        <f aca="false">IF(J99="","",IFERROR(INDEX(Drills!$G$5:$G$127,MATCH(J99,Drills!$A$5:$A$127,0)),""))</f>
        <v/>
      </c>
      <c r="L99" s="11"/>
      <c r="M99" s="12" t="str">
        <f aca="false">IF(L99="","",IFERROR(INDEX(Drills!$G$5:$G$127,MATCH(L99,Drills!$A$5:$A$127,0)),""))</f>
        <v/>
      </c>
      <c r="N99" s="11"/>
      <c r="O99" s="12" t="str">
        <f aca="false">IF(N99="","",IFERROR(INDEX(Drills!$G$5:$G$127,MATCH(N99,Drills!$A$5:$A$127,0)),""))</f>
        <v/>
      </c>
      <c r="P99" s="14" t="str">
        <f aca="false">IF(A99="","",SUM(E99,G99,I99,K99,M99,O99))</f>
        <v/>
      </c>
      <c r="Q99" s="14" t="str">
        <f aca="false">IF(A99="","",IFERROR(INDEX(Classes!$C$5:$C$23,MATCH(A99,Classes!$A$5:$A$23,0)),""))</f>
        <v/>
      </c>
      <c r="R99" s="15" t="str">
        <f aca="false">IF(A99="","",IF(TRIM(IF(AND(N(Q99)&gt;0,N(P99)&gt;N(Q99)),"Over by "&amp;(P99-Q99)&amp;" min. ","")&amp;IF(AND(COUNTIF(V99:AA99,"*A*")&gt;0,AB99&lt;&gt;"Yes"),"Age check. ","")&amp;IF(COUNTIF(V99:AA99,"*C*")&gt;0,"Contact check. ","")&amp;IF(COUNTIF(V99:AA99,"~?")&gt;0,"Drill not in library. ",""))="","OK"&amp;IF(AND(COUNTIF(V99:AA99,"*A*")&gt;0,AB99="Yes")," · split by age","")&amp;IF(N(Q99)&gt;N(P99)," ("&amp;(Q99-P99)&amp;" min spare)",""),TRIM(IF(AND(N(Q99)&gt;0,N(P99)&gt;N(Q99)),"Over by "&amp;(P99-Q99)&amp;" min. ","")&amp;IF(AND(COUNTIF(V99:AA99,"*A*")&gt;0,AB99&lt;&gt;"Yes"),"Age check. ","")&amp;IF(COUNTIF(V99:AA99,"*C*")&gt;0,"Contact check. ","")&amp;IF(COUNTIF(V99:AA99,"~?")&gt;0,"Drill not in library. ",""))&amp;IF(AND(COUNTIF(V99:AA99,"*A*")&gt;0,AB99="Yes")," · split by age","")))</f>
        <v/>
      </c>
      <c r="S99" s="11"/>
      <c r="T99" s="13" t="str">
        <f aca="false">IF(A99="","",IFERROR(INDEX(Classes!$E$5:$E$23,MATCH(A99,Classes!$A$5:$A$23,0)),""))</f>
        <v/>
      </c>
      <c r="U99" s="13" t="str">
        <f aca="false">IF(A99="","",IFERROR(INDEX(Classes!$F$5:$F$23,MATCH(A99,Classes!$A$5:$A$23,0)),""))</f>
        <v/>
      </c>
      <c r="V99" s="13" t="str">
        <f aca="false">IF(OR(D99="",$A99=""),"",IF(ISNA(MATCH(D99,Drills!$A$5:$A$127,0)),"?",IF(N(INDEX(Drills!$K$5:$K$127,MATCH(D99,Drills!$A$5:$A$127,0)))&gt;N($T99),"A","")&amp;IF(ISNUMBER(SEARCH(INDEX(Drills!$E$5:$E$127,MATCH(D99,Drills!$A$5:$A$127,0)),$U99)),"","C")))</f>
        <v/>
      </c>
      <c r="W99" s="13" t="str">
        <f aca="false">IF(OR(F99="",$A99=""),"",IF(ISNA(MATCH(F99,Drills!$A$5:$A$127,0)),"?",IF(N(INDEX(Drills!$K$5:$K$127,MATCH(F99,Drills!$A$5:$A$127,0)))&gt;N($T99),"A","")&amp;IF(ISNUMBER(SEARCH(INDEX(Drills!$E$5:$E$127,MATCH(F99,Drills!$A$5:$A$127,0)),$U99)),"","C")))</f>
        <v/>
      </c>
      <c r="X99" s="13" t="str">
        <f aca="false">IF(OR(H99="",$A99=""),"",IF(ISNA(MATCH(H99,Drills!$A$5:$A$127,0)),"?",IF(N(INDEX(Drills!$K$5:$K$127,MATCH(H99,Drills!$A$5:$A$127,0)))&gt;N($T99),"A","")&amp;IF(ISNUMBER(SEARCH(INDEX(Drills!$E$5:$E$127,MATCH(H99,Drills!$A$5:$A$127,0)),$U99)),"","C")))</f>
        <v/>
      </c>
      <c r="Y99" s="13" t="str">
        <f aca="false">IF(OR(J99="",$A99=""),"",IF(ISNA(MATCH(J99,Drills!$A$5:$A$127,0)),"?",IF(N(INDEX(Drills!$K$5:$K$127,MATCH(J99,Drills!$A$5:$A$127,0)))&gt;N($T99),"A","")&amp;IF(ISNUMBER(SEARCH(INDEX(Drills!$E$5:$E$127,MATCH(J99,Drills!$A$5:$A$127,0)),$U99)),"","C")))</f>
        <v/>
      </c>
      <c r="Z99" s="13" t="str">
        <f aca="false">IF(OR(L99="",$A99=""),"",IF(ISNA(MATCH(L99,Drills!$A$5:$A$127,0)),"?",IF(N(INDEX(Drills!$K$5:$K$127,MATCH(L99,Drills!$A$5:$A$127,0)))&gt;N($T99),"A","")&amp;IF(ISNUMBER(SEARCH(INDEX(Drills!$E$5:$E$127,MATCH(L99,Drills!$A$5:$A$127,0)),$U99)),"","C")))</f>
        <v/>
      </c>
      <c r="AA99" s="13" t="str">
        <f aca="false">IF(OR(N99="",$A99=""),"",IF(ISNA(MATCH(N99,Drills!$A$5:$A$127,0)),"?",IF(N(INDEX(Drills!$K$5:$K$127,MATCH(N99,Drills!$A$5:$A$127,0)))&gt;N($T99),"A","")&amp;IF(ISNUMBER(SEARCH(INDEX(Drills!$E$5:$E$127,MATCH(N99,Drills!$A$5:$A$127,0)),$U99)),"","C")))</f>
        <v/>
      </c>
      <c r="AB99" s="13" t="str">
        <f aca="false">IF(A99="","",IFERROR(INDEX(Classes!$I$5:$I$23,MATCH(A99,Classes!$A$5:$A$23,0)),""))</f>
        <v/>
      </c>
    </row>
    <row r="100" customFormat="false" ht="18" hidden="false" customHeight="true" outlineLevel="0" collapsed="false">
      <c r="A100" s="11"/>
      <c r="B100" s="11"/>
      <c r="C100" s="11"/>
      <c r="D100" s="11"/>
      <c r="E100" s="12" t="str">
        <f aca="false">IF(D100="","",IFERROR(INDEX(Drills!$G$5:$G$127,MATCH(D100,Drills!$A$5:$A$127,0)),""))</f>
        <v/>
      </c>
      <c r="F100" s="11"/>
      <c r="G100" s="12" t="str">
        <f aca="false">IF(F100="","",IFERROR(INDEX(Drills!$G$5:$G$127,MATCH(F100,Drills!$A$5:$A$127,0)),""))</f>
        <v/>
      </c>
      <c r="H100" s="11"/>
      <c r="I100" s="12" t="str">
        <f aca="false">IF(H100="","",IFERROR(INDEX(Drills!$G$5:$G$127,MATCH(H100,Drills!$A$5:$A$127,0)),""))</f>
        <v/>
      </c>
      <c r="J100" s="11"/>
      <c r="K100" s="12" t="str">
        <f aca="false">IF(J100="","",IFERROR(INDEX(Drills!$G$5:$G$127,MATCH(J100,Drills!$A$5:$A$127,0)),""))</f>
        <v/>
      </c>
      <c r="L100" s="11"/>
      <c r="M100" s="12" t="str">
        <f aca="false">IF(L100="","",IFERROR(INDEX(Drills!$G$5:$G$127,MATCH(L100,Drills!$A$5:$A$127,0)),""))</f>
        <v/>
      </c>
      <c r="N100" s="11"/>
      <c r="O100" s="12" t="str">
        <f aca="false">IF(N100="","",IFERROR(INDEX(Drills!$G$5:$G$127,MATCH(N100,Drills!$A$5:$A$127,0)),""))</f>
        <v/>
      </c>
      <c r="P100" s="14" t="str">
        <f aca="false">IF(A100="","",SUM(E100,G100,I100,K100,M100,O100))</f>
        <v/>
      </c>
      <c r="Q100" s="14" t="str">
        <f aca="false">IF(A100="","",IFERROR(INDEX(Classes!$C$5:$C$23,MATCH(A100,Classes!$A$5:$A$23,0)),""))</f>
        <v/>
      </c>
      <c r="R100" s="15" t="str">
        <f aca="false">IF(A100="","",IF(TRIM(IF(AND(N(Q100)&gt;0,N(P100)&gt;N(Q100)),"Over by "&amp;(P100-Q100)&amp;" min. ","")&amp;IF(AND(COUNTIF(V100:AA100,"*A*")&gt;0,AB100&lt;&gt;"Yes"),"Age check. ","")&amp;IF(COUNTIF(V100:AA100,"*C*")&gt;0,"Contact check. ","")&amp;IF(COUNTIF(V100:AA100,"~?")&gt;0,"Drill not in library. ",""))="","OK"&amp;IF(AND(COUNTIF(V100:AA100,"*A*")&gt;0,AB100="Yes")," · split by age","")&amp;IF(N(Q100)&gt;N(P100)," ("&amp;(Q100-P100)&amp;" min spare)",""),TRIM(IF(AND(N(Q100)&gt;0,N(P100)&gt;N(Q100)),"Over by "&amp;(P100-Q100)&amp;" min. ","")&amp;IF(AND(COUNTIF(V100:AA100,"*A*")&gt;0,AB100&lt;&gt;"Yes"),"Age check. ","")&amp;IF(COUNTIF(V100:AA100,"*C*")&gt;0,"Contact check. ","")&amp;IF(COUNTIF(V100:AA100,"~?")&gt;0,"Drill not in library. ",""))&amp;IF(AND(COUNTIF(V100:AA100,"*A*")&gt;0,AB100="Yes")," · split by age","")))</f>
        <v/>
      </c>
      <c r="S100" s="11"/>
      <c r="T100" s="13" t="str">
        <f aca="false">IF(A100="","",IFERROR(INDEX(Classes!$E$5:$E$23,MATCH(A100,Classes!$A$5:$A$23,0)),""))</f>
        <v/>
      </c>
      <c r="U100" s="13" t="str">
        <f aca="false">IF(A100="","",IFERROR(INDEX(Classes!$F$5:$F$23,MATCH(A100,Classes!$A$5:$A$23,0)),""))</f>
        <v/>
      </c>
      <c r="V100" s="13" t="str">
        <f aca="false">IF(OR(D100="",$A100=""),"",IF(ISNA(MATCH(D100,Drills!$A$5:$A$127,0)),"?",IF(N(INDEX(Drills!$K$5:$K$127,MATCH(D100,Drills!$A$5:$A$127,0)))&gt;N($T100),"A","")&amp;IF(ISNUMBER(SEARCH(INDEX(Drills!$E$5:$E$127,MATCH(D100,Drills!$A$5:$A$127,0)),$U100)),"","C")))</f>
        <v/>
      </c>
      <c r="W100" s="13" t="str">
        <f aca="false">IF(OR(F100="",$A100=""),"",IF(ISNA(MATCH(F100,Drills!$A$5:$A$127,0)),"?",IF(N(INDEX(Drills!$K$5:$K$127,MATCH(F100,Drills!$A$5:$A$127,0)))&gt;N($T100),"A","")&amp;IF(ISNUMBER(SEARCH(INDEX(Drills!$E$5:$E$127,MATCH(F100,Drills!$A$5:$A$127,0)),$U100)),"","C")))</f>
        <v/>
      </c>
      <c r="X100" s="13" t="str">
        <f aca="false">IF(OR(H100="",$A100=""),"",IF(ISNA(MATCH(H100,Drills!$A$5:$A$127,0)),"?",IF(N(INDEX(Drills!$K$5:$K$127,MATCH(H100,Drills!$A$5:$A$127,0)))&gt;N($T100),"A","")&amp;IF(ISNUMBER(SEARCH(INDEX(Drills!$E$5:$E$127,MATCH(H100,Drills!$A$5:$A$127,0)),$U100)),"","C")))</f>
        <v/>
      </c>
      <c r="Y100" s="13" t="str">
        <f aca="false">IF(OR(J100="",$A100=""),"",IF(ISNA(MATCH(J100,Drills!$A$5:$A$127,0)),"?",IF(N(INDEX(Drills!$K$5:$K$127,MATCH(J100,Drills!$A$5:$A$127,0)))&gt;N($T100),"A","")&amp;IF(ISNUMBER(SEARCH(INDEX(Drills!$E$5:$E$127,MATCH(J100,Drills!$A$5:$A$127,0)),$U100)),"","C")))</f>
        <v/>
      </c>
      <c r="Z100" s="13" t="str">
        <f aca="false">IF(OR(L100="",$A100=""),"",IF(ISNA(MATCH(L100,Drills!$A$5:$A$127,0)),"?",IF(N(INDEX(Drills!$K$5:$K$127,MATCH(L100,Drills!$A$5:$A$127,0)))&gt;N($T100),"A","")&amp;IF(ISNUMBER(SEARCH(INDEX(Drills!$E$5:$E$127,MATCH(L100,Drills!$A$5:$A$127,0)),$U100)),"","C")))</f>
        <v/>
      </c>
      <c r="AA100" s="13" t="str">
        <f aca="false">IF(OR(N100="",$A100=""),"",IF(ISNA(MATCH(N100,Drills!$A$5:$A$127,0)),"?",IF(N(INDEX(Drills!$K$5:$K$127,MATCH(N100,Drills!$A$5:$A$127,0)))&gt;N($T100),"A","")&amp;IF(ISNUMBER(SEARCH(INDEX(Drills!$E$5:$E$127,MATCH(N100,Drills!$A$5:$A$127,0)),$U100)),"","C")))</f>
        <v/>
      </c>
      <c r="AB100" s="13" t="str">
        <f aca="false">IF(A100="","",IFERROR(INDEX(Classes!$I$5:$I$23,MATCH(A100,Classes!$A$5:$A$23,0)),""))</f>
        <v/>
      </c>
    </row>
  </sheetData>
  <autoFilter ref="A4:S100"/>
  <mergeCells count="2">
    <mergeCell ref="A1:S1"/>
    <mergeCell ref="A2:S2"/>
  </mergeCells>
  <conditionalFormatting sqref="R5:R100">
    <cfRule type="expression" priority="2" aboveAverage="0" equalAverage="0" bottom="0" percent="0" rank="0" text="" dxfId="10">
      <formula>AND(LEFT(R5,2)="OK",ISNUMBER(SEARCH("split",R5)))</formula>
    </cfRule>
    <cfRule type="expression" priority="3" aboveAverage="0" equalAverage="0" bottom="0" percent="0" rank="0" text="" dxfId="11">
      <formula>LEFT(R5,2)="OK"</formula>
    </cfRule>
    <cfRule type="expression" priority="4" aboveAverage="0" equalAverage="0" bottom="0" percent="0" rank="0" text="" dxfId="12">
      <formula>AND(R5&lt;&gt;"",LEFT(R5,2)&lt;&gt;"OK")</formula>
    </cfRule>
  </conditionalFormatting>
  <dataValidations count="7">
    <dataValidation allowBlank="true" errorStyle="stop" operator="between" showDropDown="false" showErrorMessage="false" showInputMessage="false" sqref="A5:A100" type="list">
      <formula1>Classes!$A$5:$A$23</formula1>
      <formula2>0</formula2>
    </dataValidation>
    <dataValidation allowBlank="true" errorStyle="stop" operator="between" showDropDown="false" showErrorMessage="false" showInputMessage="false" sqref="D5:D100" type="list">
      <formula1>Drills!$A$5:$A$127</formula1>
      <formula2>0</formula2>
    </dataValidation>
    <dataValidation allowBlank="true" errorStyle="stop" operator="between" showDropDown="false" showErrorMessage="false" showInputMessage="false" sqref="F5:F100" type="list">
      <formula1>Drills!$A$5:$A$127</formula1>
      <formula2>0</formula2>
    </dataValidation>
    <dataValidation allowBlank="true" errorStyle="stop" operator="between" showDropDown="false" showErrorMessage="false" showInputMessage="false" sqref="H5:H100" type="list">
      <formula1>Drills!$A$5:$A$127</formula1>
      <formula2>0</formula2>
    </dataValidation>
    <dataValidation allowBlank="true" errorStyle="stop" operator="between" showDropDown="false" showErrorMessage="false" showInputMessage="false" sqref="J5:J100" type="list">
      <formula1>Drills!$A$5:$A$127</formula1>
      <formula2>0</formula2>
    </dataValidation>
    <dataValidation allowBlank="true" errorStyle="stop" operator="between" showDropDown="false" showErrorMessage="false" showInputMessage="false" sqref="L5:L100" type="list">
      <formula1>Drills!$A$5:$A$127</formula1>
      <formula2>0</formula2>
    </dataValidation>
    <dataValidation allowBlank="true" errorStyle="stop" operator="between" showDropDown="false" showErrorMessage="false" showInputMessage="false" sqref="N5:N100" type="list">
      <formula1>Drills!$A$5:$A$127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4" min="4" style="0" width="11"/>
    <col collapsed="false" customWidth="true" hidden="false" outlineLevel="0" max="5" min="5" style="0" width="16"/>
    <col collapsed="false" customWidth="true" hidden="false" outlineLevel="0" max="6" min="6" style="0" width="22"/>
    <col collapsed="false" customWidth="true" hidden="false" outlineLevel="0" max="7" min="7" style="0" width="8"/>
    <col collapsed="false" customWidth="true" hidden="false" outlineLevel="0" max="8" min="8" style="0" width="58"/>
    <col collapsed="false" customWidth="true" hidden="false" outlineLevel="0" max="10" min="9" style="0" width="38"/>
    <col collapsed="false" customWidth="true" hidden="false" outlineLevel="0" max="11" min="11" style="0" width="9"/>
  </cols>
  <sheetData>
    <row r="1" customFormat="false" ht="30" hidden="false" customHeight="true" outlineLevel="0" collapsed="false">
      <c r="A1" s="1" t="s">
        <v>203</v>
      </c>
      <c r="B1" s="1"/>
      <c r="C1" s="1"/>
      <c r="D1" s="1"/>
      <c r="E1" s="1"/>
      <c r="F1" s="1"/>
      <c r="G1" s="1"/>
      <c r="H1" s="1"/>
      <c r="I1" s="1"/>
      <c r="J1" s="1"/>
      <c r="K1" s="1"/>
    </row>
    <row r="2" customFormat="false" ht="31.5" hidden="false" customHeight="true" outlineLevel="0" collapsed="false">
      <c r="A2" s="2" t="s">
        <v>204</v>
      </c>
      <c r="B2" s="2"/>
      <c r="C2" s="2"/>
      <c r="D2" s="2"/>
      <c r="E2" s="2"/>
      <c r="F2" s="2"/>
      <c r="G2" s="2"/>
      <c r="H2" s="2"/>
      <c r="I2" s="2"/>
      <c r="J2" s="2"/>
      <c r="K2" s="2"/>
    </row>
    <row r="4" customFormat="false" ht="30" hidden="false" customHeight="true" outlineLevel="0" collapsed="false">
      <c r="A4" s="10" t="s">
        <v>205</v>
      </c>
      <c r="B4" s="10" t="s">
        <v>206</v>
      </c>
      <c r="C4" s="10" t="s">
        <v>43</v>
      </c>
      <c r="D4" s="10" t="s">
        <v>207</v>
      </c>
      <c r="E4" s="10" t="s">
        <v>208</v>
      </c>
      <c r="F4" s="10" t="s">
        <v>209</v>
      </c>
      <c r="G4" s="10" t="s">
        <v>42</v>
      </c>
      <c r="H4" s="10" t="s">
        <v>210</v>
      </c>
      <c r="I4" s="10" t="s">
        <v>211</v>
      </c>
      <c r="J4" s="10" t="s">
        <v>12</v>
      </c>
      <c r="K4" s="10" t="s">
        <v>44</v>
      </c>
    </row>
    <row r="5" customFormat="false" ht="66" hidden="false" customHeight="true" outlineLevel="0" collapsed="false">
      <c r="A5" s="16" t="s">
        <v>127</v>
      </c>
      <c r="B5" s="11" t="s">
        <v>100</v>
      </c>
      <c r="C5" s="11" t="s">
        <v>212</v>
      </c>
      <c r="D5" s="11" t="s">
        <v>213</v>
      </c>
      <c r="E5" s="11" t="s">
        <v>21</v>
      </c>
      <c r="F5" s="11" t="s">
        <v>214</v>
      </c>
      <c r="G5" s="11" t="n">
        <v>10</v>
      </c>
      <c r="H5" s="11" t="s">
        <v>215</v>
      </c>
      <c r="I5" s="11" t="s">
        <v>216</v>
      </c>
      <c r="J5" s="11" t="s">
        <v>217</v>
      </c>
      <c r="K5" s="14" t="n">
        <f aca="false">IF(C5="","",IFERROR(INDEX(Lists!$B$2:$B$9,MATCH(C5,Lists!$A$2:$A$9,0)),""))</f>
        <v>4</v>
      </c>
    </row>
    <row r="6" customFormat="false" ht="66" hidden="false" customHeight="true" outlineLevel="0" collapsed="false">
      <c r="A6" s="16" t="s">
        <v>121</v>
      </c>
      <c r="B6" s="11" t="s">
        <v>100</v>
      </c>
      <c r="C6" s="11" t="s">
        <v>51</v>
      </c>
      <c r="D6" s="11" t="s">
        <v>213</v>
      </c>
      <c r="E6" s="11" t="s">
        <v>21</v>
      </c>
      <c r="F6" s="11" t="s">
        <v>218</v>
      </c>
      <c r="G6" s="11" t="n">
        <v>6</v>
      </c>
      <c r="H6" s="11" t="s">
        <v>219</v>
      </c>
      <c r="I6" s="11" t="s">
        <v>220</v>
      </c>
      <c r="J6" s="11" t="s">
        <v>221</v>
      </c>
      <c r="K6" s="14" t="n">
        <f aca="false">IF(C6="","",IFERROR(INDEX(Lists!$B$2:$B$9,MATCH(C6,Lists!$A$2:$A$9,0)),""))</f>
        <v>4</v>
      </c>
    </row>
    <row r="7" customFormat="false" ht="66" hidden="false" customHeight="true" outlineLevel="0" collapsed="false">
      <c r="A7" s="16" t="s">
        <v>133</v>
      </c>
      <c r="B7" s="11" t="s">
        <v>100</v>
      </c>
      <c r="C7" s="11" t="s">
        <v>212</v>
      </c>
      <c r="D7" s="11" t="s">
        <v>213</v>
      </c>
      <c r="E7" s="11" t="s">
        <v>21</v>
      </c>
      <c r="F7" s="11" t="s">
        <v>222</v>
      </c>
      <c r="G7" s="11" t="n">
        <v>5</v>
      </c>
      <c r="H7" s="11" t="s">
        <v>223</v>
      </c>
      <c r="I7" s="11" t="s">
        <v>224</v>
      </c>
      <c r="J7" s="11" t="s">
        <v>225</v>
      </c>
      <c r="K7" s="14" t="n">
        <f aca="false">IF(C7="","",IFERROR(INDEX(Lists!$B$2:$B$9,MATCH(C7,Lists!$A$2:$A$9,0)),""))</f>
        <v>4</v>
      </c>
    </row>
    <row r="8" customFormat="false" ht="66" hidden="false" customHeight="true" outlineLevel="0" collapsed="false">
      <c r="A8" s="16" t="s">
        <v>138</v>
      </c>
      <c r="B8" s="11" t="s">
        <v>100</v>
      </c>
      <c r="C8" s="11" t="s">
        <v>226</v>
      </c>
      <c r="D8" s="11" t="s">
        <v>213</v>
      </c>
      <c r="E8" s="11" t="s">
        <v>21</v>
      </c>
      <c r="F8" s="11" t="s">
        <v>227</v>
      </c>
      <c r="G8" s="11" t="n">
        <v>10</v>
      </c>
      <c r="H8" s="11" t="s">
        <v>228</v>
      </c>
      <c r="I8" s="11" t="s">
        <v>229</v>
      </c>
      <c r="J8" s="11" t="s">
        <v>230</v>
      </c>
      <c r="K8" s="14" t="n">
        <f aca="false">IF(C8="","",IFERROR(INDEX(Lists!$B$2:$B$9,MATCH(C8,Lists!$A$2:$A$9,0)),""))</f>
        <v>6</v>
      </c>
    </row>
    <row r="9" customFormat="false" ht="66" hidden="false" customHeight="true" outlineLevel="0" collapsed="false">
      <c r="A9" s="16" t="s">
        <v>139</v>
      </c>
      <c r="B9" s="11" t="s">
        <v>100</v>
      </c>
      <c r="C9" s="11" t="s">
        <v>226</v>
      </c>
      <c r="D9" s="11" t="s">
        <v>213</v>
      </c>
      <c r="E9" s="11" t="s">
        <v>21</v>
      </c>
      <c r="F9" s="11" t="s">
        <v>227</v>
      </c>
      <c r="G9" s="11" t="n">
        <v>6</v>
      </c>
      <c r="H9" s="11" t="s">
        <v>231</v>
      </c>
      <c r="I9" s="11" t="s">
        <v>232</v>
      </c>
      <c r="J9" s="11" t="s">
        <v>233</v>
      </c>
      <c r="K9" s="14" t="n">
        <f aca="false">IF(C9="","",IFERROR(INDEX(Lists!$B$2:$B$9,MATCH(C9,Lists!$A$2:$A$9,0)),""))</f>
        <v>6</v>
      </c>
    </row>
    <row r="10" customFormat="false" ht="66" hidden="false" customHeight="true" outlineLevel="0" collapsed="false">
      <c r="A10" s="16" t="s">
        <v>160</v>
      </c>
      <c r="B10" s="11" t="s">
        <v>100</v>
      </c>
      <c r="C10" s="11" t="s">
        <v>234</v>
      </c>
      <c r="D10" s="11" t="s">
        <v>213</v>
      </c>
      <c r="E10" s="11" t="s">
        <v>21</v>
      </c>
      <c r="F10" s="11" t="s">
        <v>235</v>
      </c>
      <c r="G10" s="11" t="n">
        <v>6</v>
      </c>
      <c r="H10" s="11" t="s">
        <v>236</v>
      </c>
      <c r="I10" s="11" t="s">
        <v>237</v>
      </c>
      <c r="J10" s="11" t="s">
        <v>238</v>
      </c>
      <c r="K10" s="14" t="n">
        <f aca="false">IF(C10="","",IFERROR(INDEX(Lists!$B$2:$B$9,MATCH(C10,Lists!$A$2:$A$9,0)),""))</f>
        <v>15</v>
      </c>
    </row>
    <row r="11" customFormat="false" ht="66" hidden="false" customHeight="true" outlineLevel="0" collapsed="false">
      <c r="A11" s="16" t="s">
        <v>120</v>
      </c>
      <c r="B11" s="11" t="s">
        <v>67</v>
      </c>
      <c r="C11" s="11" t="s">
        <v>212</v>
      </c>
      <c r="D11" s="11" t="s">
        <v>213</v>
      </c>
      <c r="E11" s="11" t="s">
        <v>21</v>
      </c>
      <c r="F11" s="11" t="s">
        <v>239</v>
      </c>
      <c r="G11" s="11" t="n">
        <v>6</v>
      </c>
      <c r="H11" s="11" t="s">
        <v>240</v>
      </c>
      <c r="I11" s="11" t="s">
        <v>241</v>
      </c>
      <c r="J11" s="11" t="s">
        <v>242</v>
      </c>
      <c r="K11" s="14" t="n">
        <f aca="false">IF(C11="","",IFERROR(INDEX(Lists!$B$2:$B$9,MATCH(C11,Lists!$A$2:$A$9,0)),""))</f>
        <v>4</v>
      </c>
    </row>
    <row r="12" customFormat="false" ht="66" hidden="false" customHeight="true" outlineLevel="0" collapsed="false">
      <c r="A12" s="16" t="s">
        <v>122</v>
      </c>
      <c r="B12" s="11" t="s">
        <v>67</v>
      </c>
      <c r="C12" s="11" t="s">
        <v>212</v>
      </c>
      <c r="D12" s="11" t="s">
        <v>213</v>
      </c>
      <c r="E12" s="11" t="s">
        <v>21</v>
      </c>
      <c r="F12" s="11" t="s">
        <v>243</v>
      </c>
      <c r="G12" s="11" t="n">
        <v>8</v>
      </c>
      <c r="H12" s="11" t="s">
        <v>244</v>
      </c>
      <c r="I12" s="11" t="s">
        <v>245</v>
      </c>
      <c r="J12" s="11" t="s">
        <v>246</v>
      </c>
      <c r="K12" s="14" t="n">
        <f aca="false">IF(C12="","",IFERROR(INDEX(Lists!$B$2:$B$9,MATCH(C12,Lists!$A$2:$A$9,0)),""))</f>
        <v>4</v>
      </c>
    </row>
    <row r="13" customFormat="false" ht="66" hidden="false" customHeight="true" outlineLevel="0" collapsed="false">
      <c r="A13" s="16" t="s">
        <v>129</v>
      </c>
      <c r="B13" s="11" t="s">
        <v>67</v>
      </c>
      <c r="C13" s="11" t="s">
        <v>212</v>
      </c>
      <c r="D13" s="11" t="s">
        <v>213</v>
      </c>
      <c r="E13" s="11" t="s">
        <v>21</v>
      </c>
      <c r="F13" s="11" t="s">
        <v>247</v>
      </c>
      <c r="G13" s="11" t="n">
        <v>8</v>
      </c>
      <c r="H13" s="11" t="s">
        <v>248</v>
      </c>
      <c r="I13" s="11" t="s">
        <v>249</v>
      </c>
      <c r="J13" s="11" t="s">
        <v>250</v>
      </c>
      <c r="K13" s="14" t="n">
        <f aca="false">IF(C13="","",IFERROR(INDEX(Lists!$B$2:$B$9,MATCH(C13,Lists!$A$2:$A$9,0)),""))</f>
        <v>4</v>
      </c>
    </row>
    <row r="14" customFormat="false" ht="66" hidden="false" customHeight="true" outlineLevel="0" collapsed="false">
      <c r="A14" s="16" t="s">
        <v>128</v>
      </c>
      <c r="B14" s="11" t="s">
        <v>67</v>
      </c>
      <c r="C14" s="11" t="s">
        <v>212</v>
      </c>
      <c r="D14" s="11" t="s">
        <v>213</v>
      </c>
      <c r="E14" s="11" t="s">
        <v>23</v>
      </c>
      <c r="F14" s="11" t="s">
        <v>251</v>
      </c>
      <c r="G14" s="11" t="n">
        <v>8</v>
      </c>
      <c r="H14" s="11" t="s">
        <v>252</v>
      </c>
      <c r="I14" s="11" t="s">
        <v>253</v>
      </c>
      <c r="J14" s="11" t="s">
        <v>254</v>
      </c>
      <c r="K14" s="14" t="n">
        <f aca="false">IF(C14="","",IFERROR(INDEX(Lists!$B$2:$B$9,MATCH(C14,Lists!$A$2:$A$9,0)),""))</f>
        <v>4</v>
      </c>
    </row>
    <row r="15" customFormat="false" ht="66" hidden="false" customHeight="true" outlineLevel="0" collapsed="false">
      <c r="A15" s="16" t="s">
        <v>134</v>
      </c>
      <c r="B15" s="11" t="s">
        <v>67</v>
      </c>
      <c r="C15" s="11" t="s">
        <v>212</v>
      </c>
      <c r="D15" s="11" t="s">
        <v>213</v>
      </c>
      <c r="E15" s="11" t="s">
        <v>23</v>
      </c>
      <c r="F15" s="11" t="s">
        <v>251</v>
      </c>
      <c r="G15" s="11" t="n">
        <v>8</v>
      </c>
      <c r="H15" s="11" t="s">
        <v>255</v>
      </c>
      <c r="I15" s="11" t="s">
        <v>256</v>
      </c>
      <c r="J15" s="11" t="s">
        <v>257</v>
      </c>
      <c r="K15" s="14" t="n">
        <f aca="false">IF(C15="","",IFERROR(INDEX(Lists!$B$2:$B$9,MATCH(C15,Lists!$A$2:$A$9,0)),""))</f>
        <v>4</v>
      </c>
    </row>
    <row r="16" customFormat="false" ht="66" hidden="false" customHeight="true" outlineLevel="0" collapsed="false">
      <c r="A16" s="16" t="s">
        <v>152</v>
      </c>
      <c r="B16" s="11" t="s">
        <v>67</v>
      </c>
      <c r="C16" s="11" t="s">
        <v>64</v>
      </c>
      <c r="D16" s="11" t="s">
        <v>258</v>
      </c>
      <c r="E16" s="11" t="s">
        <v>23</v>
      </c>
      <c r="F16" s="11" t="s">
        <v>251</v>
      </c>
      <c r="G16" s="11" t="n">
        <v>8</v>
      </c>
      <c r="H16" s="11" t="s">
        <v>259</v>
      </c>
      <c r="I16" s="11" t="s">
        <v>260</v>
      </c>
      <c r="J16" s="11" t="s">
        <v>261</v>
      </c>
      <c r="K16" s="14" t="n">
        <f aca="false">IF(C16="","",IFERROR(INDEX(Lists!$B$2:$B$9,MATCH(C16,Lists!$A$2:$A$9,0)),""))</f>
        <v>11</v>
      </c>
    </row>
    <row r="17" customFormat="false" ht="66" hidden="false" customHeight="true" outlineLevel="0" collapsed="false">
      <c r="A17" s="16" t="s">
        <v>161</v>
      </c>
      <c r="B17" s="11" t="s">
        <v>67</v>
      </c>
      <c r="C17" s="11" t="s">
        <v>234</v>
      </c>
      <c r="D17" s="11" t="s">
        <v>258</v>
      </c>
      <c r="E17" s="11" t="s">
        <v>23</v>
      </c>
      <c r="F17" s="11" t="s">
        <v>251</v>
      </c>
      <c r="G17" s="11" t="n">
        <v>6</v>
      </c>
      <c r="H17" s="11" t="s">
        <v>262</v>
      </c>
      <c r="I17" s="11" t="s">
        <v>263</v>
      </c>
      <c r="J17" s="11" t="s">
        <v>264</v>
      </c>
      <c r="K17" s="14" t="n">
        <f aca="false">IF(C17="","",IFERROR(INDEX(Lists!$B$2:$B$9,MATCH(C17,Lists!$A$2:$A$9,0)),""))</f>
        <v>15</v>
      </c>
    </row>
    <row r="18" customFormat="false" ht="66" hidden="false" customHeight="true" outlineLevel="0" collapsed="false">
      <c r="A18" s="16" t="s">
        <v>130</v>
      </c>
      <c r="B18" s="11" t="s">
        <v>67</v>
      </c>
      <c r="C18" s="11" t="s">
        <v>212</v>
      </c>
      <c r="D18" s="11" t="s">
        <v>213</v>
      </c>
      <c r="E18" s="11" t="s">
        <v>23</v>
      </c>
      <c r="F18" s="11" t="s">
        <v>265</v>
      </c>
      <c r="G18" s="11" t="n">
        <v>10</v>
      </c>
      <c r="H18" s="11" t="s">
        <v>266</v>
      </c>
      <c r="I18" s="11" t="s">
        <v>267</v>
      </c>
      <c r="J18" s="11" t="s">
        <v>268</v>
      </c>
      <c r="K18" s="14" t="n">
        <f aca="false">IF(C18="","",IFERROR(INDEX(Lists!$B$2:$B$9,MATCH(C18,Lists!$A$2:$A$9,0)),""))</f>
        <v>4</v>
      </c>
    </row>
    <row r="19" customFormat="false" ht="66" hidden="false" customHeight="true" outlineLevel="0" collapsed="false">
      <c r="A19" s="16" t="s">
        <v>136</v>
      </c>
      <c r="B19" s="11" t="s">
        <v>67</v>
      </c>
      <c r="C19" s="11" t="s">
        <v>212</v>
      </c>
      <c r="D19" s="11" t="s">
        <v>213</v>
      </c>
      <c r="E19" s="11" t="s">
        <v>21</v>
      </c>
      <c r="F19" s="11" t="s">
        <v>269</v>
      </c>
      <c r="G19" s="11" t="n">
        <v>6</v>
      </c>
      <c r="H19" s="11" t="s">
        <v>270</v>
      </c>
      <c r="I19" s="11" t="s">
        <v>271</v>
      </c>
      <c r="J19" s="11" t="s">
        <v>242</v>
      </c>
      <c r="K19" s="14" t="n">
        <f aca="false">IF(C19="","",IFERROR(INDEX(Lists!$B$2:$B$9,MATCH(C19,Lists!$A$2:$A$9,0)),""))</f>
        <v>4</v>
      </c>
    </row>
    <row r="20" customFormat="false" ht="66" hidden="false" customHeight="true" outlineLevel="0" collapsed="false">
      <c r="A20" s="16" t="s">
        <v>154</v>
      </c>
      <c r="B20" s="11" t="s">
        <v>67</v>
      </c>
      <c r="C20" s="11" t="s">
        <v>64</v>
      </c>
      <c r="D20" s="11" t="s">
        <v>213</v>
      </c>
      <c r="E20" s="11" t="s">
        <v>21</v>
      </c>
      <c r="F20" s="11" t="s">
        <v>272</v>
      </c>
      <c r="G20" s="11" t="n">
        <v>6</v>
      </c>
      <c r="H20" s="11" t="s">
        <v>273</v>
      </c>
      <c r="I20" s="11" t="s">
        <v>274</v>
      </c>
      <c r="J20" s="11" t="s">
        <v>275</v>
      </c>
      <c r="K20" s="14" t="n">
        <f aca="false">IF(C20="","",IFERROR(INDEX(Lists!$B$2:$B$9,MATCH(C20,Lists!$A$2:$A$9,0)),""))</f>
        <v>11</v>
      </c>
    </row>
    <row r="21" customFormat="false" ht="66" hidden="false" customHeight="true" outlineLevel="0" collapsed="false">
      <c r="A21" s="16" t="s">
        <v>163</v>
      </c>
      <c r="B21" s="11" t="s">
        <v>67</v>
      </c>
      <c r="C21" s="11" t="s">
        <v>234</v>
      </c>
      <c r="D21" s="11" t="s">
        <v>258</v>
      </c>
      <c r="E21" s="11" t="s">
        <v>23</v>
      </c>
      <c r="F21" s="11" t="s">
        <v>276</v>
      </c>
      <c r="G21" s="11" t="n">
        <v>8</v>
      </c>
      <c r="H21" s="11" t="s">
        <v>277</v>
      </c>
      <c r="I21" s="11" t="s">
        <v>278</v>
      </c>
      <c r="J21" s="11" t="s">
        <v>279</v>
      </c>
      <c r="K21" s="14" t="n">
        <f aca="false">IF(C21="","",IFERROR(INDEX(Lists!$B$2:$B$9,MATCH(C21,Lists!$A$2:$A$9,0)),""))</f>
        <v>15</v>
      </c>
    </row>
    <row r="22" customFormat="false" ht="66" hidden="false" customHeight="true" outlineLevel="0" collapsed="false">
      <c r="A22" s="16" t="s">
        <v>280</v>
      </c>
      <c r="B22" s="11" t="s">
        <v>281</v>
      </c>
      <c r="C22" s="11" t="s">
        <v>282</v>
      </c>
      <c r="D22" s="11" t="s">
        <v>213</v>
      </c>
      <c r="E22" s="11" t="s">
        <v>25</v>
      </c>
      <c r="F22" s="11" t="s">
        <v>283</v>
      </c>
      <c r="G22" s="11" t="n">
        <v>8</v>
      </c>
      <c r="H22" s="11" t="s">
        <v>284</v>
      </c>
      <c r="I22" s="11" t="s">
        <v>285</v>
      </c>
      <c r="J22" s="11" t="s">
        <v>286</v>
      </c>
      <c r="K22" s="14" t="n">
        <f aca="false">IF(C22="","",IFERROR(INDEX(Lists!$B$2:$B$9,MATCH(C22,Lists!$A$2:$A$9,0)),""))</f>
        <v>6</v>
      </c>
    </row>
    <row r="23" customFormat="false" ht="66" hidden="false" customHeight="true" outlineLevel="0" collapsed="false">
      <c r="A23" s="16" t="s">
        <v>123</v>
      </c>
      <c r="B23" s="11" t="s">
        <v>281</v>
      </c>
      <c r="C23" s="11" t="s">
        <v>51</v>
      </c>
      <c r="D23" s="11" t="s">
        <v>213</v>
      </c>
      <c r="E23" s="11" t="s">
        <v>23</v>
      </c>
      <c r="F23" s="11" t="s">
        <v>287</v>
      </c>
      <c r="G23" s="11" t="n">
        <v>8</v>
      </c>
      <c r="H23" s="11" t="s">
        <v>288</v>
      </c>
      <c r="I23" s="11" t="s">
        <v>289</v>
      </c>
      <c r="J23" s="11" t="s">
        <v>290</v>
      </c>
      <c r="K23" s="14" t="n">
        <f aca="false">IF(C23="","",IFERROR(INDEX(Lists!$B$2:$B$9,MATCH(C23,Lists!$A$2:$A$9,0)),""))</f>
        <v>4</v>
      </c>
    </row>
    <row r="24" customFormat="false" ht="66" hidden="false" customHeight="true" outlineLevel="0" collapsed="false">
      <c r="A24" s="16" t="s">
        <v>124</v>
      </c>
      <c r="B24" s="11" t="s">
        <v>281</v>
      </c>
      <c r="C24" s="11" t="s">
        <v>51</v>
      </c>
      <c r="D24" s="11" t="s">
        <v>213</v>
      </c>
      <c r="E24" s="11" t="s">
        <v>21</v>
      </c>
      <c r="F24" s="11" t="s">
        <v>214</v>
      </c>
      <c r="G24" s="11" t="n">
        <v>6</v>
      </c>
      <c r="H24" s="11" t="s">
        <v>291</v>
      </c>
      <c r="I24" s="11" t="s">
        <v>292</v>
      </c>
      <c r="J24" s="11" t="s">
        <v>242</v>
      </c>
      <c r="K24" s="14" t="n">
        <f aca="false">IF(C24="","",IFERROR(INDEX(Lists!$B$2:$B$9,MATCH(C24,Lists!$A$2:$A$9,0)),""))</f>
        <v>4</v>
      </c>
    </row>
    <row r="25" customFormat="false" ht="66" hidden="false" customHeight="true" outlineLevel="0" collapsed="false">
      <c r="A25" s="16" t="s">
        <v>153</v>
      </c>
      <c r="B25" s="11" t="s">
        <v>67</v>
      </c>
      <c r="C25" s="11" t="s">
        <v>64</v>
      </c>
      <c r="D25" s="11" t="s">
        <v>258</v>
      </c>
      <c r="E25" s="11" t="s">
        <v>21</v>
      </c>
      <c r="F25" s="11" t="s">
        <v>235</v>
      </c>
      <c r="G25" s="11" t="n">
        <v>6</v>
      </c>
      <c r="H25" s="11" t="s">
        <v>293</v>
      </c>
      <c r="I25" s="11" t="s">
        <v>294</v>
      </c>
      <c r="J25" s="11" t="s">
        <v>242</v>
      </c>
      <c r="K25" s="14" t="n">
        <f aca="false">IF(C25="","",IFERROR(INDEX(Lists!$B$2:$B$9,MATCH(C25,Lists!$A$2:$A$9,0)),""))</f>
        <v>11</v>
      </c>
    </row>
    <row r="26" customFormat="false" ht="66" hidden="false" customHeight="true" outlineLevel="0" collapsed="false">
      <c r="A26" s="16" t="s">
        <v>162</v>
      </c>
      <c r="B26" s="11" t="s">
        <v>295</v>
      </c>
      <c r="C26" s="11" t="s">
        <v>234</v>
      </c>
      <c r="D26" s="11" t="s">
        <v>213</v>
      </c>
      <c r="E26" s="11" t="s">
        <v>23</v>
      </c>
      <c r="F26" s="11" t="s">
        <v>296</v>
      </c>
      <c r="G26" s="11" t="n">
        <v>12</v>
      </c>
      <c r="H26" s="11" t="s">
        <v>297</v>
      </c>
      <c r="I26" s="11" t="s">
        <v>298</v>
      </c>
      <c r="J26" s="11" t="s">
        <v>299</v>
      </c>
      <c r="K26" s="14" t="n">
        <f aca="false">IF(C26="","",IFERROR(INDEX(Lists!$B$2:$B$9,MATCH(C26,Lists!$A$2:$A$9,0)),""))</f>
        <v>15</v>
      </c>
    </row>
    <row r="27" customFormat="false" ht="66" hidden="false" customHeight="true" outlineLevel="0" collapsed="false">
      <c r="A27" s="16" t="s">
        <v>156</v>
      </c>
      <c r="B27" s="11" t="s">
        <v>67</v>
      </c>
      <c r="C27" s="11" t="s">
        <v>64</v>
      </c>
      <c r="D27" s="11" t="s">
        <v>258</v>
      </c>
      <c r="E27" s="11" t="s">
        <v>29</v>
      </c>
      <c r="F27" s="11" t="s">
        <v>300</v>
      </c>
      <c r="G27" s="11" t="n">
        <v>6</v>
      </c>
      <c r="H27" s="11" t="s">
        <v>301</v>
      </c>
      <c r="I27" s="11" t="s">
        <v>302</v>
      </c>
      <c r="J27" s="11" t="s">
        <v>303</v>
      </c>
      <c r="K27" s="14" t="n">
        <f aca="false">IF(C27="","",IFERROR(INDEX(Lists!$B$2:$B$9,MATCH(C27,Lists!$A$2:$A$9,0)),""))</f>
        <v>11</v>
      </c>
    </row>
    <row r="28" customFormat="false" ht="66" hidden="false" customHeight="true" outlineLevel="0" collapsed="false">
      <c r="A28" s="16" t="s">
        <v>199</v>
      </c>
      <c r="B28" s="11" t="s">
        <v>67</v>
      </c>
      <c r="C28" s="11" t="s">
        <v>304</v>
      </c>
      <c r="D28" s="11" t="s">
        <v>305</v>
      </c>
      <c r="E28" s="11" t="s">
        <v>31</v>
      </c>
      <c r="F28" s="11" t="s">
        <v>306</v>
      </c>
      <c r="G28" s="11" t="n">
        <v>12</v>
      </c>
      <c r="H28" s="11" t="s">
        <v>307</v>
      </c>
      <c r="I28" s="11" t="s">
        <v>308</v>
      </c>
      <c r="J28" s="11" t="s">
        <v>309</v>
      </c>
      <c r="K28" s="14" t="n">
        <f aca="false">IF(C28="","",IFERROR(INDEX(Lists!$B$2:$B$9,MATCH(C28,Lists!$A$2:$A$9,0)),""))</f>
        <v>18</v>
      </c>
    </row>
    <row r="29" customFormat="false" ht="66" hidden="false" customHeight="true" outlineLevel="0" collapsed="false">
      <c r="A29" s="16" t="s">
        <v>167</v>
      </c>
      <c r="B29" s="11" t="s">
        <v>76</v>
      </c>
      <c r="C29" s="11" t="s">
        <v>234</v>
      </c>
      <c r="D29" s="11" t="s">
        <v>213</v>
      </c>
      <c r="E29" s="11" t="s">
        <v>23</v>
      </c>
      <c r="F29" s="11" t="s">
        <v>310</v>
      </c>
      <c r="G29" s="11" t="n">
        <v>8</v>
      </c>
      <c r="H29" s="11" t="s">
        <v>311</v>
      </c>
      <c r="I29" s="11" t="s">
        <v>312</v>
      </c>
      <c r="J29" s="11" t="s">
        <v>313</v>
      </c>
      <c r="K29" s="14" t="n">
        <f aca="false">IF(C29="","",IFERROR(INDEX(Lists!$B$2:$B$9,MATCH(C29,Lists!$A$2:$A$9,0)),""))</f>
        <v>15</v>
      </c>
    </row>
    <row r="30" customFormat="false" ht="66" hidden="false" customHeight="true" outlineLevel="0" collapsed="false">
      <c r="A30" s="16" t="s">
        <v>168</v>
      </c>
      <c r="B30" s="11" t="s">
        <v>76</v>
      </c>
      <c r="C30" s="11" t="s">
        <v>234</v>
      </c>
      <c r="D30" s="11" t="s">
        <v>213</v>
      </c>
      <c r="E30" s="11" t="s">
        <v>23</v>
      </c>
      <c r="F30" s="11" t="s">
        <v>310</v>
      </c>
      <c r="G30" s="11" t="n">
        <v>8</v>
      </c>
      <c r="H30" s="11" t="s">
        <v>314</v>
      </c>
      <c r="I30" s="11" t="s">
        <v>315</v>
      </c>
      <c r="J30" s="11" t="s">
        <v>316</v>
      </c>
      <c r="K30" s="14" t="n">
        <f aca="false">IF(C30="","",IFERROR(INDEX(Lists!$B$2:$B$9,MATCH(C30,Lists!$A$2:$A$9,0)),""))</f>
        <v>15</v>
      </c>
    </row>
    <row r="31" customFormat="false" ht="66" hidden="false" customHeight="true" outlineLevel="0" collapsed="false">
      <c r="A31" s="16" t="s">
        <v>169</v>
      </c>
      <c r="B31" s="11" t="s">
        <v>76</v>
      </c>
      <c r="C31" s="11" t="s">
        <v>234</v>
      </c>
      <c r="D31" s="11" t="s">
        <v>258</v>
      </c>
      <c r="E31" s="11" t="s">
        <v>23</v>
      </c>
      <c r="F31" s="11" t="s">
        <v>317</v>
      </c>
      <c r="G31" s="11" t="n">
        <v>6</v>
      </c>
      <c r="H31" s="11" t="s">
        <v>318</v>
      </c>
      <c r="I31" s="11" t="s">
        <v>319</v>
      </c>
      <c r="J31" s="11" t="s">
        <v>257</v>
      </c>
      <c r="K31" s="14" t="n">
        <f aca="false">IF(C31="","",IFERROR(INDEX(Lists!$B$2:$B$9,MATCH(C31,Lists!$A$2:$A$9,0)),""))</f>
        <v>15</v>
      </c>
    </row>
    <row r="32" customFormat="false" ht="66" hidden="false" customHeight="true" outlineLevel="0" collapsed="false">
      <c r="A32" s="16" t="s">
        <v>170</v>
      </c>
      <c r="B32" s="11" t="s">
        <v>76</v>
      </c>
      <c r="C32" s="11" t="s">
        <v>82</v>
      </c>
      <c r="D32" s="11" t="s">
        <v>258</v>
      </c>
      <c r="E32" s="11" t="s">
        <v>23</v>
      </c>
      <c r="F32" s="11" t="s">
        <v>320</v>
      </c>
      <c r="G32" s="11" t="n">
        <v>8</v>
      </c>
      <c r="H32" s="11" t="s">
        <v>321</v>
      </c>
      <c r="I32" s="11" t="s">
        <v>322</v>
      </c>
      <c r="J32" s="11" t="s">
        <v>323</v>
      </c>
      <c r="K32" s="14" t="n">
        <f aca="false">IF(C32="","",IFERROR(INDEX(Lists!$B$2:$B$9,MATCH(C32,Lists!$A$2:$A$9,0)),""))</f>
        <v>12</v>
      </c>
    </row>
    <row r="33" customFormat="false" ht="66" hidden="false" customHeight="true" outlineLevel="0" collapsed="false">
      <c r="A33" s="16" t="s">
        <v>172</v>
      </c>
      <c r="B33" s="11" t="s">
        <v>76</v>
      </c>
      <c r="C33" s="11" t="s">
        <v>234</v>
      </c>
      <c r="D33" s="11" t="s">
        <v>258</v>
      </c>
      <c r="E33" s="11" t="s">
        <v>21</v>
      </c>
      <c r="F33" s="11" t="s">
        <v>324</v>
      </c>
      <c r="G33" s="11" t="n">
        <v>6</v>
      </c>
      <c r="H33" s="11" t="s">
        <v>325</v>
      </c>
      <c r="I33" s="11" t="s">
        <v>326</v>
      </c>
      <c r="J33" s="11" t="s">
        <v>327</v>
      </c>
      <c r="K33" s="14" t="n">
        <f aca="false">IF(C33="","",IFERROR(INDEX(Lists!$B$2:$B$9,MATCH(C33,Lists!$A$2:$A$9,0)),""))</f>
        <v>15</v>
      </c>
    </row>
    <row r="34" customFormat="false" ht="66" hidden="false" customHeight="true" outlineLevel="0" collapsed="false">
      <c r="A34" s="16" t="s">
        <v>140</v>
      </c>
      <c r="B34" s="11" t="s">
        <v>56</v>
      </c>
      <c r="C34" s="11" t="s">
        <v>226</v>
      </c>
      <c r="D34" s="11" t="s">
        <v>213</v>
      </c>
      <c r="E34" s="11" t="s">
        <v>21</v>
      </c>
      <c r="F34" s="11" t="s">
        <v>227</v>
      </c>
      <c r="G34" s="11" t="n">
        <v>6</v>
      </c>
      <c r="H34" s="11" t="s">
        <v>328</v>
      </c>
      <c r="I34" s="11" t="s">
        <v>329</v>
      </c>
      <c r="J34" s="11" t="s">
        <v>242</v>
      </c>
      <c r="K34" s="14" t="n">
        <f aca="false">IF(C34="","",IFERROR(INDEX(Lists!$B$2:$B$9,MATCH(C34,Lists!$A$2:$A$9,0)),""))</f>
        <v>6</v>
      </c>
    </row>
    <row r="35" customFormat="false" ht="66" hidden="false" customHeight="true" outlineLevel="0" collapsed="false">
      <c r="A35" s="16" t="s">
        <v>143</v>
      </c>
      <c r="B35" s="11" t="s">
        <v>56</v>
      </c>
      <c r="C35" s="11" t="s">
        <v>226</v>
      </c>
      <c r="D35" s="11" t="s">
        <v>213</v>
      </c>
      <c r="E35" s="11" t="s">
        <v>21</v>
      </c>
      <c r="F35" s="11" t="s">
        <v>227</v>
      </c>
      <c r="G35" s="11" t="n">
        <v>8</v>
      </c>
      <c r="H35" s="11" t="s">
        <v>330</v>
      </c>
      <c r="I35" s="11" t="s">
        <v>331</v>
      </c>
      <c r="J35" s="11" t="s">
        <v>332</v>
      </c>
      <c r="K35" s="14" t="n">
        <f aca="false">IF(C35="","",IFERROR(INDEX(Lists!$B$2:$B$9,MATCH(C35,Lists!$A$2:$A$9,0)),""))</f>
        <v>6</v>
      </c>
    </row>
    <row r="36" customFormat="false" ht="66" hidden="false" customHeight="true" outlineLevel="0" collapsed="false">
      <c r="A36" s="16" t="s">
        <v>141</v>
      </c>
      <c r="B36" s="11" t="s">
        <v>56</v>
      </c>
      <c r="C36" s="11" t="s">
        <v>226</v>
      </c>
      <c r="D36" s="11" t="s">
        <v>213</v>
      </c>
      <c r="E36" s="11" t="s">
        <v>21</v>
      </c>
      <c r="F36" s="11" t="s">
        <v>227</v>
      </c>
      <c r="G36" s="11" t="n">
        <v>5</v>
      </c>
      <c r="H36" s="11" t="s">
        <v>333</v>
      </c>
      <c r="I36" s="11" t="s">
        <v>334</v>
      </c>
      <c r="J36" s="11" t="s">
        <v>335</v>
      </c>
      <c r="K36" s="14" t="n">
        <f aca="false">IF(C36="","",IFERROR(INDEX(Lists!$B$2:$B$9,MATCH(C36,Lists!$A$2:$A$9,0)),""))</f>
        <v>6</v>
      </c>
    </row>
    <row r="37" customFormat="false" ht="66" hidden="false" customHeight="true" outlineLevel="0" collapsed="false">
      <c r="A37" s="16" t="s">
        <v>336</v>
      </c>
      <c r="B37" s="11" t="s">
        <v>56</v>
      </c>
      <c r="C37" s="11" t="s">
        <v>64</v>
      </c>
      <c r="D37" s="11" t="s">
        <v>213</v>
      </c>
      <c r="E37" s="11" t="s">
        <v>25</v>
      </c>
      <c r="F37" s="11" t="s">
        <v>227</v>
      </c>
      <c r="G37" s="11" t="n">
        <v>6</v>
      </c>
      <c r="H37" s="11" t="s">
        <v>337</v>
      </c>
      <c r="I37" s="11" t="s">
        <v>338</v>
      </c>
      <c r="J37" s="11" t="s">
        <v>339</v>
      </c>
      <c r="K37" s="14" t="n">
        <f aca="false">IF(C37="","",IFERROR(INDEX(Lists!$B$2:$B$9,MATCH(C37,Lists!$A$2:$A$9,0)),""))</f>
        <v>11</v>
      </c>
    </row>
    <row r="38" customFormat="false" ht="66" hidden="false" customHeight="true" outlineLevel="0" collapsed="false">
      <c r="A38" s="16" t="s">
        <v>195</v>
      </c>
      <c r="B38" s="11" t="s">
        <v>56</v>
      </c>
      <c r="C38" s="11" t="s">
        <v>64</v>
      </c>
      <c r="D38" s="11" t="s">
        <v>213</v>
      </c>
      <c r="E38" s="11" t="s">
        <v>25</v>
      </c>
      <c r="F38" s="11" t="s">
        <v>227</v>
      </c>
      <c r="G38" s="11" t="n">
        <v>10</v>
      </c>
      <c r="H38" s="11" t="s">
        <v>340</v>
      </c>
      <c r="I38" s="11" t="s">
        <v>341</v>
      </c>
      <c r="J38" s="11" t="s">
        <v>342</v>
      </c>
      <c r="K38" s="14" t="n">
        <f aca="false">IF(C38="","",IFERROR(INDEX(Lists!$B$2:$B$9,MATCH(C38,Lists!$A$2:$A$9,0)),""))</f>
        <v>11</v>
      </c>
    </row>
    <row r="39" customFormat="false" ht="66" hidden="false" customHeight="true" outlineLevel="0" collapsed="false">
      <c r="A39" s="16" t="s">
        <v>343</v>
      </c>
      <c r="B39" s="11" t="s">
        <v>56</v>
      </c>
      <c r="C39" s="11" t="s">
        <v>64</v>
      </c>
      <c r="D39" s="11" t="s">
        <v>258</v>
      </c>
      <c r="E39" s="11" t="s">
        <v>25</v>
      </c>
      <c r="F39" s="11" t="s">
        <v>227</v>
      </c>
      <c r="G39" s="11" t="n">
        <v>10</v>
      </c>
      <c r="H39" s="11" t="s">
        <v>344</v>
      </c>
      <c r="I39" s="11" t="s">
        <v>345</v>
      </c>
      <c r="J39" s="11" t="s">
        <v>346</v>
      </c>
      <c r="K39" s="14" t="n">
        <f aca="false">IF(C39="","",IFERROR(INDEX(Lists!$B$2:$B$9,MATCH(C39,Lists!$A$2:$A$9,0)),""))</f>
        <v>11</v>
      </c>
    </row>
    <row r="40" customFormat="false" ht="66" hidden="false" customHeight="true" outlineLevel="0" collapsed="false">
      <c r="A40" s="16" t="s">
        <v>347</v>
      </c>
      <c r="B40" s="11" t="s">
        <v>56</v>
      </c>
      <c r="C40" s="11" t="s">
        <v>64</v>
      </c>
      <c r="D40" s="11" t="s">
        <v>213</v>
      </c>
      <c r="E40" s="11" t="s">
        <v>25</v>
      </c>
      <c r="F40" s="11" t="s">
        <v>227</v>
      </c>
      <c r="G40" s="11" t="n">
        <v>8</v>
      </c>
      <c r="H40" s="11" t="s">
        <v>348</v>
      </c>
      <c r="I40" s="11" t="s">
        <v>349</v>
      </c>
      <c r="J40" s="11" t="s">
        <v>350</v>
      </c>
      <c r="K40" s="14" t="n">
        <f aca="false">IF(C40="","",IFERROR(INDEX(Lists!$B$2:$B$9,MATCH(C40,Lists!$A$2:$A$9,0)),""))</f>
        <v>11</v>
      </c>
    </row>
    <row r="41" customFormat="false" ht="66" hidden="false" customHeight="true" outlineLevel="0" collapsed="false">
      <c r="A41" s="16" t="s">
        <v>147</v>
      </c>
      <c r="B41" s="11" t="s">
        <v>56</v>
      </c>
      <c r="C41" s="11" t="s">
        <v>226</v>
      </c>
      <c r="D41" s="11" t="s">
        <v>213</v>
      </c>
      <c r="E41" s="11" t="s">
        <v>25</v>
      </c>
      <c r="F41" s="11" t="s">
        <v>227</v>
      </c>
      <c r="G41" s="11" t="n">
        <v>8</v>
      </c>
      <c r="H41" s="11" t="s">
        <v>351</v>
      </c>
      <c r="I41" s="11" t="s">
        <v>352</v>
      </c>
      <c r="J41" s="11" t="s">
        <v>353</v>
      </c>
      <c r="K41" s="14" t="n">
        <f aca="false">IF(C41="","",IFERROR(INDEX(Lists!$B$2:$B$9,MATCH(C41,Lists!$A$2:$A$9,0)),""))</f>
        <v>6</v>
      </c>
    </row>
    <row r="42" customFormat="false" ht="66" hidden="false" customHeight="true" outlineLevel="0" collapsed="false">
      <c r="A42" s="16" t="s">
        <v>142</v>
      </c>
      <c r="B42" s="11" t="s">
        <v>281</v>
      </c>
      <c r="C42" s="11" t="s">
        <v>282</v>
      </c>
      <c r="D42" s="11" t="s">
        <v>213</v>
      </c>
      <c r="E42" s="11" t="s">
        <v>25</v>
      </c>
      <c r="F42" s="11" t="s">
        <v>227</v>
      </c>
      <c r="G42" s="11" t="n">
        <v>6</v>
      </c>
      <c r="H42" s="11" t="s">
        <v>354</v>
      </c>
      <c r="I42" s="11" t="s">
        <v>355</v>
      </c>
      <c r="J42" s="11" t="s">
        <v>356</v>
      </c>
      <c r="K42" s="14" t="n">
        <f aca="false">IF(C42="","",IFERROR(INDEX(Lists!$B$2:$B$9,MATCH(C42,Lists!$A$2:$A$9,0)),""))</f>
        <v>6</v>
      </c>
    </row>
    <row r="43" customFormat="false" ht="66" hidden="false" customHeight="true" outlineLevel="0" collapsed="false">
      <c r="A43" s="16" t="s">
        <v>144</v>
      </c>
      <c r="B43" s="11" t="s">
        <v>281</v>
      </c>
      <c r="C43" s="11" t="s">
        <v>282</v>
      </c>
      <c r="D43" s="11" t="s">
        <v>213</v>
      </c>
      <c r="E43" s="11" t="s">
        <v>25</v>
      </c>
      <c r="F43" s="11" t="s">
        <v>357</v>
      </c>
      <c r="G43" s="11" t="n">
        <v>6</v>
      </c>
      <c r="H43" s="11" t="s">
        <v>358</v>
      </c>
      <c r="I43" s="11" t="s">
        <v>359</v>
      </c>
      <c r="J43" s="11" t="s">
        <v>360</v>
      </c>
      <c r="K43" s="14" t="n">
        <f aca="false">IF(C43="","",IFERROR(INDEX(Lists!$B$2:$B$9,MATCH(C43,Lists!$A$2:$A$9,0)),""))</f>
        <v>6</v>
      </c>
    </row>
    <row r="44" customFormat="false" ht="66" hidden="false" customHeight="true" outlineLevel="0" collapsed="false">
      <c r="A44" s="16" t="s">
        <v>145</v>
      </c>
      <c r="B44" s="11" t="s">
        <v>56</v>
      </c>
      <c r="C44" s="11" t="s">
        <v>226</v>
      </c>
      <c r="D44" s="11" t="s">
        <v>213</v>
      </c>
      <c r="E44" s="11" t="s">
        <v>27</v>
      </c>
      <c r="F44" s="11" t="s">
        <v>227</v>
      </c>
      <c r="G44" s="11" t="n">
        <v>10</v>
      </c>
      <c r="H44" s="11" t="s">
        <v>361</v>
      </c>
      <c r="I44" s="11" t="s">
        <v>362</v>
      </c>
      <c r="J44" s="11" t="s">
        <v>363</v>
      </c>
      <c r="K44" s="14" t="n">
        <f aca="false">IF(C44="","",IFERROR(INDEX(Lists!$B$2:$B$9,MATCH(C44,Lists!$A$2:$A$9,0)),""))</f>
        <v>6</v>
      </c>
    </row>
    <row r="45" customFormat="false" ht="66" hidden="false" customHeight="true" outlineLevel="0" collapsed="false">
      <c r="A45" s="16" t="s">
        <v>180</v>
      </c>
      <c r="B45" s="11" t="s">
        <v>364</v>
      </c>
      <c r="C45" s="11" t="s">
        <v>226</v>
      </c>
      <c r="D45" s="11" t="s">
        <v>213</v>
      </c>
      <c r="E45" s="11" t="s">
        <v>21</v>
      </c>
      <c r="F45" s="11" t="s">
        <v>227</v>
      </c>
      <c r="G45" s="11" t="n">
        <v>5</v>
      </c>
      <c r="H45" s="11" t="s">
        <v>365</v>
      </c>
      <c r="I45" s="11" t="s">
        <v>366</v>
      </c>
      <c r="J45" s="11" t="s">
        <v>242</v>
      </c>
      <c r="K45" s="14" t="n">
        <f aca="false">IF(C45="","",IFERROR(INDEX(Lists!$B$2:$B$9,MATCH(C45,Lists!$A$2:$A$9,0)),""))</f>
        <v>6</v>
      </c>
    </row>
    <row r="46" customFormat="false" ht="66" hidden="false" customHeight="true" outlineLevel="0" collapsed="false">
      <c r="A46" s="16" t="s">
        <v>184</v>
      </c>
      <c r="B46" s="11" t="s">
        <v>364</v>
      </c>
      <c r="C46" s="11" t="s">
        <v>226</v>
      </c>
      <c r="D46" s="11" t="s">
        <v>213</v>
      </c>
      <c r="E46" s="11" t="s">
        <v>21</v>
      </c>
      <c r="F46" s="11" t="s">
        <v>227</v>
      </c>
      <c r="G46" s="11" t="n">
        <v>5</v>
      </c>
      <c r="H46" s="11" t="s">
        <v>367</v>
      </c>
      <c r="I46" s="11" t="s">
        <v>368</v>
      </c>
      <c r="J46" s="11" t="s">
        <v>242</v>
      </c>
      <c r="K46" s="14" t="n">
        <f aca="false">IF(C46="","",IFERROR(INDEX(Lists!$B$2:$B$9,MATCH(C46,Lists!$A$2:$A$9,0)),""))</f>
        <v>6</v>
      </c>
    </row>
    <row r="47" customFormat="false" ht="66" hidden="false" customHeight="true" outlineLevel="0" collapsed="false">
      <c r="A47" s="16" t="s">
        <v>175</v>
      </c>
      <c r="B47" s="11" t="s">
        <v>364</v>
      </c>
      <c r="C47" s="11" t="s">
        <v>226</v>
      </c>
      <c r="D47" s="11" t="s">
        <v>213</v>
      </c>
      <c r="E47" s="11" t="s">
        <v>25</v>
      </c>
      <c r="F47" s="11" t="s">
        <v>227</v>
      </c>
      <c r="G47" s="11" t="n">
        <v>3</v>
      </c>
      <c r="H47" s="11" t="s">
        <v>369</v>
      </c>
      <c r="I47" s="11" t="s">
        <v>370</v>
      </c>
      <c r="J47" s="11" t="s">
        <v>371</v>
      </c>
      <c r="K47" s="14" t="n">
        <f aca="false">IF(C47="","",IFERROR(INDEX(Lists!$B$2:$B$9,MATCH(C47,Lists!$A$2:$A$9,0)),""))</f>
        <v>6</v>
      </c>
    </row>
    <row r="48" customFormat="false" ht="66" hidden="false" customHeight="true" outlineLevel="0" collapsed="false">
      <c r="A48" s="16" t="s">
        <v>176</v>
      </c>
      <c r="B48" s="11" t="s">
        <v>364</v>
      </c>
      <c r="C48" s="11" t="s">
        <v>226</v>
      </c>
      <c r="D48" s="11" t="s">
        <v>213</v>
      </c>
      <c r="E48" s="11" t="s">
        <v>25</v>
      </c>
      <c r="F48" s="11" t="s">
        <v>227</v>
      </c>
      <c r="G48" s="11" t="n">
        <v>8</v>
      </c>
      <c r="H48" s="11" t="s">
        <v>372</v>
      </c>
      <c r="I48" s="11" t="s">
        <v>373</v>
      </c>
      <c r="J48" s="11" t="s">
        <v>374</v>
      </c>
      <c r="K48" s="14" t="n">
        <f aca="false">IF(C48="","",IFERROR(INDEX(Lists!$B$2:$B$9,MATCH(C48,Lists!$A$2:$A$9,0)),""))</f>
        <v>6</v>
      </c>
    </row>
    <row r="49" customFormat="false" ht="66" hidden="false" customHeight="true" outlineLevel="0" collapsed="false">
      <c r="A49" s="16" t="s">
        <v>177</v>
      </c>
      <c r="B49" s="11" t="s">
        <v>364</v>
      </c>
      <c r="C49" s="11" t="s">
        <v>64</v>
      </c>
      <c r="D49" s="11" t="s">
        <v>213</v>
      </c>
      <c r="E49" s="11" t="s">
        <v>25</v>
      </c>
      <c r="F49" s="11" t="s">
        <v>227</v>
      </c>
      <c r="G49" s="11" t="n">
        <v>8</v>
      </c>
      <c r="H49" s="11" t="s">
        <v>375</v>
      </c>
      <c r="I49" s="11" t="s">
        <v>376</v>
      </c>
      <c r="J49" s="11" t="s">
        <v>377</v>
      </c>
      <c r="K49" s="14" t="n">
        <f aca="false">IF(C49="","",IFERROR(INDEX(Lists!$B$2:$B$9,MATCH(C49,Lists!$A$2:$A$9,0)),""))</f>
        <v>11</v>
      </c>
    </row>
    <row r="50" customFormat="false" ht="66" hidden="false" customHeight="true" outlineLevel="0" collapsed="false">
      <c r="A50" s="16" t="s">
        <v>181</v>
      </c>
      <c r="B50" s="11" t="s">
        <v>364</v>
      </c>
      <c r="C50" s="11" t="s">
        <v>82</v>
      </c>
      <c r="D50" s="11" t="s">
        <v>258</v>
      </c>
      <c r="E50" s="11" t="s">
        <v>25</v>
      </c>
      <c r="F50" s="11" t="s">
        <v>227</v>
      </c>
      <c r="G50" s="11" t="n">
        <v>8</v>
      </c>
      <c r="H50" s="11" t="s">
        <v>378</v>
      </c>
      <c r="I50" s="11" t="s">
        <v>379</v>
      </c>
      <c r="J50" s="11" t="s">
        <v>380</v>
      </c>
      <c r="K50" s="14" t="n">
        <f aca="false">IF(C50="","",IFERROR(INDEX(Lists!$B$2:$B$9,MATCH(C50,Lists!$A$2:$A$9,0)),""))</f>
        <v>12</v>
      </c>
    </row>
    <row r="51" customFormat="false" ht="66" hidden="false" customHeight="true" outlineLevel="0" collapsed="false">
      <c r="A51" s="16" t="s">
        <v>182</v>
      </c>
      <c r="B51" s="11" t="s">
        <v>364</v>
      </c>
      <c r="C51" s="11" t="s">
        <v>64</v>
      </c>
      <c r="D51" s="11" t="s">
        <v>213</v>
      </c>
      <c r="E51" s="11" t="s">
        <v>25</v>
      </c>
      <c r="F51" s="11" t="s">
        <v>227</v>
      </c>
      <c r="G51" s="11" t="n">
        <v>8</v>
      </c>
      <c r="H51" s="11" t="s">
        <v>381</v>
      </c>
      <c r="I51" s="11" t="s">
        <v>382</v>
      </c>
      <c r="J51" s="11" t="s">
        <v>383</v>
      </c>
      <c r="K51" s="14" t="n">
        <f aca="false">IF(C51="","",IFERROR(INDEX(Lists!$B$2:$B$9,MATCH(C51,Lists!$A$2:$A$9,0)),""))</f>
        <v>11</v>
      </c>
    </row>
    <row r="52" customFormat="false" ht="66" hidden="false" customHeight="true" outlineLevel="0" collapsed="false">
      <c r="A52" s="16" t="s">
        <v>185</v>
      </c>
      <c r="B52" s="11" t="s">
        <v>364</v>
      </c>
      <c r="C52" s="11" t="s">
        <v>82</v>
      </c>
      <c r="D52" s="11" t="s">
        <v>213</v>
      </c>
      <c r="E52" s="11" t="s">
        <v>25</v>
      </c>
      <c r="F52" s="11" t="s">
        <v>227</v>
      </c>
      <c r="G52" s="11" t="n">
        <v>8</v>
      </c>
      <c r="H52" s="11" t="s">
        <v>384</v>
      </c>
      <c r="I52" s="11" t="s">
        <v>385</v>
      </c>
      <c r="J52" s="11" t="s">
        <v>377</v>
      </c>
      <c r="K52" s="14" t="n">
        <f aca="false">IF(C52="","",IFERROR(INDEX(Lists!$B$2:$B$9,MATCH(C52,Lists!$A$2:$A$9,0)),""))</f>
        <v>12</v>
      </c>
    </row>
    <row r="53" customFormat="false" ht="66" hidden="false" customHeight="true" outlineLevel="0" collapsed="false">
      <c r="A53" s="16" t="s">
        <v>187</v>
      </c>
      <c r="B53" s="11" t="s">
        <v>364</v>
      </c>
      <c r="C53" s="11" t="s">
        <v>82</v>
      </c>
      <c r="D53" s="11" t="s">
        <v>258</v>
      </c>
      <c r="E53" s="11" t="s">
        <v>25</v>
      </c>
      <c r="F53" s="11" t="s">
        <v>227</v>
      </c>
      <c r="G53" s="11" t="n">
        <v>8</v>
      </c>
      <c r="H53" s="11" t="s">
        <v>386</v>
      </c>
      <c r="I53" s="11" t="s">
        <v>387</v>
      </c>
      <c r="J53" s="11" t="s">
        <v>388</v>
      </c>
      <c r="K53" s="14" t="n">
        <f aca="false">IF(C53="","",IFERROR(INDEX(Lists!$B$2:$B$9,MATCH(C53,Lists!$A$2:$A$9,0)),""))</f>
        <v>12</v>
      </c>
    </row>
    <row r="54" customFormat="false" ht="66" hidden="false" customHeight="true" outlineLevel="0" collapsed="false">
      <c r="A54" s="16" t="s">
        <v>188</v>
      </c>
      <c r="B54" s="11" t="s">
        <v>364</v>
      </c>
      <c r="C54" s="11" t="s">
        <v>82</v>
      </c>
      <c r="D54" s="11" t="s">
        <v>258</v>
      </c>
      <c r="E54" s="11" t="s">
        <v>25</v>
      </c>
      <c r="F54" s="11" t="s">
        <v>227</v>
      </c>
      <c r="G54" s="11" t="n">
        <v>8</v>
      </c>
      <c r="H54" s="11" t="s">
        <v>389</v>
      </c>
      <c r="I54" s="11" t="s">
        <v>390</v>
      </c>
      <c r="J54" s="11" t="s">
        <v>391</v>
      </c>
      <c r="K54" s="14" t="n">
        <f aca="false">IF(C54="","",IFERROR(INDEX(Lists!$B$2:$B$9,MATCH(C54,Lists!$A$2:$A$9,0)),""))</f>
        <v>12</v>
      </c>
    </row>
    <row r="55" customFormat="false" ht="66" hidden="false" customHeight="true" outlineLevel="0" collapsed="false">
      <c r="A55" s="16" t="s">
        <v>178</v>
      </c>
      <c r="B55" s="11" t="s">
        <v>364</v>
      </c>
      <c r="C55" s="11" t="s">
        <v>82</v>
      </c>
      <c r="D55" s="11" t="s">
        <v>258</v>
      </c>
      <c r="E55" s="11" t="s">
        <v>27</v>
      </c>
      <c r="F55" s="11" t="s">
        <v>227</v>
      </c>
      <c r="G55" s="11" t="n">
        <v>12</v>
      </c>
      <c r="H55" s="11" t="s">
        <v>392</v>
      </c>
      <c r="I55" s="11" t="s">
        <v>362</v>
      </c>
      <c r="J55" s="11" t="s">
        <v>393</v>
      </c>
      <c r="K55" s="14" t="n">
        <f aca="false">IF(C55="","",IFERROR(INDEX(Lists!$B$2:$B$9,MATCH(C55,Lists!$A$2:$A$9,0)),""))</f>
        <v>12</v>
      </c>
    </row>
    <row r="56" customFormat="false" ht="66" hidden="false" customHeight="true" outlineLevel="0" collapsed="false">
      <c r="A56" s="16" t="s">
        <v>394</v>
      </c>
      <c r="B56" s="11" t="s">
        <v>281</v>
      </c>
      <c r="C56" s="11" t="s">
        <v>282</v>
      </c>
      <c r="D56" s="11" t="s">
        <v>213</v>
      </c>
      <c r="E56" s="11" t="s">
        <v>27</v>
      </c>
      <c r="F56" s="11" t="s">
        <v>227</v>
      </c>
      <c r="G56" s="11" t="n">
        <v>8</v>
      </c>
      <c r="H56" s="11" t="s">
        <v>395</v>
      </c>
      <c r="I56" s="11" t="s">
        <v>396</v>
      </c>
      <c r="J56" s="11" t="s">
        <v>397</v>
      </c>
      <c r="K56" s="14" t="n">
        <f aca="false">IF(C56="","",IFERROR(INDEX(Lists!$B$2:$B$9,MATCH(C56,Lists!$A$2:$A$9,0)),""))</f>
        <v>6</v>
      </c>
    </row>
    <row r="57" customFormat="false" ht="66" hidden="false" customHeight="true" outlineLevel="0" collapsed="false">
      <c r="A57" s="16" t="s">
        <v>148</v>
      </c>
      <c r="B57" s="11" t="s">
        <v>281</v>
      </c>
      <c r="C57" s="11" t="s">
        <v>282</v>
      </c>
      <c r="D57" s="11" t="s">
        <v>213</v>
      </c>
      <c r="E57" s="11" t="s">
        <v>27</v>
      </c>
      <c r="F57" s="11" t="s">
        <v>227</v>
      </c>
      <c r="G57" s="11" t="n">
        <v>6</v>
      </c>
      <c r="H57" s="11" t="s">
        <v>398</v>
      </c>
      <c r="I57" s="11" t="s">
        <v>399</v>
      </c>
      <c r="J57" s="11" t="s">
        <v>400</v>
      </c>
      <c r="K57" s="14" t="n">
        <f aca="false">IF(C57="","",IFERROR(INDEX(Lists!$B$2:$B$9,MATCH(C57,Lists!$A$2:$A$9,0)),""))</f>
        <v>6</v>
      </c>
    </row>
    <row r="58" customFormat="false" ht="66" hidden="false" customHeight="true" outlineLevel="0" collapsed="false">
      <c r="A58" s="16" t="s">
        <v>190</v>
      </c>
      <c r="B58" s="11" t="s">
        <v>84</v>
      </c>
      <c r="C58" s="11" t="s">
        <v>82</v>
      </c>
      <c r="D58" s="11" t="s">
        <v>213</v>
      </c>
      <c r="E58" s="11" t="s">
        <v>21</v>
      </c>
      <c r="F58" s="11" t="s">
        <v>214</v>
      </c>
      <c r="G58" s="11" t="n">
        <v>5</v>
      </c>
      <c r="H58" s="11" t="s">
        <v>401</v>
      </c>
      <c r="I58" s="11" t="s">
        <v>402</v>
      </c>
      <c r="J58" s="11" t="s">
        <v>242</v>
      </c>
      <c r="K58" s="14" t="n">
        <f aca="false">IF(C58="","",IFERROR(INDEX(Lists!$B$2:$B$9,MATCH(C58,Lists!$A$2:$A$9,0)),""))</f>
        <v>12</v>
      </c>
    </row>
    <row r="59" customFormat="false" ht="66" hidden="false" customHeight="true" outlineLevel="0" collapsed="false">
      <c r="A59" s="16" t="s">
        <v>191</v>
      </c>
      <c r="B59" s="11" t="s">
        <v>84</v>
      </c>
      <c r="C59" s="11" t="s">
        <v>82</v>
      </c>
      <c r="D59" s="11" t="s">
        <v>258</v>
      </c>
      <c r="E59" s="11" t="s">
        <v>23</v>
      </c>
      <c r="F59" s="11" t="s">
        <v>403</v>
      </c>
      <c r="G59" s="11" t="n">
        <v>8</v>
      </c>
      <c r="H59" s="11" t="s">
        <v>404</v>
      </c>
      <c r="I59" s="11" t="s">
        <v>405</v>
      </c>
      <c r="J59" s="11" t="s">
        <v>406</v>
      </c>
      <c r="K59" s="14" t="n">
        <f aca="false">IF(C59="","",IFERROR(INDEX(Lists!$B$2:$B$9,MATCH(C59,Lists!$A$2:$A$9,0)),""))</f>
        <v>12</v>
      </c>
    </row>
    <row r="60" customFormat="false" ht="66" hidden="false" customHeight="true" outlineLevel="0" collapsed="false">
      <c r="A60" s="16" t="s">
        <v>192</v>
      </c>
      <c r="B60" s="11" t="s">
        <v>84</v>
      </c>
      <c r="C60" s="11" t="s">
        <v>82</v>
      </c>
      <c r="D60" s="11" t="s">
        <v>213</v>
      </c>
      <c r="E60" s="11" t="s">
        <v>25</v>
      </c>
      <c r="F60" s="11" t="s">
        <v>227</v>
      </c>
      <c r="G60" s="11" t="n">
        <v>6</v>
      </c>
      <c r="H60" s="11" t="s">
        <v>407</v>
      </c>
      <c r="I60" s="11" t="s">
        <v>408</v>
      </c>
      <c r="J60" s="11" t="s">
        <v>409</v>
      </c>
      <c r="K60" s="14" t="n">
        <f aca="false">IF(C60="","",IFERROR(INDEX(Lists!$B$2:$B$9,MATCH(C60,Lists!$A$2:$A$9,0)),""))</f>
        <v>12</v>
      </c>
    </row>
    <row r="61" customFormat="false" ht="66" hidden="false" customHeight="true" outlineLevel="0" collapsed="false">
      <c r="A61" s="16" t="s">
        <v>197</v>
      </c>
      <c r="B61" s="11" t="s">
        <v>84</v>
      </c>
      <c r="C61" s="11" t="s">
        <v>82</v>
      </c>
      <c r="D61" s="11" t="s">
        <v>258</v>
      </c>
      <c r="E61" s="11" t="s">
        <v>25</v>
      </c>
      <c r="F61" s="11" t="s">
        <v>410</v>
      </c>
      <c r="G61" s="11" t="n">
        <v>8</v>
      </c>
      <c r="H61" s="11" t="s">
        <v>411</v>
      </c>
      <c r="I61" s="11" t="s">
        <v>412</v>
      </c>
      <c r="J61" s="11" t="s">
        <v>413</v>
      </c>
      <c r="K61" s="14" t="n">
        <f aca="false">IF(C61="","",IFERROR(INDEX(Lists!$B$2:$B$9,MATCH(C61,Lists!$A$2:$A$9,0)),""))</f>
        <v>12</v>
      </c>
    </row>
    <row r="62" customFormat="false" ht="66" hidden="false" customHeight="true" outlineLevel="0" collapsed="false">
      <c r="A62" s="16" t="s">
        <v>414</v>
      </c>
      <c r="B62" s="11" t="s">
        <v>84</v>
      </c>
      <c r="C62" s="11" t="s">
        <v>304</v>
      </c>
      <c r="D62" s="11" t="s">
        <v>258</v>
      </c>
      <c r="E62" s="11" t="s">
        <v>23</v>
      </c>
      <c r="F62" s="11" t="s">
        <v>415</v>
      </c>
      <c r="G62" s="11" t="n">
        <v>6</v>
      </c>
      <c r="H62" s="11" t="s">
        <v>416</v>
      </c>
      <c r="I62" s="11" t="s">
        <v>417</v>
      </c>
      <c r="J62" s="11" t="s">
        <v>418</v>
      </c>
      <c r="K62" s="14" t="n">
        <f aca="false">IF(C62="","",IFERROR(INDEX(Lists!$B$2:$B$9,MATCH(C62,Lists!$A$2:$A$9,0)),""))</f>
        <v>18</v>
      </c>
    </row>
    <row r="63" customFormat="false" ht="66" hidden="false" customHeight="true" outlineLevel="0" collapsed="false">
      <c r="A63" s="16" t="s">
        <v>193</v>
      </c>
      <c r="B63" s="11" t="s">
        <v>84</v>
      </c>
      <c r="C63" s="11" t="s">
        <v>82</v>
      </c>
      <c r="D63" s="11" t="s">
        <v>258</v>
      </c>
      <c r="E63" s="11" t="s">
        <v>27</v>
      </c>
      <c r="F63" s="11" t="s">
        <v>227</v>
      </c>
      <c r="G63" s="11" t="n">
        <v>10</v>
      </c>
      <c r="H63" s="11" t="s">
        <v>419</v>
      </c>
      <c r="I63" s="11" t="s">
        <v>420</v>
      </c>
      <c r="J63" s="11" t="s">
        <v>421</v>
      </c>
      <c r="K63" s="14" t="n">
        <f aca="false">IF(C63="","",IFERROR(INDEX(Lists!$B$2:$B$9,MATCH(C63,Lists!$A$2:$A$9,0)),""))</f>
        <v>12</v>
      </c>
    </row>
    <row r="64" customFormat="false" ht="66" hidden="false" customHeight="true" outlineLevel="0" collapsed="false">
      <c r="A64" s="16" t="s">
        <v>158</v>
      </c>
      <c r="B64" s="11" t="s">
        <v>295</v>
      </c>
      <c r="C64" s="11" t="s">
        <v>82</v>
      </c>
      <c r="D64" s="11" t="s">
        <v>213</v>
      </c>
      <c r="E64" s="11" t="s">
        <v>21</v>
      </c>
      <c r="F64" s="11" t="s">
        <v>422</v>
      </c>
      <c r="G64" s="11" t="n">
        <v>8</v>
      </c>
      <c r="H64" s="11" t="s">
        <v>423</v>
      </c>
      <c r="I64" s="11" t="s">
        <v>424</v>
      </c>
      <c r="J64" s="11" t="s">
        <v>425</v>
      </c>
      <c r="K64" s="14" t="n">
        <f aca="false">IF(C64="","",IFERROR(INDEX(Lists!$B$2:$B$9,MATCH(C64,Lists!$A$2:$A$9,0)),""))</f>
        <v>12</v>
      </c>
    </row>
    <row r="65" customFormat="false" ht="66" hidden="false" customHeight="true" outlineLevel="0" collapsed="false">
      <c r="A65" s="16" t="s">
        <v>171</v>
      </c>
      <c r="B65" s="11" t="s">
        <v>295</v>
      </c>
      <c r="C65" s="11" t="s">
        <v>82</v>
      </c>
      <c r="D65" s="11" t="s">
        <v>213</v>
      </c>
      <c r="E65" s="11" t="s">
        <v>21</v>
      </c>
      <c r="F65" s="11" t="s">
        <v>426</v>
      </c>
      <c r="G65" s="11" t="n">
        <v>8</v>
      </c>
      <c r="H65" s="11" t="s">
        <v>427</v>
      </c>
      <c r="I65" s="11" t="s">
        <v>428</v>
      </c>
      <c r="J65" s="11" t="s">
        <v>429</v>
      </c>
      <c r="K65" s="14" t="n">
        <f aca="false">IF(C65="","",IFERROR(INDEX(Lists!$B$2:$B$9,MATCH(C65,Lists!$A$2:$A$9,0)),""))</f>
        <v>12</v>
      </c>
    </row>
    <row r="66" customFormat="false" ht="66" hidden="false" customHeight="true" outlineLevel="0" collapsed="false">
      <c r="A66" s="16" t="s">
        <v>131</v>
      </c>
      <c r="B66" s="11" t="s">
        <v>281</v>
      </c>
      <c r="C66" s="11" t="s">
        <v>51</v>
      </c>
      <c r="D66" s="11" t="s">
        <v>213</v>
      </c>
      <c r="E66" s="11" t="s">
        <v>21</v>
      </c>
      <c r="F66" s="11" t="s">
        <v>430</v>
      </c>
      <c r="G66" s="11" t="n">
        <v>8</v>
      </c>
      <c r="H66" s="11" t="s">
        <v>431</v>
      </c>
      <c r="I66" s="11" t="s">
        <v>432</v>
      </c>
      <c r="J66" s="11" t="s">
        <v>433</v>
      </c>
      <c r="K66" s="14" t="n">
        <f aca="false">IF(C66="","",IFERROR(INDEX(Lists!$B$2:$B$9,MATCH(C66,Lists!$A$2:$A$9,0)),""))</f>
        <v>4</v>
      </c>
    </row>
    <row r="67" customFormat="false" ht="66" hidden="false" customHeight="true" outlineLevel="0" collapsed="false">
      <c r="A67" s="16" t="s">
        <v>125</v>
      </c>
      <c r="B67" s="11" t="s">
        <v>434</v>
      </c>
      <c r="C67" s="11" t="s">
        <v>212</v>
      </c>
      <c r="D67" s="11" t="s">
        <v>213</v>
      </c>
      <c r="E67" s="11" t="s">
        <v>21</v>
      </c>
      <c r="F67" s="11" t="s">
        <v>227</v>
      </c>
      <c r="G67" s="11" t="n">
        <v>5</v>
      </c>
      <c r="H67" s="11" t="s">
        <v>435</v>
      </c>
      <c r="I67" s="11" t="s">
        <v>436</v>
      </c>
      <c r="J67" s="11" t="s">
        <v>437</v>
      </c>
      <c r="K67" s="14" t="n">
        <f aca="false">IF(C67="","",IFERROR(INDEX(Lists!$B$2:$B$9,MATCH(C67,Lists!$A$2:$A$9,0)),""))</f>
        <v>4</v>
      </c>
    </row>
    <row r="68" customFormat="false" ht="15" hidden="false" customHeight="false" outlineLevel="0" collapsed="false">
      <c r="A68" s="11"/>
      <c r="B68" s="11"/>
      <c r="C68" s="11"/>
      <c r="D68" s="11"/>
      <c r="E68" s="11"/>
      <c r="F68" s="11"/>
      <c r="G68" s="11"/>
      <c r="H68" s="11"/>
      <c r="I68" s="11"/>
      <c r="J68" s="11"/>
      <c r="K68" s="14" t="str">
        <f aca="false">IF(C68="","",IFERROR(INDEX(Lists!$B$2:$B$9,MATCH(C68,Lists!$A$2:$A$9,0)),""))</f>
        <v/>
      </c>
    </row>
    <row r="69" customFormat="false" ht="15" hidden="false" customHeight="false" outlineLevel="0" collapsed="false">
      <c r="A69" s="11"/>
      <c r="B69" s="11"/>
      <c r="C69" s="11"/>
      <c r="D69" s="11"/>
      <c r="E69" s="11"/>
      <c r="F69" s="11"/>
      <c r="G69" s="11"/>
      <c r="H69" s="11"/>
      <c r="I69" s="11"/>
      <c r="J69" s="11"/>
      <c r="K69" s="14" t="str">
        <f aca="false">IF(C69="","",IFERROR(INDEX(Lists!$B$2:$B$9,MATCH(C69,Lists!$A$2:$A$9,0)),""))</f>
        <v/>
      </c>
    </row>
    <row r="70" customFormat="false" ht="15" hidden="false" customHeight="false" outlineLevel="0" collapsed="false">
      <c r="A70" s="11"/>
      <c r="B70" s="11"/>
      <c r="C70" s="11"/>
      <c r="D70" s="11"/>
      <c r="E70" s="11"/>
      <c r="F70" s="11"/>
      <c r="G70" s="11"/>
      <c r="H70" s="11"/>
      <c r="I70" s="11"/>
      <c r="J70" s="11"/>
      <c r="K70" s="14" t="str">
        <f aca="false">IF(C70="","",IFERROR(INDEX(Lists!$B$2:$B$9,MATCH(C70,Lists!$A$2:$A$9,0)),""))</f>
        <v/>
      </c>
    </row>
    <row r="71" customFormat="false" ht="15" hidden="false" customHeight="false" outlineLevel="0" collapsed="false">
      <c r="A71" s="11"/>
      <c r="B71" s="11"/>
      <c r="C71" s="11"/>
      <c r="D71" s="11"/>
      <c r="E71" s="11"/>
      <c r="F71" s="11"/>
      <c r="G71" s="11"/>
      <c r="H71" s="11"/>
      <c r="I71" s="11"/>
      <c r="J71" s="11"/>
      <c r="K71" s="14" t="str">
        <f aca="false">IF(C71="","",IFERROR(INDEX(Lists!$B$2:$B$9,MATCH(C71,Lists!$A$2:$A$9,0)),""))</f>
        <v/>
      </c>
    </row>
    <row r="72" customFormat="false" ht="15" hidden="false" customHeight="false" outlineLevel="0" collapsed="false">
      <c r="A72" s="11"/>
      <c r="B72" s="11"/>
      <c r="C72" s="11"/>
      <c r="D72" s="11"/>
      <c r="E72" s="11"/>
      <c r="F72" s="11"/>
      <c r="G72" s="11"/>
      <c r="H72" s="11"/>
      <c r="I72" s="11"/>
      <c r="J72" s="11"/>
      <c r="K72" s="14" t="str">
        <f aca="false">IF(C72="","",IFERROR(INDEX(Lists!$B$2:$B$9,MATCH(C72,Lists!$A$2:$A$9,0)),""))</f>
        <v/>
      </c>
    </row>
    <row r="73" customFormat="false" ht="15" hidden="false" customHeight="false" outlineLevel="0" collapsed="false">
      <c r="A73" s="11"/>
      <c r="B73" s="11"/>
      <c r="C73" s="11"/>
      <c r="D73" s="11"/>
      <c r="E73" s="11"/>
      <c r="F73" s="11"/>
      <c r="G73" s="11"/>
      <c r="H73" s="11"/>
      <c r="I73" s="11"/>
      <c r="J73" s="11"/>
      <c r="K73" s="14" t="str">
        <f aca="false">IF(C73="","",IFERROR(INDEX(Lists!$B$2:$B$9,MATCH(C73,Lists!$A$2:$A$9,0)),""))</f>
        <v/>
      </c>
    </row>
    <row r="74" customFormat="false" ht="15" hidden="false" customHeight="false" outlineLevel="0" collapsed="false">
      <c r="A74" s="11"/>
      <c r="B74" s="11"/>
      <c r="C74" s="11"/>
      <c r="D74" s="11"/>
      <c r="E74" s="11"/>
      <c r="F74" s="11"/>
      <c r="G74" s="11"/>
      <c r="H74" s="11"/>
      <c r="I74" s="11"/>
      <c r="J74" s="11"/>
      <c r="K74" s="14" t="str">
        <f aca="false">IF(C74="","",IFERROR(INDEX(Lists!$B$2:$B$9,MATCH(C74,Lists!$A$2:$A$9,0)),""))</f>
        <v/>
      </c>
    </row>
    <row r="75" customFormat="false" ht="15" hidden="false" customHeight="false" outlineLevel="0" collapsed="false">
      <c r="A75" s="11"/>
      <c r="B75" s="11"/>
      <c r="C75" s="11"/>
      <c r="D75" s="11"/>
      <c r="E75" s="11"/>
      <c r="F75" s="11"/>
      <c r="G75" s="11"/>
      <c r="H75" s="11"/>
      <c r="I75" s="11"/>
      <c r="J75" s="11"/>
      <c r="K75" s="14" t="str">
        <f aca="false">IF(C75="","",IFERROR(INDEX(Lists!$B$2:$B$9,MATCH(C75,Lists!$A$2:$A$9,0)),""))</f>
        <v/>
      </c>
    </row>
    <row r="76" customFormat="false" ht="15" hidden="false" customHeight="false" outlineLevel="0" collapsed="false">
      <c r="A76" s="11"/>
      <c r="B76" s="11"/>
      <c r="C76" s="11"/>
      <c r="D76" s="11"/>
      <c r="E76" s="11"/>
      <c r="F76" s="11"/>
      <c r="G76" s="11"/>
      <c r="H76" s="11"/>
      <c r="I76" s="11"/>
      <c r="J76" s="11"/>
      <c r="K76" s="14" t="str">
        <f aca="false">IF(C76="","",IFERROR(INDEX(Lists!$B$2:$B$9,MATCH(C76,Lists!$A$2:$A$9,0)),""))</f>
        <v/>
      </c>
    </row>
    <row r="77" customFormat="false" ht="15" hidden="false" customHeight="false" outlineLevel="0" collapsed="false">
      <c r="A77" s="11"/>
      <c r="B77" s="11"/>
      <c r="C77" s="11"/>
      <c r="D77" s="11"/>
      <c r="E77" s="11"/>
      <c r="F77" s="11"/>
      <c r="G77" s="11"/>
      <c r="H77" s="11"/>
      <c r="I77" s="11"/>
      <c r="J77" s="11"/>
      <c r="K77" s="14" t="str">
        <f aca="false">IF(C77="","",IFERROR(INDEX(Lists!$B$2:$B$9,MATCH(C77,Lists!$A$2:$A$9,0)),""))</f>
        <v/>
      </c>
    </row>
    <row r="78" customFormat="false" ht="15" hidden="false" customHeight="false" outlineLevel="0" collapsed="false">
      <c r="A78" s="11"/>
      <c r="B78" s="11"/>
      <c r="C78" s="11"/>
      <c r="D78" s="11"/>
      <c r="E78" s="11"/>
      <c r="F78" s="11"/>
      <c r="G78" s="11"/>
      <c r="H78" s="11"/>
      <c r="I78" s="11"/>
      <c r="J78" s="11"/>
      <c r="K78" s="14" t="str">
        <f aca="false">IF(C78="","",IFERROR(INDEX(Lists!$B$2:$B$9,MATCH(C78,Lists!$A$2:$A$9,0)),""))</f>
        <v/>
      </c>
    </row>
    <row r="79" customFormat="false" ht="15" hidden="false" customHeight="false" outlineLevel="0" collapsed="false">
      <c r="A79" s="11"/>
      <c r="B79" s="11"/>
      <c r="C79" s="11"/>
      <c r="D79" s="11"/>
      <c r="E79" s="11"/>
      <c r="F79" s="11"/>
      <c r="G79" s="11"/>
      <c r="H79" s="11"/>
      <c r="I79" s="11"/>
      <c r="J79" s="11"/>
      <c r="K79" s="14" t="str">
        <f aca="false">IF(C79="","",IFERROR(INDEX(Lists!$B$2:$B$9,MATCH(C79,Lists!$A$2:$A$9,0)),""))</f>
        <v/>
      </c>
    </row>
    <row r="80" customFormat="false" ht="15" hidden="false" customHeight="false" outlineLevel="0" collapsed="false">
      <c r="A80" s="11"/>
      <c r="B80" s="11"/>
      <c r="C80" s="11"/>
      <c r="D80" s="11"/>
      <c r="E80" s="11"/>
      <c r="F80" s="11"/>
      <c r="G80" s="11"/>
      <c r="H80" s="11"/>
      <c r="I80" s="11"/>
      <c r="J80" s="11"/>
      <c r="K80" s="14" t="str">
        <f aca="false">IF(C80="","",IFERROR(INDEX(Lists!$B$2:$B$9,MATCH(C80,Lists!$A$2:$A$9,0)),""))</f>
        <v/>
      </c>
    </row>
    <row r="81" customFormat="false" ht="15" hidden="false" customHeight="false" outlineLevel="0" collapsed="false">
      <c r="A81" s="11"/>
      <c r="B81" s="11"/>
      <c r="C81" s="11"/>
      <c r="D81" s="11"/>
      <c r="E81" s="11"/>
      <c r="F81" s="11"/>
      <c r="G81" s="11"/>
      <c r="H81" s="11"/>
      <c r="I81" s="11"/>
      <c r="J81" s="11"/>
      <c r="K81" s="14" t="str">
        <f aca="false">IF(C81="","",IFERROR(INDEX(Lists!$B$2:$B$9,MATCH(C81,Lists!$A$2:$A$9,0)),""))</f>
        <v/>
      </c>
    </row>
    <row r="82" customFormat="false" ht="15" hidden="false" customHeight="false" outlineLevel="0" collapsed="false">
      <c r="A82" s="11"/>
      <c r="B82" s="11"/>
      <c r="C82" s="11"/>
      <c r="D82" s="11"/>
      <c r="E82" s="11"/>
      <c r="F82" s="11"/>
      <c r="G82" s="11"/>
      <c r="H82" s="11"/>
      <c r="I82" s="11"/>
      <c r="J82" s="11"/>
      <c r="K82" s="14" t="str">
        <f aca="false">IF(C82="","",IFERROR(INDEX(Lists!$B$2:$B$9,MATCH(C82,Lists!$A$2:$A$9,0)),""))</f>
        <v/>
      </c>
    </row>
    <row r="83" customFormat="false" ht="15" hidden="false" customHeight="false" outlineLevel="0" collapsed="false">
      <c r="A83" s="11"/>
      <c r="B83" s="11"/>
      <c r="C83" s="11"/>
      <c r="D83" s="11"/>
      <c r="E83" s="11"/>
      <c r="F83" s="11"/>
      <c r="G83" s="11"/>
      <c r="H83" s="11"/>
      <c r="I83" s="11"/>
      <c r="J83" s="11"/>
      <c r="K83" s="14" t="str">
        <f aca="false">IF(C83="","",IFERROR(INDEX(Lists!$B$2:$B$9,MATCH(C83,Lists!$A$2:$A$9,0)),""))</f>
        <v/>
      </c>
    </row>
    <row r="84" customFormat="false" ht="15" hidden="false" customHeight="false" outlineLevel="0" collapsed="false">
      <c r="A84" s="11"/>
      <c r="B84" s="11"/>
      <c r="C84" s="11"/>
      <c r="D84" s="11"/>
      <c r="E84" s="11"/>
      <c r="F84" s="11"/>
      <c r="G84" s="11"/>
      <c r="H84" s="11"/>
      <c r="I84" s="11"/>
      <c r="J84" s="11"/>
      <c r="K84" s="14" t="str">
        <f aca="false">IF(C84="","",IFERROR(INDEX(Lists!$B$2:$B$9,MATCH(C84,Lists!$A$2:$A$9,0)),""))</f>
        <v/>
      </c>
    </row>
    <row r="85" customFormat="false" ht="15" hidden="false" customHeight="false" outlineLevel="0" collapsed="false">
      <c r="A85" s="11"/>
      <c r="B85" s="11"/>
      <c r="C85" s="11"/>
      <c r="D85" s="11"/>
      <c r="E85" s="11"/>
      <c r="F85" s="11"/>
      <c r="G85" s="11"/>
      <c r="H85" s="11"/>
      <c r="I85" s="11"/>
      <c r="J85" s="11"/>
      <c r="K85" s="14" t="str">
        <f aca="false">IF(C85="","",IFERROR(INDEX(Lists!$B$2:$B$9,MATCH(C85,Lists!$A$2:$A$9,0)),""))</f>
        <v/>
      </c>
    </row>
    <row r="86" customFormat="false" ht="15" hidden="false" customHeight="false" outlineLevel="0" collapsed="false">
      <c r="A86" s="11"/>
      <c r="B86" s="11"/>
      <c r="C86" s="11"/>
      <c r="D86" s="11"/>
      <c r="E86" s="11"/>
      <c r="F86" s="11"/>
      <c r="G86" s="11"/>
      <c r="H86" s="11"/>
      <c r="I86" s="11"/>
      <c r="J86" s="11"/>
      <c r="K86" s="14" t="str">
        <f aca="false">IF(C86="","",IFERROR(INDEX(Lists!$B$2:$B$9,MATCH(C86,Lists!$A$2:$A$9,0)),""))</f>
        <v/>
      </c>
    </row>
    <row r="87" customFormat="false" ht="15" hidden="false" customHeight="false" outlineLevel="0" collapsed="false">
      <c r="A87" s="11"/>
      <c r="B87" s="11"/>
      <c r="C87" s="11"/>
      <c r="D87" s="11"/>
      <c r="E87" s="11"/>
      <c r="F87" s="11"/>
      <c r="G87" s="11"/>
      <c r="H87" s="11"/>
      <c r="I87" s="11"/>
      <c r="J87" s="11"/>
      <c r="K87" s="14" t="str">
        <f aca="false">IF(C87="","",IFERROR(INDEX(Lists!$B$2:$B$9,MATCH(C87,Lists!$A$2:$A$9,0)),""))</f>
        <v/>
      </c>
    </row>
    <row r="88" customFormat="false" ht="15" hidden="false" customHeight="false" outlineLevel="0" collapsed="false">
      <c r="A88" s="11"/>
      <c r="B88" s="11"/>
      <c r="C88" s="11"/>
      <c r="D88" s="11"/>
      <c r="E88" s="11"/>
      <c r="F88" s="11"/>
      <c r="G88" s="11"/>
      <c r="H88" s="11"/>
      <c r="I88" s="11"/>
      <c r="J88" s="11"/>
      <c r="K88" s="14" t="str">
        <f aca="false">IF(C88="","",IFERROR(INDEX(Lists!$B$2:$B$9,MATCH(C88,Lists!$A$2:$A$9,0)),""))</f>
        <v/>
      </c>
    </row>
    <row r="89" customFormat="false" ht="15" hidden="false" customHeight="false" outlineLevel="0" collapsed="false">
      <c r="A89" s="11"/>
      <c r="B89" s="11"/>
      <c r="C89" s="11"/>
      <c r="D89" s="11"/>
      <c r="E89" s="11"/>
      <c r="F89" s="11"/>
      <c r="G89" s="11"/>
      <c r="H89" s="11"/>
      <c r="I89" s="11"/>
      <c r="J89" s="11"/>
      <c r="K89" s="14" t="str">
        <f aca="false">IF(C89="","",IFERROR(INDEX(Lists!$B$2:$B$9,MATCH(C89,Lists!$A$2:$A$9,0)),""))</f>
        <v/>
      </c>
    </row>
    <row r="90" customFormat="false" ht="15" hidden="false" customHeight="false" outlineLevel="0" collapsed="false">
      <c r="A90" s="11"/>
      <c r="B90" s="11"/>
      <c r="C90" s="11"/>
      <c r="D90" s="11"/>
      <c r="E90" s="11"/>
      <c r="F90" s="11"/>
      <c r="G90" s="11"/>
      <c r="H90" s="11"/>
      <c r="I90" s="11"/>
      <c r="J90" s="11"/>
      <c r="K90" s="14" t="str">
        <f aca="false">IF(C90="","",IFERROR(INDEX(Lists!$B$2:$B$9,MATCH(C90,Lists!$A$2:$A$9,0)),""))</f>
        <v/>
      </c>
    </row>
    <row r="91" customFormat="false" ht="15" hidden="false" customHeight="false" outlineLevel="0" collapsed="false">
      <c r="A91" s="11"/>
      <c r="B91" s="11"/>
      <c r="C91" s="11"/>
      <c r="D91" s="11"/>
      <c r="E91" s="11"/>
      <c r="F91" s="11"/>
      <c r="G91" s="11"/>
      <c r="H91" s="11"/>
      <c r="I91" s="11"/>
      <c r="J91" s="11"/>
      <c r="K91" s="14" t="str">
        <f aca="false">IF(C91="","",IFERROR(INDEX(Lists!$B$2:$B$9,MATCH(C91,Lists!$A$2:$A$9,0)),""))</f>
        <v/>
      </c>
    </row>
    <row r="92" customFormat="false" ht="15" hidden="false" customHeight="false" outlineLevel="0" collapsed="false">
      <c r="A92" s="11"/>
      <c r="B92" s="11"/>
      <c r="C92" s="11"/>
      <c r="D92" s="11"/>
      <c r="E92" s="11"/>
      <c r="F92" s="11"/>
      <c r="G92" s="11"/>
      <c r="H92" s="11"/>
      <c r="I92" s="11"/>
      <c r="J92" s="11"/>
      <c r="K92" s="14" t="str">
        <f aca="false">IF(C92="","",IFERROR(INDEX(Lists!$B$2:$B$9,MATCH(C92,Lists!$A$2:$A$9,0)),""))</f>
        <v/>
      </c>
    </row>
    <row r="93" customFormat="false" ht="15" hidden="false" customHeight="false" outlineLevel="0" collapsed="false">
      <c r="A93" s="11"/>
      <c r="B93" s="11"/>
      <c r="C93" s="11"/>
      <c r="D93" s="11"/>
      <c r="E93" s="11"/>
      <c r="F93" s="11"/>
      <c r="G93" s="11"/>
      <c r="H93" s="11"/>
      <c r="I93" s="11"/>
      <c r="J93" s="11"/>
      <c r="K93" s="14" t="str">
        <f aca="false">IF(C93="","",IFERROR(INDEX(Lists!$B$2:$B$9,MATCH(C93,Lists!$A$2:$A$9,0)),""))</f>
        <v/>
      </c>
    </row>
    <row r="94" customFormat="false" ht="15" hidden="false" customHeight="false" outlineLevel="0" collapsed="false">
      <c r="A94" s="11"/>
      <c r="B94" s="11"/>
      <c r="C94" s="11"/>
      <c r="D94" s="11"/>
      <c r="E94" s="11"/>
      <c r="F94" s="11"/>
      <c r="G94" s="11"/>
      <c r="H94" s="11"/>
      <c r="I94" s="11"/>
      <c r="J94" s="11"/>
      <c r="K94" s="14" t="str">
        <f aca="false">IF(C94="","",IFERROR(INDEX(Lists!$B$2:$B$9,MATCH(C94,Lists!$A$2:$A$9,0)),""))</f>
        <v/>
      </c>
    </row>
    <row r="95" customFormat="false" ht="15" hidden="false" customHeight="false" outlineLevel="0" collapsed="false">
      <c r="A95" s="11"/>
      <c r="B95" s="11"/>
      <c r="C95" s="11"/>
      <c r="D95" s="11"/>
      <c r="E95" s="11"/>
      <c r="F95" s="11"/>
      <c r="G95" s="11"/>
      <c r="H95" s="11"/>
      <c r="I95" s="11"/>
      <c r="J95" s="11"/>
      <c r="K95" s="14" t="str">
        <f aca="false">IF(C95="","",IFERROR(INDEX(Lists!$B$2:$B$9,MATCH(C95,Lists!$A$2:$A$9,0)),""))</f>
        <v/>
      </c>
    </row>
    <row r="96" customFormat="false" ht="15" hidden="false" customHeight="false" outlineLevel="0" collapsed="false">
      <c r="A96" s="11"/>
      <c r="B96" s="11"/>
      <c r="C96" s="11"/>
      <c r="D96" s="11"/>
      <c r="E96" s="11"/>
      <c r="F96" s="11"/>
      <c r="G96" s="11"/>
      <c r="H96" s="11"/>
      <c r="I96" s="11"/>
      <c r="J96" s="11"/>
      <c r="K96" s="14" t="str">
        <f aca="false">IF(C96="","",IFERROR(INDEX(Lists!$B$2:$B$9,MATCH(C96,Lists!$A$2:$A$9,0)),""))</f>
        <v/>
      </c>
    </row>
    <row r="97" customFormat="false" ht="15" hidden="false" customHeight="false" outlineLevel="0" collapsed="false">
      <c r="A97" s="11"/>
      <c r="B97" s="11"/>
      <c r="C97" s="11"/>
      <c r="D97" s="11"/>
      <c r="E97" s="11"/>
      <c r="F97" s="11"/>
      <c r="G97" s="11"/>
      <c r="H97" s="11"/>
      <c r="I97" s="11"/>
      <c r="J97" s="11"/>
      <c r="K97" s="14" t="str">
        <f aca="false">IF(C97="","",IFERROR(INDEX(Lists!$B$2:$B$9,MATCH(C97,Lists!$A$2:$A$9,0)),""))</f>
        <v/>
      </c>
    </row>
    <row r="98" customFormat="false" ht="15" hidden="false" customHeight="false" outlineLevel="0" collapsed="false">
      <c r="A98" s="11"/>
      <c r="B98" s="11"/>
      <c r="C98" s="11"/>
      <c r="D98" s="11"/>
      <c r="E98" s="11"/>
      <c r="F98" s="11"/>
      <c r="G98" s="11"/>
      <c r="H98" s="11"/>
      <c r="I98" s="11"/>
      <c r="J98" s="11"/>
      <c r="K98" s="14" t="str">
        <f aca="false">IF(C98="","",IFERROR(INDEX(Lists!$B$2:$B$9,MATCH(C98,Lists!$A$2:$A$9,0)),""))</f>
        <v/>
      </c>
    </row>
    <row r="99" customFormat="false" ht="15" hidden="false" customHeight="false" outlineLevel="0" collapsed="false">
      <c r="A99" s="11"/>
      <c r="B99" s="11"/>
      <c r="C99" s="11"/>
      <c r="D99" s="11"/>
      <c r="E99" s="11"/>
      <c r="F99" s="11"/>
      <c r="G99" s="11"/>
      <c r="H99" s="11"/>
      <c r="I99" s="11"/>
      <c r="J99" s="11"/>
      <c r="K99" s="14" t="str">
        <f aca="false">IF(C99="","",IFERROR(INDEX(Lists!$B$2:$B$9,MATCH(C99,Lists!$A$2:$A$9,0)),""))</f>
        <v/>
      </c>
    </row>
    <row r="100" customFormat="false" ht="15" hidden="false" customHeight="false" outlineLevel="0" collapsed="false">
      <c r="A100" s="11"/>
      <c r="B100" s="11"/>
      <c r="C100" s="11"/>
      <c r="D100" s="11"/>
      <c r="E100" s="11"/>
      <c r="F100" s="11"/>
      <c r="G100" s="11"/>
      <c r="H100" s="11"/>
      <c r="I100" s="11"/>
      <c r="J100" s="11"/>
      <c r="K100" s="14" t="str">
        <f aca="false">IF(C100="","",IFERROR(INDEX(Lists!$B$2:$B$9,MATCH(C100,Lists!$A$2:$A$9,0)),""))</f>
        <v/>
      </c>
    </row>
    <row r="101" customFormat="false" ht="15" hidden="false" customHeight="false" outlineLevel="0" collapsed="false">
      <c r="A101" s="11"/>
      <c r="B101" s="11"/>
      <c r="C101" s="11"/>
      <c r="D101" s="11"/>
      <c r="E101" s="11"/>
      <c r="F101" s="11"/>
      <c r="G101" s="11"/>
      <c r="H101" s="11"/>
      <c r="I101" s="11"/>
      <c r="J101" s="11"/>
      <c r="K101" s="14" t="str">
        <f aca="false">IF(C101="","",IFERROR(INDEX(Lists!$B$2:$B$9,MATCH(C101,Lists!$A$2:$A$9,0)),""))</f>
        <v/>
      </c>
    </row>
    <row r="102" customFormat="false" ht="15" hidden="false" customHeight="false" outlineLevel="0" collapsed="false">
      <c r="A102" s="11"/>
      <c r="B102" s="11"/>
      <c r="C102" s="11"/>
      <c r="D102" s="11"/>
      <c r="E102" s="11"/>
      <c r="F102" s="11"/>
      <c r="G102" s="11"/>
      <c r="H102" s="11"/>
      <c r="I102" s="11"/>
      <c r="J102" s="11"/>
      <c r="K102" s="14" t="str">
        <f aca="false">IF(C102="","",IFERROR(INDEX(Lists!$B$2:$B$9,MATCH(C102,Lists!$A$2:$A$9,0)),""))</f>
        <v/>
      </c>
    </row>
    <row r="103" customFormat="false" ht="15" hidden="false" customHeight="false" outlineLevel="0" collapsed="false">
      <c r="A103" s="11"/>
      <c r="B103" s="11"/>
      <c r="C103" s="11"/>
      <c r="D103" s="11"/>
      <c r="E103" s="11"/>
      <c r="F103" s="11"/>
      <c r="G103" s="11"/>
      <c r="H103" s="11"/>
      <c r="I103" s="11"/>
      <c r="J103" s="11"/>
      <c r="K103" s="14" t="str">
        <f aca="false">IF(C103="","",IFERROR(INDEX(Lists!$B$2:$B$9,MATCH(C103,Lists!$A$2:$A$9,0)),""))</f>
        <v/>
      </c>
    </row>
    <row r="104" customFormat="false" ht="15" hidden="false" customHeight="false" outlineLevel="0" collapsed="false">
      <c r="A104" s="11"/>
      <c r="B104" s="11"/>
      <c r="C104" s="11"/>
      <c r="D104" s="11"/>
      <c r="E104" s="11"/>
      <c r="F104" s="11"/>
      <c r="G104" s="11"/>
      <c r="H104" s="11"/>
      <c r="I104" s="11"/>
      <c r="J104" s="11"/>
      <c r="K104" s="14" t="str">
        <f aca="false">IF(C104="","",IFERROR(INDEX(Lists!$B$2:$B$9,MATCH(C104,Lists!$A$2:$A$9,0)),""))</f>
        <v/>
      </c>
    </row>
    <row r="105" customFormat="false" ht="15" hidden="false" customHeight="false" outlineLevel="0" collapsed="false">
      <c r="A105" s="11"/>
      <c r="B105" s="11"/>
      <c r="C105" s="11"/>
      <c r="D105" s="11"/>
      <c r="E105" s="11"/>
      <c r="F105" s="11"/>
      <c r="G105" s="11"/>
      <c r="H105" s="11"/>
      <c r="I105" s="11"/>
      <c r="J105" s="11"/>
      <c r="K105" s="14" t="str">
        <f aca="false">IF(C105="","",IFERROR(INDEX(Lists!$B$2:$B$9,MATCH(C105,Lists!$A$2:$A$9,0)),""))</f>
        <v/>
      </c>
    </row>
    <row r="106" customFormat="false" ht="15" hidden="false" customHeight="false" outlineLevel="0" collapsed="false">
      <c r="A106" s="11"/>
      <c r="B106" s="11"/>
      <c r="C106" s="11"/>
      <c r="D106" s="11"/>
      <c r="E106" s="11"/>
      <c r="F106" s="11"/>
      <c r="G106" s="11"/>
      <c r="H106" s="11"/>
      <c r="I106" s="11"/>
      <c r="J106" s="11"/>
      <c r="K106" s="14" t="str">
        <f aca="false">IF(C106="","",IFERROR(INDEX(Lists!$B$2:$B$9,MATCH(C106,Lists!$A$2:$A$9,0)),""))</f>
        <v/>
      </c>
    </row>
    <row r="107" customFormat="false" ht="15" hidden="false" customHeight="false" outlineLevel="0" collapsed="false">
      <c r="A107" s="11"/>
      <c r="B107" s="11"/>
      <c r="C107" s="11"/>
      <c r="D107" s="11"/>
      <c r="E107" s="11"/>
      <c r="F107" s="11"/>
      <c r="G107" s="11"/>
      <c r="H107" s="11"/>
      <c r="I107" s="11"/>
      <c r="J107" s="11"/>
      <c r="K107" s="14" t="str">
        <f aca="false">IF(C107="","",IFERROR(INDEX(Lists!$B$2:$B$9,MATCH(C107,Lists!$A$2:$A$9,0)),""))</f>
        <v/>
      </c>
    </row>
    <row r="108" customFormat="false" ht="15" hidden="false" customHeight="false" outlineLevel="0" collapsed="false">
      <c r="A108" s="11"/>
      <c r="B108" s="11"/>
      <c r="C108" s="11"/>
      <c r="D108" s="11"/>
      <c r="E108" s="11"/>
      <c r="F108" s="11"/>
      <c r="G108" s="11"/>
      <c r="H108" s="11"/>
      <c r="I108" s="11"/>
      <c r="J108" s="11"/>
      <c r="K108" s="14" t="str">
        <f aca="false">IF(C108="","",IFERROR(INDEX(Lists!$B$2:$B$9,MATCH(C108,Lists!$A$2:$A$9,0)),""))</f>
        <v/>
      </c>
    </row>
    <row r="109" customFormat="false" ht="15" hidden="false" customHeight="false" outlineLevel="0" collapsed="false">
      <c r="A109" s="11"/>
      <c r="B109" s="11"/>
      <c r="C109" s="11"/>
      <c r="D109" s="11"/>
      <c r="E109" s="11"/>
      <c r="F109" s="11"/>
      <c r="G109" s="11"/>
      <c r="H109" s="11"/>
      <c r="I109" s="11"/>
      <c r="J109" s="11"/>
      <c r="K109" s="14" t="str">
        <f aca="false">IF(C109="","",IFERROR(INDEX(Lists!$B$2:$B$9,MATCH(C109,Lists!$A$2:$A$9,0)),""))</f>
        <v/>
      </c>
    </row>
    <row r="110" customFormat="false" ht="15" hidden="false" customHeight="false" outlineLevel="0" collapsed="false">
      <c r="A110" s="11"/>
      <c r="B110" s="11"/>
      <c r="C110" s="11"/>
      <c r="D110" s="11"/>
      <c r="E110" s="11"/>
      <c r="F110" s="11"/>
      <c r="G110" s="11"/>
      <c r="H110" s="11"/>
      <c r="I110" s="11"/>
      <c r="J110" s="11"/>
      <c r="K110" s="14" t="str">
        <f aca="false">IF(C110="","",IFERROR(INDEX(Lists!$B$2:$B$9,MATCH(C110,Lists!$A$2:$A$9,0)),""))</f>
        <v/>
      </c>
    </row>
    <row r="111" customFormat="false" ht="15" hidden="false" customHeight="false" outlineLevel="0" collapsed="false">
      <c r="A111" s="11"/>
      <c r="B111" s="11"/>
      <c r="C111" s="11"/>
      <c r="D111" s="11"/>
      <c r="E111" s="11"/>
      <c r="F111" s="11"/>
      <c r="G111" s="11"/>
      <c r="H111" s="11"/>
      <c r="I111" s="11"/>
      <c r="J111" s="11"/>
      <c r="K111" s="14" t="str">
        <f aca="false">IF(C111="","",IFERROR(INDEX(Lists!$B$2:$B$9,MATCH(C111,Lists!$A$2:$A$9,0)),""))</f>
        <v/>
      </c>
    </row>
    <row r="112" customFormat="false" ht="15" hidden="false" customHeight="false" outlineLevel="0" collapsed="false">
      <c r="A112" s="11"/>
      <c r="B112" s="11"/>
      <c r="C112" s="11"/>
      <c r="D112" s="11"/>
      <c r="E112" s="11"/>
      <c r="F112" s="11"/>
      <c r="G112" s="11"/>
      <c r="H112" s="11"/>
      <c r="I112" s="11"/>
      <c r="J112" s="11"/>
      <c r="K112" s="14" t="str">
        <f aca="false">IF(C112="","",IFERROR(INDEX(Lists!$B$2:$B$9,MATCH(C112,Lists!$A$2:$A$9,0)),""))</f>
        <v/>
      </c>
    </row>
    <row r="113" customFormat="false" ht="15" hidden="false" customHeight="false" outlineLevel="0" collapsed="false">
      <c r="A113" s="11"/>
      <c r="B113" s="11"/>
      <c r="C113" s="11"/>
      <c r="D113" s="11"/>
      <c r="E113" s="11"/>
      <c r="F113" s="11"/>
      <c r="G113" s="11"/>
      <c r="H113" s="11"/>
      <c r="I113" s="11"/>
      <c r="J113" s="11"/>
      <c r="K113" s="14" t="str">
        <f aca="false">IF(C113="","",IFERROR(INDEX(Lists!$B$2:$B$9,MATCH(C113,Lists!$A$2:$A$9,0)),""))</f>
        <v/>
      </c>
    </row>
    <row r="114" customFormat="false" ht="15" hidden="false" customHeight="false" outlineLevel="0" collapsed="false">
      <c r="A114" s="11"/>
      <c r="B114" s="11"/>
      <c r="C114" s="11"/>
      <c r="D114" s="11"/>
      <c r="E114" s="11"/>
      <c r="F114" s="11"/>
      <c r="G114" s="11"/>
      <c r="H114" s="11"/>
      <c r="I114" s="11"/>
      <c r="J114" s="11"/>
      <c r="K114" s="14" t="str">
        <f aca="false">IF(C114="","",IFERROR(INDEX(Lists!$B$2:$B$9,MATCH(C114,Lists!$A$2:$A$9,0)),""))</f>
        <v/>
      </c>
    </row>
    <row r="115" customFormat="false" ht="15" hidden="false" customHeight="false" outlineLevel="0" collapsed="false">
      <c r="A115" s="11"/>
      <c r="B115" s="11"/>
      <c r="C115" s="11"/>
      <c r="D115" s="11"/>
      <c r="E115" s="11"/>
      <c r="F115" s="11"/>
      <c r="G115" s="11"/>
      <c r="H115" s="11"/>
      <c r="I115" s="11"/>
      <c r="J115" s="11"/>
      <c r="K115" s="14" t="str">
        <f aca="false">IF(C115="","",IFERROR(INDEX(Lists!$B$2:$B$9,MATCH(C115,Lists!$A$2:$A$9,0)),""))</f>
        <v/>
      </c>
    </row>
    <row r="116" customFormat="false" ht="15" hidden="false" customHeight="false" outlineLevel="0" collapsed="false">
      <c r="A116" s="11"/>
      <c r="B116" s="11"/>
      <c r="C116" s="11"/>
      <c r="D116" s="11"/>
      <c r="E116" s="11"/>
      <c r="F116" s="11"/>
      <c r="G116" s="11"/>
      <c r="H116" s="11"/>
      <c r="I116" s="11"/>
      <c r="J116" s="11"/>
      <c r="K116" s="14" t="str">
        <f aca="false">IF(C116="","",IFERROR(INDEX(Lists!$B$2:$B$9,MATCH(C116,Lists!$A$2:$A$9,0)),""))</f>
        <v/>
      </c>
    </row>
    <row r="117" customFormat="false" ht="15" hidden="false" customHeight="false" outlineLevel="0" collapsed="false">
      <c r="A117" s="11"/>
      <c r="B117" s="11"/>
      <c r="C117" s="11"/>
      <c r="D117" s="11"/>
      <c r="E117" s="11"/>
      <c r="F117" s="11"/>
      <c r="G117" s="11"/>
      <c r="H117" s="11"/>
      <c r="I117" s="11"/>
      <c r="J117" s="11"/>
      <c r="K117" s="14" t="str">
        <f aca="false">IF(C117="","",IFERROR(INDEX(Lists!$B$2:$B$9,MATCH(C117,Lists!$A$2:$A$9,0)),""))</f>
        <v/>
      </c>
    </row>
    <row r="118" customFormat="false" ht="15" hidden="false" customHeight="false" outlineLevel="0" collapsed="false">
      <c r="A118" s="11"/>
      <c r="B118" s="11"/>
      <c r="C118" s="11"/>
      <c r="D118" s="11"/>
      <c r="E118" s="11"/>
      <c r="F118" s="11"/>
      <c r="G118" s="11"/>
      <c r="H118" s="11"/>
      <c r="I118" s="11"/>
      <c r="J118" s="11"/>
      <c r="K118" s="14" t="str">
        <f aca="false">IF(C118="","",IFERROR(INDEX(Lists!$B$2:$B$9,MATCH(C118,Lists!$A$2:$A$9,0)),""))</f>
        <v/>
      </c>
    </row>
    <row r="119" customFormat="false" ht="15" hidden="false" customHeight="false" outlineLevel="0" collapsed="false">
      <c r="A119" s="11"/>
      <c r="B119" s="11"/>
      <c r="C119" s="11"/>
      <c r="D119" s="11"/>
      <c r="E119" s="11"/>
      <c r="F119" s="11"/>
      <c r="G119" s="11"/>
      <c r="H119" s="11"/>
      <c r="I119" s="11"/>
      <c r="J119" s="11"/>
      <c r="K119" s="14" t="str">
        <f aca="false">IF(C119="","",IFERROR(INDEX(Lists!$B$2:$B$9,MATCH(C119,Lists!$A$2:$A$9,0)),""))</f>
        <v/>
      </c>
    </row>
    <row r="120" customFormat="false" ht="15" hidden="false" customHeight="false" outlineLevel="0" collapsed="false">
      <c r="A120" s="11"/>
      <c r="B120" s="11"/>
      <c r="C120" s="11"/>
      <c r="D120" s="11"/>
      <c r="E120" s="11"/>
      <c r="F120" s="11"/>
      <c r="G120" s="11"/>
      <c r="H120" s="11"/>
      <c r="I120" s="11"/>
      <c r="J120" s="11"/>
      <c r="K120" s="14" t="str">
        <f aca="false">IF(C120="","",IFERROR(INDEX(Lists!$B$2:$B$9,MATCH(C120,Lists!$A$2:$A$9,0)),""))</f>
        <v/>
      </c>
    </row>
    <row r="121" customFormat="false" ht="15" hidden="false" customHeight="false" outlineLevel="0" collapsed="false">
      <c r="A121" s="11"/>
      <c r="B121" s="11"/>
      <c r="C121" s="11"/>
      <c r="D121" s="11"/>
      <c r="E121" s="11"/>
      <c r="F121" s="11"/>
      <c r="G121" s="11"/>
      <c r="H121" s="11"/>
      <c r="I121" s="11"/>
      <c r="J121" s="11"/>
      <c r="K121" s="14" t="str">
        <f aca="false">IF(C121="","",IFERROR(INDEX(Lists!$B$2:$B$9,MATCH(C121,Lists!$A$2:$A$9,0)),""))</f>
        <v/>
      </c>
    </row>
    <row r="122" customFormat="false" ht="15" hidden="false" customHeight="false" outlineLevel="0" collapsed="false">
      <c r="A122" s="11"/>
      <c r="B122" s="11"/>
      <c r="C122" s="11"/>
      <c r="D122" s="11"/>
      <c r="E122" s="11"/>
      <c r="F122" s="11"/>
      <c r="G122" s="11"/>
      <c r="H122" s="11"/>
      <c r="I122" s="11"/>
      <c r="J122" s="11"/>
      <c r="K122" s="14" t="str">
        <f aca="false">IF(C122="","",IFERROR(INDEX(Lists!$B$2:$B$9,MATCH(C122,Lists!$A$2:$A$9,0)),""))</f>
        <v/>
      </c>
    </row>
    <row r="123" customFormat="false" ht="15" hidden="false" customHeight="false" outlineLevel="0" collapsed="false">
      <c r="A123" s="11"/>
      <c r="B123" s="11"/>
      <c r="C123" s="11"/>
      <c r="D123" s="11"/>
      <c r="E123" s="11"/>
      <c r="F123" s="11"/>
      <c r="G123" s="11"/>
      <c r="H123" s="11"/>
      <c r="I123" s="11"/>
      <c r="J123" s="11"/>
      <c r="K123" s="14" t="str">
        <f aca="false">IF(C123="","",IFERROR(INDEX(Lists!$B$2:$B$9,MATCH(C123,Lists!$A$2:$A$9,0)),""))</f>
        <v/>
      </c>
    </row>
    <row r="124" customFormat="false" ht="15" hidden="false" customHeight="false" outlineLevel="0" collapsed="false">
      <c r="A124" s="11"/>
      <c r="B124" s="11"/>
      <c r="C124" s="11"/>
      <c r="D124" s="11"/>
      <c r="E124" s="11"/>
      <c r="F124" s="11"/>
      <c r="G124" s="11"/>
      <c r="H124" s="11"/>
      <c r="I124" s="11"/>
      <c r="J124" s="11"/>
      <c r="K124" s="14" t="str">
        <f aca="false">IF(C124="","",IFERROR(INDEX(Lists!$B$2:$B$9,MATCH(C124,Lists!$A$2:$A$9,0)),""))</f>
        <v/>
      </c>
    </row>
    <row r="125" customFormat="false" ht="15" hidden="false" customHeight="false" outlineLevel="0" collapsed="false">
      <c r="A125" s="11"/>
      <c r="B125" s="11"/>
      <c r="C125" s="11"/>
      <c r="D125" s="11"/>
      <c r="E125" s="11"/>
      <c r="F125" s="11"/>
      <c r="G125" s="11"/>
      <c r="H125" s="11"/>
      <c r="I125" s="11"/>
      <c r="J125" s="11"/>
      <c r="K125" s="14" t="str">
        <f aca="false">IF(C125="","",IFERROR(INDEX(Lists!$B$2:$B$9,MATCH(C125,Lists!$A$2:$A$9,0)),""))</f>
        <v/>
      </c>
    </row>
    <row r="126" customFormat="false" ht="15" hidden="false" customHeight="false" outlineLevel="0" collapsed="false">
      <c r="A126" s="11"/>
      <c r="B126" s="11"/>
      <c r="C126" s="11"/>
      <c r="D126" s="11"/>
      <c r="E126" s="11"/>
      <c r="F126" s="11"/>
      <c r="G126" s="11"/>
      <c r="H126" s="11"/>
      <c r="I126" s="11"/>
      <c r="J126" s="11"/>
      <c r="K126" s="14" t="str">
        <f aca="false">IF(C126="","",IFERROR(INDEX(Lists!$B$2:$B$9,MATCH(C126,Lists!$A$2:$A$9,0)),""))</f>
        <v/>
      </c>
    </row>
    <row r="127" customFormat="false" ht="15" hidden="false" customHeight="false" outlineLevel="0" collapsed="false">
      <c r="A127" s="11"/>
      <c r="B127" s="11"/>
      <c r="C127" s="11"/>
      <c r="D127" s="11"/>
      <c r="E127" s="11"/>
      <c r="F127" s="11"/>
      <c r="G127" s="11"/>
      <c r="H127" s="11"/>
      <c r="I127" s="11"/>
      <c r="J127" s="11"/>
      <c r="K127" s="14" t="str">
        <f aca="false">IF(C127="","",IFERROR(INDEX(Lists!$B$2:$B$9,MATCH(C127,Lists!$A$2:$A$9,0)),""))</f>
        <v/>
      </c>
    </row>
  </sheetData>
  <autoFilter ref="A4:K127"/>
  <mergeCells count="2">
    <mergeCell ref="A1:K1"/>
    <mergeCell ref="A2:K2"/>
  </mergeCells>
  <dataValidations count="4">
    <dataValidation allowBlank="true" errorStyle="stop" operator="between" showDropDown="false" showErrorMessage="false" showInputMessage="false" sqref="C5:C127" type="list">
      <formula1>"All ages,Ages 6+,Kids 4-10,Kids 6-10,Youth 11-14,Ages 12+,Teens &amp; adults,Adults"</formula1>
      <formula2>0</formula2>
    </dataValidation>
    <dataValidation allowBlank="true" errorStyle="stop" operator="between" showDropDown="false" showErrorMessage="false" showInputMessage="false" sqref="E5:E127" type="list">
      <formula1>"None,Pads/bag,Partner drilling,Live grappling,Light touch (body),Controlled sparring"</formula1>
      <formula2>0</formula2>
    </dataValidation>
    <dataValidation allowBlank="true" errorStyle="stop" operator="between" showDropDown="false" showErrorMessage="false" showInputMessage="false" sqref="D5:D127" type="list">
      <formula1>"Beginner,Intermediate,Advanced"</formula1>
      <formula2>0</formula2>
    </dataValidation>
    <dataValidation allowBlank="true" errorStyle="stop" operator="between" showDropDown="false" showErrorMessage="false" showInputMessage="false" sqref="B5:B127" type="list">
      <formula1>"Warm-up,Boxing,Kickboxing,Wrestling,Jiu-jitsu,MMA,Kids games,Conditioning,Cool-down"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80"/>
    <col collapsed="false" customWidth="true" hidden="false" outlineLevel="0" max="4" min="4" style="0" width="34"/>
  </cols>
  <sheetData>
    <row r="1" customFormat="false" ht="30" hidden="false" customHeight="true" outlineLevel="0" collapsed="false">
      <c r="A1" s="1" t="s">
        <v>438</v>
      </c>
      <c r="B1" s="1"/>
      <c r="C1" s="1"/>
      <c r="D1" s="1"/>
    </row>
    <row r="2" customFormat="false" ht="31.5" hidden="false" customHeight="true" outlineLevel="0" collapsed="false">
      <c r="A2" s="2" t="s">
        <v>439</v>
      </c>
      <c r="B2" s="2"/>
      <c r="C2" s="2"/>
      <c r="D2" s="2"/>
    </row>
    <row r="4" customFormat="false" ht="30" hidden="false" customHeight="true" outlineLevel="0" collapsed="false">
      <c r="A4" s="10" t="s">
        <v>440</v>
      </c>
      <c r="B4" s="10" t="s">
        <v>441</v>
      </c>
      <c r="C4" s="10" t="s">
        <v>442</v>
      </c>
      <c r="D4" s="10" t="s">
        <v>443</v>
      </c>
    </row>
    <row r="5" customFormat="false" ht="45.75" hidden="false" customHeight="true" outlineLevel="0" collapsed="false">
      <c r="A5" s="17" t="s">
        <v>18</v>
      </c>
      <c r="B5" s="18" t="s">
        <v>444</v>
      </c>
      <c r="C5" s="18" t="s">
        <v>445</v>
      </c>
      <c r="D5" s="18" t="s">
        <v>446</v>
      </c>
    </row>
    <row r="6" customFormat="false" ht="45.75" hidden="false" customHeight="true" outlineLevel="0" collapsed="false">
      <c r="A6" s="17" t="s">
        <v>447</v>
      </c>
      <c r="B6" s="18" t="s">
        <v>448</v>
      </c>
      <c r="C6" s="18" t="s">
        <v>449</v>
      </c>
      <c r="D6" s="18" t="s">
        <v>450</v>
      </c>
    </row>
    <row r="7" customFormat="false" ht="45.75" hidden="false" customHeight="true" outlineLevel="0" collapsed="false">
      <c r="A7" s="17" t="s">
        <v>451</v>
      </c>
      <c r="B7" s="18" t="s">
        <v>444</v>
      </c>
      <c r="C7" s="18" t="s">
        <v>452</v>
      </c>
      <c r="D7" s="18" t="s">
        <v>453</v>
      </c>
    </row>
    <row r="8" customFormat="false" ht="45.75" hidden="false" customHeight="true" outlineLevel="0" collapsed="false">
      <c r="A8" s="17" t="s">
        <v>454</v>
      </c>
      <c r="B8" s="18" t="s">
        <v>58</v>
      </c>
      <c r="C8" s="18" t="s">
        <v>455</v>
      </c>
      <c r="D8" s="18" t="s">
        <v>456</v>
      </c>
    </row>
    <row r="9" customFormat="false" ht="45.75" hidden="false" customHeight="true" outlineLevel="0" collapsed="false">
      <c r="A9" s="17" t="s">
        <v>457</v>
      </c>
      <c r="B9" s="18" t="s">
        <v>444</v>
      </c>
      <c r="C9" s="18" t="s">
        <v>458</v>
      </c>
      <c r="D9" s="18" t="s">
        <v>459</v>
      </c>
    </row>
    <row r="10" customFormat="false" ht="45.75" hidden="false" customHeight="true" outlineLevel="0" collapsed="false">
      <c r="A10" s="17" t="s">
        <v>460</v>
      </c>
      <c r="B10" s="18" t="s">
        <v>461</v>
      </c>
      <c r="C10" s="18" t="s">
        <v>462</v>
      </c>
      <c r="D10" s="18" t="s">
        <v>463</v>
      </c>
    </row>
    <row r="11" customFormat="false" ht="45.75" hidden="false" customHeight="true" outlineLevel="0" collapsed="false">
      <c r="A11" s="17" t="s">
        <v>464</v>
      </c>
      <c r="B11" s="18" t="s">
        <v>465</v>
      </c>
      <c r="C11" s="18" t="s">
        <v>466</v>
      </c>
      <c r="D11" s="18" t="s">
        <v>459</v>
      </c>
    </row>
    <row r="12" customFormat="false" ht="45.75" hidden="false" customHeight="true" outlineLevel="0" collapsed="false">
      <c r="A12" s="17" t="s">
        <v>467</v>
      </c>
      <c r="B12" s="18" t="s">
        <v>468</v>
      </c>
      <c r="C12" s="18" t="s">
        <v>469</v>
      </c>
      <c r="D12" s="18" t="s">
        <v>470</v>
      </c>
    </row>
    <row r="13" customFormat="false" ht="45.75" hidden="false" customHeight="true" outlineLevel="0" collapsed="false">
      <c r="A13" s="17" t="s">
        <v>471</v>
      </c>
      <c r="B13" s="18" t="s">
        <v>58</v>
      </c>
      <c r="C13" s="18" t="s">
        <v>472</v>
      </c>
      <c r="D13" s="18" t="s">
        <v>473</v>
      </c>
    </row>
    <row r="14" customFormat="false" ht="45.75" hidden="false" customHeight="true" outlineLevel="0" collapsed="false">
      <c r="A14" s="17" t="s">
        <v>474</v>
      </c>
      <c r="B14" s="18" t="s">
        <v>475</v>
      </c>
      <c r="C14" s="18" t="s">
        <v>476</v>
      </c>
      <c r="D14" s="18" t="s">
        <v>477</v>
      </c>
    </row>
    <row r="15" customFormat="false" ht="45.75" hidden="false" customHeight="true" outlineLevel="0" collapsed="false">
      <c r="A15" s="17" t="s">
        <v>478</v>
      </c>
      <c r="B15" s="18" t="s">
        <v>479</v>
      </c>
      <c r="C15" s="18" t="s">
        <v>480</v>
      </c>
      <c r="D15" s="18" t="s">
        <v>481</v>
      </c>
    </row>
    <row r="16" customFormat="false" ht="45.75" hidden="false" customHeight="true" outlineLevel="0" collapsed="false">
      <c r="A16" s="17" t="s">
        <v>209</v>
      </c>
      <c r="B16" s="18" t="s">
        <v>468</v>
      </c>
      <c r="C16" s="18" t="s">
        <v>482</v>
      </c>
      <c r="D16" s="18" t="s">
        <v>54</v>
      </c>
    </row>
    <row r="17" customFormat="false" ht="45.75" hidden="false" customHeight="true" outlineLevel="0" collapsed="false">
      <c r="A17" s="17" t="s">
        <v>100</v>
      </c>
      <c r="B17" s="18" t="s">
        <v>444</v>
      </c>
      <c r="C17" s="18" t="s">
        <v>483</v>
      </c>
      <c r="D17" s="18" t="s">
        <v>484</v>
      </c>
    </row>
    <row r="18" customFormat="false" ht="45.75" hidden="false" customHeight="true" outlineLevel="0" collapsed="false">
      <c r="A18" s="17" t="s">
        <v>485</v>
      </c>
      <c r="B18" s="18" t="s">
        <v>444</v>
      </c>
      <c r="C18" s="18" t="s">
        <v>486</v>
      </c>
      <c r="D18" s="18" t="s">
        <v>481</v>
      </c>
    </row>
    <row r="19" customFormat="false" ht="45.75" hidden="false" customHeight="true" outlineLevel="0" collapsed="false">
      <c r="A19" s="17" t="s">
        <v>487</v>
      </c>
      <c r="B19" s="18" t="s">
        <v>444</v>
      </c>
      <c r="C19" s="18" t="s">
        <v>488</v>
      </c>
      <c r="D19" s="18" t="s">
        <v>481</v>
      </c>
    </row>
    <row r="21" customFormat="false" ht="15" hidden="false" customHeight="false" outlineLevel="0" collapsed="false">
      <c r="A21" s="6" t="s">
        <v>489</v>
      </c>
    </row>
    <row r="22" customFormat="false" ht="48" hidden="false" customHeight="true" outlineLevel="0" collapsed="false">
      <c r="A22" s="17" t="s">
        <v>490</v>
      </c>
      <c r="B22" s="18" t="s">
        <v>491</v>
      </c>
      <c r="C22" s="18" t="s">
        <v>492</v>
      </c>
      <c r="D22" s="19" t="s">
        <v>493</v>
      </c>
    </row>
    <row r="23" customFormat="false" ht="48" hidden="false" customHeight="true" outlineLevel="0" collapsed="false">
      <c r="A23" s="17" t="s">
        <v>490</v>
      </c>
      <c r="B23" s="18" t="s">
        <v>491</v>
      </c>
      <c r="C23" s="18" t="s">
        <v>494</v>
      </c>
      <c r="D23" s="19" t="s">
        <v>493</v>
      </c>
    </row>
    <row r="24" customFormat="false" ht="48" hidden="false" customHeight="true" outlineLevel="0" collapsed="false">
      <c r="A24" s="17" t="s">
        <v>490</v>
      </c>
      <c r="B24" s="18" t="s">
        <v>495</v>
      </c>
      <c r="C24" s="18" t="s">
        <v>496</v>
      </c>
      <c r="D24" s="19" t="s">
        <v>493</v>
      </c>
    </row>
    <row r="25" customFormat="false" ht="48" hidden="false" customHeight="true" outlineLevel="0" collapsed="false">
      <c r="A25" s="17" t="s">
        <v>497</v>
      </c>
      <c r="B25" s="18" t="s">
        <v>495</v>
      </c>
      <c r="C25" s="18" t="s">
        <v>498</v>
      </c>
      <c r="D25" s="19" t="s">
        <v>493</v>
      </c>
    </row>
    <row r="26" customFormat="false" ht="48" hidden="false" customHeight="true" outlineLevel="0" collapsed="false">
      <c r="A26" s="17" t="s">
        <v>499</v>
      </c>
      <c r="B26" s="18" t="s">
        <v>500</v>
      </c>
      <c r="C26" s="18" t="s">
        <v>501</v>
      </c>
      <c r="D26" s="19" t="s">
        <v>493</v>
      </c>
    </row>
    <row r="27" customFormat="false" ht="48" hidden="false" customHeight="true" outlineLevel="0" collapsed="false">
      <c r="A27" s="17" t="s">
        <v>502</v>
      </c>
      <c r="B27" s="18" t="s">
        <v>503</v>
      </c>
      <c r="C27" s="18" t="s">
        <v>504</v>
      </c>
      <c r="D27" s="19" t="s">
        <v>493</v>
      </c>
    </row>
    <row r="28" customFormat="false" ht="48" hidden="false" customHeight="true" outlineLevel="0" collapsed="false">
      <c r="A28" s="17" t="s">
        <v>490</v>
      </c>
      <c r="B28" s="18" t="s">
        <v>505</v>
      </c>
      <c r="C28" s="18" t="s">
        <v>506</v>
      </c>
      <c r="D28" s="19" t="s">
        <v>493</v>
      </c>
    </row>
    <row r="29" customFormat="false" ht="48" hidden="false" customHeight="true" outlineLevel="0" collapsed="false">
      <c r="A29" s="17" t="s">
        <v>507</v>
      </c>
      <c r="B29" s="18" t="s">
        <v>505</v>
      </c>
      <c r="C29" s="18" t="s">
        <v>508</v>
      </c>
      <c r="D29" s="19" t="s">
        <v>493</v>
      </c>
    </row>
    <row r="30" customFormat="false" ht="48" hidden="false" customHeight="true" outlineLevel="0" collapsed="false">
      <c r="A30" s="17" t="s">
        <v>509</v>
      </c>
      <c r="B30" s="18" t="s">
        <v>510</v>
      </c>
      <c r="C30" s="18" t="s">
        <v>511</v>
      </c>
      <c r="D30" s="19" t="s">
        <v>493</v>
      </c>
    </row>
    <row r="31" customFormat="false" ht="48" hidden="false" customHeight="true" outlineLevel="0" collapsed="false">
      <c r="A31" s="17" t="s">
        <v>512</v>
      </c>
      <c r="B31" s="18" t="s">
        <v>513</v>
      </c>
      <c r="C31" s="18" t="s">
        <v>514</v>
      </c>
      <c r="D31" s="19" t="s">
        <v>493</v>
      </c>
    </row>
    <row r="32" customFormat="false" ht="33.75" hidden="false" customHeight="true" outlineLevel="0" collapsed="false">
      <c r="A32" s="17" t="s">
        <v>515</v>
      </c>
      <c r="B32" s="18" t="s">
        <v>516</v>
      </c>
      <c r="C32" s="18" t="s">
        <v>517</v>
      </c>
      <c r="D32" s="19" t="s">
        <v>518</v>
      </c>
    </row>
    <row r="33" customFormat="false" ht="33.75" hidden="false" customHeight="true" outlineLevel="0" collapsed="false">
      <c r="A33" s="17" t="s">
        <v>519</v>
      </c>
      <c r="B33" s="18" t="s">
        <v>520</v>
      </c>
      <c r="C33" s="18" t="s">
        <v>521</v>
      </c>
      <c r="D33" s="19" t="s">
        <v>518</v>
      </c>
    </row>
    <row r="34" customFormat="false" ht="48" hidden="false" customHeight="true" outlineLevel="0" collapsed="false">
      <c r="A34" s="17" t="s">
        <v>522</v>
      </c>
      <c r="B34" s="18" t="s">
        <v>523</v>
      </c>
      <c r="C34" s="18" t="s">
        <v>524</v>
      </c>
      <c r="D34" s="19" t="s">
        <v>518</v>
      </c>
    </row>
    <row r="35" customFormat="false" ht="48" hidden="false" customHeight="true" outlineLevel="0" collapsed="false">
      <c r="A35" s="17" t="s">
        <v>525</v>
      </c>
      <c r="B35" s="18" t="s">
        <v>526</v>
      </c>
      <c r="C35" s="18" t="s">
        <v>527</v>
      </c>
      <c r="D35" s="19" t="s">
        <v>528</v>
      </c>
    </row>
    <row r="36" customFormat="false" ht="33.75" hidden="false" customHeight="true" outlineLevel="0" collapsed="false">
      <c r="A36" s="17" t="s">
        <v>529</v>
      </c>
      <c r="B36" s="18" t="s">
        <v>530</v>
      </c>
      <c r="C36" s="18" t="s">
        <v>531</v>
      </c>
      <c r="D36" s="19" t="s">
        <v>532</v>
      </c>
    </row>
    <row r="37" customFormat="false" ht="33.75" hidden="false" customHeight="true" outlineLevel="0" collapsed="false">
      <c r="A37" s="17" t="s">
        <v>533</v>
      </c>
      <c r="B37" s="18" t="s">
        <v>530</v>
      </c>
      <c r="C37" s="18" t="s">
        <v>534</v>
      </c>
      <c r="D37" s="19" t="s">
        <v>535</v>
      </c>
    </row>
    <row r="38" customFormat="false" ht="33.75" hidden="false" customHeight="true" outlineLevel="0" collapsed="false">
      <c r="A38" s="17" t="s">
        <v>536</v>
      </c>
      <c r="B38" s="18" t="s">
        <v>530</v>
      </c>
      <c r="C38" s="18" t="s">
        <v>537</v>
      </c>
      <c r="D38" s="19" t="s">
        <v>535</v>
      </c>
    </row>
    <row r="39" customFormat="false" ht="48" hidden="false" customHeight="true" outlineLevel="0" collapsed="false">
      <c r="A39" s="17" t="s">
        <v>538</v>
      </c>
      <c r="B39" s="18" t="s">
        <v>539</v>
      </c>
      <c r="C39" s="18" t="s">
        <v>540</v>
      </c>
      <c r="D39" s="19" t="s">
        <v>541</v>
      </c>
    </row>
    <row r="40" customFormat="false" ht="33.75" hidden="false" customHeight="true" outlineLevel="0" collapsed="false">
      <c r="A40" s="17" t="s">
        <v>542</v>
      </c>
      <c r="B40" s="18" t="s">
        <v>543</v>
      </c>
      <c r="C40" s="18" t="s">
        <v>544</v>
      </c>
      <c r="D40" s="19" t="s">
        <v>545</v>
      </c>
    </row>
    <row r="41" customFormat="false" ht="33.75" hidden="false" customHeight="true" outlineLevel="0" collapsed="false">
      <c r="A41" s="17" t="s">
        <v>546</v>
      </c>
      <c r="B41" s="18" t="s">
        <v>543</v>
      </c>
      <c r="C41" s="18" t="s">
        <v>547</v>
      </c>
      <c r="D41" s="19" t="s">
        <v>545</v>
      </c>
    </row>
    <row r="42" customFormat="false" ht="48" hidden="false" customHeight="true" outlineLevel="0" collapsed="false">
      <c r="A42" s="17" t="s">
        <v>542</v>
      </c>
      <c r="B42" s="18" t="s">
        <v>548</v>
      </c>
      <c r="C42" s="18" t="s">
        <v>549</v>
      </c>
      <c r="D42" s="19" t="s">
        <v>545</v>
      </c>
    </row>
    <row r="43" customFormat="false" ht="48" hidden="false" customHeight="true" outlineLevel="0" collapsed="false">
      <c r="A43" s="17" t="s">
        <v>542</v>
      </c>
      <c r="B43" s="18" t="s">
        <v>550</v>
      </c>
      <c r="C43" s="18" t="s">
        <v>551</v>
      </c>
      <c r="D43" s="19" t="s">
        <v>552</v>
      </c>
    </row>
    <row r="44" customFormat="false" ht="33.75" hidden="false" customHeight="true" outlineLevel="0" collapsed="false">
      <c r="A44" s="17" t="s">
        <v>553</v>
      </c>
      <c r="B44" s="18" t="s">
        <v>554</v>
      </c>
      <c r="C44" s="18" t="s">
        <v>555</v>
      </c>
      <c r="D44" s="19" t="s">
        <v>556</v>
      </c>
    </row>
    <row r="45" customFormat="false" ht="48" hidden="false" customHeight="true" outlineLevel="0" collapsed="false">
      <c r="A45" s="17" t="s">
        <v>557</v>
      </c>
      <c r="B45" s="18" t="s">
        <v>554</v>
      </c>
      <c r="C45" s="18" t="s">
        <v>558</v>
      </c>
      <c r="D45" s="19" t="s">
        <v>559</v>
      </c>
    </row>
    <row r="46" customFormat="false" ht="48" hidden="false" customHeight="true" outlineLevel="0" collapsed="false">
      <c r="A46" s="17" t="s">
        <v>560</v>
      </c>
      <c r="B46" s="18" t="s">
        <v>561</v>
      </c>
      <c r="C46" s="18" t="s">
        <v>562</v>
      </c>
      <c r="D46" s="19" t="s">
        <v>559</v>
      </c>
    </row>
    <row r="47" customFormat="false" ht="33.75" hidden="false" customHeight="true" outlineLevel="0" collapsed="false">
      <c r="A47" s="17" t="s">
        <v>563</v>
      </c>
      <c r="B47" s="18" t="s">
        <v>212</v>
      </c>
      <c r="C47" s="18" t="s">
        <v>564</v>
      </c>
      <c r="D47" s="19" t="s">
        <v>559</v>
      </c>
    </row>
    <row r="48" customFormat="false" ht="33.75" hidden="false" customHeight="true" outlineLevel="0" collapsed="false">
      <c r="A48" s="17" t="s">
        <v>565</v>
      </c>
      <c r="B48" s="18" t="s">
        <v>566</v>
      </c>
      <c r="C48" s="18" t="s">
        <v>567</v>
      </c>
      <c r="D48" s="19" t="s">
        <v>559</v>
      </c>
    </row>
    <row r="49" customFormat="false" ht="33.75" hidden="false" customHeight="true" outlineLevel="0" collapsed="false">
      <c r="A49" s="17" t="s">
        <v>568</v>
      </c>
      <c r="B49" s="18" t="s">
        <v>569</v>
      </c>
      <c r="C49" s="18" t="s">
        <v>570</v>
      </c>
      <c r="D49" s="19" t="s">
        <v>559</v>
      </c>
    </row>
    <row r="50" customFormat="false" ht="48" hidden="false" customHeight="true" outlineLevel="0" collapsed="false">
      <c r="A50" s="17" t="s">
        <v>571</v>
      </c>
      <c r="B50" s="18" t="s">
        <v>572</v>
      </c>
      <c r="C50" s="18" t="s">
        <v>573</v>
      </c>
      <c r="D50" s="19" t="s">
        <v>574</v>
      </c>
    </row>
    <row r="51" customFormat="false" ht="48" hidden="false" customHeight="true" outlineLevel="0" collapsed="false">
      <c r="A51" s="17" t="s">
        <v>575</v>
      </c>
      <c r="B51" s="18" t="s">
        <v>576</v>
      </c>
      <c r="C51" s="18" t="s">
        <v>577</v>
      </c>
      <c r="D51" s="19" t="s">
        <v>578</v>
      </c>
    </row>
    <row r="52" customFormat="false" ht="48" hidden="false" customHeight="true" outlineLevel="0" collapsed="false">
      <c r="A52" s="17" t="s">
        <v>579</v>
      </c>
      <c r="B52" s="18" t="s">
        <v>580</v>
      </c>
      <c r="C52" s="18" t="s">
        <v>581</v>
      </c>
      <c r="D52" s="19" t="s">
        <v>582</v>
      </c>
    </row>
    <row r="53" customFormat="false" ht="48" hidden="false" customHeight="true" outlineLevel="0" collapsed="false">
      <c r="A53" s="17" t="s">
        <v>583</v>
      </c>
      <c r="B53" s="18" t="s">
        <v>584</v>
      </c>
      <c r="C53" s="18" t="s">
        <v>585</v>
      </c>
      <c r="D53" s="19" t="s">
        <v>582</v>
      </c>
    </row>
    <row r="54" customFormat="false" ht="61.5" hidden="false" customHeight="true" outlineLevel="0" collapsed="false">
      <c r="A54" s="17" t="s">
        <v>586</v>
      </c>
      <c r="B54" s="18" t="s">
        <v>587</v>
      </c>
      <c r="C54" s="18" t="s">
        <v>588</v>
      </c>
      <c r="D54" s="19" t="s">
        <v>589</v>
      </c>
    </row>
    <row r="55" customFormat="false" ht="61.5" hidden="false" customHeight="true" outlineLevel="0" collapsed="false">
      <c r="A55" s="17" t="s">
        <v>590</v>
      </c>
      <c r="B55" s="18" t="s">
        <v>591</v>
      </c>
      <c r="C55" s="18" t="s">
        <v>592</v>
      </c>
      <c r="D55" s="19" t="s">
        <v>593</v>
      </c>
    </row>
    <row r="56" customFormat="false" ht="33.75" hidden="false" customHeight="true" outlineLevel="0" collapsed="false">
      <c r="A56" s="17" t="s">
        <v>594</v>
      </c>
      <c r="B56" s="18" t="s">
        <v>595</v>
      </c>
      <c r="C56" s="18" t="s">
        <v>596</v>
      </c>
      <c r="D56" s="19" t="s">
        <v>597</v>
      </c>
    </row>
    <row r="57" customFormat="false" ht="48" hidden="false" customHeight="true" outlineLevel="0" collapsed="false">
      <c r="A57" s="17" t="s">
        <v>598</v>
      </c>
      <c r="B57" s="18" t="s">
        <v>599</v>
      </c>
      <c r="C57" s="18" t="s">
        <v>600</v>
      </c>
      <c r="D57" s="19" t="s">
        <v>597</v>
      </c>
    </row>
    <row r="58" customFormat="false" ht="48" hidden="false" customHeight="true" outlineLevel="0" collapsed="false">
      <c r="A58" s="17" t="s">
        <v>601</v>
      </c>
      <c r="B58" s="18" t="s">
        <v>530</v>
      </c>
      <c r="C58" s="18" t="s">
        <v>602</v>
      </c>
      <c r="D58" s="19" t="s">
        <v>597</v>
      </c>
    </row>
    <row r="59" customFormat="false" ht="48" hidden="false" customHeight="true" outlineLevel="0" collapsed="false">
      <c r="A59" s="17" t="s">
        <v>603</v>
      </c>
      <c r="B59" s="18" t="s">
        <v>530</v>
      </c>
      <c r="C59" s="18" t="s">
        <v>604</v>
      </c>
      <c r="D59" s="19" t="s">
        <v>605</v>
      </c>
    </row>
    <row r="60" customFormat="false" ht="33.75" hidden="false" customHeight="true" outlineLevel="0" collapsed="false">
      <c r="A60" s="17" t="s">
        <v>606</v>
      </c>
      <c r="B60" s="18" t="s">
        <v>530</v>
      </c>
      <c r="C60" s="18" t="s">
        <v>607</v>
      </c>
      <c r="D60" s="19" t="s">
        <v>608</v>
      </c>
    </row>
    <row r="61" customFormat="false" ht="48" hidden="false" customHeight="true" outlineLevel="0" collapsed="false">
      <c r="A61" s="17" t="s">
        <v>609</v>
      </c>
      <c r="B61" s="18" t="s">
        <v>610</v>
      </c>
      <c r="C61" s="18" t="s">
        <v>611</v>
      </c>
      <c r="D61" s="19" t="s">
        <v>612</v>
      </c>
    </row>
    <row r="62" customFormat="false" ht="48" hidden="false" customHeight="true" outlineLevel="0" collapsed="false">
      <c r="A62" s="17" t="s">
        <v>613</v>
      </c>
      <c r="B62" s="18" t="s">
        <v>530</v>
      </c>
      <c r="C62" s="18" t="s">
        <v>614</v>
      </c>
      <c r="D62" s="19" t="s">
        <v>615</v>
      </c>
    </row>
    <row r="63" customFormat="false" ht="48" hidden="false" customHeight="true" outlineLevel="0" collapsed="false">
      <c r="A63" s="17" t="s">
        <v>616</v>
      </c>
      <c r="B63" s="18" t="s">
        <v>530</v>
      </c>
      <c r="C63" s="18" t="s">
        <v>617</v>
      </c>
      <c r="D63" s="19" t="s">
        <v>615</v>
      </c>
    </row>
    <row r="64" customFormat="false" ht="48" hidden="false" customHeight="true" outlineLevel="0" collapsed="false">
      <c r="A64" s="17" t="s">
        <v>618</v>
      </c>
      <c r="B64" s="18" t="s">
        <v>619</v>
      </c>
      <c r="C64" s="18" t="s">
        <v>620</v>
      </c>
      <c r="D64" s="19" t="s">
        <v>621</v>
      </c>
    </row>
    <row r="65" customFormat="false" ht="48" hidden="false" customHeight="true" outlineLevel="0" collapsed="false">
      <c r="A65" s="17" t="s">
        <v>622</v>
      </c>
      <c r="B65" s="18" t="s">
        <v>465</v>
      </c>
      <c r="C65" s="18" t="s">
        <v>623</v>
      </c>
      <c r="D65" s="19" t="s">
        <v>624</v>
      </c>
    </row>
    <row r="66" customFormat="false" ht="48" hidden="false" customHeight="true" outlineLevel="0" collapsed="false">
      <c r="A66" s="17" t="s">
        <v>625</v>
      </c>
      <c r="B66" s="18" t="s">
        <v>465</v>
      </c>
      <c r="C66" s="18" t="s">
        <v>626</v>
      </c>
      <c r="D66" s="19" t="s">
        <v>627</v>
      </c>
    </row>
    <row r="67" customFormat="false" ht="48" hidden="false" customHeight="true" outlineLevel="0" collapsed="false">
      <c r="A67" s="17" t="s">
        <v>628</v>
      </c>
      <c r="B67" s="18" t="s">
        <v>629</v>
      </c>
      <c r="C67" s="18" t="s">
        <v>630</v>
      </c>
      <c r="D67" s="19" t="s">
        <v>631</v>
      </c>
    </row>
    <row r="68" customFormat="false" ht="48" hidden="false" customHeight="true" outlineLevel="0" collapsed="false">
      <c r="A68" s="17" t="s">
        <v>632</v>
      </c>
      <c r="B68" s="18" t="s">
        <v>465</v>
      </c>
      <c r="C68" s="18" t="s">
        <v>633</v>
      </c>
      <c r="D68" s="19" t="s">
        <v>634</v>
      </c>
    </row>
    <row r="69" customFormat="false" ht="48" hidden="false" customHeight="true" outlineLevel="0" collapsed="false">
      <c r="A69" s="17" t="s">
        <v>635</v>
      </c>
      <c r="B69" s="18" t="s">
        <v>465</v>
      </c>
      <c r="C69" s="18" t="s">
        <v>636</v>
      </c>
      <c r="D69" s="19" t="s">
        <v>637</v>
      </c>
    </row>
    <row r="70" customFormat="false" ht="48" hidden="false" customHeight="true" outlineLevel="0" collapsed="false">
      <c r="A70" s="17" t="s">
        <v>638</v>
      </c>
      <c r="B70" s="18" t="s">
        <v>530</v>
      </c>
      <c r="C70" s="18" t="s">
        <v>639</v>
      </c>
      <c r="D70" s="19" t="s">
        <v>640</v>
      </c>
    </row>
    <row r="71" customFormat="false" ht="33.75" hidden="false" customHeight="true" outlineLevel="0" collapsed="false">
      <c r="A71" s="17" t="s">
        <v>641</v>
      </c>
      <c r="B71" s="18" t="s">
        <v>530</v>
      </c>
      <c r="C71" s="18" t="s">
        <v>642</v>
      </c>
      <c r="D71" s="19" t="s">
        <v>631</v>
      </c>
    </row>
    <row r="72" customFormat="false" ht="33.75" hidden="false" customHeight="true" outlineLevel="0" collapsed="false">
      <c r="A72" s="17" t="s">
        <v>643</v>
      </c>
      <c r="B72" s="18" t="s">
        <v>644</v>
      </c>
      <c r="C72" s="18" t="s">
        <v>645</v>
      </c>
      <c r="D72" s="19" t="s">
        <v>634</v>
      </c>
    </row>
    <row r="73" customFormat="false" ht="48" hidden="false" customHeight="true" outlineLevel="0" collapsed="false">
      <c r="A73" s="17" t="s">
        <v>646</v>
      </c>
      <c r="B73" s="18" t="s">
        <v>530</v>
      </c>
      <c r="C73" s="18" t="s">
        <v>647</v>
      </c>
      <c r="D73" s="19" t="s">
        <v>640</v>
      </c>
    </row>
    <row r="74" customFormat="false" ht="48" hidden="false" customHeight="true" outlineLevel="0" collapsed="false">
      <c r="A74" s="17" t="s">
        <v>648</v>
      </c>
      <c r="B74" s="18" t="s">
        <v>649</v>
      </c>
      <c r="C74" s="18" t="s">
        <v>650</v>
      </c>
      <c r="D74" s="19" t="s">
        <v>651</v>
      </c>
    </row>
    <row r="75" customFormat="false" ht="48" hidden="false" customHeight="true" outlineLevel="0" collapsed="false">
      <c r="A75" s="17" t="s">
        <v>652</v>
      </c>
      <c r="B75" s="18" t="s">
        <v>530</v>
      </c>
      <c r="C75" s="18" t="s">
        <v>653</v>
      </c>
      <c r="D75" s="19" t="s">
        <v>654</v>
      </c>
    </row>
    <row r="76" customFormat="false" ht="48" hidden="false" customHeight="true" outlineLevel="0" collapsed="false">
      <c r="A76" s="17" t="s">
        <v>655</v>
      </c>
      <c r="B76" s="18" t="s">
        <v>530</v>
      </c>
      <c r="C76" s="18" t="s">
        <v>656</v>
      </c>
      <c r="D76" s="19" t="s">
        <v>654</v>
      </c>
    </row>
    <row r="77" customFormat="false" ht="48" hidden="false" customHeight="true" outlineLevel="0" collapsed="false">
      <c r="A77" s="17" t="s">
        <v>657</v>
      </c>
      <c r="B77" s="18" t="s">
        <v>530</v>
      </c>
      <c r="C77" s="18" t="s">
        <v>658</v>
      </c>
      <c r="D77" s="19" t="s">
        <v>659</v>
      </c>
    </row>
    <row r="78" customFormat="false" ht="48" hidden="false" customHeight="true" outlineLevel="0" collapsed="false">
      <c r="A78" s="17" t="s">
        <v>471</v>
      </c>
      <c r="B78" s="18" t="s">
        <v>660</v>
      </c>
      <c r="C78" s="18" t="s">
        <v>661</v>
      </c>
      <c r="D78" s="19" t="s">
        <v>662</v>
      </c>
    </row>
    <row r="79" customFormat="false" ht="33.75" hidden="false" customHeight="true" outlineLevel="0" collapsed="false">
      <c r="A79" s="17" t="s">
        <v>663</v>
      </c>
      <c r="B79" s="18" t="s">
        <v>660</v>
      </c>
      <c r="C79" s="18" t="s">
        <v>664</v>
      </c>
      <c r="D79" s="19" t="s">
        <v>665</v>
      </c>
    </row>
    <row r="80" customFormat="false" ht="33.75" hidden="false" customHeight="true" outlineLevel="0" collapsed="false">
      <c r="A80" s="17" t="s">
        <v>666</v>
      </c>
      <c r="B80" s="18" t="s">
        <v>468</v>
      </c>
      <c r="C80" s="18" t="s">
        <v>667</v>
      </c>
      <c r="D80" s="19" t="s">
        <v>668</v>
      </c>
    </row>
    <row r="81" customFormat="false" ht="48" hidden="false" customHeight="true" outlineLevel="0" collapsed="false">
      <c r="A81" s="17" t="s">
        <v>669</v>
      </c>
      <c r="B81" s="18" t="s">
        <v>660</v>
      </c>
      <c r="C81" s="18" t="s">
        <v>670</v>
      </c>
      <c r="D81" s="19" t="s">
        <v>671</v>
      </c>
    </row>
    <row r="82" customFormat="false" ht="48" hidden="false" customHeight="true" outlineLevel="0" collapsed="false">
      <c r="A82" s="17" t="s">
        <v>672</v>
      </c>
      <c r="B82" s="18" t="s">
        <v>673</v>
      </c>
      <c r="C82" s="18" t="s">
        <v>674</v>
      </c>
      <c r="D82" s="19" t="s">
        <v>675</v>
      </c>
    </row>
    <row r="83" customFormat="false" ht="48" hidden="false" customHeight="true" outlineLevel="0" collapsed="false">
      <c r="A83" s="17" t="s">
        <v>676</v>
      </c>
      <c r="B83" s="18" t="s">
        <v>304</v>
      </c>
      <c r="C83" s="18" t="s">
        <v>677</v>
      </c>
      <c r="D83" s="19" t="s">
        <v>675</v>
      </c>
    </row>
    <row r="84" customFormat="false" ht="48" hidden="false" customHeight="true" outlineLevel="0" collapsed="false">
      <c r="A84" s="17" t="s">
        <v>678</v>
      </c>
      <c r="B84" s="18" t="s">
        <v>468</v>
      </c>
      <c r="C84" s="18" t="s">
        <v>679</v>
      </c>
      <c r="D84" s="19" t="s">
        <v>665</v>
      </c>
    </row>
    <row r="85" customFormat="false" ht="75.75" hidden="false" customHeight="true" outlineLevel="0" collapsed="false">
      <c r="A85" s="17" t="s">
        <v>680</v>
      </c>
      <c r="B85" s="18" t="s">
        <v>681</v>
      </c>
      <c r="C85" s="18" t="s">
        <v>682</v>
      </c>
      <c r="D85" s="19" t="s">
        <v>683</v>
      </c>
    </row>
    <row r="86" customFormat="false" ht="33.75" hidden="false" customHeight="true" outlineLevel="0" collapsed="false">
      <c r="A86" s="17" t="s">
        <v>684</v>
      </c>
      <c r="B86" s="18" t="s">
        <v>685</v>
      </c>
      <c r="C86" s="18" t="s">
        <v>686</v>
      </c>
      <c r="D86" s="19" t="s">
        <v>687</v>
      </c>
    </row>
    <row r="87" customFormat="false" ht="33.75" hidden="false" customHeight="true" outlineLevel="0" collapsed="false">
      <c r="A87" s="17" t="s">
        <v>688</v>
      </c>
      <c r="B87" s="18" t="s">
        <v>468</v>
      </c>
      <c r="C87" s="18" t="s">
        <v>689</v>
      </c>
      <c r="D87" s="19" t="s">
        <v>690</v>
      </c>
    </row>
    <row r="88" customFormat="false" ht="48" hidden="false" customHeight="true" outlineLevel="0" collapsed="false">
      <c r="A88" s="17" t="s">
        <v>691</v>
      </c>
      <c r="B88" s="18" t="s">
        <v>692</v>
      </c>
      <c r="C88" s="18" t="s">
        <v>693</v>
      </c>
      <c r="D88" s="19" t="s">
        <v>694</v>
      </c>
    </row>
    <row r="89" customFormat="false" ht="48" hidden="false" customHeight="true" outlineLevel="0" collapsed="false">
      <c r="A89" s="17" t="s">
        <v>695</v>
      </c>
      <c r="B89" s="18" t="s">
        <v>692</v>
      </c>
      <c r="C89" s="18" t="s">
        <v>696</v>
      </c>
      <c r="D89" s="19" t="s">
        <v>697</v>
      </c>
    </row>
    <row r="90" customFormat="false" ht="48" hidden="false" customHeight="true" outlineLevel="0" collapsed="false">
      <c r="A90" s="17" t="s">
        <v>698</v>
      </c>
      <c r="B90" s="18" t="s">
        <v>468</v>
      </c>
      <c r="C90" s="18" t="s">
        <v>699</v>
      </c>
      <c r="D90" s="19" t="s">
        <v>700</v>
      </c>
    </row>
    <row r="91" customFormat="false" ht="48" hidden="false" customHeight="true" outlineLevel="0" collapsed="false">
      <c r="A91" s="17" t="s">
        <v>701</v>
      </c>
      <c r="B91" s="18" t="s">
        <v>566</v>
      </c>
      <c r="C91" s="18" t="s">
        <v>702</v>
      </c>
      <c r="D91" s="19" t="s">
        <v>703</v>
      </c>
    </row>
    <row r="92" customFormat="false" ht="48" hidden="false" customHeight="true" outlineLevel="0" collapsed="false">
      <c r="A92" s="17" t="s">
        <v>704</v>
      </c>
      <c r="B92" s="18" t="s">
        <v>705</v>
      </c>
      <c r="C92" s="18" t="s">
        <v>706</v>
      </c>
      <c r="D92" s="19" t="s">
        <v>707</v>
      </c>
    </row>
    <row r="93" customFormat="false" ht="48" hidden="false" customHeight="true" outlineLevel="0" collapsed="false">
      <c r="A93" s="17" t="s">
        <v>708</v>
      </c>
      <c r="B93" s="18" t="s">
        <v>709</v>
      </c>
      <c r="C93" s="18" t="s">
        <v>710</v>
      </c>
      <c r="D93" s="19" t="s">
        <v>711</v>
      </c>
    </row>
    <row r="94" customFormat="false" ht="33.75" hidden="false" customHeight="true" outlineLevel="0" collapsed="false">
      <c r="A94" s="17" t="s">
        <v>712</v>
      </c>
      <c r="B94" s="18" t="s">
        <v>566</v>
      </c>
      <c r="C94" s="18" t="s">
        <v>713</v>
      </c>
      <c r="D94" s="19" t="s">
        <v>714</v>
      </c>
    </row>
    <row r="95" customFormat="false" ht="48" hidden="false" customHeight="true" outlineLevel="0" collapsed="false">
      <c r="A95" s="17" t="s">
        <v>715</v>
      </c>
      <c r="B95" s="18" t="s">
        <v>566</v>
      </c>
      <c r="C95" s="18" t="s">
        <v>716</v>
      </c>
      <c r="D95" s="19" t="s">
        <v>717</v>
      </c>
    </row>
    <row r="96" customFormat="false" ht="48" hidden="false" customHeight="true" outlineLevel="0" collapsed="false">
      <c r="A96" s="17" t="s">
        <v>718</v>
      </c>
      <c r="B96" s="18" t="s">
        <v>719</v>
      </c>
      <c r="C96" s="18" t="s">
        <v>720</v>
      </c>
      <c r="D96" s="19" t="s">
        <v>721</v>
      </c>
    </row>
    <row r="97" customFormat="false" ht="48" hidden="false" customHeight="true" outlineLevel="0" collapsed="false">
      <c r="A97" s="17" t="s">
        <v>722</v>
      </c>
      <c r="B97" s="18" t="s">
        <v>723</v>
      </c>
      <c r="C97" s="18" t="s">
        <v>724</v>
      </c>
      <c r="D97" s="19" t="s">
        <v>493</v>
      </c>
    </row>
    <row r="98" customFormat="false" ht="48" hidden="false" customHeight="true" outlineLevel="0" collapsed="false">
      <c r="A98" s="17" t="s">
        <v>725</v>
      </c>
      <c r="B98" s="18" t="s">
        <v>726</v>
      </c>
      <c r="C98" s="18" t="s">
        <v>727</v>
      </c>
      <c r="D98" s="19" t="s">
        <v>728</v>
      </c>
    </row>
    <row r="99" customFormat="false" ht="33.75" hidden="false" customHeight="true" outlineLevel="0" collapsed="false">
      <c r="A99" s="17" t="s">
        <v>729</v>
      </c>
      <c r="B99" s="18" t="s">
        <v>730</v>
      </c>
      <c r="C99" s="18" t="s">
        <v>731</v>
      </c>
      <c r="D99" s="19" t="s">
        <v>732</v>
      </c>
    </row>
    <row r="100" customFormat="false" ht="33.75" hidden="false" customHeight="true" outlineLevel="0" collapsed="false">
      <c r="A100" s="17" t="s">
        <v>733</v>
      </c>
      <c r="B100" s="18" t="s">
        <v>734</v>
      </c>
      <c r="C100" s="18" t="s">
        <v>735</v>
      </c>
      <c r="D100" s="19" t="s">
        <v>597</v>
      </c>
    </row>
    <row r="101" customFormat="false" ht="48" hidden="false" customHeight="true" outlineLevel="0" collapsed="false">
      <c r="A101" s="17" t="s">
        <v>736</v>
      </c>
      <c r="B101" s="18" t="s">
        <v>737</v>
      </c>
      <c r="C101" s="18" t="s">
        <v>738</v>
      </c>
      <c r="D101" s="19" t="s">
        <v>739</v>
      </c>
    </row>
    <row r="103" customFormat="false" ht="15" hidden="false" customHeight="false" outlineLevel="0" collapsed="false">
      <c r="A103" s="6" t="s">
        <v>740</v>
      </c>
    </row>
    <row r="104" customFormat="false" ht="31.5" hidden="false" customHeight="true" outlineLevel="0" collapsed="false">
      <c r="A104" s="13" t="s">
        <v>741</v>
      </c>
      <c r="C104" s="5" t="s">
        <v>742</v>
      </c>
    </row>
    <row r="105" customFormat="false" ht="45.75" hidden="false" customHeight="true" outlineLevel="0" collapsed="false">
      <c r="A105" s="13" t="s">
        <v>741</v>
      </c>
      <c r="C105" s="5" t="s">
        <v>743</v>
      </c>
    </row>
    <row r="106" customFormat="false" ht="45.75" hidden="false" customHeight="true" outlineLevel="0" collapsed="false">
      <c r="A106" s="13" t="s">
        <v>741</v>
      </c>
      <c r="C106" s="5" t="s">
        <v>744</v>
      </c>
    </row>
    <row r="107" customFormat="false" ht="31.5" hidden="false" customHeight="true" outlineLevel="0" collapsed="false">
      <c r="A107" s="13" t="s">
        <v>741</v>
      </c>
      <c r="C107" s="5" t="s">
        <v>745</v>
      </c>
    </row>
    <row r="108" customFormat="false" ht="31.5" hidden="false" customHeight="true" outlineLevel="0" collapsed="false">
      <c r="A108" s="13" t="s">
        <v>741</v>
      </c>
      <c r="C108" s="5" t="s">
        <v>746</v>
      </c>
    </row>
    <row r="109" customFormat="false" ht="31.5" hidden="false" customHeight="true" outlineLevel="0" collapsed="false">
      <c r="A109" s="13" t="s">
        <v>741</v>
      </c>
      <c r="C109" s="5" t="s">
        <v>747</v>
      </c>
    </row>
    <row r="110" customFormat="false" ht="18" hidden="false" customHeight="true" outlineLevel="0" collapsed="false">
      <c r="A110" s="13" t="s">
        <v>741</v>
      </c>
      <c r="C110" s="5" t="s">
        <v>748</v>
      </c>
    </row>
    <row r="111" customFormat="false" ht="31.5" hidden="false" customHeight="true" outlineLevel="0" collapsed="false">
      <c r="A111" s="13" t="s">
        <v>741</v>
      </c>
      <c r="C111" s="5" t="s">
        <v>749</v>
      </c>
    </row>
    <row r="112" customFormat="false" ht="31.5" hidden="false" customHeight="true" outlineLevel="0" collapsed="false">
      <c r="A112" s="13" t="s">
        <v>741</v>
      </c>
      <c r="C112" s="5" t="s">
        <v>750</v>
      </c>
    </row>
    <row r="114" customFormat="false" ht="15" hidden="false" customHeight="false" outlineLevel="0" collapsed="false">
      <c r="A114" s="6" t="s">
        <v>751</v>
      </c>
    </row>
    <row r="115" customFormat="false" ht="31.5" hidden="false" customHeight="true" outlineLevel="0" collapsed="false">
      <c r="A115" s="13" t="s">
        <v>752</v>
      </c>
      <c r="C115" s="5" t="s">
        <v>753</v>
      </c>
    </row>
    <row r="116" customFormat="false" ht="31.5" hidden="false" customHeight="true" outlineLevel="0" collapsed="false">
      <c r="A116" s="13" t="s">
        <v>752</v>
      </c>
      <c r="C116" s="5" t="s">
        <v>754</v>
      </c>
    </row>
    <row r="117" customFormat="false" ht="45.75" hidden="false" customHeight="true" outlineLevel="0" collapsed="false">
      <c r="A117" s="13" t="s">
        <v>752</v>
      </c>
      <c r="C117" s="5" t="s">
        <v>755</v>
      </c>
    </row>
    <row r="118" customFormat="false" ht="18" hidden="false" customHeight="true" outlineLevel="0" collapsed="false">
      <c r="A118" s="13" t="s">
        <v>752</v>
      </c>
      <c r="C118" s="5" t="s">
        <v>756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7" t="s">
        <v>43</v>
      </c>
      <c r="B1" s="7" t="s">
        <v>111</v>
      </c>
      <c r="D1" s="7" t="s">
        <v>208</v>
      </c>
    </row>
    <row r="2" customFormat="false" ht="15" hidden="false" customHeight="false" outlineLevel="0" collapsed="false">
      <c r="A2" s="0" t="s">
        <v>212</v>
      </c>
      <c r="B2" s="0" t="n">
        <v>4</v>
      </c>
      <c r="D2" s="0" t="s">
        <v>21</v>
      </c>
    </row>
    <row r="3" customFormat="false" ht="15" hidden="false" customHeight="false" outlineLevel="0" collapsed="false">
      <c r="A3" s="0" t="s">
        <v>226</v>
      </c>
      <c r="B3" s="0" t="n">
        <v>6</v>
      </c>
      <c r="D3" s="0" t="s">
        <v>23</v>
      </c>
    </row>
    <row r="4" customFormat="false" ht="15" hidden="false" customHeight="false" outlineLevel="0" collapsed="false">
      <c r="A4" s="0" t="s">
        <v>51</v>
      </c>
      <c r="B4" s="0" t="n">
        <v>4</v>
      </c>
      <c r="D4" s="0" t="s">
        <v>25</v>
      </c>
    </row>
    <row r="5" customFormat="false" ht="15" hidden="false" customHeight="false" outlineLevel="0" collapsed="false">
      <c r="A5" s="0" t="s">
        <v>282</v>
      </c>
      <c r="B5" s="0" t="n">
        <v>6</v>
      </c>
      <c r="D5" s="0" t="s">
        <v>27</v>
      </c>
    </row>
    <row r="6" customFormat="false" ht="15" hidden="false" customHeight="false" outlineLevel="0" collapsed="false">
      <c r="A6" s="0" t="s">
        <v>64</v>
      </c>
      <c r="B6" s="0" t="n">
        <v>11</v>
      </c>
      <c r="D6" s="0" t="s">
        <v>29</v>
      </c>
    </row>
    <row r="7" customFormat="false" ht="15" hidden="false" customHeight="false" outlineLevel="0" collapsed="false">
      <c r="A7" s="0" t="s">
        <v>82</v>
      </c>
      <c r="B7" s="0" t="n">
        <v>12</v>
      </c>
      <c r="D7" s="0" t="s">
        <v>31</v>
      </c>
    </row>
    <row r="8" customFormat="false" ht="15" hidden="false" customHeight="false" outlineLevel="0" collapsed="false">
      <c r="A8" s="0" t="s">
        <v>234</v>
      </c>
      <c r="B8" s="0" t="n">
        <v>15</v>
      </c>
    </row>
    <row r="9" customFormat="false" ht="15" hidden="false" customHeight="false" outlineLevel="0" collapsed="false">
      <c r="A9" s="0" t="s">
        <v>304</v>
      </c>
      <c r="B9" s="0" t="n">
        <v>18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2026-10-21T03:23:44Z</dcterms:created>
  <dc:creator>openpyxl</dc:creator>
  <dc:description/>
  <dc:language>en-US</dc:language>
  <cp:lastModifiedBy/>
  <dcterms:modified xsi:type="dcterms:W3CDTF">2026-10-21T03:23:44Z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