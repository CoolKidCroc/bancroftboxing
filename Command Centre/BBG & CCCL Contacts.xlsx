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Contacts" sheetId="3" state="visible" r:id="rId5"/>
    <sheet name="Log" sheetId="4" state="visible" r:id="rId6"/>
  </sheets>
  <definedNames>
    <definedName function="false" hidden="true" localSheetId="2" name="_xlnm._FilterDatabase" vbProcedure="false">Contacts!$A$4:$O$264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<sst xmlns="http://schemas.openxmlformats.org/spreadsheetml/2006/main" count="1090" uniqueCount="550">
  <si>
    <t xml:space="preserve">BBG &amp; CCCL CONTACTS</t>
  </si>
  <si>
    <t xml:space="preserve">Everyone we work with, in one place: venues, gyms, media, suppliers, officials and partners. It stays the same from show to show.</t>
  </si>
  <si>
    <t xml:space="preserve">1</t>
  </si>
  <si>
    <t xml:space="preserve">What it's for</t>
  </si>
  <si>
    <t xml:space="preserve">The permanent address book. The Fight Night Kit's Recruitment and Press tabs are per-show working lists (you copy the Kit for each show); this sheet keeps the relationship from one show to the next.</t>
  </si>
  <si>
    <t xml:space="preserve">2</t>
  </si>
  <si>
    <t xml:space="preserve">Sponsors live elsewhere</t>
  </si>
  <si>
    <t xml:space="preserve">Sponsors and prospects stay in the CCCL Sponsorship Pipeline (stages, money, follow-ups). Only add a sponsor here if they're also a supplier or partner.</t>
  </si>
  <si>
    <t xml:space="preserve">3</t>
  </si>
  <si>
    <t xml:space="preserve">Log every contact</t>
  </si>
  <si>
    <t xml:space="preserve">On the Log tab, add one row each time someone calls, emails or meets a contact. 'Last contact' on the Contacts tab fills in by itself.</t>
  </si>
  <si>
    <t xml:space="preserve">4</t>
  </si>
  <si>
    <t xml:space="preserve">Next step and date</t>
  </si>
  <si>
    <t xml:space="preserve">Put the next step and its date on the Contacts tab. 'Due?' turns red when it's overdue, and Claude's morning report lists what's due.</t>
  </si>
  <si>
    <t xml:space="preserve">5</t>
  </si>
  <si>
    <t xml:space="preserve">Starting data</t>
  </si>
  <si>
    <t xml:space="preserve">110 contacts from Kyle's research (Oct 2026): venues, gyms, media and the Athletics Commission. Public business contact details only. Check a number before relying on it.</t>
  </si>
  <si>
    <t xml:space="preserve">6</t>
  </si>
  <si>
    <t xml:space="preserve">Privacy</t>
  </si>
  <si>
    <t xml:space="preserve">Public business contacts only: no personal cell numbers, home addresses or anything about health. Members, kids and Second Chance participants never go in this sheet.</t>
  </si>
  <si>
    <t xml:space="preserve">Relationship</t>
  </si>
  <si>
    <t xml:space="preserve">Not contacted</t>
  </si>
  <si>
    <t xml:space="preserve">From research; nobody has reached out yet</t>
  </si>
  <si>
    <t xml:space="preserve">Cold</t>
  </si>
  <si>
    <t xml:space="preserve">Contacted, no real conversation yet</t>
  </si>
  <si>
    <t xml:space="preserve">Warm</t>
  </si>
  <si>
    <t xml:space="preserve">Talking, or worked together once</t>
  </si>
  <si>
    <t xml:space="preserve">Strong</t>
  </si>
  <si>
    <t xml:space="preserve">Worked together more than once; picks up when Cody calls</t>
  </si>
  <si>
    <t xml:space="preserve">Partner</t>
  </si>
  <si>
    <t xml:space="preserve">Formal or ongoing arrangement (e.g. a venue or gym we always use)</t>
  </si>
  <si>
    <t xml:space="preserve">Not a fit</t>
  </si>
  <si>
    <t xml:space="preserve">Keep for reference; don't chase</t>
  </si>
  <si>
    <t xml:space="preserve">Colours</t>
  </si>
  <si>
    <t xml:space="preserve">Yellow, blue text</t>
  </si>
  <si>
    <t xml:space="preserve">You type here</t>
  </si>
  <si>
    <t xml:space="preserve">Black, bold</t>
  </si>
  <si>
    <t xml:space="preserve">Calculated: don't type over it</t>
  </si>
  <si>
    <t xml:space="preserve">SUMMARY</t>
  </si>
  <si>
    <t xml:space="preserve">Who we know and how well, and what's due. Updates by itself.</t>
  </si>
  <si>
    <t xml:space="preserve">Type</t>
  </si>
  <si>
    <t xml:space="preserve">Total</t>
  </si>
  <si>
    <t xml:space="preserve">Due this week</t>
  </si>
  <si>
    <t xml:space="preserve">Venue</t>
  </si>
  <si>
    <t xml:space="preserve">Gym</t>
  </si>
  <si>
    <t xml:space="preserve">Media</t>
  </si>
  <si>
    <t xml:space="preserve">Supplier</t>
  </si>
  <si>
    <t xml:space="preserve">Official</t>
  </si>
  <si>
    <t xml:space="preserve">Sponsor</t>
  </si>
  <si>
    <t xml:space="preserve">Other</t>
  </si>
  <si>
    <t xml:space="preserve">All</t>
  </si>
  <si>
    <t xml:space="preserve">Follow-ups</t>
  </si>
  <si>
    <t xml:space="preserve">Overdue</t>
  </si>
  <si>
    <t xml:space="preserve">Due today</t>
  </si>
  <si>
    <t xml:space="preserve">Due in the next 7 days</t>
  </si>
  <si>
    <t xml:space="preserve">Gone quiet</t>
  </si>
  <si>
    <t xml:space="preserve">Strong or Partner contacts with no logged contact in 90+ days: worth a quick call.</t>
  </si>
  <si>
    <t xml:space="preserve">Contacts logged</t>
  </si>
  <si>
    <t xml:space="preserve">CONTACTS</t>
  </si>
  <si>
    <t xml:space="preserve">One row per organization. Type the next step and date; 'Last contact' comes from the Log tab. Filter by Type or Due?.</t>
  </si>
  <si>
    <t xml:space="preserve">Organization</t>
  </si>
  <si>
    <t xml:space="preserve">Town / area</t>
  </si>
  <si>
    <t xml:space="preserve">Contact (public business details)</t>
  </si>
  <si>
    <t xml:space="preserve">Website</t>
  </si>
  <si>
    <t xml:space="preserve">For</t>
  </si>
  <si>
    <t xml:space="preserve">Last contact</t>
  </si>
  <si>
    <t xml:space="preserve">Next step</t>
  </si>
  <si>
    <t xml:space="preserve">Next date</t>
  </si>
  <si>
    <t xml:space="preserve">Owner</t>
  </si>
  <si>
    <t xml:space="preserve">Due?</t>
  </si>
  <si>
    <t xml:space="preserve">Notes</t>
  </si>
  <si>
    <t xml:space="preserve">Source</t>
  </si>
  <si>
    <t xml:space="preserve">Days since</t>
  </si>
  <si>
    <t xml:space="preserve">New Tecumseth Recreation Centre (main arena)</t>
  </si>
  <si>
    <t xml:space="preserve">Alliston (New Tecumseth)</t>
  </si>
  <si>
    <t xml:space="preserve">Town of New Tecumseth</t>
  </si>
  <si>
    <t xml:space="preserve">CCCL</t>
  </si>
  <si>
    <t xml:space="preserve">Cody</t>
  </si>
  <si>
    <t xml:space="preserve">Capacity: Main arena seats 750 (2021) Rate: Not published</t>
  </si>
  <si>
    <t xml:space="preserve">https://newtectimes.com/new-tecumseth-recreation-centre-getting-a-new-roof/</t>
  </si>
  <si>
    <t xml:space="preserve">Nottawasaga Inn Resort - Trade Centre</t>
  </si>
  <si>
    <t xml:space="preserve">Nottawasaga Resort sales</t>
  </si>
  <si>
    <t xml:space="preserve">Capacity: Trade Centre 20,358 sq ft: 1,000 theatre / 1,000 banquet Rate: Not published</t>
  </si>
  <si>
    <t xml:space="preserve">https://www.successfulmeetings.com/Meeting-Event-Venues/Alliston-ON/Convention-Hotel/Nottawasaga-Inn-Resort-Conference-Ctr-p5578841</t>
  </si>
  <si>
    <t xml:space="preserve">North Kawartha Community Centre (NKCC)</t>
  </si>
  <si>
    <t xml:space="preserve">Apsley</t>
  </si>
  <si>
    <t xml:space="preserve">705-656-4445; Shawn Tucker, Parks &amp; Rec Supervisor, s.tucker@northkawartha.ca</t>
  </si>
  <si>
    <t xml:space="preserve">Capacity: Arena floor not published; banquet hall up to 325 Rate: 2026, plus HST: arena special-event flat rate $600.00/day; hall $300/day + $50 kitchen/bar</t>
  </si>
  <si>
    <t xml:space="preserve">https://northkawartha.ca/living-here/facility-rentals</t>
  </si>
  <si>
    <t xml:space="preserve">North Hastings Community Centre (NHCC) arena</t>
  </si>
  <si>
    <t xml:space="preserve">Bancroft</t>
  </si>
  <si>
    <t xml:space="preserve">613-332-2062; communitycentre@bancroft.ca (2023)</t>
  </si>
  <si>
    <t xml:space="preserve">Capacity: Not published Rate: Not published. The Town has said it wants year-round rentals; the arena ran a $207,350 deficit in 2023.</t>
  </si>
  <si>
    <t xml:space="preserve">https://bancroft.hosted.civiclive.com/living/recreation___leisure/north_hastings_community_centre</t>
  </si>
  <si>
    <t xml:space="preserve">Paul J. Yakabuski Community Centre (PJYCC)</t>
  </si>
  <si>
    <t xml:space="preserve">Barry's Bay</t>
  </si>
  <si>
    <t xml:space="preserve">Hannah Gutoskie, 613-756-2747 ext. 220, recreation@madawaskavalley.ca</t>
  </si>
  <si>
    <t xml:space="preserve">Capacity: Ice surface 800; upstairs Community Hall 285 Rate: 2026 Schedule of Fees: "PJYCC Renter Run Bar: downstairs ice surface" $1224; Municipal Run Bar downstairs $81…</t>
  </si>
  <si>
    <t xml:space="preserve">https://www.madawaskavalley.ca/recreation-tourism/facilities-rentals/paul-j-yakabuski-community-centre/</t>
  </si>
  <si>
    <t xml:space="preserve">Belleville Armouries</t>
  </si>
  <si>
    <t xml:space="preserve">Belleville</t>
  </si>
  <si>
    <t xml:space="preserve">Not found</t>
  </si>
  <si>
    <t xml:space="preserve">Capacity: Not published Rate: Not published</t>
  </si>
  <si>
    <t xml:space="preserve">https://anishinabeknews.ca/2025/01/historic-mixed-martial-arts-event-will-be-staged-in-belleville/</t>
  </si>
  <si>
    <t xml:space="preserve">Quinte Sports &amp; Wellness Centre - main bowl (City lists 'CIBC Place'; Wikipedia: CAA Arena)</t>
  </si>
  <si>
    <t xml:space="preserve">rentals@belleville.ca, 613-966-4632</t>
  </si>
  <si>
    <t xml:space="preserve">Capacity: Over 4,400 (City) / 4,365 hockey (Wikipedia); other pads 300, 200, 400 seats Rate: City page (excl. HST, year not stated): adult ball hockey/floor $119.75/hr, minor $81.75/hr; "Benefit Exhibit…</t>
  </si>
  <si>
    <t xml:space="preserve">https://www.belleville.ca/learn-and-play/facilities-and-rentals/arenas/</t>
  </si>
  <si>
    <t xml:space="preserve">Bobcaygeon/Verulam Community Centre</t>
  </si>
  <si>
    <t xml:space="preserve">Bobcaygeon</t>
  </si>
  <si>
    <t xml:space="preserve">705-738-3331</t>
  </si>
  <si>
    <t xml:space="preserve">Capacity: Hall 200 Rate: Not published</t>
  </si>
  <si>
    <t xml:space="preserve">https://www.kawarthalakes.ca/explore-play/facility-and-park-rentals/community-hall-rentals/</t>
  </si>
  <si>
    <t xml:space="preserve">Bracebridge Sportsplex</t>
  </si>
  <si>
    <t xml:space="preserve">Bracebridge</t>
  </si>
  <si>
    <t xml:space="preserve">Town of Bracebridge 705-645-5264</t>
  </si>
  <si>
    <t xml:space="preserve">https://www.bracebridge.ca/be-active/recreation-facilities-and-rentals/</t>
  </si>
  <si>
    <t xml:space="preserve">Muskoka Lumber Arena (Muskoka Lumber Community Centre)</t>
  </si>
  <si>
    <t xml:space="preserve">Josh Taylor, Bookings, 705-645-3037 ext. 3763, jtaylor@bracebridge.ca</t>
  </si>
  <si>
    <t xml:space="preserve">Sunny Life Recreation &amp; Wellness Centre</t>
  </si>
  <si>
    <t xml:space="preserve">Campbellford</t>
  </si>
  <si>
    <t xml:space="preserve">bookings@trenthills.ca; 705-653-1900</t>
  </si>
  <si>
    <t xml:space="preserve">https://trenthills.ca/parks-recreation-community/sunny-life-recreation-wellness-centre</t>
  </si>
  <si>
    <t xml:space="preserve">Coboconk Community Centre (hall)</t>
  </si>
  <si>
    <t xml:space="preserve">Coboconk</t>
  </si>
  <si>
    <t xml:space="preserve">City Facility Booking 705-324-9411 ext. 1226</t>
  </si>
  <si>
    <t xml:space="preserve">Capacity: 175 Rate: Not published</t>
  </si>
  <si>
    <t xml:space="preserve">Coe Hill Fair Grounds (outdoor)</t>
  </si>
  <si>
    <t xml:space="preserve">Coe Hill / Wollaston</t>
  </si>
  <si>
    <t xml:space="preserve">Coe Hill Agricultural Society (Facebook)</t>
  </si>
  <si>
    <t xml:space="preserve">Capacity: Not published Rate: Not found</t>
  </si>
  <si>
    <t xml:space="preserve">https://hastings.ca/adventures/events/coe-hill-agricultural-society-fair-coe-hill-fair-grounds</t>
  </si>
  <si>
    <t xml:space="preserve">Fenelon Falls Community Centre (Roger Bellwood Arena &amp; Gord Innes Community Centre)</t>
  </si>
  <si>
    <t xml:space="preserve">Fenelon Falls</t>
  </si>
  <si>
    <t xml:space="preserve">705-887-3727; City Facility Booking 705-324-9411 ext. 1226</t>
  </si>
  <si>
    <t xml:space="preserve">Capacity: 280 arena seats Rate: Not published</t>
  </si>
  <si>
    <t xml:space="preserve">https://explorefenelonfalls.com/news-archive/roger-bellwood-arena-and-gord-innes-community-centre-opened-2012</t>
  </si>
  <si>
    <t xml:space="preserve">Gravenhurst Centennial Centre (Graeme Murray Arena)</t>
  </si>
  <si>
    <t xml:space="preserve">Gravenhurst</t>
  </si>
  <si>
    <t xml:space="preserve">Town of Gravenhurst</t>
  </si>
  <si>
    <t xml:space="preserve">Capacity: Not published Rate: 2025 fee sheet (effective Jan 1, 2025; columns poorly aligned in PDF text): arena floor trade shows/concerts…</t>
  </si>
  <si>
    <t xml:space="preserve">https://gravenhurst.ca/media/msmpvc4a/centennial-centre-arena-fees-2025.pdf</t>
  </si>
  <si>
    <t xml:space="preserve">A.J. LaRue Arena &amp; Community Centre</t>
  </si>
  <si>
    <t xml:space="preserve">Haliburton</t>
  </si>
  <si>
    <t xml:space="preserve">705-457-1740 ext. 635 (Municipality of Dysart et al)</t>
  </si>
  <si>
    <t xml:space="preserve">Hosted CCCL 1 (May 2026). Capacity: Not published. Show 1 (May 2, 2026) was planned for 800-1,000 (Highlander). Cody's actual figures: about 400… Rate: By-Law 2023-39: ice surface $1,030.00/day for profit events ($463.50 non-profit); auditorium $42.45/hr (max $…</t>
  </si>
  <si>
    <t xml:space="preserve">https://www.dysartetal.ca/en/explore-and-play/resources/Arena/2023-39%20Parks%20and%20Recreation%20Fees%20and%20Charges.pdf</t>
  </si>
  <si>
    <t xml:space="preserve">Havelock Community Centre (arena)</t>
  </si>
  <si>
    <t xml:space="preserve">Havelock</t>
  </si>
  <si>
    <t xml:space="preserve">705-778-2891</t>
  </si>
  <si>
    <t xml:space="preserve">Capacity: Not published Rate: Not shown; fees set by By-Law 2024-032 (not retrieved)</t>
  </si>
  <si>
    <t xml:space="preserve">https://www.hbmtwp.ca/play-and-discover/facilities/rent-a-facility</t>
  </si>
  <si>
    <t xml:space="preserve">Canada Summit Centre - Don Lough Arena</t>
  </si>
  <si>
    <t xml:space="preserve">Huntsville</t>
  </si>
  <si>
    <t xml:space="preserve">Greg Pilling, 705-789-6421 x3027, greg.pilling@huntsville.ca</t>
  </si>
  <si>
    <t xml:space="preserve">Capacity: 2,200 max (incl. standing); 1,371 seated Rate: Not published</t>
  </si>
  <si>
    <t xml:space="preserve">https://huntsville.ca/media/czqfwb2f/town-of-huntsville-2025_sales-kit.pdf</t>
  </si>
  <si>
    <t xml:space="preserve">INVISTA Centre</t>
  </si>
  <si>
    <t xml:space="preserve">Kingston</t>
  </si>
  <si>
    <t xml:space="preserve">City of Kingston</t>
  </si>
  <si>
    <t xml:space="preserve">Capacity: 725 seats on the main pad (250 on each of three others) plus 1,000 standing room Rate: Not published</t>
  </si>
  <si>
    <t xml:space="preserve">https://www.visitkingston.ca/media/documents/sports/Sport-Facilities-Guide.pdf</t>
  </si>
  <si>
    <t xml:space="preserve">Kingston Memorial Centre</t>
  </si>
  <si>
    <t xml:space="preserve">City of Kingston recreation</t>
  </si>
  <si>
    <t xml:space="preserve">Capacity: 3,300 seats (Wikipedia); Visit Kingston guide says 2,500, or bleachers for up to 1,000. Figures conflict. Rate: Not published</t>
  </si>
  <si>
    <t xml:space="preserve">Queen's Athletics &amp; Recreation Centre (ARC) main gym</t>
  </si>
  <si>
    <t xml:space="preserve">Queen's Athletics &amp; Recreation</t>
  </si>
  <si>
    <t xml:space="preserve">Capacity: Main gym seats 1,904 (15,488 sq ft floor with seats retracted) Rate: Not published</t>
  </si>
  <si>
    <t xml:space="preserve">Slush Puppie Place (formerly Leon's Centre / K-Rock Centre)</t>
  </si>
  <si>
    <t xml:space="preserve">Managed by ASM Global; venue 613-650-5000; 'Private Venue Bookings' page on slushpuppieplace.com. Tourism Kingston sport team: rob@tourismkingston.com, 613-305…</t>
  </si>
  <si>
    <t xml:space="preserve">Capacity: 6,700 seats, or 5,700 for cold-season events (Visit Kingston guide); 5,000 for hockey (Wikipedia). No MMA con… Rate: Not published</t>
  </si>
  <si>
    <t xml:space="preserve">Lakefield-Smith Community Centre</t>
  </si>
  <si>
    <t xml:space="preserve">Lakefield</t>
  </si>
  <si>
    <t xml:space="preserve">705-292-9507 ext. 243; recreation@selwyntownship.ca</t>
  </si>
  <si>
    <t xml:space="preserve">Capacity: Not published Rate: Selwyn rates page (year not stated): "Arena floor event rate (up to 1am)" $761.23 (covers Ennismore &amp; Lakefie…</t>
  </si>
  <si>
    <t xml:space="preserve">https://www.selwyntownship.ca/en/township-hall/facility-rental-rates.aspx</t>
  </si>
  <si>
    <t xml:space="preserve">Robert E. Young Recreation Complex (Ennismore arena)</t>
  </si>
  <si>
    <t xml:space="preserve">705-292-9507 ext. 243</t>
  </si>
  <si>
    <t xml:space="preserve">Capacity: Not published Rate: Same arena floor event rate $761.23 (up to 1am); auditorium $255.61 (to 11pm) / $483.42 (to 1am)</t>
  </si>
  <si>
    <t xml:space="preserve">https://www.ptbocanada.com/journal/the-war-in-ennismore-amateur-boxing-returns-to-the-kawarthas</t>
  </si>
  <si>
    <t xml:space="preserve">Lindsay Exhibition Grounds</t>
  </si>
  <si>
    <t xml:space="preserve">Lindsay</t>
  </si>
  <si>
    <t xml:space="preserve">Lindsay Agricultural Society</t>
  </si>
  <si>
    <t xml:space="preserve">https://ontariovisited.ca/las-presents-the-lex-2026/</t>
  </si>
  <si>
    <t xml:space="preserve">Lindsay Recreation Complex</t>
  </si>
  <si>
    <t xml:space="preserve">Facility Booking 705-324-9411 ext. 1226, facilitybooking@kawarthalakes.ca; complex 705-324-9112</t>
  </si>
  <si>
    <t xml:space="preserve">Capacity: Not published Rate: Not published (booked through the City's portal)</t>
  </si>
  <si>
    <t xml:space="preserve">https://www.kawarthalakes.ca/explore-play/facility-and-park-rentals/arena-and-ice-rentals/</t>
  </si>
  <si>
    <t xml:space="preserve">Madoc &amp; District Recreation Centre (arena)</t>
  </si>
  <si>
    <t xml:space="preserve">Madoc</t>
  </si>
  <si>
    <t xml:space="preserve">613-473-4206</t>
  </si>
  <si>
    <t xml:space="preserve">https://www.centrehastings.com/media/ntcdeugb/centre-hastings-prc-master-plan-technical-compendium_may2023.pdf</t>
  </si>
  <si>
    <t xml:space="preserve">Dr. Hamilton Crawford Memorial Arena, Lions Hall &amp; Fairgrounds Park (Marmora &amp; District Community Centre)</t>
  </si>
  <si>
    <t xml:space="preserve">Marmora</t>
  </si>
  <si>
    <t xml:space="preserve">Jeff Young, Manager of Parks &amp; Recreation/Facilities, 613-472-2410, arena@marmoraandlake.ca</t>
  </si>
  <si>
    <t xml:space="preserve">Capacity: 1,000 (arena dry floor) Rate: Town page (year not stated): arena dry floor "Event: $600/day" (youth $50/hr, adult program $75/hr); Lions Ha…</t>
  </si>
  <si>
    <t xml:space="preserve">https://marmoraandlake.ca/community-centre</t>
  </si>
  <si>
    <t xml:space="preserve">Hastings Highlands Centre (Emond Hall)</t>
  </si>
  <si>
    <t xml:space="preserve">Maynooth</t>
  </si>
  <si>
    <t xml:space="preserve">613-338-2811</t>
  </si>
  <si>
    <t xml:space="preserve">Capacity: 165 Rate: Not listed</t>
  </si>
  <si>
    <t xml:space="preserve">https://www.hastingshighlands.ca/recreation-culture/facilities-and-rentals/hastings-highlands-centre-emond-hall-program-room/</t>
  </si>
  <si>
    <t xml:space="preserve">S.G. Nesbitt Memorial Arena (Minden Hills Recreation Complex)</t>
  </si>
  <si>
    <t xml:space="preserve">Minden</t>
  </si>
  <si>
    <t xml:space="preserve">705-286-1936 ext. 554; communityservicesbookings@mindenhills.ca</t>
  </si>
  <si>
    <t xml:space="preserve">Capacity: 294 seats (Town) / 390 (Stadium Journey) Rate: Town page (year not stated, 2026 site): "Rink area rental $1,147.50 per day or night"; floor sports $55.50/hr…</t>
  </si>
  <si>
    <t xml:space="preserve">https://www.mindenhills.ca/explore-discover/rent-a-facility/arena-and-ice-rentals/</t>
  </si>
  <si>
    <t xml:space="preserve">Americana Resort (Grande Ballroom)</t>
  </si>
  <si>
    <t xml:space="preserve">Niagara Falls</t>
  </si>
  <si>
    <t xml:space="preserve">Americana Resort sales</t>
  </si>
  <si>
    <t xml:space="preserve">Capacity: Grande Ballroom 750 theatre / 625 banquet, so under 1,000 Rate: Not published</t>
  </si>
  <si>
    <t xml:space="preserve">https://www.meetings-conventions.com/Meeting-Event-Venues/Niagara-Falls-ON/Convention-Hotel/Americana-Resort-Spa-Waterpark-p2357166</t>
  </si>
  <si>
    <t xml:space="preserve">Niagara Falls Convention Centre</t>
  </si>
  <si>
    <t xml:space="preserve">Niagara Falls Convention Centre sales (fallsconventions.com)</t>
  </si>
  <si>
    <t xml:space="preserve">Capacity: Exhibit Hall A 2,142 theatre; Exhibit Hall ABC 6,400 theatre; Peller Estates Ballroom 1,722 theatre. No boxin… Rate: Not published</t>
  </si>
  <si>
    <t xml:space="preserve">https://fallsconventions.com/plan/rooms-spaces</t>
  </si>
  <si>
    <t xml:space="preserve">OLG Stage at Fallsview Casino</t>
  </si>
  <si>
    <t xml:space="preserve">MGE Niagara Entertainment (Mohegan), operator for OLG</t>
  </si>
  <si>
    <t xml:space="preserve">Capacity: 5,000-seat theatre Rate: Not published</t>
  </si>
  <si>
    <t xml:space="preserve">https://www.canadiangamingbusiness.com/2022/09/01/fallsview-olg-partner-up-on-new-casino-theatre/</t>
  </si>
  <si>
    <t xml:space="preserve">Asphodel-Norwood Community Centre</t>
  </si>
  <si>
    <t xml:space="preserve">Norwood</t>
  </si>
  <si>
    <t xml:space="preserve">705-639-2342</t>
  </si>
  <si>
    <t xml:space="preserve">https://www.antownship.ca/township-services/facilities/community-centre</t>
  </si>
  <si>
    <t xml:space="preserve">Bond Street Event Centre (BOND|ST)</t>
  </si>
  <si>
    <t xml:space="preserve">Oshawa</t>
  </si>
  <si>
    <t xml:space="preserve">bondst.ca</t>
  </si>
  <si>
    <t xml:space="preserve">https://doorsopenontario.on.ca/oshawa/bond-st-event-centre</t>
  </si>
  <si>
    <t xml:space="preserve">Children's Arena (City of Oshawa)</t>
  </si>
  <si>
    <t xml:space="preserve">Service Oshawa 905-436-3311, service@oshawa.ca; online Arena Rental Application</t>
  </si>
  <si>
    <t xml:space="preserve">Capacity: Not published Rate: Floor, commercial: $120/hr + HST (effective Apr 1, 2026); no event day rate published</t>
  </si>
  <si>
    <t xml:space="preserve">https://www.oshawa.ca/explore-play/recreation/facilities-and-rentals/arena-rentals/</t>
  </si>
  <si>
    <t xml:space="preserve">General Sikorski Hall</t>
  </si>
  <si>
    <t xml:space="preserve">289-356-6399</t>
  </si>
  <si>
    <t xml:space="preserve">Capacity: 565 max (Grand Ballroom 500), so under 1,000 Rate: Not published</t>
  </si>
  <si>
    <t xml:space="preserve">https://www.eventective.com/oshawa-on/general-sikorski-hall-596553.html</t>
  </si>
  <si>
    <t xml:space="preserve">Tribute Communities Centre (TCC)</t>
  </si>
  <si>
    <t xml:space="preserve">Oak View Group; 905-438-8881 x116; tributecommunitiescentre.com/host-an-event/request-a-proposal</t>
  </si>
  <si>
    <t xml:space="preserve">Capacity: Main rink seating is flexible: 'can host events that require seating from 1,000 to 7,600'. Hockey 5,180 (6,12… Rate: Not published - 'Request a Proposal' via Oak View Group</t>
  </si>
  <si>
    <t xml:space="preserve">https://www.tributecommunitiescentre.com/host-an-event</t>
  </si>
  <si>
    <t xml:space="preserve">Pembroke Memorial Centre</t>
  </si>
  <si>
    <t xml:space="preserve">Pembroke</t>
  </si>
  <si>
    <t xml:space="preserve">Parks &amp; Recreation 613-735-6821 ext. 1501, recreation@pembroke.ca</t>
  </si>
  <si>
    <t xml:space="preserve">Capacity: 2,250 seats; 3,750 with standing room Rate: Not published</t>
  </si>
  <si>
    <t xml:space="preserve">https://en.wikipedia.org/wiki/Pembroke_Memorial_Centre</t>
  </si>
  <si>
    <t xml:space="preserve">Healthy Planet Arena (formerly Evinrude Centre)</t>
  </si>
  <si>
    <t xml:space="preserve">Peterborough</t>
  </si>
  <si>
    <t xml:space="preserve">Facility Booking 705-742-7777 ext. 2577, facilitybooking@peterborough.ca</t>
  </si>
  <si>
    <t xml:space="preserve">Capacity: Not published Rate: Special events on a floor pad: $3,700.75 per day per pad (City of Peterborough)</t>
  </si>
  <si>
    <t xml:space="preserve">https://www.peterborough.ca/arenas</t>
  </si>
  <si>
    <t xml:space="preserve">Peterborough Memorial Centre (PMC)</t>
  </si>
  <si>
    <t xml:space="preserve">Jose Garcia-Perez, Event Services Supervisor, 705-743-3561 ext. 2504, jgarcia-perez@peterborough.ca</t>
  </si>
  <si>
    <t xml:space="preserve">Capacity: Concerts: 'customizable capacity ranging from 1722 to 5501 including floor capacity'; ice events 4,050 max. N… Rate: Not published - request a quote</t>
  </si>
  <si>
    <t xml:space="preserve">https://venuecoalition.com/wp-content/uploads/2025/02/Tech-Pack-2024.pdf</t>
  </si>
  <si>
    <t xml:space="preserve">The Arena at Pickering Casino Resort</t>
  </si>
  <si>
    <t xml:space="preserve">Pickering (Pickering Casino Resort)</t>
  </si>
  <si>
    <t xml:space="preserve">Pickering Casino Resort events</t>
  </si>
  <si>
    <t xml:space="preserve">Capacity: 2,500 seats (opened Apr 26, 2023) Rate: Not published</t>
  </si>
  <si>
    <t xml:space="preserve">https://blogto.com/music/2023/03/arena-pickering-casino-resort-officially-opening</t>
  </si>
  <si>
    <t xml:space="preserve">Great Blue Heron Casino &amp; Hotel - live entertainment/special events venue</t>
  </si>
  <si>
    <t xml:space="preserve">Port Perry (Great Blue Heron Casino)</t>
  </si>
  <si>
    <t xml:space="preserve">Great Blue Heron Casino events</t>
  </si>
  <si>
    <t xml:space="preserve">Capacity: About 800 seats (12,637 sq ft; banquet, theatre or GA), so under 1,000 Rate: Not published</t>
  </si>
  <si>
    <t xml:space="preserve">https://toronto.ctvnews.ca/a-new-entertainment-venue-just-opened-in-the-gta-1.6736507</t>
  </si>
  <si>
    <t xml:space="preserve">Casino Rama Resort - Entertainment Centre</t>
  </si>
  <si>
    <t xml:space="preserve">Rama / Orillia (Casino Rama)</t>
  </si>
  <si>
    <t xml:space="preserve">Casino Rama Resort entertainment / events department</t>
  </si>
  <si>
    <t xml:space="preserve">Capacity: Over 5,000 seats (Wikipedia); no boxing/MMA configuration published Rate: Not published</t>
  </si>
  <si>
    <t xml:space="preserve">https://en.wikipedia.org/wiki/Casino_Rama</t>
  </si>
  <si>
    <t xml:space="preserve">Tweed Hungerford Community Centre (arena)</t>
  </si>
  <si>
    <t xml:space="preserve">Tweed</t>
  </si>
  <si>
    <t xml:space="preserve">Municipality of Tweed 613-478-2535</t>
  </si>
  <si>
    <t xml:space="preserve">https://tweed.ca/business-directory-c451/tweed-community-centre/236</t>
  </si>
  <si>
    <t xml:space="preserve">Keith Tallman Memorial Arena</t>
  </si>
  <si>
    <t xml:space="preserve">Wilberforce</t>
  </si>
  <si>
    <t xml:space="preserve">Highlands East municipal office</t>
  </si>
  <si>
    <t xml:space="preserve">Capacity: Not published Rate: Highlands East page (year not stated): "Summer Prime Time ... $40 plus HST" per hour, "Summer Non-Prime ... $…</t>
  </si>
  <si>
    <t xml:space="preserve">https://www.highlandseast.ca/municipal-services/fees/facility-fees/</t>
  </si>
  <si>
    <t xml:space="preserve">Ontario Athletics Commission</t>
  </si>
  <si>
    <t xml:space="preserve">Toronto (province-wide)</t>
  </si>
  <si>
    <t xml:space="preserve">AthleticsComm@ontario.ca; 416-326-0416</t>
  </si>
  <si>
    <t xml:space="preserve">https://www.ontario.ca/page/amateur-combative-sports</t>
  </si>
  <si>
    <t xml:space="preserve">Event permit ($600 per show), officials, rules questions, post-event report within 14 days.</t>
  </si>
  <si>
    <t xml:space="preserve">Empire Mixed Martial Arts &amp; Fitness</t>
  </si>
  <si>
    <t xml:space="preserve">Barrie</t>
  </si>
  <si>
    <t xml:space="preserve">info@empiremma.ca; 705-728-8885; 100 Caplan Ave Unit 8, Barrie (Let's Roll directory)</t>
  </si>
  <si>
    <t xml:space="preserve">https://empiremma.ca/</t>
  </si>
  <si>
    <t xml:space="preserve">https://letsroll.co/gym/empire-mixed-martial-arts-fitness-barrie-on</t>
  </si>
  <si>
    <t xml:space="preserve">Legacy Fight Club</t>
  </si>
  <si>
    <t xml:space="preserve">teamlegacy.assistance@gmail.com; text (249) 501-9937; 351 King St Unit 7, Barrie</t>
  </si>
  <si>
    <t xml:space="preserve">https://www.legacyfightclub.com/</t>
  </si>
  <si>
    <t xml:space="preserve">At the edge of the 3 h radius. Barrie has its own shows (MM-Eh lists 'Fight Night Barrie', Nov 20 2026).</t>
  </si>
  <si>
    <t xml:space="preserve">Infinite Martial Arts &amp; Fitness</t>
  </si>
  <si>
    <t xml:space="preserve">Info@Infinite-MMA.com; (613) 969-7653; 315 Bell Blvd, Belleville</t>
  </si>
  <si>
    <t xml:space="preserve">https://infinite-mma.com/</t>
  </si>
  <si>
    <t xml:space="preserve">The best MMA-style gym found in the Quinte area. Contact it for any Marmora or Madoc show.</t>
  </si>
  <si>
    <t xml:space="preserve">Pinnacle Boxing Academy</t>
  </si>
  <si>
    <t xml:space="preserve">No official contact found. Ask Boxing Ontario or check the club's social pages.</t>
  </si>
  <si>
    <t xml:space="preserve">Boxing only. Runs its own boxing club shows.</t>
  </si>
  <si>
    <t xml:space="preserve">https://www.inquinte.ca/2025/10/local-boxers-fight-their-way-to-medals-at-provincial-championships/</t>
  </si>
  <si>
    <t xml:space="preserve">Big Country - Muskoka</t>
  </si>
  <si>
    <t xml:space="preserve">bigcountrymuskoka@gmail.com; 705-706-1631; 75 Manitoba St, Bracebridge</t>
  </si>
  <si>
    <t xml:space="preserve">https://bigcountrymuskoka.gymdesk.com/</t>
  </si>
  <si>
    <t xml:space="preserve">United Brazilian Jiu-Jitsu &amp; Muay Thai</t>
  </si>
  <si>
    <t xml:space="preserve">Cobourg</t>
  </si>
  <si>
    <t xml:space="preserve">(905) 375-3113 (own site; email masked); 1040 Division St, Cobourg (directory)</t>
  </si>
  <si>
    <t xml:space="preserve">http://unitedbjj.ca/</t>
  </si>
  <si>
    <t xml:space="preserve">The Chop Shop MMA</t>
  </si>
  <si>
    <t xml:space="preserve">705-854-3773; 175 Industrial Park Rd Unit A, Haliburton; Facebook /TheChopShopHaliburton; Instagram @thechopshophaliburton</t>
  </si>
  <si>
    <t xml:space="preserve">https://www.thechopshop.ca/</t>
  </si>
  <si>
    <t xml:space="preserve">Closest gym to CCCL's Haliburton venue. Good for youth grappling bouts and as a local co-host.</t>
  </si>
  <si>
    <t xml:space="preserve">Grizzly Gym</t>
  </si>
  <si>
    <t xml:space="preserve">mike@grizzlygym.com (decoded from its site); 613-483-7522; 541 Days Rd, Kingston</t>
  </si>
  <si>
    <t xml:space="preserve">https://www.grizzlygym.com/</t>
  </si>
  <si>
    <t xml:space="preserve">Has already sent a fighter to CCCL. Strong partner for a Kingston show.</t>
  </si>
  <si>
    <t xml:space="preserve">https://www.sherdog.com/fighter/Joshua-Henshaw-355453</t>
  </si>
  <si>
    <t xml:space="preserve">Hayabusa Academy</t>
  </si>
  <si>
    <t xml:space="preserve">info@Hayabusa-Academy.com; 613-484-5455; 677 Innovation Dr Unit 7, Kingston</t>
  </si>
  <si>
    <t xml:space="preserve">https://www.hayabusa-academy.com/</t>
  </si>
  <si>
    <t xml:space="preserve">Confirm the current owners and whether it is still operating. The Chop Shop's owners can introduce you.</t>
  </si>
  <si>
    <t xml:space="preserve">Jiu-Jitsu Kingston</t>
  </si>
  <si>
    <t xml:space="preserve">Contact form on its site; (613) 449-8616 / 343-321-5852; 654 Norris Ct, Kingston</t>
  </si>
  <si>
    <t xml:space="preserve">https://jiu-jitsukingston.com/</t>
  </si>
  <si>
    <t xml:space="preserve">CORRECTION: earlier research listed 'Kingston Jiu Jitsu'. kingstonjiujitsu.com is a UK academy in Kingston upon Thames. The Kingston, Ontario gym is Jiu-Jitsu Kingston (jiu-jitsukingston.co…</t>
  </si>
  <si>
    <t xml:space="preserve">Kingston Combat Wrestling Club</t>
  </si>
  <si>
    <t xml:space="preserve">Club contact on the OAWA club listing (https://www.oawa.ca/oawa-club-listing); the listed email is a personal address, so it isn't copied here</t>
  </si>
  <si>
    <t xml:space="preserve">https://www.oawa.ca/oawa-club-listing</t>
  </si>
  <si>
    <t xml:space="preserve">Kingston Wrestling Club</t>
  </si>
  <si>
    <t xml:space="preserve">Marcus Niemann: kingstonwrestling@hotmail.com (OAWA club listing)</t>
  </si>
  <si>
    <t xml:space="preserve">Nomad Martial Arts &amp; Fitness</t>
  </si>
  <si>
    <t xml:space="preserve">alimo@nomadma.net; 613-519-2588; The Bunker, 1300 Bath Rd, Kingston</t>
  </si>
  <si>
    <t xml:space="preserve">https://nomadma.net/</t>
  </si>
  <si>
    <t xml:space="preserve">TRACK2 Brazilian Jiu-Jitsu</t>
  </si>
  <si>
    <t xml:space="preserve">hello@track2.ca (Let's Roll directory, not confirmed on the gym's site); 559 Bagot St, Kingston</t>
  </si>
  <si>
    <t xml:space="preserve">https://track2.ca/</t>
  </si>
  <si>
    <t xml:space="preserve">https://letsroll.co/gym/track2-brazilian-jiu-jitsu-kingston-on</t>
  </si>
  <si>
    <t xml:space="preserve">YGK Combatives Group</t>
  </si>
  <si>
    <t xml:space="preserve">Contact page on its site (email masked); 613-389-7378 (directory listing); 745 Development Dr, Kingston</t>
  </si>
  <si>
    <t xml:space="preserve">https://www.ygkcombativesgroup.com/</t>
  </si>
  <si>
    <t xml:space="preserve">van Jango Studio of Martial Arts</t>
  </si>
  <si>
    <t xml:space="preserve">manager@vanjango.com; 343-333-8433; 629 Division St (lower level), Kingston</t>
  </si>
  <si>
    <t xml:space="preserve">https://www.vanjango.com/</t>
  </si>
  <si>
    <t xml:space="preserve">https://www.sherdog.com/fighter/Jesse-Van-Vlack-464451</t>
  </si>
  <si>
    <t xml:space="preserve">Big Country MMA - Lindsay</t>
  </si>
  <si>
    <t xml:space="preserve">bigcountrymma1@gmail.com; 705-344-2662; 50 Mary St W, Lindsay</t>
  </si>
  <si>
    <t xml:space="preserve">https://bigcountrylindsay.gymdesk.com/</t>
  </si>
  <si>
    <t xml:space="preserve">The best partner gym: it already sends several fighters per card. Head coach Joe Elliott (BJJ black, Muay Thai red) teaches across all three Big Country locations.</t>
  </si>
  <si>
    <t xml:space="preserve">https://bigcountrylindsay.gymdesk.com/page/home</t>
  </si>
  <si>
    <t xml:space="preserve">Big Country - Orillia</t>
  </si>
  <si>
    <t xml:space="preserve">Orillia</t>
  </si>
  <si>
    <t xml:space="preserve">orilliabigcountry@gmail.com; 27 West St S, Orillia</t>
  </si>
  <si>
    <t xml:space="preserve">https://bigcountryorillia.gymdesk.com</t>
  </si>
  <si>
    <t xml:space="preserve">Mariposa Wrestling Club</t>
  </si>
  <si>
    <t xml:space="preserve">Surge MMA</t>
  </si>
  <si>
    <t xml:space="preserve">Orléans (Ottawa)</t>
  </si>
  <si>
    <t xml:space="preserve">SMS (343) 600-3066; email masked on site; 180 Vanguard Dr, Orléans</t>
  </si>
  <si>
    <t xml:space="preserve">https://www.surgemma.com/</t>
  </si>
  <si>
    <t xml:space="preserve">A competing promoter on the eastern edge of the range. Possible fighter-exchange partner, but expect it to prioritise its own cards.</t>
  </si>
  <si>
    <t xml:space="preserve">https://www.eventbrite.ca/e/next-wave-combat-tickets-1990798629291</t>
  </si>
  <si>
    <t xml:space="preserve">Mamute Martial Arts</t>
  </si>
  <si>
    <t xml:space="preserve">info@mamutemaa.com; (647) 648-1662; 907 Simcoe St N, Oshawa</t>
  </si>
  <si>
    <t xml:space="preserve">https://mamutemaa.com/</t>
  </si>
  <si>
    <t xml:space="preserve">Oshawa BJJ &amp; Fitness</t>
  </si>
  <si>
    <t xml:space="preserve">mocaiberbjj@gmail.com; 289-980-0484; 350 Wentworth St E Unit 4-5, Oshawa (waiver lists 1160 Simcoe St S)</t>
  </si>
  <si>
    <t xml:space="preserve">https://oshawabjj.com/</t>
  </si>
  <si>
    <t xml:space="preserve">Good source of youth grapplers. A BBG 12-year-old won gold at the Durham Classic BJJ event in Oshawa (Feb 2026).</t>
  </si>
  <si>
    <t xml:space="preserve">Evolution Jiu Jitsu (Petawawa)</t>
  </si>
  <si>
    <t xml:space="preserve">Petawawa</t>
  </si>
  <si>
    <t xml:space="preserve">evolutionbjjpetawawa@hotmail.com; 613-687-2833; Army Fitness Centre, 3 Festubert Blvd Bldg Q-103, Petawawa</t>
  </si>
  <si>
    <t xml:space="preserve">On CFB Petawawa, with a military athlete pool. About as close to Bancroft as Peterborough, via Barry's Bay.</t>
  </si>
  <si>
    <t xml:space="preserve">https://cfmws.ca/petawawa/evolution-jiu-jitsu-club</t>
  </si>
  <si>
    <t xml:space="preserve">Ottawa Valley Boxing</t>
  </si>
  <si>
    <t xml:space="preserve">Nshangraw@ottawavalleysports.com; 1959 Petawawa Blvd Unit 3 (per a Town of Petawawa story)</t>
  </si>
  <si>
    <t xml:space="preserve">https://ottawavalleyboxing.com/</t>
  </si>
  <si>
    <t xml:space="preserve">Boxing only.</t>
  </si>
  <si>
    <t xml:space="preserve">Pinnacle Wrestling Club</t>
  </si>
  <si>
    <t xml:space="preserve">Nigel Yantha: pinnaclewrestling2025@gmail.com (OAWA club listing)</t>
  </si>
  <si>
    <t xml:space="preserve">Eastside Boxing &amp; Wellness</t>
  </si>
  <si>
    <t xml:space="preserve">311 George St N, Peterborough (no public email or phone found)</t>
  </si>
  <si>
    <t xml:space="preserve">Boxing only. Low value as a source of MMA fighters.</t>
  </si>
  <si>
    <t xml:space="preserve">https://www.ptbotoday.ca/?p=102471</t>
  </si>
  <si>
    <t xml:space="preserve">Eris Martial Arts / 10th Planet Jiu Jitsu Peterborough</t>
  </si>
  <si>
    <t xml:space="preserve">info@erismartialarts.com; 705-768-1514; 306 George St N, Peterborough</t>
  </si>
  <si>
    <t xml:space="preserve">http://erismartialarts.com/</t>
  </si>
  <si>
    <t xml:space="preserve">The 10th Planet listing gives an older address (910 High St Unit 15). Use the George St N address from Eris's own site.</t>
  </si>
  <si>
    <t xml:space="preserve">Kawartha Combat</t>
  </si>
  <si>
    <t xml:space="preserve">kawarthacombat@live.com (on its own site); 705-868-1119 (directory listing); 910 High St Unit 15</t>
  </si>
  <si>
    <t xml:space="preserve">https://www.kawarthacombat.com/</t>
  </si>
  <si>
    <t xml:space="preserve">Kawartha Wrestling Club</t>
  </si>
  <si>
    <t xml:space="preserve">Wrestlers transitioning to MMA are good novice-card prospects.</t>
  </si>
  <si>
    <t xml:space="preserve">World Championship Martial Arts</t>
  </si>
  <si>
    <t xml:space="preserve">705-304-9084; 'Email Us' link on its site (address masked); 871 Chemong Rd Unit 6 &amp; 7 (Brookdale Plaza)</t>
  </si>
  <si>
    <t xml:space="preserve">https://worldchampionship.ca/</t>
  </si>
  <si>
    <t xml:space="preserve">Corcoran's Boxing Club &amp; Fitness Centre (BEL Boxing Club listed at same address)</t>
  </si>
  <si>
    <t xml:space="preserve">Peterborough / Selwyn Twp</t>
  </si>
  <si>
    <t xml:space="preserve">corcoranboxing@gmail.com; 705-872-1086 / 705-957-1142; 1625 Chemong Rd. BEL Boxing Club (same address): belboxing@gmail.com, 705-768-0340 (from its kawarthaNOW…</t>
  </si>
  <si>
    <t xml:space="preserve">https://corcoransboxingandfitness.com</t>
  </si>
  <si>
    <t xml:space="preserve">Boxing only, no MMA, but it runs its own amateur boxing shows. Check whether BEL Boxing is the same club rebranded.</t>
  </si>
  <si>
    <t xml:space="preserve">Limitless Martial Arts Trenton</t>
  </si>
  <si>
    <t xml:space="preserve">Trenton (Quinte West)</t>
  </si>
  <si>
    <t xml:space="preserve">limitlessbjjtrenton@gmail.com; (613) 827-7401 / 613-955-0343; 99 Dufferin Ave, Trenton</t>
  </si>
  <si>
    <t xml:space="preserve">https://www.limitlessbjjtrenton.com/</t>
  </si>
  <si>
    <t xml:space="preserve">Four-Eleven Brazilian Jiu Jitsu</t>
  </si>
  <si>
    <t xml:space="preserve">Whitby</t>
  </si>
  <si>
    <t xml:space="preserve">info@fourelevenbjj.ca; 905-665-7998; 277 Michael Blvd Unit 6, Whitby (Let's Roll directory)</t>
  </si>
  <si>
    <t xml:space="preserve">https://fourelevenbjj.ca/</t>
  </si>
  <si>
    <t xml:space="preserve">https://letsroll.co/gym/four-eleven-brazilian-jiu-jitsu-whitby-on</t>
  </si>
  <si>
    <t xml:space="preserve">Team DNA BJJ</t>
  </si>
  <si>
    <t xml:space="preserve">info@dnabjj.com; 416-988-6548; 2001 Thickson Rd S Unit 15, Whitby (Let's Roll directory)</t>
  </si>
  <si>
    <t xml:space="preserve">https://www.dnabjj.com/</t>
  </si>
  <si>
    <t xml:space="preserve">https://letsroll.co/gym/team-dna-bjj-whitby-on</t>
  </si>
  <si>
    <t xml:space="preserve">Bancroft This Week</t>
  </si>
  <si>
    <t xml:space="preserve">Bancroft / North Hastings</t>
  </si>
  <si>
    <t xml:space="preserve">Reporter Michael Riley: michael@haliburtonpress.com; letters to the editor: jenniferm@haliburtonpress.com (Jennifer McEathron, GM); office 613-332-2002; 254 Hastings St…</t>
  </si>
  <si>
    <t xml:space="preserve">Both</t>
  </si>
  <si>
    <t xml:space="preserve">Already covers CCCL: 'Bancroft Boxing expanding programs for all ages' (Bill Kilpatrick, Feb 18 2026) describes CCCL and the May 2 Haliburton show; 2019 'Purtell's first…</t>
  </si>
  <si>
    <t xml:space="preserve">https://www.bancroftthisweek.com/contact-information</t>
  </si>
  <si>
    <t xml:space="preserve">My Bancroft Now / 97.7 Moose FM (CHMS-FM)</t>
  </si>
  <si>
    <t xml:space="preserve">News tip form: https://www.mybancroftnow.com/submit-news-tip/ (Department = 'News &amp; Media', tick 'Is this a news tip?', photos up to 20 MB). Community calendar: https://…</t>
  </si>
  <si>
    <t xml:space="preserve">Vista Radio station. Its news site mybancroftnow.com ran stories on the NHCC arena renovation. The calendar is free and takes recurring and multi-day events.</t>
  </si>
  <si>
    <t xml:space="preserve">https://www.mybancroftnow.com/contact/</t>
  </si>
  <si>
    <t xml:space="preserve">Belleville Intelligencer (Postmedia)</t>
  </si>
  <si>
    <t xml:space="preserve">Belleville / Quinte</t>
  </si>
  <si>
    <t xml:space="preserve">No contact verified. The site blocked automated access. Get the newsroom email from the outlet's own Contact Us page at https://www.intelligencer.ca/contact-us</t>
  </si>
  <si>
    <t xml:space="preserve">Daily for Belleville. Low confidence until the contact is checked by hand.</t>
  </si>
  <si>
    <t xml:space="preserve">https://www.intelligencer.ca/contact-us</t>
  </si>
  <si>
    <t xml:space="preserve">Quinte News (Quinte Broadcasting: Mix 97, CJBQ 800, Rock 107)</t>
  </si>
  <si>
    <t xml:space="preserve">Belleville / Quinte / Central Hastings (Marmora, Madoc)</t>
  </si>
  <si>
    <t xml:space="preserve">News Director Tim Durkin: timdurkin@cjbq.com; reporter John Spitters: johnspitters@rock107.ca; newsroom hotline 613-968-5803. Event calendar form: https://tockify.com/tk…</t>
  </si>
  <si>
    <t xml:space="preserve">The main radio newsroom for Quinte and Central Hastings. The events page sends commercial events to its sales team, so a ticketed show may be treated as advertising.</t>
  </si>
  <si>
    <t xml:space="preserve">https://www.quintenews.com/meet-the-news-team</t>
  </si>
  <si>
    <t xml:space="preserve">inQuinte.ca (affiliated with Cool 100 / Hits 95.5)</t>
  </si>
  <si>
    <t xml:space="preserve">Belleville / Quinte West / Hastings</t>
  </si>
  <si>
    <t xml:space="preserve">Story form: https://www.inquinte.ca/submit-a-story (categories include Sports; full contact info required). Community calendar form: https://www.inquinte.ca/community-ca…</t>
  </si>
  <si>
    <t xml:space="preserve">Its 2025 coverage of Pinnacle Boxing's provincial medals shows it covers combat sports.</t>
  </si>
  <si>
    <t xml:space="preserve">https://inquinte.ca/</t>
  </si>
  <si>
    <t xml:space="preserve">MM-Eh (mm-eh.ca) and The MM-EH Show podcast</t>
  </si>
  <si>
    <t xml:space="preserve">Canada-wide (strong Ontario regional coverage)</t>
  </si>
  <si>
    <t xml:space="preserve">Andy Cotterill: andy@mm-eh.ca (the email in the site header). Also @MMehAndy on X and Instagram.</t>
  </si>
  <si>
    <t xml:space="preserve">'Just Canadian MMA.' Lists CCCL 1 (02 May 2026) among completed events but not in its upcoming list, so send every 2027 date to get on its Upcoming Fights page. Publishe…</t>
  </si>
  <si>
    <t xml:space="preserve">https://mm-eh.ca/about/</t>
  </si>
  <si>
    <t xml:space="preserve">Durham Tourism events calendar</t>
  </si>
  <si>
    <t xml:space="preserve">Durham Region</t>
  </si>
  <si>
    <t xml:space="preserve">Click 'Submit an Event' at DurhamTourism.ca/events (account required).</t>
  </si>
  <si>
    <t xml:space="preserve">Its policy excludes 'Competitions, fashion shows, pageants' and requires public events with their own landing page, so an MMA card may be refused. Low priority.</t>
  </si>
  <si>
    <t xml:space="preserve">https://media-003-ca.cdn.govstack.com/durham-ca/media/1zdcemqd/durham-tourism-event-calendar-submission-policy.pdf</t>
  </si>
  <si>
    <t xml:space="preserve">Sherdog Fight Finder</t>
  </si>
  <si>
    <t xml:space="preserve">Global records database</t>
  </si>
  <si>
    <t xml:space="preserve">Promoters send results by email to the Fight Finder team. The address is masked on the article page; the 'Official Sherdog Fight Finder Guide' linked from it gives the a…</t>
  </si>
  <si>
    <t xml:space="preserve">CCCL 1 results are already on Sherdog (event page /events/CCCL-1-Cottage-Country-Combat-League-112672). Keep submitting results after each show so fighters' records stay…</t>
  </si>
  <si>
    <t xml:space="preserve">https://sherdog.com/news/articles/The-FFFiles-The-Dos-and-Donts-of-Fight-Finder-The-Dos-181585</t>
  </si>
  <si>
    <t xml:space="preserve">Canoe FM 100.9 (CKHA-FM)</t>
  </si>
  <si>
    <t xml:space="preserve">Haliburton County</t>
  </si>
  <si>
    <t xml:space="preserve">info@canoefm.com for Public Service Announcements and 'Highland Happenings'; station manager: manager@canoefm.com; 705-457-1009. Events calendar: https://canoefm.com/can…</t>
  </si>
  <si>
    <t xml:space="preserve">Community radio. Free PSAs are only for not-for-profits, clubs and local governments, and Highland Happenings only for not-for-profit events. A for-profit CCCL show may…</t>
  </si>
  <si>
    <t xml:space="preserve">https://canoefm.com/contact-us/services/</t>
  </si>
  <si>
    <t xml:space="preserve">Haliburton County Echo</t>
  </si>
  <si>
    <t xml:space="preserve">Editor Emily Stonehouse: emily@haliburtonpress.com; main line 705-457-1037; 146 Highland St, PO Box 360, Haliburton K0M 1S0. Reporter Thomas Smith's address appears as t…</t>
  </si>
  <si>
    <t xml:space="preserve">Haliburton Press weekly. Shares its editor with the Minden Times.</t>
  </si>
  <si>
    <t xml:space="preserve">https://haliburtonecho.ca/contact-us/</t>
  </si>
  <si>
    <t xml:space="preserve">My Haliburton Now / 93.5 Moose FM</t>
  </si>
  <si>
    <t xml:space="preserve">News tip form: https://www.myhaliburtonnow.com/submit-news-tip/ ; event form: https://www.myhaliburtonnow.com/event-submission/ ; studio 705-457-4855, office 705-457-389…</t>
  </si>
  <si>
    <t xml:space="preserve">Vista Radio sister station of Moose FM Bancroft, with the same form system.</t>
  </si>
  <si>
    <t xml:space="preserve">https://www.myhaliburtonnow.com/contact/</t>
  </si>
  <si>
    <t xml:space="preserve">The Highlander</t>
  </si>
  <si>
    <t xml:space="preserve">News, tips, photos: news@thehighlander.ca; editor Lisa Gervais: editor@thehighlander.ca; assistant editor Mike Baker: mike@thehighlander.ca; 705-457-2900.</t>
  </si>
  <si>
    <t xml:space="preserve">Best proven outlet. Mike Baker wrote 'Fight night coming to Haliburton County' (Mar 12 2026) previewing CCCL 1 and 'Bringing hi-yah to Haliburton' (May 21 2026) on The C…</t>
  </si>
  <si>
    <t xml:space="preserve">https://thehighlander.ca/about/</t>
  </si>
  <si>
    <t xml:space="preserve">Minden Times</t>
  </si>
  <si>
    <t xml:space="preserve">Haliburton County (Minden Hills)</t>
  </si>
  <si>
    <t xml:space="preserve">Editor Emily Stonehouse: emily@haliburtonpress.com; reporter Thomas Smith: thomas@haliburtonpress.com; 705-286-1288.</t>
  </si>
  <si>
    <t xml:space="preserve">Sister paper of the Echo, so one release to the editor covers both. It also has a general contact form.</t>
  </si>
  <si>
    <t xml:space="preserve">https://mindentimes.ca/contact</t>
  </si>
  <si>
    <t xml:space="preserve">MMASucka</t>
  </si>
  <si>
    <t xml:space="preserve">International (covers Ontario regional promotions)</t>
  </si>
  <si>
    <t xml:space="preserve">info@mmasucka.com (the only email on the site); contact page https://mmasucka.com/about/contact/</t>
  </si>
  <si>
    <t xml:space="preserve">Has covered Ontario regional MMA (e.g., Jamie Champion/PFC on the future of Ontario MMA). Location of the outlet is not stated.</t>
  </si>
  <si>
    <t xml:space="preserve">https://mmasucka.com/</t>
  </si>
  <si>
    <t xml:space="preserve">City of Kawartha Lakes events calendar</t>
  </si>
  <si>
    <t xml:space="preserve">Kawartha Lakes</t>
  </si>
  <si>
    <t xml:space="preserve">Create an account at https://calendar.kawarthalakes.ca/ and choose 'Submit an Event'. Allow at least a week for review.</t>
  </si>
  <si>
    <t xml:space="preserve">The Events calendar is limited to not-for-profit, municipal or community groups; for-profit organizers are not clearly eligible. 'Tourism Events' has broader rules. Only…</t>
  </si>
  <si>
    <t xml:space="preserve">https://www.kawarthalakes.ca/explore-play/events/how-to-submit-an-event-to-the-calendar/</t>
  </si>
  <si>
    <t xml:space="preserve">Global News Kingston (CKWS-TV, Corus)</t>
  </si>
  <si>
    <t xml:space="preserve">News tips: newswatch@corusent.com; 613-544-2340.</t>
  </si>
  <si>
    <t xml:space="preserve">Covers local MMA fighters (e.g., a video on a Kingston MMA fighter getting ready for a big fight in New York State). Kingston gyms Grizzly Gym and van Jango have active…</t>
  </si>
  <si>
    <t xml:space="preserve">https://globalnews.ca/pages/contact-us/</t>
  </si>
  <si>
    <t xml:space="preserve">Kingston Whig-Standard (Postmedia)</t>
  </si>
  <si>
    <t xml:space="preserve">No contact verified. The site blocked automated access. Get the newsroom email from the outlet's own Contact Us page at https://www.thewhig.com/contact-us</t>
  </si>
  <si>
    <t xml:space="preserve">Daily for Kingston. Low confidence until the contact is checked by hand.</t>
  </si>
  <si>
    <t xml:space="preserve">https://www.thewhig.com/contact-us</t>
  </si>
  <si>
    <t xml:space="preserve">Kingstonist</t>
  </si>
  <si>
    <t xml:space="preserve">Editor-in-Chief Tori Stafford: tori.stafford@kingstonist.com. Events: https://www.kingstonist.com/event/community/add (free login required). Calendar: https://www.kingst…</t>
  </si>
  <si>
    <t xml:space="preserve">Independent daily news site. The email is masked in the page body and was read from the page's meta description.</t>
  </si>
  <si>
    <t xml:space="preserve">https://www.kingstonist.com/contact-us/</t>
  </si>
  <si>
    <t xml:space="preserve">The Lindsay Advocate</t>
  </si>
  <si>
    <t xml:space="preserve">Lindsay / Kawartha Lakes</t>
  </si>
  <si>
    <t xml:space="preserve">info@lindsayadvocate.ca; contact form with Inquiry Type 'Story idea'; 705-341-1496 (Mon-Fri 9-5).</t>
  </si>
  <si>
    <t xml:space="preserve">Independent local outlet. Big Country MMA in Lindsay supplied several CCCL 1 fighters, including main-event winner Jake Parsons, so pitch the local-fighter angle.</t>
  </si>
  <si>
    <t xml:space="preserve">https://lindsayadvocate.ca/contact/</t>
  </si>
  <si>
    <t xml:space="preserve">Cageside Press</t>
  </si>
  <si>
    <t xml:space="preserve">Ontario-founded (Welland), North America-wide</t>
  </si>
  <si>
    <t xml:space="preserve">No public email shown. Use the About/Contact page or the outlet's social accounts; a 'Write For Us' page also exists.</t>
  </si>
  <si>
    <t xml:space="preserve">Founded in Welland, Ontario, in 2017. Publishes full BTC results, including the amateur bouts (e.g., BTC 32, Sept 2025).</t>
  </si>
  <si>
    <t xml:space="preserve">https://cagesidepress.com/about/</t>
  </si>
  <si>
    <t xml:space="preserve">City of Oshawa events calendar</t>
  </si>
  <si>
    <t xml:space="preserve">'Submit an Event' button on https://calendar.oshawa.ca (read the 'Calendar posting policy' linked there first); Service Oshawa 905-436-3311.</t>
  </si>
  <si>
    <t xml:space="preserve">Previously listed the 'Rise of the Phoenix MMA' card (Durham Fight Series, Tribute Communities Centre, Jun 2023), so MMA events have been accepted before.</t>
  </si>
  <si>
    <t xml:space="preserve">https://calendar.oshawa.ca</t>
  </si>
  <si>
    <t xml:space="preserve">Durham Radio News (KX94.7 / 107.7 Country / 94.9 The Rock)</t>
  </si>
  <si>
    <t xml:space="preserve">Oshawa / Durham</t>
  </si>
  <si>
    <t xml:space="preserve">No contact verified. The site blocks automated access (robots.txt). Find the newsroom contact on durhamradionews.com's own contact page.</t>
  </si>
  <si>
    <t xml:space="preserve">Durham Radio Inc.'s local newsroom. Confirm the address by hand.</t>
  </si>
  <si>
    <t xml:space="preserve">https://www.durhamradionews.com/</t>
  </si>
  <si>
    <t xml:space="preserve">DurhamRegion.com (Metroland: Oshawa This Week etc.)</t>
  </si>
  <si>
    <t xml:space="preserve">No contact verified. The site blocked automated access. Get the newsroom email from the outlet's own contact page at https://www.durhamregion.com before sending.</t>
  </si>
  <si>
    <t xml:space="preserve">The main Durham community news site. Confirm the address by hand.</t>
  </si>
  <si>
    <t xml:space="preserve">https://www.durhamregion.com/about/contact-us/</t>
  </si>
  <si>
    <t xml:space="preserve">Global News Toronto (covers Durham/Oshawa)</t>
  </si>
  <si>
    <t xml:space="preserve">News tips: newstips@globaltv.com; viewer contact: ViewerContactToronto@globalnews.ca; 416-446-5460.</t>
  </si>
  <si>
    <t xml:space="preserve">Global's contact page names no Durham bureau and sends Durham to the Toronto desk. It's a big market, so pitch only with a strong angle (local fighters, youth grappling,…</t>
  </si>
  <si>
    <t xml:space="preserve">PTBOCanada</t>
  </si>
  <si>
    <t xml:space="preserve">Tips: tips@ptbocanada.com</t>
  </si>
  <si>
    <t xml:space="preserve">Covered Corcoran's 'War in Ennismore' amateur boxing card (2022) and OFSAA wrestling. Has an Upcoming Events section, but no submit form was found.</t>
  </si>
  <si>
    <t xml:space="preserve">https://www.ptbocanada.com/</t>
  </si>
  <si>
    <t xml:space="preserve">PTBOToday (My Broadcasting: 96.7 / FREQ 90.5)</t>
  </si>
  <si>
    <t xml:space="preserve">News story form: https://www.ptbotoday.ca/submit-a-news-story/ (short, about 180 characters, so send a pitch, not a full release); events: https://www.ptbotoday.ca/submi…</t>
  </si>
  <si>
    <t xml:space="preserve">Covered OFSAA wrestling (2026) and the Eastside Boxing grand opening (Jul 2026). Its owner, My Broadcasting Corp, also runs local radio.</t>
  </si>
  <si>
    <t xml:space="preserve">https://www.ptbotoday.ca/contact/</t>
  </si>
  <si>
    <t xml:space="preserve">Peterborough Examiner (incl. former Peterborough This Week / myKawartha sections)</t>
  </si>
  <si>
    <t xml:space="preserve">Peterborough &amp; Kawarthas</t>
  </si>
  <si>
    <t xml:space="preserve">No contact verified. The site blocked automated access during this research. Get the newsroom or sports email from the outlet's own Contact Us page at https://www.thepet…</t>
  </si>
  <si>
    <t xml:space="preserve">Regional daily (Torstar/Metroland). The Peterborough This Week and Kawartha Lakes This Week print editions ended in 2023, and their content now runs as sections of the E…</t>
  </si>
  <si>
    <t xml:space="preserve">https://en.wikipedia.org/wiki/Peterborough_This_Week</t>
  </si>
  <si>
    <t xml:space="preserve">Global News Peterborough (CHEX-TV, Corus)</t>
  </si>
  <si>
    <t xml:space="preserve">Peterborough &amp; Kawarthas (also Corus radio in Peterborough)</t>
  </si>
  <si>
    <t xml:space="preserve">News tips: newswatch@chextv.com; viewer mail: viewermail@chextv.com; 705-742-8712.</t>
  </si>
  <si>
    <t xml:space="preserve">Local TV. Has run combat-gym features before (e.g., a 2018 video on a new Peterborough boxing gym). Pitch fighter profiles or open workouts as visuals.</t>
  </si>
  <si>
    <t xml:space="preserve">kawarthaNOW</t>
  </si>
  <si>
    <t xml:space="preserve">Peterborough &amp; the Kawarthas (also Kawartha Lakes, Northumberland, Haliburton, Hastings)</t>
  </si>
  <si>
    <t xml:space="preserve">Media releases and PSAs by email: editor@kawarthanow.com. Free event listings: https://kawarthanow.com/submit-an-event/ (takes at least 48 h to approve; no posters, ALL…</t>
  </si>
  <si>
    <t xml:space="preserve">The largest regional what's-on site. Its event coverage includes Haliburton County and Hastings County, so every CCCL show in the target towns qualifies.</t>
  </si>
  <si>
    <t xml:space="preserve">https://kawarthanow.com/contact/</t>
  </si>
  <si>
    <t xml:space="preserve">CONTACT LOG</t>
  </si>
  <si>
    <t xml:space="preserve">One row every time someone calls, emails, texts or meets a contact. Newest at the bottom. Copy the next step and date onto the Contacts tab.</t>
  </si>
  <si>
    <t xml:space="preserve">Date</t>
  </si>
  <si>
    <t xml:space="preserve">Organization (pick from Contacts)</t>
  </si>
  <si>
    <t xml:space="preserve">Who (staff)</t>
  </si>
  <si>
    <t xml:space="preserve">How</t>
  </si>
  <si>
    <t xml:space="preserve">What happened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</si>
</sst>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mm\ d&quot;, &quot;yyyy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AA959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EAA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81C2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1F5FA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1C2B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BEBD3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81C2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BD3"/>
      <rgbColor rgb="FFDDEBF7"/>
      <rgbColor rgb="FF660066"/>
      <rgbColor rgb="FFFF8080"/>
      <rgbColor rgb="FF1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AA959"/>
      <rgbColor rgb="FFFF6600"/>
      <rgbColor rgb="FF555555"/>
      <rgbColor rgb="FF969696"/>
      <rgbColor rgb="FF003366"/>
      <rgbColor rgb="FF339966"/>
      <rgbColor rgb="FF081C2B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2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1.5" hidden="false" customHeight="true" outlineLevel="0" collapsed="false">
      <c r="A2" s="2" t="s">
        <v>1</v>
      </c>
      <c r="B2" s="2"/>
      <c r="C2" s="2"/>
    </row>
    <row r="4" customFormat="false" ht="31.5" hidden="false" customHeight="true" outlineLevel="0" collapsed="false">
      <c r="A4" s="3" t="s">
        <v>2</v>
      </c>
      <c r="B4" s="4" t="s">
        <v>3</v>
      </c>
      <c r="C4" s="5" t="s">
        <v>4</v>
      </c>
    </row>
    <row r="5" customFormat="false" ht="31.5" hidden="false" customHeight="true" outlineLevel="0" collapsed="false">
      <c r="A5" s="3" t="s">
        <v>5</v>
      </c>
      <c r="B5" s="4" t="s">
        <v>6</v>
      </c>
      <c r="C5" s="5" t="s">
        <v>7</v>
      </c>
    </row>
    <row r="6" customFormat="false" ht="31.5" hidden="false" customHeight="true" outlineLevel="0" collapsed="false">
      <c r="A6" s="3" t="s">
        <v>8</v>
      </c>
      <c r="B6" s="4" t="s">
        <v>9</v>
      </c>
      <c r="C6" s="5" t="s">
        <v>10</v>
      </c>
    </row>
    <row r="7" customFormat="false" ht="31.5" hidden="false" customHeight="true" outlineLevel="0" collapsed="false">
      <c r="A7" s="3" t="s">
        <v>11</v>
      </c>
      <c r="B7" s="4" t="s">
        <v>12</v>
      </c>
      <c r="C7" s="5" t="s">
        <v>13</v>
      </c>
    </row>
    <row r="8" customFormat="false" ht="31.5" hidden="false" customHeight="true" outlineLevel="0" collapsed="false">
      <c r="A8" s="3" t="s">
        <v>14</v>
      </c>
      <c r="B8" s="4" t="s">
        <v>15</v>
      </c>
      <c r="C8" s="5" t="s">
        <v>16</v>
      </c>
    </row>
    <row r="9" customFormat="false" ht="31.5" hidden="false" customHeight="true" outlineLevel="0" collapsed="false">
      <c r="A9" s="3" t="s">
        <v>17</v>
      </c>
      <c r="B9" s="4" t="s">
        <v>18</v>
      </c>
      <c r="C9" s="5" t="s">
        <v>19</v>
      </c>
    </row>
    <row r="11" customFormat="false" ht="15" hidden="false" customHeight="false" outlineLevel="0" collapsed="false">
      <c r="B11" s="6" t="s">
        <v>20</v>
      </c>
    </row>
    <row r="12" customFormat="false" ht="15" hidden="false" customHeight="false" outlineLevel="0" collapsed="false">
      <c r="B12" s="7" t="s">
        <v>21</v>
      </c>
      <c r="C12" s="8" t="s">
        <v>22</v>
      </c>
    </row>
    <row r="13" customFormat="false" ht="15" hidden="false" customHeight="false" outlineLevel="0" collapsed="false">
      <c r="B13" s="7" t="s">
        <v>23</v>
      </c>
      <c r="C13" s="8" t="s">
        <v>24</v>
      </c>
    </row>
    <row r="14" customFormat="false" ht="15" hidden="false" customHeight="false" outlineLevel="0" collapsed="false">
      <c r="B14" s="7" t="s">
        <v>25</v>
      </c>
      <c r="C14" s="8" t="s">
        <v>26</v>
      </c>
    </row>
    <row r="15" customFormat="false" ht="15" hidden="false" customHeight="false" outlineLevel="0" collapsed="false">
      <c r="B15" s="7" t="s">
        <v>27</v>
      </c>
      <c r="C15" s="8" t="s">
        <v>28</v>
      </c>
    </row>
    <row r="16" customFormat="false" ht="15" hidden="false" customHeight="false" outlineLevel="0" collapsed="false">
      <c r="B16" s="7" t="s">
        <v>29</v>
      </c>
      <c r="C16" s="8" t="s">
        <v>30</v>
      </c>
    </row>
    <row r="17" customFormat="false" ht="15" hidden="false" customHeight="false" outlineLevel="0" collapsed="false">
      <c r="B17" s="7" t="s">
        <v>31</v>
      </c>
      <c r="C17" s="8" t="s">
        <v>32</v>
      </c>
    </row>
    <row r="19" customFormat="false" ht="15" hidden="false" customHeight="false" outlineLevel="0" collapsed="false">
      <c r="B19" s="6" t="s">
        <v>33</v>
      </c>
    </row>
    <row r="20" customFormat="false" ht="15" hidden="false" customHeight="false" outlineLevel="0" collapsed="false">
      <c r="B20" s="9" t="s">
        <v>34</v>
      </c>
      <c r="C20" s="8" t="s">
        <v>35</v>
      </c>
    </row>
    <row r="21" customFormat="false" ht="15" hidden="false" customHeight="false" outlineLevel="0" collapsed="false">
      <c r="B21" s="8" t="s">
        <v>36</v>
      </c>
      <c r="C21" s="8" t="s">
        <v>37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3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10" t="s">
        <v>40</v>
      </c>
      <c r="B4" s="10" t="s">
        <v>21</v>
      </c>
      <c r="C4" s="10" t="s">
        <v>23</v>
      </c>
      <c r="D4" s="10" t="s">
        <v>25</v>
      </c>
      <c r="E4" s="10" t="s">
        <v>27</v>
      </c>
      <c r="F4" s="10" t="s">
        <v>29</v>
      </c>
      <c r="G4" s="10" t="s">
        <v>31</v>
      </c>
      <c r="H4" s="10" t="s">
        <v>41</v>
      </c>
      <c r="I4" s="10" t="s">
        <v>42</v>
      </c>
    </row>
    <row r="5" customFormat="false" ht="15" hidden="false" customHeight="false" outlineLevel="0" collapsed="false">
      <c r="A5" s="11" t="s">
        <v>43</v>
      </c>
      <c r="B5" s="12" t="n">
        <f aca="false">COUNTIFS(Contacts!$B$5:$B$264,$A5,Contacts!$G$5:$G$264,"Not contacted")</f>
        <v>45</v>
      </c>
      <c r="C5" s="12" t="n">
        <f aca="false">COUNTIFS(Contacts!$B$5:$B$264,$A5,Contacts!$G$5:$G$264,"Cold")</f>
        <v>0</v>
      </c>
      <c r="D5" s="12" t="n">
        <f aca="false">COUNTIFS(Contacts!$B$5:$B$264,$A5,Contacts!$G$5:$G$264,"Warm")</f>
        <v>0</v>
      </c>
      <c r="E5" s="12" t="n">
        <f aca="false">COUNTIFS(Contacts!$B$5:$B$264,$A5,Contacts!$G$5:$G$264,"Strong")</f>
        <v>1</v>
      </c>
      <c r="F5" s="12" t="n">
        <f aca="false">COUNTIFS(Contacts!$B$5:$B$264,$A5,Contacts!$G$5:$G$264,"Partner")</f>
        <v>0</v>
      </c>
      <c r="G5" s="12" t="n">
        <f aca="false">COUNTIFS(Contacts!$B$5:$B$264,$A5,Contacts!$G$5:$G$264,"Not a fit")</f>
        <v>0</v>
      </c>
      <c r="H5" s="12" t="n">
        <f aca="false">COUNTIFS(Contacts!$B$5:$B$264,$A5)</f>
        <v>46</v>
      </c>
      <c r="I5" s="12" t="n">
        <f aca="false">COUNTIFS(Contacts!$B$5:$B$264,$A5,Contacts!$L$5:$L$264,"OVERDUE")+COUNTIFS(Contacts!$B$5:$B$264,$A5,Contacts!$L$5:$L$264,"TODAY")+COUNTIFS(Contacts!$B$5:$B$264,$A5,Contacts!$L$5:$L$264,"THIS WEEK")</f>
        <v>0</v>
      </c>
    </row>
    <row r="6" customFormat="false" ht="15" hidden="false" customHeight="false" outlineLevel="0" collapsed="false">
      <c r="A6" s="11" t="s">
        <v>44</v>
      </c>
      <c r="B6" s="12" t="n">
        <f aca="false">COUNTIFS(Contacts!$B$5:$B$264,$A6,Contacts!$G$5:$G$264,"Not contacted")</f>
        <v>32</v>
      </c>
      <c r="C6" s="12" t="n">
        <f aca="false">COUNTIFS(Contacts!$B$5:$B$264,$A6,Contacts!$G$5:$G$264,"Cold")</f>
        <v>0</v>
      </c>
      <c r="D6" s="12" t="n">
        <f aca="false">COUNTIFS(Contacts!$B$5:$B$264,$A6,Contacts!$G$5:$G$264,"Warm")</f>
        <v>2</v>
      </c>
      <c r="E6" s="12" t="n">
        <f aca="false">COUNTIFS(Contacts!$B$5:$B$264,$A6,Contacts!$G$5:$G$264,"Strong")</f>
        <v>0</v>
      </c>
      <c r="F6" s="12" t="n">
        <f aca="false">COUNTIFS(Contacts!$B$5:$B$264,$A6,Contacts!$G$5:$G$264,"Partner")</f>
        <v>0</v>
      </c>
      <c r="G6" s="12" t="n">
        <f aca="false">COUNTIFS(Contacts!$B$5:$B$264,$A6,Contacts!$G$5:$G$264,"Not a fit")</f>
        <v>0</v>
      </c>
      <c r="H6" s="12" t="n">
        <f aca="false">COUNTIFS(Contacts!$B$5:$B$264,$A6)</f>
        <v>34</v>
      </c>
      <c r="I6" s="12" t="n">
        <f aca="false">COUNTIFS(Contacts!$B$5:$B$264,$A6,Contacts!$L$5:$L$264,"OVERDUE")+COUNTIFS(Contacts!$B$5:$B$264,$A6,Contacts!$L$5:$L$264,"TODAY")+COUNTIFS(Contacts!$B$5:$B$264,$A6,Contacts!$L$5:$L$264,"THIS WEEK")</f>
        <v>0</v>
      </c>
    </row>
    <row r="7" customFormat="false" ht="15" hidden="false" customHeight="false" outlineLevel="0" collapsed="false">
      <c r="A7" s="11" t="s">
        <v>45</v>
      </c>
      <c r="B7" s="12" t="n">
        <f aca="false">COUNTIFS(Contacts!$B$5:$B$264,$A7,Contacts!$G$5:$G$264,"Not contacted")</f>
        <v>27</v>
      </c>
      <c r="C7" s="12" t="n">
        <f aca="false">COUNTIFS(Contacts!$B$5:$B$264,$A7,Contacts!$G$5:$G$264,"Cold")</f>
        <v>0</v>
      </c>
      <c r="D7" s="12" t="n">
        <f aca="false">COUNTIFS(Contacts!$B$5:$B$264,$A7,Contacts!$G$5:$G$264,"Warm")</f>
        <v>2</v>
      </c>
      <c r="E7" s="12" t="n">
        <f aca="false">COUNTIFS(Contacts!$B$5:$B$264,$A7,Contacts!$G$5:$G$264,"Strong")</f>
        <v>0</v>
      </c>
      <c r="F7" s="12" t="n">
        <f aca="false">COUNTIFS(Contacts!$B$5:$B$264,$A7,Contacts!$G$5:$G$264,"Partner")</f>
        <v>0</v>
      </c>
      <c r="G7" s="12" t="n">
        <f aca="false">COUNTIFS(Contacts!$B$5:$B$264,$A7,Contacts!$G$5:$G$264,"Not a fit")</f>
        <v>0</v>
      </c>
      <c r="H7" s="12" t="n">
        <f aca="false">COUNTIFS(Contacts!$B$5:$B$264,$A7)</f>
        <v>29</v>
      </c>
      <c r="I7" s="12" t="n">
        <f aca="false">COUNTIFS(Contacts!$B$5:$B$264,$A7,Contacts!$L$5:$L$264,"OVERDUE")+COUNTIFS(Contacts!$B$5:$B$264,$A7,Contacts!$L$5:$L$264,"TODAY")+COUNTIFS(Contacts!$B$5:$B$264,$A7,Contacts!$L$5:$L$264,"THIS WEEK")</f>
        <v>0</v>
      </c>
    </row>
    <row r="8" customFormat="false" ht="15" hidden="false" customHeight="false" outlineLevel="0" collapsed="false">
      <c r="A8" s="11" t="s">
        <v>46</v>
      </c>
      <c r="B8" s="12" t="n">
        <f aca="false">COUNTIFS(Contacts!$B$5:$B$264,$A8,Contacts!$G$5:$G$264,"Not contacted")</f>
        <v>0</v>
      </c>
      <c r="C8" s="12" t="n">
        <f aca="false">COUNTIFS(Contacts!$B$5:$B$264,$A8,Contacts!$G$5:$G$264,"Cold")</f>
        <v>0</v>
      </c>
      <c r="D8" s="12" t="n">
        <f aca="false">COUNTIFS(Contacts!$B$5:$B$264,$A8,Contacts!$G$5:$G$264,"Warm")</f>
        <v>0</v>
      </c>
      <c r="E8" s="12" t="n">
        <f aca="false">COUNTIFS(Contacts!$B$5:$B$264,$A8,Contacts!$G$5:$G$264,"Strong")</f>
        <v>0</v>
      </c>
      <c r="F8" s="12" t="n">
        <f aca="false">COUNTIFS(Contacts!$B$5:$B$264,$A8,Contacts!$G$5:$G$264,"Partner")</f>
        <v>0</v>
      </c>
      <c r="G8" s="12" t="n">
        <f aca="false">COUNTIFS(Contacts!$B$5:$B$264,$A8,Contacts!$G$5:$G$264,"Not a fit")</f>
        <v>0</v>
      </c>
      <c r="H8" s="12" t="n">
        <f aca="false">COUNTIFS(Contacts!$B$5:$B$264,$A8)</f>
        <v>0</v>
      </c>
      <c r="I8" s="12" t="n">
        <f aca="false">COUNTIFS(Contacts!$B$5:$B$264,$A8,Contacts!$L$5:$L$264,"OVERDUE")+COUNTIFS(Contacts!$B$5:$B$264,$A8,Contacts!$L$5:$L$264,"TODAY")+COUNTIFS(Contacts!$B$5:$B$264,$A8,Contacts!$L$5:$L$264,"THIS WEEK")</f>
        <v>0</v>
      </c>
    </row>
    <row r="9" customFormat="false" ht="15" hidden="false" customHeight="false" outlineLevel="0" collapsed="false">
      <c r="A9" s="11" t="s">
        <v>47</v>
      </c>
      <c r="B9" s="12" t="n">
        <f aca="false">COUNTIFS(Contacts!$B$5:$B$264,$A9,Contacts!$G$5:$G$264,"Not contacted")</f>
        <v>0</v>
      </c>
      <c r="C9" s="12" t="n">
        <f aca="false">COUNTIFS(Contacts!$B$5:$B$264,$A9,Contacts!$G$5:$G$264,"Cold")</f>
        <v>0</v>
      </c>
      <c r="D9" s="12" t="n">
        <f aca="false">COUNTIFS(Contacts!$B$5:$B$264,$A9,Contacts!$G$5:$G$264,"Warm")</f>
        <v>1</v>
      </c>
      <c r="E9" s="12" t="n">
        <f aca="false">COUNTIFS(Contacts!$B$5:$B$264,$A9,Contacts!$G$5:$G$264,"Strong")</f>
        <v>0</v>
      </c>
      <c r="F9" s="12" t="n">
        <f aca="false">COUNTIFS(Contacts!$B$5:$B$264,$A9,Contacts!$G$5:$G$264,"Partner")</f>
        <v>0</v>
      </c>
      <c r="G9" s="12" t="n">
        <f aca="false">COUNTIFS(Contacts!$B$5:$B$264,$A9,Contacts!$G$5:$G$264,"Not a fit")</f>
        <v>0</v>
      </c>
      <c r="H9" s="12" t="n">
        <f aca="false">COUNTIFS(Contacts!$B$5:$B$264,$A9)</f>
        <v>1</v>
      </c>
      <c r="I9" s="12" t="n">
        <f aca="false">COUNTIFS(Contacts!$B$5:$B$264,$A9,Contacts!$L$5:$L$264,"OVERDUE")+COUNTIFS(Contacts!$B$5:$B$264,$A9,Contacts!$L$5:$L$264,"TODAY")+COUNTIFS(Contacts!$B$5:$B$264,$A9,Contacts!$L$5:$L$264,"THIS WEEK")</f>
        <v>0</v>
      </c>
    </row>
    <row r="10" customFormat="false" ht="15" hidden="false" customHeight="false" outlineLevel="0" collapsed="false">
      <c r="A10" s="11" t="s">
        <v>48</v>
      </c>
      <c r="B10" s="12" t="n">
        <f aca="false">COUNTIFS(Contacts!$B$5:$B$264,$A10,Contacts!$G$5:$G$264,"Not contacted")</f>
        <v>0</v>
      </c>
      <c r="C10" s="12" t="n">
        <f aca="false">COUNTIFS(Contacts!$B$5:$B$264,$A10,Contacts!$G$5:$G$264,"Cold")</f>
        <v>0</v>
      </c>
      <c r="D10" s="12" t="n">
        <f aca="false">COUNTIFS(Contacts!$B$5:$B$264,$A10,Contacts!$G$5:$G$264,"Warm")</f>
        <v>0</v>
      </c>
      <c r="E10" s="12" t="n">
        <f aca="false">COUNTIFS(Contacts!$B$5:$B$264,$A10,Contacts!$G$5:$G$264,"Strong")</f>
        <v>0</v>
      </c>
      <c r="F10" s="12" t="n">
        <f aca="false">COUNTIFS(Contacts!$B$5:$B$264,$A10,Contacts!$G$5:$G$264,"Partner")</f>
        <v>0</v>
      </c>
      <c r="G10" s="12" t="n">
        <f aca="false">COUNTIFS(Contacts!$B$5:$B$264,$A10,Contacts!$G$5:$G$264,"Not a fit")</f>
        <v>0</v>
      </c>
      <c r="H10" s="12" t="n">
        <f aca="false">COUNTIFS(Contacts!$B$5:$B$264,$A10)</f>
        <v>0</v>
      </c>
      <c r="I10" s="12" t="n">
        <f aca="false">COUNTIFS(Contacts!$B$5:$B$264,$A10,Contacts!$L$5:$L$264,"OVERDUE")+COUNTIFS(Contacts!$B$5:$B$264,$A10,Contacts!$L$5:$L$264,"TODAY")+COUNTIFS(Contacts!$B$5:$B$264,$A10,Contacts!$L$5:$L$264,"THIS WEEK")</f>
        <v>0</v>
      </c>
    </row>
    <row r="11" customFormat="false" ht="15" hidden="false" customHeight="false" outlineLevel="0" collapsed="false">
      <c r="A11" s="11" t="s">
        <v>29</v>
      </c>
      <c r="B11" s="12" t="n">
        <f aca="false">COUNTIFS(Contacts!$B$5:$B$264,$A11,Contacts!$G$5:$G$264,"Not contacted")</f>
        <v>0</v>
      </c>
      <c r="C11" s="12" t="n">
        <f aca="false">COUNTIFS(Contacts!$B$5:$B$264,$A11,Contacts!$G$5:$G$264,"Cold")</f>
        <v>0</v>
      </c>
      <c r="D11" s="12" t="n">
        <f aca="false">COUNTIFS(Contacts!$B$5:$B$264,$A11,Contacts!$G$5:$G$264,"Warm")</f>
        <v>0</v>
      </c>
      <c r="E11" s="12" t="n">
        <f aca="false">COUNTIFS(Contacts!$B$5:$B$264,$A11,Contacts!$G$5:$G$264,"Strong")</f>
        <v>0</v>
      </c>
      <c r="F11" s="12" t="n">
        <f aca="false">COUNTIFS(Contacts!$B$5:$B$264,$A11,Contacts!$G$5:$G$264,"Partner")</f>
        <v>0</v>
      </c>
      <c r="G11" s="12" t="n">
        <f aca="false">COUNTIFS(Contacts!$B$5:$B$264,$A11,Contacts!$G$5:$G$264,"Not a fit")</f>
        <v>0</v>
      </c>
      <c r="H11" s="12" t="n">
        <f aca="false">COUNTIFS(Contacts!$B$5:$B$264,$A11)</f>
        <v>0</v>
      </c>
      <c r="I11" s="12" t="n">
        <f aca="false">COUNTIFS(Contacts!$B$5:$B$264,$A11,Contacts!$L$5:$L$264,"OVERDUE")+COUNTIFS(Contacts!$B$5:$B$264,$A11,Contacts!$L$5:$L$264,"TODAY")+COUNTIFS(Contacts!$B$5:$B$264,$A11,Contacts!$L$5:$L$264,"THIS WEEK")</f>
        <v>0</v>
      </c>
    </row>
    <row r="12" customFormat="false" ht="15" hidden="false" customHeight="false" outlineLevel="0" collapsed="false">
      <c r="A12" s="11" t="s">
        <v>49</v>
      </c>
      <c r="B12" s="12" t="n">
        <f aca="false">COUNTIFS(Contacts!$B$5:$B$264,$A12,Contacts!$G$5:$G$264,"Not contacted")</f>
        <v>0</v>
      </c>
      <c r="C12" s="12" t="n">
        <f aca="false">COUNTIFS(Contacts!$B$5:$B$264,$A12,Contacts!$G$5:$G$264,"Cold")</f>
        <v>0</v>
      </c>
      <c r="D12" s="12" t="n">
        <f aca="false">COUNTIFS(Contacts!$B$5:$B$264,$A12,Contacts!$G$5:$G$264,"Warm")</f>
        <v>0</v>
      </c>
      <c r="E12" s="12" t="n">
        <f aca="false">COUNTIFS(Contacts!$B$5:$B$264,$A12,Contacts!$G$5:$G$264,"Strong")</f>
        <v>0</v>
      </c>
      <c r="F12" s="12" t="n">
        <f aca="false">COUNTIFS(Contacts!$B$5:$B$264,$A12,Contacts!$G$5:$G$264,"Partner")</f>
        <v>0</v>
      </c>
      <c r="G12" s="12" t="n">
        <f aca="false">COUNTIFS(Contacts!$B$5:$B$264,$A12,Contacts!$G$5:$G$264,"Not a fit")</f>
        <v>0</v>
      </c>
      <c r="H12" s="12" t="n">
        <f aca="false">COUNTIFS(Contacts!$B$5:$B$264,$A12)</f>
        <v>0</v>
      </c>
      <c r="I12" s="12" t="n">
        <f aca="false">COUNTIFS(Contacts!$B$5:$B$264,$A12,Contacts!$L$5:$L$264,"OVERDUE")+COUNTIFS(Contacts!$B$5:$B$264,$A12,Contacts!$L$5:$L$264,"TODAY")+COUNTIFS(Contacts!$B$5:$B$264,$A12,Contacts!$L$5:$L$264,"THIS WEEK")</f>
        <v>0</v>
      </c>
    </row>
    <row r="13" customFormat="false" ht="15" hidden="false" customHeight="false" outlineLevel="0" collapsed="false">
      <c r="A13" s="13" t="s">
        <v>50</v>
      </c>
      <c r="B13" s="14" t="n">
        <f aca="false">SUM(B5:B12)</f>
        <v>104</v>
      </c>
      <c r="C13" s="14" t="n">
        <f aca="false">SUM(C5:C12)</f>
        <v>0</v>
      </c>
      <c r="D13" s="14" t="n">
        <f aca="false">SUM(D5:D12)</f>
        <v>5</v>
      </c>
      <c r="E13" s="14" t="n">
        <f aca="false">SUM(E5:E12)</f>
        <v>1</v>
      </c>
      <c r="F13" s="14" t="n">
        <f aca="false">SUM(F5:F12)</f>
        <v>0</v>
      </c>
      <c r="G13" s="14" t="n">
        <f aca="false">SUM(G5:G12)</f>
        <v>0</v>
      </c>
      <c r="H13" s="14" t="n">
        <f aca="false">SUM(H5:H12)</f>
        <v>110</v>
      </c>
      <c r="I13" s="14" t="n">
        <f aca="false">SUM(I5:I12)</f>
        <v>0</v>
      </c>
    </row>
    <row r="15" customFormat="false" ht="15" hidden="false" customHeight="false" outlineLevel="0" collapsed="false">
      <c r="A15" s="6" t="s">
        <v>51</v>
      </c>
    </row>
    <row r="16" customFormat="false" ht="15" hidden="false" customHeight="false" outlineLevel="0" collapsed="false">
      <c r="A16" s="8" t="s">
        <v>52</v>
      </c>
      <c r="B16" s="15" t="n">
        <f aca="false">COUNTIFS(Contacts!$L$5:$L$264,"OVERDUE")</f>
        <v>0</v>
      </c>
    </row>
    <row r="17" customFormat="false" ht="15" hidden="false" customHeight="false" outlineLevel="0" collapsed="false">
      <c r="A17" s="8" t="s">
        <v>53</v>
      </c>
      <c r="B17" s="15" t="n">
        <f aca="false">COUNTIFS(Contacts!$L$5:$L$264,"TODAY")</f>
        <v>0</v>
      </c>
    </row>
    <row r="18" customFormat="false" ht="15" hidden="false" customHeight="false" outlineLevel="0" collapsed="false">
      <c r="A18" s="8" t="s">
        <v>54</v>
      </c>
      <c r="B18" s="15" t="n">
        <f aca="false">COUNTIFS(Contacts!$L$5:$L$264,"THIS WEEK")</f>
        <v>0</v>
      </c>
    </row>
    <row r="19" customFormat="false" ht="15" hidden="false" customHeight="false" outlineLevel="0" collapsed="false">
      <c r="A19" s="8" t="s">
        <v>55</v>
      </c>
      <c r="B19" s="15" t="n">
        <f aca="false">COUNTIFS(Contacts!$G$5:$G$264,"Strong",Contacts!$O$5:$O$264,"&gt;90")+COUNTIFS(Contacts!$G$5:$G$264,"Partner",Contacts!$O$5:$O$264,"&gt;90")</f>
        <v>0</v>
      </c>
      <c r="C19" s="16" t="s">
        <v>56</v>
      </c>
    </row>
    <row r="20" customFormat="false" ht="15" hidden="false" customHeight="false" outlineLevel="0" collapsed="false">
      <c r="A20" s="8" t="s">
        <v>57</v>
      </c>
      <c r="B20" s="15" t="n">
        <f aca="false">COUNTA(Log!$B$5:$B$2000)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46"/>
    <col collapsed="false" customWidth="true" hidden="false" outlineLevel="0" max="14" min="14" style="0" width="22"/>
    <col collapsed="false" customWidth="true" hidden="false" outlineLevel="0" max="15" min="15" style="0" width="8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17" t="s">
        <v>60</v>
      </c>
      <c r="B4" s="17" t="s">
        <v>40</v>
      </c>
      <c r="C4" s="17" t="s">
        <v>61</v>
      </c>
      <c r="D4" s="17" t="s">
        <v>62</v>
      </c>
      <c r="E4" s="17" t="s">
        <v>63</v>
      </c>
      <c r="F4" s="17" t="s">
        <v>64</v>
      </c>
      <c r="G4" s="17" t="s">
        <v>20</v>
      </c>
      <c r="H4" s="17" t="s">
        <v>65</v>
      </c>
      <c r="I4" s="17" t="s">
        <v>66</v>
      </c>
      <c r="J4" s="17" t="s">
        <v>67</v>
      </c>
      <c r="K4" s="17" t="s">
        <v>68</v>
      </c>
      <c r="L4" s="17" t="s">
        <v>69</v>
      </c>
      <c r="M4" s="17" t="s">
        <v>70</v>
      </c>
      <c r="N4" s="17" t="s">
        <v>71</v>
      </c>
      <c r="O4" s="17" t="s">
        <v>72</v>
      </c>
    </row>
    <row r="5" customFormat="false" ht="54" hidden="false" customHeight="true" outlineLevel="0" collapsed="false">
      <c r="A5" s="18" t="s">
        <v>73</v>
      </c>
      <c r="B5" s="19" t="s">
        <v>43</v>
      </c>
      <c r="C5" s="19" t="s">
        <v>74</v>
      </c>
      <c r="D5" s="19" t="s">
        <v>75</v>
      </c>
      <c r="E5" s="19"/>
      <c r="F5" s="19" t="s">
        <v>76</v>
      </c>
      <c r="G5" s="19" t="s">
        <v>21</v>
      </c>
      <c r="H5" s="20" t="str">
        <f aca="false">IF(A5="","",IF(COUNTIFS(Log!$B$5:$B$2000,A5)=0,"",SUMPRODUCT(MAX((Log!$B$5:$B$2000=A5)*Log!$A$5:$A$2000))))</f>
        <v/>
      </c>
      <c r="I5" s="19"/>
      <c r="J5" s="21"/>
      <c r="K5" s="19" t="s">
        <v>77</v>
      </c>
      <c r="L5" s="22" t="str">
        <f aca="true">IF(OR(A5="",J5=""),"",IF(J5&lt;TODAY(),"OVERDUE",IF(J5=TODAY(),"TODAY",IF(J5&lt;=TODAY()+7,"THIS WEEK",""))))</f>
        <v/>
      </c>
      <c r="M5" s="19" t="s">
        <v>78</v>
      </c>
      <c r="N5" s="23" t="s">
        <v>79</v>
      </c>
      <c r="O5" s="24" t="str">
        <f aca="true">IF(H5="","",TODAY()-H5)</f>
        <v/>
      </c>
    </row>
    <row r="6" customFormat="false" ht="54" hidden="false" customHeight="true" outlineLevel="0" collapsed="false">
      <c r="A6" s="18" t="s">
        <v>80</v>
      </c>
      <c r="B6" s="19" t="s">
        <v>43</v>
      </c>
      <c r="C6" s="19" t="s">
        <v>74</v>
      </c>
      <c r="D6" s="19" t="s">
        <v>81</v>
      </c>
      <c r="E6" s="19"/>
      <c r="F6" s="19" t="s">
        <v>76</v>
      </c>
      <c r="G6" s="19" t="s">
        <v>21</v>
      </c>
      <c r="H6" s="20" t="str">
        <f aca="false">IF(A6="","",IF(COUNTIFS(Log!$B$5:$B$2000,A6)=0,"",SUMPRODUCT(MAX((Log!$B$5:$B$2000=A6)*Log!$A$5:$A$2000))))</f>
        <v/>
      </c>
      <c r="I6" s="19"/>
      <c r="J6" s="21"/>
      <c r="K6" s="19" t="s">
        <v>77</v>
      </c>
      <c r="L6" s="22" t="str">
        <f aca="true">IF(OR(A6="",J6=""),"",IF(J6&lt;TODAY(),"OVERDUE",IF(J6=TODAY(),"TODAY",IF(J6&lt;=TODAY()+7,"THIS WEEK",""))))</f>
        <v/>
      </c>
      <c r="M6" s="19" t="s">
        <v>82</v>
      </c>
      <c r="N6" s="23" t="s">
        <v>83</v>
      </c>
      <c r="O6" s="24" t="str">
        <f aca="true">IF(H6="","",TODAY()-H6)</f>
        <v/>
      </c>
    </row>
    <row r="7" customFormat="false" ht="54" hidden="false" customHeight="true" outlineLevel="0" collapsed="false">
      <c r="A7" s="18" t="s">
        <v>84</v>
      </c>
      <c r="B7" s="19" t="s">
        <v>43</v>
      </c>
      <c r="C7" s="19" t="s">
        <v>85</v>
      </c>
      <c r="D7" s="19" t="s">
        <v>86</v>
      </c>
      <c r="E7" s="19"/>
      <c r="F7" s="19" t="s">
        <v>76</v>
      </c>
      <c r="G7" s="19" t="s">
        <v>21</v>
      </c>
      <c r="H7" s="20" t="str">
        <f aca="false">IF(A7="","",IF(COUNTIFS(Log!$B$5:$B$2000,A7)=0,"",SUMPRODUCT(MAX((Log!$B$5:$B$2000=A7)*Log!$A$5:$A$2000))))</f>
        <v/>
      </c>
      <c r="I7" s="19"/>
      <c r="J7" s="21"/>
      <c r="K7" s="19" t="s">
        <v>77</v>
      </c>
      <c r="L7" s="22" t="str">
        <f aca="true">IF(OR(A7="",J7=""),"",IF(J7&lt;TODAY(),"OVERDUE",IF(J7=TODAY(),"TODAY",IF(J7&lt;=TODAY()+7,"THIS WEEK",""))))</f>
        <v/>
      </c>
      <c r="M7" s="19" t="s">
        <v>87</v>
      </c>
      <c r="N7" s="23" t="s">
        <v>88</v>
      </c>
      <c r="O7" s="24" t="str">
        <f aca="true">IF(H7="","",TODAY()-H7)</f>
        <v/>
      </c>
    </row>
    <row r="8" customFormat="false" ht="54" hidden="false" customHeight="true" outlineLevel="0" collapsed="false">
      <c r="A8" s="18" t="s">
        <v>89</v>
      </c>
      <c r="B8" s="19" t="s">
        <v>43</v>
      </c>
      <c r="C8" s="19" t="s">
        <v>90</v>
      </c>
      <c r="D8" s="19" t="s">
        <v>91</v>
      </c>
      <c r="E8" s="19"/>
      <c r="F8" s="19" t="s">
        <v>76</v>
      </c>
      <c r="G8" s="19" t="s">
        <v>21</v>
      </c>
      <c r="H8" s="20" t="str">
        <f aca="false">IF(A8="","",IF(COUNTIFS(Log!$B$5:$B$2000,A8)=0,"",SUMPRODUCT(MAX((Log!$B$5:$B$2000=A8)*Log!$A$5:$A$2000))))</f>
        <v/>
      </c>
      <c r="I8" s="19"/>
      <c r="J8" s="21"/>
      <c r="K8" s="19" t="s">
        <v>77</v>
      </c>
      <c r="L8" s="22" t="str">
        <f aca="true">IF(OR(A8="",J8=""),"",IF(J8&lt;TODAY(),"OVERDUE",IF(J8=TODAY(),"TODAY",IF(J8&lt;=TODAY()+7,"THIS WEEK",""))))</f>
        <v/>
      </c>
      <c r="M8" s="19" t="s">
        <v>92</v>
      </c>
      <c r="N8" s="23" t="s">
        <v>93</v>
      </c>
      <c r="O8" s="24" t="str">
        <f aca="true">IF(H8="","",TODAY()-H8)</f>
        <v/>
      </c>
    </row>
    <row r="9" customFormat="false" ht="54" hidden="false" customHeight="true" outlineLevel="0" collapsed="false">
      <c r="A9" s="18" t="s">
        <v>94</v>
      </c>
      <c r="B9" s="19" t="s">
        <v>43</v>
      </c>
      <c r="C9" s="19" t="s">
        <v>95</v>
      </c>
      <c r="D9" s="19" t="s">
        <v>96</v>
      </c>
      <c r="E9" s="19"/>
      <c r="F9" s="19" t="s">
        <v>76</v>
      </c>
      <c r="G9" s="19" t="s">
        <v>21</v>
      </c>
      <c r="H9" s="20" t="str">
        <f aca="false">IF(A9="","",IF(COUNTIFS(Log!$B$5:$B$2000,A9)=0,"",SUMPRODUCT(MAX((Log!$B$5:$B$2000=A9)*Log!$A$5:$A$2000))))</f>
        <v/>
      </c>
      <c r="I9" s="19"/>
      <c r="J9" s="21"/>
      <c r="K9" s="19" t="s">
        <v>77</v>
      </c>
      <c r="L9" s="22" t="str">
        <f aca="true">IF(OR(A9="",J9=""),"",IF(J9&lt;TODAY(),"OVERDUE",IF(J9=TODAY(),"TODAY",IF(J9&lt;=TODAY()+7,"THIS WEEK",""))))</f>
        <v/>
      </c>
      <c r="M9" s="19" t="s">
        <v>97</v>
      </c>
      <c r="N9" s="23" t="s">
        <v>98</v>
      </c>
      <c r="O9" s="24" t="str">
        <f aca="true">IF(H9="","",TODAY()-H9)</f>
        <v/>
      </c>
    </row>
    <row r="10" customFormat="false" ht="54" hidden="false" customHeight="true" outlineLevel="0" collapsed="false">
      <c r="A10" s="18" t="s">
        <v>99</v>
      </c>
      <c r="B10" s="19" t="s">
        <v>43</v>
      </c>
      <c r="C10" s="19" t="s">
        <v>100</v>
      </c>
      <c r="D10" s="19" t="s">
        <v>101</v>
      </c>
      <c r="E10" s="19"/>
      <c r="F10" s="19" t="s">
        <v>76</v>
      </c>
      <c r="G10" s="19" t="s">
        <v>21</v>
      </c>
      <c r="H10" s="20" t="str">
        <f aca="false">IF(A10="","",IF(COUNTIFS(Log!$B$5:$B$2000,A10)=0,"",SUMPRODUCT(MAX((Log!$B$5:$B$2000=A10)*Log!$A$5:$A$2000))))</f>
        <v/>
      </c>
      <c r="I10" s="19"/>
      <c r="J10" s="21"/>
      <c r="K10" s="19" t="s">
        <v>77</v>
      </c>
      <c r="L10" s="22" t="str">
        <f aca="true">IF(OR(A10="",J10=""),"",IF(J10&lt;TODAY(),"OVERDUE",IF(J10=TODAY(),"TODAY",IF(J10&lt;=TODAY()+7,"THIS WEEK",""))))</f>
        <v/>
      </c>
      <c r="M10" s="19" t="s">
        <v>102</v>
      </c>
      <c r="N10" s="23" t="s">
        <v>103</v>
      </c>
      <c r="O10" s="24" t="str">
        <f aca="true">IF(H10="","",TODAY()-H10)</f>
        <v/>
      </c>
    </row>
    <row r="11" customFormat="false" ht="54" hidden="false" customHeight="true" outlineLevel="0" collapsed="false">
      <c r="A11" s="18" t="s">
        <v>104</v>
      </c>
      <c r="B11" s="19" t="s">
        <v>43</v>
      </c>
      <c r="C11" s="19" t="s">
        <v>100</v>
      </c>
      <c r="D11" s="19" t="s">
        <v>105</v>
      </c>
      <c r="E11" s="19"/>
      <c r="F11" s="19" t="s">
        <v>76</v>
      </c>
      <c r="G11" s="19" t="s">
        <v>21</v>
      </c>
      <c r="H11" s="20" t="str">
        <f aca="false">IF(A11="","",IF(COUNTIFS(Log!$B$5:$B$2000,A11)=0,"",SUMPRODUCT(MAX((Log!$B$5:$B$2000=A11)*Log!$A$5:$A$2000))))</f>
        <v/>
      </c>
      <c r="I11" s="19"/>
      <c r="J11" s="21"/>
      <c r="K11" s="19" t="s">
        <v>77</v>
      </c>
      <c r="L11" s="22" t="str">
        <f aca="true">IF(OR(A11="",J11=""),"",IF(J11&lt;TODAY(),"OVERDUE",IF(J11=TODAY(),"TODAY",IF(J11&lt;=TODAY()+7,"THIS WEEK",""))))</f>
        <v/>
      </c>
      <c r="M11" s="19" t="s">
        <v>106</v>
      </c>
      <c r="N11" s="23" t="s">
        <v>107</v>
      </c>
      <c r="O11" s="24" t="str">
        <f aca="true">IF(H11="","",TODAY()-H11)</f>
        <v/>
      </c>
    </row>
    <row r="12" customFormat="false" ht="54" hidden="false" customHeight="true" outlineLevel="0" collapsed="false">
      <c r="A12" s="18" t="s">
        <v>108</v>
      </c>
      <c r="B12" s="19" t="s">
        <v>43</v>
      </c>
      <c r="C12" s="19" t="s">
        <v>109</v>
      </c>
      <c r="D12" s="19" t="s">
        <v>110</v>
      </c>
      <c r="E12" s="19"/>
      <c r="F12" s="19" t="s">
        <v>76</v>
      </c>
      <c r="G12" s="19" t="s">
        <v>21</v>
      </c>
      <c r="H12" s="20" t="str">
        <f aca="false">IF(A12="","",IF(COUNTIFS(Log!$B$5:$B$2000,A12)=0,"",SUMPRODUCT(MAX((Log!$B$5:$B$2000=A12)*Log!$A$5:$A$2000))))</f>
        <v/>
      </c>
      <c r="I12" s="19"/>
      <c r="J12" s="21"/>
      <c r="K12" s="19" t="s">
        <v>77</v>
      </c>
      <c r="L12" s="22" t="str">
        <f aca="true">IF(OR(A12="",J12=""),"",IF(J12&lt;TODAY(),"OVERDUE",IF(J12=TODAY(),"TODAY",IF(J12&lt;=TODAY()+7,"THIS WEEK",""))))</f>
        <v/>
      </c>
      <c r="M12" s="19" t="s">
        <v>111</v>
      </c>
      <c r="N12" s="23" t="s">
        <v>112</v>
      </c>
      <c r="O12" s="24" t="str">
        <f aca="true">IF(H12="","",TODAY()-H12)</f>
        <v/>
      </c>
    </row>
    <row r="13" customFormat="false" ht="54" hidden="false" customHeight="true" outlineLevel="0" collapsed="false">
      <c r="A13" s="18" t="s">
        <v>113</v>
      </c>
      <c r="B13" s="19" t="s">
        <v>43</v>
      </c>
      <c r="C13" s="19" t="s">
        <v>114</v>
      </c>
      <c r="D13" s="19" t="s">
        <v>115</v>
      </c>
      <c r="E13" s="19"/>
      <c r="F13" s="19" t="s">
        <v>76</v>
      </c>
      <c r="G13" s="19" t="s">
        <v>21</v>
      </c>
      <c r="H13" s="20" t="str">
        <f aca="false">IF(A13="","",IF(COUNTIFS(Log!$B$5:$B$2000,A13)=0,"",SUMPRODUCT(MAX((Log!$B$5:$B$2000=A13)*Log!$A$5:$A$2000))))</f>
        <v/>
      </c>
      <c r="I13" s="19"/>
      <c r="J13" s="21"/>
      <c r="K13" s="19" t="s">
        <v>77</v>
      </c>
      <c r="L13" s="22" t="str">
        <f aca="true">IF(OR(A13="",J13=""),"",IF(J13&lt;TODAY(),"OVERDUE",IF(J13=TODAY(),"TODAY",IF(J13&lt;=TODAY()+7,"THIS WEEK",""))))</f>
        <v/>
      </c>
      <c r="M13" s="19" t="s">
        <v>102</v>
      </c>
      <c r="N13" s="23" t="s">
        <v>116</v>
      </c>
      <c r="O13" s="24" t="str">
        <f aca="true">IF(H13="","",TODAY()-H13)</f>
        <v/>
      </c>
    </row>
    <row r="14" customFormat="false" ht="54" hidden="false" customHeight="true" outlineLevel="0" collapsed="false">
      <c r="A14" s="18" t="s">
        <v>117</v>
      </c>
      <c r="B14" s="19" t="s">
        <v>43</v>
      </c>
      <c r="C14" s="19" t="s">
        <v>114</v>
      </c>
      <c r="D14" s="19" t="s">
        <v>118</v>
      </c>
      <c r="E14" s="19"/>
      <c r="F14" s="19" t="s">
        <v>76</v>
      </c>
      <c r="G14" s="19" t="s">
        <v>21</v>
      </c>
      <c r="H14" s="20" t="str">
        <f aca="false">IF(A14="","",IF(COUNTIFS(Log!$B$5:$B$2000,A14)=0,"",SUMPRODUCT(MAX((Log!$B$5:$B$2000=A14)*Log!$A$5:$A$2000))))</f>
        <v/>
      </c>
      <c r="I14" s="19"/>
      <c r="J14" s="21"/>
      <c r="K14" s="19" t="s">
        <v>77</v>
      </c>
      <c r="L14" s="22" t="str">
        <f aca="true">IF(OR(A14="",J14=""),"",IF(J14&lt;TODAY(),"OVERDUE",IF(J14=TODAY(),"TODAY",IF(J14&lt;=TODAY()+7,"THIS WEEK",""))))</f>
        <v/>
      </c>
      <c r="M14" s="19" t="s">
        <v>102</v>
      </c>
      <c r="N14" s="23" t="s">
        <v>116</v>
      </c>
      <c r="O14" s="24" t="str">
        <f aca="true">IF(H14="","",TODAY()-H14)</f>
        <v/>
      </c>
    </row>
    <row r="15" customFormat="false" ht="54" hidden="false" customHeight="true" outlineLevel="0" collapsed="false">
      <c r="A15" s="18" t="s">
        <v>119</v>
      </c>
      <c r="B15" s="19" t="s">
        <v>43</v>
      </c>
      <c r="C15" s="19" t="s">
        <v>120</v>
      </c>
      <c r="D15" s="19" t="s">
        <v>121</v>
      </c>
      <c r="E15" s="19"/>
      <c r="F15" s="19" t="s">
        <v>76</v>
      </c>
      <c r="G15" s="19" t="s">
        <v>21</v>
      </c>
      <c r="H15" s="20" t="str">
        <f aca="false">IF(A15="","",IF(COUNTIFS(Log!$B$5:$B$2000,A15)=0,"",SUMPRODUCT(MAX((Log!$B$5:$B$2000=A15)*Log!$A$5:$A$2000))))</f>
        <v/>
      </c>
      <c r="I15" s="19"/>
      <c r="J15" s="21"/>
      <c r="K15" s="19" t="s">
        <v>77</v>
      </c>
      <c r="L15" s="22" t="str">
        <f aca="true">IF(OR(A15="",J15=""),"",IF(J15&lt;TODAY(),"OVERDUE",IF(J15=TODAY(),"TODAY",IF(J15&lt;=TODAY()+7,"THIS WEEK",""))))</f>
        <v/>
      </c>
      <c r="M15" s="19" t="s">
        <v>102</v>
      </c>
      <c r="N15" s="23" t="s">
        <v>122</v>
      </c>
      <c r="O15" s="24" t="str">
        <f aca="true">IF(H15="","",TODAY()-H15)</f>
        <v/>
      </c>
    </row>
    <row r="16" customFormat="false" ht="54" hidden="false" customHeight="true" outlineLevel="0" collapsed="false">
      <c r="A16" s="18" t="s">
        <v>123</v>
      </c>
      <c r="B16" s="19" t="s">
        <v>43</v>
      </c>
      <c r="C16" s="19" t="s">
        <v>124</v>
      </c>
      <c r="D16" s="19" t="s">
        <v>125</v>
      </c>
      <c r="E16" s="19"/>
      <c r="F16" s="19" t="s">
        <v>76</v>
      </c>
      <c r="G16" s="19" t="s">
        <v>21</v>
      </c>
      <c r="H16" s="20" t="str">
        <f aca="false">IF(A16="","",IF(COUNTIFS(Log!$B$5:$B$2000,A16)=0,"",SUMPRODUCT(MAX((Log!$B$5:$B$2000=A16)*Log!$A$5:$A$2000))))</f>
        <v/>
      </c>
      <c r="I16" s="19"/>
      <c r="J16" s="21"/>
      <c r="K16" s="19" t="s">
        <v>77</v>
      </c>
      <c r="L16" s="22" t="str">
        <f aca="true">IF(OR(A16="",J16=""),"",IF(J16&lt;TODAY(),"OVERDUE",IF(J16=TODAY(),"TODAY",IF(J16&lt;=TODAY()+7,"THIS WEEK",""))))</f>
        <v/>
      </c>
      <c r="M16" s="19" t="s">
        <v>126</v>
      </c>
      <c r="N16" s="23" t="s">
        <v>112</v>
      </c>
      <c r="O16" s="24" t="str">
        <f aca="true">IF(H16="","",TODAY()-H16)</f>
        <v/>
      </c>
    </row>
    <row r="17" customFormat="false" ht="54" hidden="false" customHeight="true" outlineLevel="0" collapsed="false">
      <c r="A17" s="18" t="s">
        <v>127</v>
      </c>
      <c r="B17" s="19" t="s">
        <v>43</v>
      </c>
      <c r="C17" s="19" t="s">
        <v>128</v>
      </c>
      <c r="D17" s="19" t="s">
        <v>129</v>
      </c>
      <c r="E17" s="19"/>
      <c r="F17" s="19" t="s">
        <v>76</v>
      </c>
      <c r="G17" s="19" t="s">
        <v>21</v>
      </c>
      <c r="H17" s="20" t="str">
        <f aca="false">IF(A17="","",IF(COUNTIFS(Log!$B$5:$B$2000,A17)=0,"",SUMPRODUCT(MAX((Log!$B$5:$B$2000=A17)*Log!$A$5:$A$2000))))</f>
        <v/>
      </c>
      <c r="I17" s="19"/>
      <c r="J17" s="21"/>
      <c r="K17" s="19" t="s">
        <v>77</v>
      </c>
      <c r="L17" s="22" t="str">
        <f aca="true">IF(OR(A17="",J17=""),"",IF(J17&lt;TODAY(),"OVERDUE",IF(J17=TODAY(),"TODAY",IF(J17&lt;=TODAY()+7,"THIS WEEK",""))))</f>
        <v/>
      </c>
      <c r="M17" s="19" t="s">
        <v>130</v>
      </c>
      <c r="N17" s="23" t="s">
        <v>131</v>
      </c>
      <c r="O17" s="24" t="str">
        <f aca="true">IF(H17="","",TODAY()-H17)</f>
        <v/>
      </c>
    </row>
    <row r="18" customFormat="false" ht="54" hidden="false" customHeight="true" outlineLevel="0" collapsed="false">
      <c r="A18" s="18" t="s">
        <v>132</v>
      </c>
      <c r="B18" s="19" t="s">
        <v>43</v>
      </c>
      <c r="C18" s="19" t="s">
        <v>133</v>
      </c>
      <c r="D18" s="19" t="s">
        <v>134</v>
      </c>
      <c r="E18" s="19"/>
      <c r="F18" s="19" t="s">
        <v>76</v>
      </c>
      <c r="G18" s="19" t="s">
        <v>21</v>
      </c>
      <c r="H18" s="20" t="str">
        <f aca="false">IF(A18="","",IF(COUNTIFS(Log!$B$5:$B$2000,A18)=0,"",SUMPRODUCT(MAX((Log!$B$5:$B$2000=A18)*Log!$A$5:$A$2000))))</f>
        <v/>
      </c>
      <c r="I18" s="19"/>
      <c r="J18" s="21"/>
      <c r="K18" s="19" t="s">
        <v>77</v>
      </c>
      <c r="L18" s="22" t="str">
        <f aca="true">IF(OR(A18="",J18=""),"",IF(J18&lt;TODAY(),"OVERDUE",IF(J18=TODAY(),"TODAY",IF(J18&lt;=TODAY()+7,"THIS WEEK",""))))</f>
        <v/>
      </c>
      <c r="M18" s="19" t="s">
        <v>135</v>
      </c>
      <c r="N18" s="23" t="s">
        <v>136</v>
      </c>
      <c r="O18" s="24" t="str">
        <f aca="true">IF(H18="","",TODAY()-H18)</f>
        <v/>
      </c>
    </row>
    <row r="19" customFormat="false" ht="54" hidden="false" customHeight="true" outlineLevel="0" collapsed="false">
      <c r="A19" s="18" t="s">
        <v>137</v>
      </c>
      <c r="B19" s="19" t="s">
        <v>43</v>
      </c>
      <c r="C19" s="19" t="s">
        <v>138</v>
      </c>
      <c r="D19" s="19" t="s">
        <v>139</v>
      </c>
      <c r="E19" s="19"/>
      <c r="F19" s="19" t="s">
        <v>76</v>
      </c>
      <c r="G19" s="19" t="s">
        <v>21</v>
      </c>
      <c r="H19" s="20" t="str">
        <f aca="false">IF(A19="","",IF(COUNTIFS(Log!$B$5:$B$2000,A19)=0,"",SUMPRODUCT(MAX((Log!$B$5:$B$2000=A19)*Log!$A$5:$A$2000))))</f>
        <v/>
      </c>
      <c r="I19" s="19"/>
      <c r="J19" s="21"/>
      <c r="K19" s="19" t="s">
        <v>77</v>
      </c>
      <c r="L19" s="22" t="str">
        <f aca="true">IF(OR(A19="",J19=""),"",IF(J19&lt;TODAY(),"OVERDUE",IF(J19=TODAY(),"TODAY",IF(J19&lt;=TODAY()+7,"THIS WEEK",""))))</f>
        <v/>
      </c>
      <c r="M19" s="19" t="s">
        <v>140</v>
      </c>
      <c r="N19" s="23" t="s">
        <v>141</v>
      </c>
      <c r="O19" s="24" t="str">
        <f aca="true">IF(H19="","",TODAY()-H19)</f>
        <v/>
      </c>
    </row>
    <row r="20" customFormat="false" ht="54" hidden="false" customHeight="true" outlineLevel="0" collapsed="false">
      <c r="A20" s="18" t="s">
        <v>142</v>
      </c>
      <c r="B20" s="19" t="s">
        <v>43</v>
      </c>
      <c r="C20" s="19" t="s">
        <v>143</v>
      </c>
      <c r="D20" s="19" t="s">
        <v>144</v>
      </c>
      <c r="E20" s="19"/>
      <c r="F20" s="19" t="s">
        <v>76</v>
      </c>
      <c r="G20" s="19" t="s">
        <v>27</v>
      </c>
      <c r="H20" s="20" t="str">
        <f aca="false">IF(A20="","",IF(COUNTIFS(Log!$B$5:$B$2000,A20)=0,"",SUMPRODUCT(MAX((Log!$B$5:$B$2000=A20)*Log!$A$5:$A$2000))))</f>
        <v/>
      </c>
      <c r="I20" s="19"/>
      <c r="J20" s="21"/>
      <c r="K20" s="19" t="s">
        <v>77</v>
      </c>
      <c r="L20" s="22" t="str">
        <f aca="true">IF(OR(A20="",J20=""),"",IF(J20&lt;TODAY(),"OVERDUE",IF(J20=TODAY(),"TODAY",IF(J20&lt;=TODAY()+7,"THIS WEEK",""))))</f>
        <v/>
      </c>
      <c r="M20" s="19" t="s">
        <v>145</v>
      </c>
      <c r="N20" s="23" t="s">
        <v>146</v>
      </c>
      <c r="O20" s="24" t="str">
        <f aca="true">IF(H20="","",TODAY()-H20)</f>
        <v/>
      </c>
    </row>
    <row r="21" customFormat="false" ht="54" hidden="false" customHeight="true" outlineLevel="0" collapsed="false">
      <c r="A21" s="18" t="s">
        <v>147</v>
      </c>
      <c r="B21" s="19" t="s">
        <v>43</v>
      </c>
      <c r="C21" s="19" t="s">
        <v>148</v>
      </c>
      <c r="D21" s="19" t="s">
        <v>149</v>
      </c>
      <c r="E21" s="19"/>
      <c r="F21" s="19" t="s">
        <v>76</v>
      </c>
      <c r="G21" s="19" t="s">
        <v>21</v>
      </c>
      <c r="H21" s="20" t="str">
        <f aca="false">IF(A21="","",IF(COUNTIFS(Log!$B$5:$B$2000,A21)=0,"",SUMPRODUCT(MAX((Log!$B$5:$B$2000=A21)*Log!$A$5:$A$2000))))</f>
        <v/>
      </c>
      <c r="I21" s="19"/>
      <c r="J21" s="21"/>
      <c r="K21" s="19" t="s">
        <v>77</v>
      </c>
      <c r="L21" s="22" t="str">
        <f aca="true">IF(OR(A21="",J21=""),"",IF(J21&lt;TODAY(),"OVERDUE",IF(J21=TODAY(),"TODAY",IF(J21&lt;=TODAY()+7,"THIS WEEK",""))))</f>
        <v/>
      </c>
      <c r="M21" s="19" t="s">
        <v>150</v>
      </c>
      <c r="N21" s="23" t="s">
        <v>151</v>
      </c>
      <c r="O21" s="24" t="str">
        <f aca="true">IF(H21="","",TODAY()-H21)</f>
        <v/>
      </c>
    </row>
    <row r="22" customFormat="false" ht="54" hidden="false" customHeight="true" outlineLevel="0" collapsed="false">
      <c r="A22" s="18" t="s">
        <v>152</v>
      </c>
      <c r="B22" s="19" t="s">
        <v>43</v>
      </c>
      <c r="C22" s="19" t="s">
        <v>153</v>
      </c>
      <c r="D22" s="19" t="s">
        <v>154</v>
      </c>
      <c r="E22" s="19"/>
      <c r="F22" s="19" t="s">
        <v>76</v>
      </c>
      <c r="G22" s="19" t="s">
        <v>21</v>
      </c>
      <c r="H22" s="20" t="str">
        <f aca="false">IF(A22="","",IF(COUNTIFS(Log!$B$5:$B$2000,A22)=0,"",SUMPRODUCT(MAX((Log!$B$5:$B$2000=A22)*Log!$A$5:$A$2000))))</f>
        <v/>
      </c>
      <c r="I22" s="19"/>
      <c r="J22" s="21"/>
      <c r="K22" s="19" t="s">
        <v>77</v>
      </c>
      <c r="L22" s="22" t="str">
        <f aca="true">IF(OR(A22="",J22=""),"",IF(J22&lt;TODAY(),"OVERDUE",IF(J22=TODAY(),"TODAY",IF(J22&lt;=TODAY()+7,"THIS WEEK",""))))</f>
        <v/>
      </c>
      <c r="M22" s="19" t="s">
        <v>155</v>
      </c>
      <c r="N22" s="23" t="s">
        <v>156</v>
      </c>
      <c r="O22" s="24" t="str">
        <f aca="true">IF(H22="","",TODAY()-H22)</f>
        <v/>
      </c>
    </row>
    <row r="23" customFormat="false" ht="54" hidden="false" customHeight="true" outlineLevel="0" collapsed="false">
      <c r="A23" s="18" t="s">
        <v>157</v>
      </c>
      <c r="B23" s="19" t="s">
        <v>43</v>
      </c>
      <c r="C23" s="19" t="s">
        <v>158</v>
      </c>
      <c r="D23" s="19" t="s">
        <v>159</v>
      </c>
      <c r="E23" s="19"/>
      <c r="F23" s="19" t="s">
        <v>76</v>
      </c>
      <c r="G23" s="19" t="s">
        <v>21</v>
      </c>
      <c r="H23" s="20" t="str">
        <f aca="false">IF(A23="","",IF(COUNTIFS(Log!$B$5:$B$2000,A23)=0,"",SUMPRODUCT(MAX((Log!$B$5:$B$2000=A23)*Log!$A$5:$A$2000))))</f>
        <v/>
      </c>
      <c r="I23" s="19"/>
      <c r="J23" s="21"/>
      <c r="K23" s="19" t="s">
        <v>77</v>
      </c>
      <c r="L23" s="22" t="str">
        <f aca="true">IF(OR(A23="",J23=""),"",IF(J23&lt;TODAY(),"OVERDUE",IF(J23=TODAY(),"TODAY",IF(J23&lt;=TODAY()+7,"THIS WEEK",""))))</f>
        <v/>
      </c>
      <c r="M23" s="19" t="s">
        <v>160</v>
      </c>
      <c r="N23" s="23" t="s">
        <v>161</v>
      </c>
      <c r="O23" s="24" t="str">
        <f aca="true">IF(H23="","",TODAY()-H23)</f>
        <v/>
      </c>
    </row>
    <row r="24" customFormat="false" ht="54" hidden="false" customHeight="true" outlineLevel="0" collapsed="false">
      <c r="A24" s="18" t="s">
        <v>162</v>
      </c>
      <c r="B24" s="19" t="s">
        <v>43</v>
      </c>
      <c r="C24" s="19" t="s">
        <v>158</v>
      </c>
      <c r="D24" s="19" t="s">
        <v>163</v>
      </c>
      <c r="E24" s="19"/>
      <c r="F24" s="19" t="s">
        <v>76</v>
      </c>
      <c r="G24" s="19" t="s">
        <v>21</v>
      </c>
      <c r="H24" s="20" t="str">
        <f aca="false">IF(A24="","",IF(COUNTIFS(Log!$B$5:$B$2000,A24)=0,"",SUMPRODUCT(MAX((Log!$B$5:$B$2000=A24)*Log!$A$5:$A$2000))))</f>
        <v/>
      </c>
      <c r="I24" s="19"/>
      <c r="J24" s="21"/>
      <c r="K24" s="19" t="s">
        <v>77</v>
      </c>
      <c r="L24" s="22" t="str">
        <f aca="true">IF(OR(A24="",J24=""),"",IF(J24&lt;TODAY(),"OVERDUE",IF(J24=TODAY(),"TODAY",IF(J24&lt;=TODAY()+7,"THIS WEEK",""))))</f>
        <v/>
      </c>
      <c r="M24" s="19" t="s">
        <v>164</v>
      </c>
      <c r="N24" s="23" t="s">
        <v>161</v>
      </c>
      <c r="O24" s="24" t="str">
        <f aca="true">IF(H24="","",TODAY()-H24)</f>
        <v/>
      </c>
    </row>
    <row r="25" customFormat="false" ht="54" hidden="false" customHeight="true" outlineLevel="0" collapsed="false">
      <c r="A25" s="18" t="s">
        <v>165</v>
      </c>
      <c r="B25" s="19" t="s">
        <v>43</v>
      </c>
      <c r="C25" s="19" t="s">
        <v>158</v>
      </c>
      <c r="D25" s="19" t="s">
        <v>166</v>
      </c>
      <c r="E25" s="19"/>
      <c r="F25" s="19" t="s">
        <v>76</v>
      </c>
      <c r="G25" s="19" t="s">
        <v>21</v>
      </c>
      <c r="H25" s="20" t="str">
        <f aca="false">IF(A25="","",IF(COUNTIFS(Log!$B$5:$B$2000,A25)=0,"",SUMPRODUCT(MAX((Log!$B$5:$B$2000=A25)*Log!$A$5:$A$2000))))</f>
        <v/>
      </c>
      <c r="I25" s="19"/>
      <c r="J25" s="21"/>
      <c r="K25" s="19" t="s">
        <v>77</v>
      </c>
      <c r="L25" s="22" t="str">
        <f aca="true">IF(OR(A25="",J25=""),"",IF(J25&lt;TODAY(),"OVERDUE",IF(J25=TODAY(),"TODAY",IF(J25&lt;=TODAY()+7,"THIS WEEK",""))))</f>
        <v/>
      </c>
      <c r="M25" s="19" t="s">
        <v>167</v>
      </c>
      <c r="N25" s="23" t="s">
        <v>161</v>
      </c>
      <c r="O25" s="24" t="str">
        <f aca="true">IF(H25="","",TODAY()-H25)</f>
        <v/>
      </c>
    </row>
    <row r="26" customFormat="false" ht="54" hidden="false" customHeight="true" outlineLevel="0" collapsed="false">
      <c r="A26" s="18" t="s">
        <v>168</v>
      </c>
      <c r="B26" s="19" t="s">
        <v>43</v>
      </c>
      <c r="C26" s="19" t="s">
        <v>158</v>
      </c>
      <c r="D26" s="19" t="s">
        <v>169</v>
      </c>
      <c r="E26" s="19"/>
      <c r="F26" s="19" t="s">
        <v>76</v>
      </c>
      <c r="G26" s="19" t="s">
        <v>21</v>
      </c>
      <c r="H26" s="20" t="str">
        <f aca="false">IF(A26="","",IF(COUNTIFS(Log!$B$5:$B$2000,A26)=0,"",SUMPRODUCT(MAX((Log!$B$5:$B$2000=A26)*Log!$A$5:$A$2000))))</f>
        <v/>
      </c>
      <c r="I26" s="19"/>
      <c r="J26" s="21"/>
      <c r="K26" s="19" t="s">
        <v>77</v>
      </c>
      <c r="L26" s="22" t="str">
        <f aca="true">IF(OR(A26="",J26=""),"",IF(J26&lt;TODAY(),"OVERDUE",IF(J26=TODAY(),"TODAY",IF(J26&lt;=TODAY()+7,"THIS WEEK",""))))</f>
        <v/>
      </c>
      <c r="M26" s="19" t="s">
        <v>170</v>
      </c>
      <c r="N26" s="23" t="s">
        <v>161</v>
      </c>
      <c r="O26" s="24" t="str">
        <f aca="true">IF(H26="","",TODAY()-H26)</f>
        <v/>
      </c>
    </row>
    <row r="27" customFormat="false" ht="54" hidden="false" customHeight="true" outlineLevel="0" collapsed="false">
      <c r="A27" s="18" t="s">
        <v>171</v>
      </c>
      <c r="B27" s="19" t="s">
        <v>43</v>
      </c>
      <c r="C27" s="19" t="s">
        <v>172</v>
      </c>
      <c r="D27" s="19" t="s">
        <v>173</v>
      </c>
      <c r="E27" s="19"/>
      <c r="F27" s="19" t="s">
        <v>76</v>
      </c>
      <c r="G27" s="19" t="s">
        <v>21</v>
      </c>
      <c r="H27" s="20" t="str">
        <f aca="false">IF(A27="","",IF(COUNTIFS(Log!$B$5:$B$2000,A27)=0,"",SUMPRODUCT(MAX((Log!$B$5:$B$2000=A27)*Log!$A$5:$A$2000))))</f>
        <v/>
      </c>
      <c r="I27" s="19"/>
      <c r="J27" s="21"/>
      <c r="K27" s="19" t="s">
        <v>77</v>
      </c>
      <c r="L27" s="22" t="str">
        <f aca="true">IF(OR(A27="",J27=""),"",IF(J27&lt;TODAY(),"OVERDUE",IF(J27=TODAY(),"TODAY",IF(J27&lt;=TODAY()+7,"THIS WEEK",""))))</f>
        <v/>
      </c>
      <c r="M27" s="19" t="s">
        <v>174</v>
      </c>
      <c r="N27" s="23" t="s">
        <v>175</v>
      </c>
      <c r="O27" s="24" t="str">
        <f aca="true">IF(H27="","",TODAY()-H27)</f>
        <v/>
      </c>
    </row>
    <row r="28" customFormat="false" ht="54" hidden="false" customHeight="true" outlineLevel="0" collapsed="false">
      <c r="A28" s="18" t="s">
        <v>176</v>
      </c>
      <c r="B28" s="19" t="s">
        <v>43</v>
      </c>
      <c r="C28" s="19" t="s">
        <v>172</v>
      </c>
      <c r="D28" s="19" t="s">
        <v>177</v>
      </c>
      <c r="E28" s="19"/>
      <c r="F28" s="19" t="s">
        <v>76</v>
      </c>
      <c r="G28" s="19" t="s">
        <v>21</v>
      </c>
      <c r="H28" s="20" t="str">
        <f aca="false">IF(A28="","",IF(COUNTIFS(Log!$B$5:$B$2000,A28)=0,"",SUMPRODUCT(MAX((Log!$B$5:$B$2000=A28)*Log!$A$5:$A$2000))))</f>
        <v/>
      </c>
      <c r="I28" s="19"/>
      <c r="J28" s="21"/>
      <c r="K28" s="19" t="s">
        <v>77</v>
      </c>
      <c r="L28" s="22" t="str">
        <f aca="true">IF(OR(A28="",J28=""),"",IF(J28&lt;TODAY(),"OVERDUE",IF(J28=TODAY(),"TODAY",IF(J28&lt;=TODAY()+7,"THIS WEEK",""))))</f>
        <v/>
      </c>
      <c r="M28" s="19" t="s">
        <v>178</v>
      </c>
      <c r="N28" s="23" t="s">
        <v>179</v>
      </c>
      <c r="O28" s="24" t="str">
        <f aca="true">IF(H28="","",TODAY()-H28)</f>
        <v/>
      </c>
    </row>
    <row r="29" customFormat="false" ht="54" hidden="false" customHeight="true" outlineLevel="0" collapsed="false">
      <c r="A29" s="18" t="s">
        <v>180</v>
      </c>
      <c r="B29" s="19" t="s">
        <v>43</v>
      </c>
      <c r="C29" s="19" t="s">
        <v>181</v>
      </c>
      <c r="D29" s="19" t="s">
        <v>182</v>
      </c>
      <c r="E29" s="19"/>
      <c r="F29" s="19" t="s">
        <v>76</v>
      </c>
      <c r="G29" s="19" t="s">
        <v>21</v>
      </c>
      <c r="H29" s="20" t="str">
        <f aca="false">IF(A29="","",IF(COUNTIFS(Log!$B$5:$B$2000,A29)=0,"",SUMPRODUCT(MAX((Log!$B$5:$B$2000=A29)*Log!$A$5:$A$2000))))</f>
        <v/>
      </c>
      <c r="I29" s="19"/>
      <c r="J29" s="21"/>
      <c r="K29" s="19" t="s">
        <v>77</v>
      </c>
      <c r="L29" s="22" t="str">
        <f aca="true">IF(OR(A29="",J29=""),"",IF(J29&lt;TODAY(),"OVERDUE",IF(J29=TODAY(),"TODAY",IF(J29&lt;=TODAY()+7,"THIS WEEK",""))))</f>
        <v/>
      </c>
      <c r="M29" s="19" t="s">
        <v>130</v>
      </c>
      <c r="N29" s="23" t="s">
        <v>183</v>
      </c>
      <c r="O29" s="24" t="str">
        <f aca="true">IF(H29="","",TODAY()-H29)</f>
        <v/>
      </c>
    </row>
    <row r="30" customFormat="false" ht="54" hidden="false" customHeight="true" outlineLevel="0" collapsed="false">
      <c r="A30" s="18" t="s">
        <v>184</v>
      </c>
      <c r="B30" s="19" t="s">
        <v>43</v>
      </c>
      <c r="C30" s="19" t="s">
        <v>181</v>
      </c>
      <c r="D30" s="19" t="s">
        <v>185</v>
      </c>
      <c r="E30" s="19"/>
      <c r="F30" s="19" t="s">
        <v>76</v>
      </c>
      <c r="G30" s="19" t="s">
        <v>21</v>
      </c>
      <c r="H30" s="20" t="str">
        <f aca="false">IF(A30="","",IF(COUNTIFS(Log!$B$5:$B$2000,A30)=0,"",SUMPRODUCT(MAX((Log!$B$5:$B$2000=A30)*Log!$A$5:$A$2000))))</f>
        <v/>
      </c>
      <c r="I30" s="19"/>
      <c r="J30" s="21"/>
      <c r="K30" s="19" t="s">
        <v>77</v>
      </c>
      <c r="L30" s="22" t="str">
        <f aca="true">IF(OR(A30="",J30=""),"",IF(J30&lt;TODAY(),"OVERDUE",IF(J30=TODAY(),"TODAY",IF(J30&lt;=TODAY()+7,"THIS WEEK",""))))</f>
        <v/>
      </c>
      <c r="M30" s="19" t="s">
        <v>186</v>
      </c>
      <c r="N30" s="23" t="s">
        <v>187</v>
      </c>
      <c r="O30" s="24" t="str">
        <f aca="true">IF(H30="","",TODAY()-H30)</f>
        <v/>
      </c>
    </row>
    <row r="31" customFormat="false" ht="54" hidden="false" customHeight="true" outlineLevel="0" collapsed="false">
      <c r="A31" s="18" t="s">
        <v>188</v>
      </c>
      <c r="B31" s="19" t="s">
        <v>43</v>
      </c>
      <c r="C31" s="19" t="s">
        <v>189</v>
      </c>
      <c r="D31" s="19" t="s">
        <v>190</v>
      </c>
      <c r="E31" s="19"/>
      <c r="F31" s="19" t="s">
        <v>76</v>
      </c>
      <c r="G31" s="19" t="s">
        <v>21</v>
      </c>
      <c r="H31" s="20" t="str">
        <f aca="false">IF(A31="","",IF(COUNTIFS(Log!$B$5:$B$2000,A31)=0,"",SUMPRODUCT(MAX((Log!$B$5:$B$2000=A31)*Log!$A$5:$A$2000))))</f>
        <v/>
      </c>
      <c r="I31" s="19"/>
      <c r="J31" s="21"/>
      <c r="K31" s="19" t="s">
        <v>77</v>
      </c>
      <c r="L31" s="22" t="str">
        <f aca="true">IF(OR(A31="",J31=""),"",IF(J31&lt;TODAY(),"OVERDUE",IF(J31=TODAY(),"TODAY",IF(J31&lt;=TODAY()+7,"THIS WEEK",""))))</f>
        <v/>
      </c>
      <c r="M31" s="19" t="s">
        <v>102</v>
      </c>
      <c r="N31" s="23" t="s">
        <v>191</v>
      </c>
      <c r="O31" s="24" t="str">
        <f aca="true">IF(H31="","",TODAY()-H31)</f>
        <v/>
      </c>
    </row>
    <row r="32" customFormat="false" ht="54" hidden="false" customHeight="true" outlineLevel="0" collapsed="false">
      <c r="A32" s="18" t="s">
        <v>192</v>
      </c>
      <c r="B32" s="19" t="s">
        <v>43</v>
      </c>
      <c r="C32" s="19" t="s">
        <v>193</v>
      </c>
      <c r="D32" s="19" t="s">
        <v>194</v>
      </c>
      <c r="E32" s="19"/>
      <c r="F32" s="19" t="s">
        <v>76</v>
      </c>
      <c r="G32" s="19" t="s">
        <v>21</v>
      </c>
      <c r="H32" s="20" t="str">
        <f aca="false">IF(A32="","",IF(COUNTIFS(Log!$B$5:$B$2000,A32)=0,"",SUMPRODUCT(MAX((Log!$B$5:$B$2000=A32)*Log!$A$5:$A$2000))))</f>
        <v/>
      </c>
      <c r="I32" s="19"/>
      <c r="J32" s="21"/>
      <c r="K32" s="19" t="s">
        <v>77</v>
      </c>
      <c r="L32" s="22" t="str">
        <f aca="true">IF(OR(A32="",J32=""),"",IF(J32&lt;TODAY(),"OVERDUE",IF(J32=TODAY(),"TODAY",IF(J32&lt;=TODAY()+7,"THIS WEEK",""))))</f>
        <v/>
      </c>
      <c r="M32" s="19" t="s">
        <v>195</v>
      </c>
      <c r="N32" s="23" t="s">
        <v>196</v>
      </c>
      <c r="O32" s="24" t="str">
        <f aca="true">IF(H32="","",TODAY()-H32)</f>
        <v/>
      </c>
    </row>
    <row r="33" customFormat="false" ht="54" hidden="false" customHeight="true" outlineLevel="0" collapsed="false">
      <c r="A33" s="18" t="s">
        <v>197</v>
      </c>
      <c r="B33" s="19" t="s">
        <v>43</v>
      </c>
      <c r="C33" s="19" t="s">
        <v>198</v>
      </c>
      <c r="D33" s="19" t="s">
        <v>199</v>
      </c>
      <c r="E33" s="19"/>
      <c r="F33" s="19" t="s">
        <v>76</v>
      </c>
      <c r="G33" s="19" t="s">
        <v>21</v>
      </c>
      <c r="H33" s="20" t="str">
        <f aca="false">IF(A33="","",IF(COUNTIFS(Log!$B$5:$B$2000,A33)=0,"",SUMPRODUCT(MAX((Log!$B$5:$B$2000=A33)*Log!$A$5:$A$2000))))</f>
        <v/>
      </c>
      <c r="I33" s="19"/>
      <c r="J33" s="21"/>
      <c r="K33" s="19" t="s">
        <v>77</v>
      </c>
      <c r="L33" s="22" t="str">
        <f aca="true">IF(OR(A33="",J33=""),"",IF(J33&lt;TODAY(),"OVERDUE",IF(J33=TODAY(),"TODAY",IF(J33&lt;=TODAY()+7,"THIS WEEK",""))))</f>
        <v/>
      </c>
      <c r="M33" s="19" t="s">
        <v>200</v>
      </c>
      <c r="N33" s="23" t="s">
        <v>201</v>
      </c>
      <c r="O33" s="24" t="str">
        <f aca="true">IF(H33="","",TODAY()-H33)</f>
        <v/>
      </c>
    </row>
    <row r="34" customFormat="false" ht="54" hidden="false" customHeight="true" outlineLevel="0" collapsed="false">
      <c r="A34" s="18" t="s">
        <v>202</v>
      </c>
      <c r="B34" s="19" t="s">
        <v>43</v>
      </c>
      <c r="C34" s="19" t="s">
        <v>203</v>
      </c>
      <c r="D34" s="19" t="s">
        <v>204</v>
      </c>
      <c r="E34" s="19"/>
      <c r="F34" s="19" t="s">
        <v>76</v>
      </c>
      <c r="G34" s="19" t="s">
        <v>21</v>
      </c>
      <c r="H34" s="20" t="str">
        <f aca="false">IF(A34="","",IF(COUNTIFS(Log!$B$5:$B$2000,A34)=0,"",SUMPRODUCT(MAX((Log!$B$5:$B$2000=A34)*Log!$A$5:$A$2000))))</f>
        <v/>
      </c>
      <c r="I34" s="19"/>
      <c r="J34" s="21"/>
      <c r="K34" s="19" t="s">
        <v>77</v>
      </c>
      <c r="L34" s="22" t="str">
        <f aca="true">IF(OR(A34="",J34=""),"",IF(J34&lt;TODAY(),"OVERDUE",IF(J34=TODAY(),"TODAY",IF(J34&lt;=TODAY()+7,"THIS WEEK",""))))</f>
        <v/>
      </c>
      <c r="M34" s="19" t="s">
        <v>205</v>
      </c>
      <c r="N34" s="23" t="s">
        <v>206</v>
      </c>
      <c r="O34" s="24" t="str">
        <f aca="true">IF(H34="","",TODAY()-H34)</f>
        <v/>
      </c>
    </row>
    <row r="35" customFormat="false" ht="54" hidden="false" customHeight="true" outlineLevel="0" collapsed="false">
      <c r="A35" s="18" t="s">
        <v>207</v>
      </c>
      <c r="B35" s="19" t="s">
        <v>43</v>
      </c>
      <c r="C35" s="19" t="s">
        <v>208</v>
      </c>
      <c r="D35" s="19" t="s">
        <v>209</v>
      </c>
      <c r="E35" s="19"/>
      <c r="F35" s="19" t="s">
        <v>76</v>
      </c>
      <c r="G35" s="19" t="s">
        <v>21</v>
      </c>
      <c r="H35" s="20" t="str">
        <f aca="false">IF(A35="","",IF(COUNTIFS(Log!$B$5:$B$2000,A35)=0,"",SUMPRODUCT(MAX((Log!$B$5:$B$2000=A35)*Log!$A$5:$A$2000))))</f>
        <v/>
      </c>
      <c r="I35" s="19"/>
      <c r="J35" s="21"/>
      <c r="K35" s="19" t="s">
        <v>77</v>
      </c>
      <c r="L35" s="22" t="str">
        <f aca="true">IF(OR(A35="",J35=""),"",IF(J35&lt;TODAY(),"OVERDUE",IF(J35=TODAY(),"TODAY",IF(J35&lt;=TODAY()+7,"THIS WEEK",""))))</f>
        <v/>
      </c>
      <c r="M35" s="19" t="s">
        <v>210</v>
      </c>
      <c r="N35" s="23" t="s">
        <v>211</v>
      </c>
      <c r="O35" s="24" t="str">
        <f aca="true">IF(H35="","",TODAY()-H35)</f>
        <v/>
      </c>
    </row>
    <row r="36" customFormat="false" ht="54" hidden="false" customHeight="true" outlineLevel="0" collapsed="false">
      <c r="A36" s="18" t="s">
        <v>212</v>
      </c>
      <c r="B36" s="19" t="s">
        <v>43</v>
      </c>
      <c r="C36" s="19" t="s">
        <v>208</v>
      </c>
      <c r="D36" s="19" t="s">
        <v>213</v>
      </c>
      <c r="E36" s="19"/>
      <c r="F36" s="19" t="s">
        <v>76</v>
      </c>
      <c r="G36" s="19" t="s">
        <v>21</v>
      </c>
      <c r="H36" s="20" t="str">
        <f aca="false">IF(A36="","",IF(COUNTIFS(Log!$B$5:$B$2000,A36)=0,"",SUMPRODUCT(MAX((Log!$B$5:$B$2000=A36)*Log!$A$5:$A$2000))))</f>
        <v/>
      </c>
      <c r="I36" s="19"/>
      <c r="J36" s="21"/>
      <c r="K36" s="19" t="s">
        <v>77</v>
      </c>
      <c r="L36" s="22" t="str">
        <f aca="true">IF(OR(A36="",J36=""),"",IF(J36&lt;TODAY(),"OVERDUE",IF(J36=TODAY(),"TODAY",IF(J36&lt;=TODAY()+7,"THIS WEEK",""))))</f>
        <v/>
      </c>
      <c r="M36" s="19" t="s">
        <v>214</v>
      </c>
      <c r="N36" s="23" t="s">
        <v>215</v>
      </c>
      <c r="O36" s="24" t="str">
        <f aca="true">IF(H36="","",TODAY()-H36)</f>
        <v/>
      </c>
    </row>
    <row r="37" customFormat="false" ht="54" hidden="false" customHeight="true" outlineLevel="0" collapsed="false">
      <c r="A37" s="18" t="s">
        <v>216</v>
      </c>
      <c r="B37" s="19" t="s">
        <v>43</v>
      </c>
      <c r="C37" s="19" t="s">
        <v>208</v>
      </c>
      <c r="D37" s="19" t="s">
        <v>217</v>
      </c>
      <c r="E37" s="19"/>
      <c r="F37" s="19" t="s">
        <v>76</v>
      </c>
      <c r="G37" s="19" t="s">
        <v>21</v>
      </c>
      <c r="H37" s="20" t="str">
        <f aca="false">IF(A37="","",IF(COUNTIFS(Log!$B$5:$B$2000,A37)=0,"",SUMPRODUCT(MAX((Log!$B$5:$B$2000=A37)*Log!$A$5:$A$2000))))</f>
        <v/>
      </c>
      <c r="I37" s="19"/>
      <c r="J37" s="21"/>
      <c r="K37" s="19" t="s">
        <v>77</v>
      </c>
      <c r="L37" s="22" t="str">
        <f aca="true">IF(OR(A37="",J37=""),"",IF(J37&lt;TODAY(),"OVERDUE",IF(J37=TODAY(),"TODAY",IF(J37&lt;=TODAY()+7,"THIS WEEK",""))))</f>
        <v/>
      </c>
      <c r="M37" s="19" t="s">
        <v>218</v>
      </c>
      <c r="N37" s="23" t="s">
        <v>219</v>
      </c>
      <c r="O37" s="24" t="str">
        <f aca="true">IF(H37="","",TODAY()-H37)</f>
        <v/>
      </c>
    </row>
    <row r="38" customFormat="false" ht="54" hidden="false" customHeight="true" outlineLevel="0" collapsed="false">
      <c r="A38" s="18" t="s">
        <v>220</v>
      </c>
      <c r="B38" s="19" t="s">
        <v>43</v>
      </c>
      <c r="C38" s="19" t="s">
        <v>221</v>
      </c>
      <c r="D38" s="19" t="s">
        <v>222</v>
      </c>
      <c r="E38" s="19"/>
      <c r="F38" s="19" t="s">
        <v>76</v>
      </c>
      <c r="G38" s="19" t="s">
        <v>21</v>
      </c>
      <c r="H38" s="20" t="str">
        <f aca="false">IF(A38="","",IF(COUNTIFS(Log!$B$5:$B$2000,A38)=0,"",SUMPRODUCT(MAX((Log!$B$5:$B$2000=A38)*Log!$A$5:$A$2000))))</f>
        <v/>
      </c>
      <c r="I38" s="19"/>
      <c r="J38" s="21"/>
      <c r="K38" s="19" t="s">
        <v>77</v>
      </c>
      <c r="L38" s="22" t="str">
        <f aca="true">IF(OR(A38="",J38=""),"",IF(J38&lt;TODAY(),"OVERDUE",IF(J38=TODAY(),"TODAY",IF(J38&lt;=TODAY()+7,"THIS WEEK",""))))</f>
        <v/>
      </c>
      <c r="M38" s="19" t="s">
        <v>102</v>
      </c>
      <c r="N38" s="23" t="s">
        <v>223</v>
      </c>
      <c r="O38" s="24" t="str">
        <f aca="true">IF(H38="","",TODAY()-H38)</f>
        <v/>
      </c>
    </row>
    <row r="39" customFormat="false" ht="54" hidden="false" customHeight="true" outlineLevel="0" collapsed="false">
      <c r="A39" s="18" t="s">
        <v>224</v>
      </c>
      <c r="B39" s="19" t="s">
        <v>43</v>
      </c>
      <c r="C39" s="19" t="s">
        <v>225</v>
      </c>
      <c r="D39" s="19" t="s">
        <v>226</v>
      </c>
      <c r="E39" s="19"/>
      <c r="F39" s="19" t="s">
        <v>76</v>
      </c>
      <c r="G39" s="19" t="s">
        <v>21</v>
      </c>
      <c r="H39" s="20" t="str">
        <f aca="false">IF(A39="","",IF(COUNTIFS(Log!$B$5:$B$2000,A39)=0,"",SUMPRODUCT(MAX((Log!$B$5:$B$2000=A39)*Log!$A$5:$A$2000))))</f>
        <v/>
      </c>
      <c r="I39" s="19"/>
      <c r="J39" s="21"/>
      <c r="K39" s="19" t="s">
        <v>77</v>
      </c>
      <c r="L39" s="22" t="str">
        <f aca="true">IF(OR(A39="",J39=""),"",IF(J39&lt;TODAY(),"OVERDUE",IF(J39=TODAY(),"TODAY",IF(J39&lt;=TODAY()+7,"THIS WEEK",""))))</f>
        <v/>
      </c>
      <c r="M39" s="19" t="s">
        <v>102</v>
      </c>
      <c r="N39" s="23" t="s">
        <v>227</v>
      </c>
      <c r="O39" s="24" t="str">
        <f aca="true">IF(H39="","",TODAY()-H39)</f>
        <v/>
      </c>
    </row>
    <row r="40" customFormat="false" ht="54" hidden="false" customHeight="true" outlineLevel="0" collapsed="false">
      <c r="A40" s="18" t="s">
        <v>228</v>
      </c>
      <c r="B40" s="19" t="s">
        <v>43</v>
      </c>
      <c r="C40" s="19" t="s">
        <v>225</v>
      </c>
      <c r="D40" s="19" t="s">
        <v>229</v>
      </c>
      <c r="E40" s="19"/>
      <c r="F40" s="19" t="s">
        <v>76</v>
      </c>
      <c r="G40" s="19" t="s">
        <v>21</v>
      </c>
      <c r="H40" s="20" t="str">
        <f aca="false">IF(A40="","",IF(COUNTIFS(Log!$B$5:$B$2000,A40)=0,"",SUMPRODUCT(MAX((Log!$B$5:$B$2000=A40)*Log!$A$5:$A$2000))))</f>
        <v/>
      </c>
      <c r="I40" s="19"/>
      <c r="J40" s="21"/>
      <c r="K40" s="19" t="s">
        <v>77</v>
      </c>
      <c r="L40" s="22" t="str">
        <f aca="true">IF(OR(A40="",J40=""),"",IF(J40&lt;TODAY(),"OVERDUE",IF(J40=TODAY(),"TODAY",IF(J40&lt;=TODAY()+7,"THIS WEEK",""))))</f>
        <v/>
      </c>
      <c r="M40" s="19" t="s">
        <v>230</v>
      </c>
      <c r="N40" s="23" t="s">
        <v>231</v>
      </c>
      <c r="O40" s="24" t="str">
        <f aca="true">IF(H40="","",TODAY()-H40)</f>
        <v/>
      </c>
    </row>
    <row r="41" customFormat="false" ht="54" hidden="false" customHeight="true" outlineLevel="0" collapsed="false">
      <c r="A41" s="18" t="s">
        <v>232</v>
      </c>
      <c r="B41" s="19" t="s">
        <v>43</v>
      </c>
      <c r="C41" s="19" t="s">
        <v>225</v>
      </c>
      <c r="D41" s="19" t="s">
        <v>233</v>
      </c>
      <c r="E41" s="19"/>
      <c r="F41" s="19" t="s">
        <v>76</v>
      </c>
      <c r="G41" s="19" t="s">
        <v>21</v>
      </c>
      <c r="H41" s="20" t="str">
        <f aca="false">IF(A41="","",IF(COUNTIFS(Log!$B$5:$B$2000,A41)=0,"",SUMPRODUCT(MAX((Log!$B$5:$B$2000=A41)*Log!$A$5:$A$2000))))</f>
        <v/>
      </c>
      <c r="I41" s="19"/>
      <c r="J41" s="21"/>
      <c r="K41" s="19" t="s">
        <v>77</v>
      </c>
      <c r="L41" s="22" t="str">
        <f aca="true">IF(OR(A41="",J41=""),"",IF(J41&lt;TODAY(),"OVERDUE",IF(J41=TODAY(),"TODAY",IF(J41&lt;=TODAY()+7,"THIS WEEK",""))))</f>
        <v/>
      </c>
      <c r="M41" s="19" t="s">
        <v>234</v>
      </c>
      <c r="N41" s="23" t="s">
        <v>235</v>
      </c>
      <c r="O41" s="24" t="str">
        <f aca="true">IF(H41="","",TODAY()-H41)</f>
        <v/>
      </c>
    </row>
    <row r="42" customFormat="false" ht="54" hidden="false" customHeight="true" outlineLevel="0" collapsed="false">
      <c r="A42" s="18" t="s">
        <v>236</v>
      </c>
      <c r="B42" s="19" t="s">
        <v>43</v>
      </c>
      <c r="C42" s="19" t="s">
        <v>225</v>
      </c>
      <c r="D42" s="19" t="s">
        <v>237</v>
      </c>
      <c r="E42" s="19"/>
      <c r="F42" s="19" t="s">
        <v>76</v>
      </c>
      <c r="G42" s="19" t="s">
        <v>21</v>
      </c>
      <c r="H42" s="20" t="str">
        <f aca="false">IF(A42="","",IF(COUNTIFS(Log!$B$5:$B$2000,A42)=0,"",SUMPRODUCT(MAX((Log!$B$5:$B$2000=A42)*Log!$A$5:$A$2000))))</f>
        <v/>
      </c>
      <c r="I42" s="19"/>
      <c r="J42" s="21"/>
      <c r="K42" s="19" t="s">
        <v>77</v>
      </c>
      <c r="L42" s="22" t="str">
        <f aca="true">IF(OR(A42="",J42=""),"",IF(J42&lt;TODAY(),"OVERDUE",IF(J42=TODAY(),"TODAY",IF(J42&lt;=TODAY()+7,"THIS WEEK",""))))</f>
        <v/>
      </c>
      <c r="M42" s="19" t="s">
        <v>238</v>
      </c>
      <c r="N42" s="23" t="s">
        <v>239</v>
      </c>
      <c r="O42" s="24" t="str">
        <f aca="true">IF(H42="","",TODAY()-H42)</f>
        <v/>
      </c>
    </row>
    <row r="43" customFormat="false" ht="54" hidden="false" customHeight="true" outlineLevel="0" collapsed="false">
      <c r="A43" s="18" t="s">
        <v>240</v>
      </c>
      <c r="B43" s="19" t="s">
        <v>43</v>
      </c>
      <c r="C43" s="19" t="s">
        <v>241</v>
      </c>
      <c r="D43" s="19" t="s">
        <v>242</v>
      </c>
      <c r="E43" s="19"/>
      <c r="F43" s="19" t="s">
        <v>76</v>
      </c>
      <c r="G43" s="19" t="s">
        <v>21</v>
      </c>
      <c r="H43" s="20" t="str">
        <f aca="false">IF(A43="","",IF(COUNTIFS(Log!$B$5:$B$2000,A43)=0,"",SUMPRODUCT(MAX((Log!$B$5:$B$2000=A43)*Log!$A$5:$A$2000))))</f>
        <v/>
      </c>
      <c r="I43" s="19"/>
      <c r="J43" s="21"/>
      <c r="K43" s="19" t="s">
        <v>77</v>
      </c>
      <c r="L43" s="22" t="str">
        <f aca="true">IF(OR(A43="",J43=""),"",IF(J43&lt;TODAY(),"OVERDUE",IF(J43=TODAY(),"TODAY",IF(J43&lt;=TODAY()+7,"THIS WEEK",""))))</f>
        <v/>
      </c>
      <c r="M43" s="19" t="s">
        <v>243</v>
      </c>
      <c r="N43" s="23" t="s">
        <v>244</v>
      </c>
      <c r="O43" s="24" t="str">
        <f aca="true">IF(H43="","",TODAY()-H43)</f>
        <v/>
      </c>
    </row>
    <row r="44" customFormat="false" ht="54" hidden="false" customHeight="true" outlineLevel="0" collapsed="false">
      <c r="A44" s="18" t="s">
        <v>245</v>
      </c>
      <c r="B44" s="19" t="s">
        <v>43</v>
      </c>
      <c r="C44" s="19" t="s">
        <v>246</v>
      </c>
      <c r="D44" s="19" t="s">
        <v>247</v>
      </c>
      <c r="E44" s="19"/>
      <c r="F44" s="19" t="s">
        <v>76</v>
      </c>
      <c r="G44" s="19" t="s">
        <v>21</v>
      </c>
      <c r="H44" s="20" t="str">
        <f aca="false">IF(A44="","",IF(COUNTIFS(Log!$B$5:$B$2000,A44)=0,"",SUMPRODUCT(MAX((Log!$B$5:$B$2000=A44)*Log!$A$5:$A$2000))))</f>
        <v/>
      </c>
      <c r="I44" s="19"/>
      <c r="J44" s="21"/>
      <c r="K44" s="19" t="s">
        <v>77</v>
      </c>
      <c r="L44" s="22" t="str">
        <f aca="true">IF(OR(A44="",J44=""),"",IF(J44&lt;TODAY(),"OVERDUE",IF(J44=TODAY(),"TODAY",IF(J44&lt;=TODAY()+7,"THIS WEEK",""))))</f>
        <v/>
      </c>
      <c r="M44" s="19" t="s">
        <v>248</v>
      </c>
      <c r="N44" s="23" t="s">
        <v>249</v>
      </c>
      <c r="O44" s="24" t="str">
        <f aca="true">IF(H44="","",TODAY()-H44)</f>
        <v/>
      </c>
    </row>
    <row r="45" customFormat="false" ht="54" hidden="false" customHeight="true" outlineLevel="0" collapsed="false">
      <c r="A45" s="18" t="s">
        <v>250</v>
      </c>
      <c r="B45" s="19" t="s">
        <v>43</v>
      </c>
      <c r="C45" s="19" t="s">
        <v>246</v>
      </c>
      <c r="D45" s="19" t="s">
        <v>251</v>
      </c>
      <c r="E45" s="19"/>
      <c r="F45" s="19" t="s">
        <v>76</v>
      </c>
      <c r="G45" s="19" t="s">
        <v>21</v>
      </c>
      <c r="H45" s="20" t="str">
        <f aca="false">IF(A45="","",IF(COUNTIFS(Log!$B$5:$B$2000,A45)=0,"",SUMPRODUCT(MAX((Log!$B$5:$B$2000=A45)*Log!$A$5:$A$2000))))</f>
        <v/>
      </c>
      <c r="I45" s="19"/>
      <c r="J45" s="21"/>
      <c r="K45" s="19" t="s">
        <v>77</v>
      </c>
      <c r="L45" s="22" t="str">
        <f aca="true">IF(OR(A45="",J45=""),"",IF(J45&lt;TODAY(),"OVERDUE",IF(J45=TODAY(),"TODAY",IF(J45&lt;=TODAY()+7,"THIS WEEK",""))))</f>
        <v/>
      </c>
      <c r="M45" s="19" t="s">
        <v>252</v>
      </c>
      <c r="N45" s="23" t="s">
        <v>253</v>
      </c>
      <c r="O45" s="24" t="str">
        <f aca="true">IF(H45="","",TODAY()-H45)</f>
        <v/>
      </c>
    </row>
    <row r="46" customFormat="false" ht="54" hidden="false" customHeight="true" outlineLevel="0" collapsed="false">
      <c r="A46" s="18" t="s">
        <v>254</v>
      </c>
      <c r="B46" s="19" t="s">
        <v>43</v>
      </c>
      <c r="C46" s="19" t="s">
        <v>255</v>
      </c>
      <c r="D46" s="19" t="s">
        <v>256</v>
      </c>
      <c r="E46" s="19"/>
      <c r="F46" s="19" t="s">
        <v>76</v>
      </c>
      <c r="G46" s="19" t="s">
        <v>21</v>
      </c>
      <c r="H46" s="20" t="str">
        <f aca="false">IF(A46="","",IF(COUNTIFS(Log!$B$5:$B$2000,A46)=0,"",SUMPRODUCT(MAX((Log!$B$5:$B$2000=A46)*Log!$A$5:$A$2000))))</f>
        <v/>
      </c>
      <c r="I46" s="19"/>
      <c r="J46" s="21"/>
      <c r="K46" s="19" t="s">
        <v>77</v>
      </c>
      <c r="L46" s="22" t="str">
        <f aca="true">IF(OR(A46="",J46=""),"",IF(J46&lt;TODAY(),"OVERDUE",IF(J46=TODAY(),"TODAY",IF(J46&lt;=TODAY()+7,"THIS WEEK",""))))</f>
        <v/>
      </c>
      <c r="M46" s="19" t="s">
        <v>257</v>
      </c>
      <c r="N46" s="23" t="s">
        <v>258</v>
      </c>
      <c r="O46" s="24" t="str">
        <f aca="true">IF(H46="","",TODAY()-H46)</f>
        <v/>
      </c>
    </row>
    <row r="47" customFormat="false" ht="54" hidden="false" customHeight="true" outlineLevel="0" collapsed="false">
      <c r="A47" s="18" t="s">
        <v>259</v>
      </c>
      <c r="B47" s="19" t="s">
        <v>43</v>
      </c>
      <c r="C47" s="19" t="s">
        <v>260</v>
      </c>
      <c r="D47" s="19" t="s">
        <v>261</v>
      </c>
      <c r="E47" s="19"/>
      <c r="F47" s="19" t="s">
        <v>76</v>
      </c>
      <c r="G47" s="19" t="s">
        <v>21</v>
      </c>
      <c r="H47" s="20" t="str">
        <f aca="false">IF(A47="","",IF(COUNTIFS(Log!$B$5:$B$2000,A47)=0,"",SUMPRODUCT(MAX((Log!$B$5:$B$2000=A47)*Log!$A$5:$A$2000))))</f>
        <v/>
      </c>
      <c r="I47" s="19"/>
      <c r="J47" s="21"/>
      <c r="K47" s="19" t="s">
        <v>77</v>
      </c>
      <c r="L47" s="22" t="str">
        <f aca="true">IF(OR(A47="",J47=""),"",IF(J47&lt;TODAY(),"OVERDUE",IF(J47=TODAY(),"TODAY",IF(J47&lt;=TODAY()+7,"THIS WEEK",""))))</f>
        <v/>
      </c>
      <c r="M47" s="19" t="s">
        <v>262</v>
      </c>
      <c r="N47" s="23" t="s">
        <v>263</v>
      </c>
      <c r="O47" s="24" t="str">
        <f aca="true">IF(H47="","",TODAY()-H47)</f>
        <v/>
      </c>
    </row>
    <row r="48" customFormat="false" ht="54" hidden="false" customHeight="true" outlineLevel="0" collapsed="false">
      <c r="A48" s="18" t="s">
        <v>264</v>
      </c>
      <c r="B48" s="19" t="s">
        <v>43</v>
      </c>
      <c r="C48" s="19" t="s">
        <v>265</v>
      </c>
      <c r="D48" s="19" t="s">
        <v>266</v>
      </c>
      <c r="E48" s="19"/>
      <c r="F48" s="19" t="s">
        <v>76</v>
      </c>
      <c r="G48" s="19" t="s">
        <v>21</v>
      </c>
      <c r="H48" s="20" t="str">
        <f aca="false">IF(A48="","",IF(COUNTIFS(Log!$B$5:$B$2000,A48)=0,"",SUMPRODUCT(MAX((Log!$B$5:$B$2000=A48)*Log!$A$5:$A$2000))))</f>
        <v/>
      </c>
      <c r="I48" s="19"/>
      <c r="J48" s="21"/>
      <c r="K48" s="19" t="s">
        <v>77</v>
      </c>
      <c r="L48" s="22" t="str">
        <f aca="true">IF(OR(A48="",J48=""),"",IF(J48&lt;TODAY(),"OVERDUE",IF(J48=TODAY(),"TODAY",IF(J48&lt;=TODAY()+7,"THIS WEEK",""))))</f>
        <v/>
      </c>
      <c r="M48" s="19" t="s">
        <v>267</v>
      </c>
      <c r="N48" s="23" t="s">
        <v>268</v>
      </c>
      <c r="O48" s="24" t="str">
        <f aca="true">IF(H48="","",TODAY()-H48)</f>
        <v/>
      </c>
    </row>
    <row r="49" customFormat="false" ht="54" hidden="false" customHeight="true" outlineLevel="0" collapsed="false">
      <c r="A49" s="18" t="s">
        <v>269</v>
      </c>
      <c r="B49" s="19" t="s">
        <v>43</v>
      </c>
      <c r="C49" s="19" t="s">
        <v>270</v>
      </c>
      <c r="D49" s="19" t="s">
        <v>271</v>
      </c>
      <c r="E49" s="19"/>
      <c r="F49" s="19" t="s">
        <v>76</v>
      </c>
      <c r="G49" s="19" t="s">
        <v>21</v>
      </c>
      <c r="H49" s="20" t="str">
        <f aca="false">IF(A49="","",IF(COUNTIFS(Log!$B$5:$B$2000,A49)=0,"",SUMPRODUCT(MAX((Log!$B$5:$B$2000=A49)*Log!$A$5:$A$2000))))</f>
        <v/>
      </c>
      <c r="I49" s="19"/>
      <c r="J49" s="21"/>
      <c r="K49" s="19" t="s">
        <v>77</v>
      </c>
      <c r="L49" s="22" t="str">
        <f aca="true">IF(OR(A49="",J49=""),"",IF(J49&lt;TODAY(),"OVERDUE",IF(J49=TODAY(),"TODAY",IF(J49&lt;=TODAY()+7,"THIS WEEK",""))))</f>
        <v/>
      </c>
      <c r="M49" s="19" t="s">
        <v>130</v>
      </c>
      <c r="N49" s="23" t="s">
        <v>272</v>
      </c>
      <c r="O49" s="24" t="str">
        <f aca="true">IF(H49="","",TODAY()-H49)</f>
        <v/>
      </c>
    </row>
    <row r="50" customFormat="false" ht="54" hidden="false" customHeight="true" outlineLevel="0" collapsed="false">
      <c r="A50" s="18" t="s">
        <v>273</v>
      </c>
      <c r="B50" s="19" t="s">
        <v>43</v>
      </c>
      <c r="C50" s="19" t="s">
        <v>274</v>
      </c>
      <c r="D50" s="19" t="s">
        <v>275</v>
      </c>
      <c r="E50" s="19"/>
      <c r="F50" s="19" t="s">
        <v>76</v>
      </c>
      <c r="G50" s="19" t="s">
        <v>21</v>
      </c>
      <c r="H50" s="20" t="str">
        <f aca="false">IF(A50="","",IF(COUNTIFS(Log!$B$5:$B$2000,A50)=0,"",SUMPRODUCT(MAX((Log!$B$5:$B$2000=A50)*Log!$A$5:$A$2000))))</f>
        <v/>
      </c>
      <c r="I50" s="19"/>
      <c r="J50" s="21"/>
      <c r="K50" s="19" t="s">
        <v>77</v>
      </c>
      <c r="L50" s="22" t="str">
        <f aca="true">IF(OR(A50="",J50=""),"",IF(J50&lt;TODAY(),"OVERDUE",IF(J50=TODAY(),"TODAY",IF(J50&lt;=TODAY()+7,"THIS WEEK",""))))</f>
        <v/>
      </c>
      <c r="M50" s="19" t="s">
        <v>276</v>
      </c>
      <c r="N50" s="23" t="s">
        <v>277</v>
      </c>
      <c r="O50" s="24" t="str">
        <f aca="true">IF(H50="","",TODAY()-H50)</f>
        <v/>
      </c>
    </row>
    <row r="51" customFormat="false" ht="54" hidden="false" customHeight="true" outlineLevel="0" collapsed="false">
      <c r="A51" s="18" t="s">
        <v>278</v>
      </c>
      <c r="B51" s="19" t="s">
        <v>47</v>
      </c>
      <c r="C51" s="19" t="s">
        <v>279</v>
      </c>
      <c r="D51" s="19" t="s">
        <v>280</v>
      </c>
      <c r="E51" s="19" t="s">
        <v>281</v>
      </c>
      <c r="F51" s="19" t="s">
        <v>76</v>
      </c>
      <c r="G51" s="19" t="s">
        <v>25</v>
      </c>
      <c r="H51" s="20" t="str">
        <f aca="false">IF(A51="","",IF(COUNTIFS(Log!$B$5:$B$2000,A51)=0,"",SUMPRODUCT(MAX((Log!$B$5:$B$2000=A51)*Log!$A$5:$A$2000))))</f>
        <v/>
      </c>
      <c r="I51" s="19"/>
      <c r="J51" s="21"/>
      <c r="K51" s="19" t="s">
        <v>77</v>
      </c>
      <c r="L51" s="22" t="str">
        <f aca="true">IF(OR(A51="",J51=""),"",IF(J51&lt;TODAY(),"OVERDUE",IF(J51=TODAY(),"TODAY",IF(J51&lt;=TODAY()+7,"THIS WEEK",""))))</f>
        <v/>
      </c>
      <c r="M51" s="19" t="s">
        <v>282</v>
      </c>
      <c r="N51" s="23" t="s">
        <v>281</v>
      </c>
      <c r="O51" s="24" t="str">
        <f aca="true">IF(H51="","",TODAY()-H51)</f>
        <v/>
      </c>
    </row>
    <row r="52" customFormat="false" ht="54" hidden="false" customHeight="true" outlineLevel="0" collapsed="false">
      <c r="A52" s="18" t="s">
        <v>283</v>
      </c>
      <c r="B52" s="19" t="s">
        <v>44</v>
      </c>
      <c r="C52" s="19" t="s">
        <v>284</v>
      </c>
      <c r="D52" s="19" t="s">
        <v>285</v>
      </c>
      <c r="E52" s="19" t="s">
        <v>286</v>
      </c>
      <c r="F52" s="19" t="s">
        <v>76</v>
      </c>
      <c r="G52" s="19" t="s">
        <v>21</v>
      </c>
      <c r="H52" s="20" t="str">
        <f aca="false">IF(A52="","",IF(COUNTIFS(Log!$B$5:$B$2000,A52)=0,"",SUMPRODUCT(MAX((Log!$B$5:$B$2000=A52)*Log!$A$5:$A$2000))))</f>
        <v/>
      </c>
      <c r="I52" s="19"/>
      <c r="J52" s="21"/>
      <c r="K52" s="19" t="s">
        <v>77</v>
      </c>
      <c r="L52" s="22" t="str">
        <f aca="true">IF(OR(A52="",J52=""),"",IF(J52&lt;TODAY(),"OVERDUE",IF(J52=TODAY(),"TODAY",IF(J52&lt;=TODAY()+7,"THIS WEEK",""))))</f>
        <v/>
      </c>
      <c r="M52" s="19"/>
      <c r="N52" s="23" t="s">
        <v>287</v>
      </c>
      <c r="O52" s="24" t="str">
        <f aca="true">IF(H52="","",TODAY()-H52)</f>
        <v/>
      </c>
    </row>
    <row r="53" customFormat="false" ht="54" hidden="false" customHeight="true" outlineLevel="0" collapsed="false">
      <c r="A53" s="18" t="s">
        <v>288</v>
      </c>
      <c r="B53" s="19" t="s">
        <v>44</v>
      </c>
      <c r="C53" s="19" t="s">
        <v>284</v>
      </c>
      <c r="D53" s="19" t="s">
        <v>289</v>
      </c>
      <c r="E53" s="19" t="s">
        <v>290</v>
      </c>
      <c r="F53" s="19" t="s">
        <v>76</v>
      </c>
      <c r="G53" s="19" t="s">
        <v>21</v>
      </c>
      <c r="H53" s="20" t="str">
        <f aca="false">IF(A53="","",IF(COUNTIFS(Log!$B$5:$B$2000,A53)=0,"",SUMPRODUCT(MAX((Log!$B$5:$B$2000=A53)*Log!$A$5:$A$2000))))</f>
        <v/>
      </c>
      <c r="I53" s="19"/>
      <c r="J53" s="21"/>
      <c r="K53" s="19" t="s">
        <v>77</v>
      </c>
      <c r="L53" s="22" t="str">
        <f aca="true">IF(OR(A53="",J53=""),"",IF(J53&lt;TODAY(),"OVERDUE",IF(J53=TODAY(),"TODAY",IF(J53&lt;=TODAY()+7,"THIS WEEK",""))))</f>
        <v/>
      </c>
      <c r="M53" s="19" t="s">
        <v>291</v>
      </c>
      <c r="N53" s="23" t="s">
        <v>290</v>
      </c>
      <c r="O53" s="24" t="str">
        <f aca="true">IF(H53="","",TODAY()-H53)</f>
        <v/>
      </c>
    </row>
    <row r="54" customFormat="false" ht="54" hidden="false" customHeight="true" outlineLevel="0" collapsed="false">
      <c r="A54" s="18" t="s">
        <v>292</v>
      </c>
      <c r="B54" s="19" t="s">
        <v>44</v>
      </c>
      <c r="C54" s="19" t="s">
        <v>100</v>
      </c>
      <c r="D54" s="19" t="s">
        <v>293</v>
      </c>
      <c r="E54" s="19" t="s">
        <v>294</v>
      </c>
      <c r="F54" s="19" t="s">
        <v>76</v>
      </c>
      <c r="G54" s="19" t="s">
        <v>21</v>
      </c>
      <c r="H54" s="20" t="str">
        <f aca="false">IF(A54="","",IF(COUNTIFS(Log!$B$5:$B$2000,A54)=0,"",SUMPRODUCT(MAX((Log!$B$5:$B$2000=A54)*Log!$A$5:$A$2000))))</f>
        <v/>
      </c>
      <c r="I54" s="19"/>
      <c r="J54" s="21"/>
      <c r="K54" s="19" t="s">
        <v>77</v>
      </c>
      <c r="L54" s="22" t="str">
        <f aca="true">IF(OR(A54="",J54=""),"",IF(J54&lt;TODAY(),"OVERDUE",IF(J54=TODAY(),"TODAY",IF(J54&lt;=TODAY()+7,"THIS WEEK",""))))</f>
        <v/>
      </c>
      <c r="M54" s="19" t="s">
        <v>295</v>
      </c>
      <c r="N54" s="23" t="s">
        <v>294</v>
      </c>
      <c r="O54" s="24" t="str">
        <f aca="true">IF(H54="","",TODAY()-H54)</f>
        <v/>
      </c>
    </row>
    <row r="55" customFormat="false" ht="54" hidden="false" customHeight="true" outlineLevel="0" collapsed="false">
      <c r="A55" s="18" t="s">
        <v>296</v>
      </c>
      <c r="B55" s="19" t="s">
        <v>44</v>
      </c>
      <c r="C55" s="19" t="s">
        <v>100</v>
      </c>
      <c r="D55" s="19" t="s">
        <v>297</v>
      </c>
      <c r="E55" s="19"/>
      <c r="F55" s="19" t="s">
        <v>76</v>
      </c>
      <c r="G55" s="19" t="s">
        <v>21</v>
      </c>
      <c r="H55" s="20" t="str">
        <f aca="false">IF(A55="","",IF(COUNTIFS(Log!$B$5:$B$2000,A55)=0,"",SUMPRODUCT(MAX((Log!$B$5:$B$2000=A55)*Log!$A$5:$A$2000))))</f>
        <v/>
      </c>
      <c r="I55" s="19"/>
      <c r="J55" s="21"/>
      <c r="K55" s="19" t="s">
        <v>77</v>
      </c>
      <c r="L55" s="22" t="str">
        <f aca="true">IF(OR(A55="",J55=""),"",IF(J55&lt;TODAY(),"OVERDUE",IF(J55=TODAY(),"TODAY",IF(J55&lt;=TODAY()+7,"THIS WEEK",""))))</f>
        <v/>
      </c>
      <c r="M55" s="19" t="s">
        <v>298</v>
      </c>
      <c r="N55" s="23" t="s">
        <v>299</v>
      </c>
      <c r="O55" s="24" t="str">
        <f aca="true">IF(H55="","",TODAY()-H55)</f>
        <v/>
      </c>
    </row>
    <row r="56" customFormat="false" ht="54" hidden="false" customHeight="true" outlineLevel="0" collapsed="false">
      <c r="A56" s="18" t="s">
        <v>300</v>
      </c>
      <c r="B56" s="19" t="s">
        <v>44</v>
      </c>
      <c r="C56" s="19" t="s">
        <v>114</v>
      </c>
      <c r="D56" s="19" t="s">
        <v>301</v>
      </c>
      <c r="E56" s="19" t="s">
        <v>302</v>
      </c>
      <c r="F56" s="19" t="s">
        <v>76</v>
      </c>
      <c r="G56" s="19" t="s">
        <v>21</v>
      </c>
      <c r="H56" s="20" t="str">
        <f aca="false">IF(A56="","",IF(COUNTIFS(Log!$B$5:$B$2000,A56)=0,"",SUMPRODUCT(MAX((Log!$B$5:$B$2000=A56)*Log!$A$5:$A$2000))))</f>
        <v/>
      </c>
      <c r="I56" s="19"/>
      <c r="J56" s="21"/>
      <c r="K56" s="19" t="s">
        <v>77</v>
      </c>
      <c r="L56" s="22" t="str">
        <f aca="true">IF(OR(A56="",J56=""),"",IF(J56&lt;TODAY(),"OVERDUE",IF(J56=TODAY(),"TODAY",IF(J56&lt;=TODAY()+7,"THIS WEEK",""))))</f>
        <v/>
      </c>
      <c r="M56" s="19"/>
      <c r="N56" s="23" t="s">
        <v>302</v>
      </c>
      <c r="O56" s="24" t="str">
        <f aca="true">IF(H56="","",TODAY()-H56)</f>
        <v/>
      </c>
    </row>
    <row r="57" customFormat="false" ht="54" hidden="false" customHeight="true" outlineLevel="0" collapsed="false">
      <c r="A57" s="18" t="s">
        <v>303</v>
      </c>
      <c r="B57" s="19" t="s">
        <v>44</v>
      </c>
      <c r="C57" s="19" t="s">
        <v>304</v>
      </c>
      <c r="D57" s="19" t="s">
        <v>305</v>
      </c>
      <c r="E57" s="19" t="s">
        <v>306</v>
      </c>
      <c r="F57" s="19" t="s">
        <v>76</v>
      </c>
      <c r="G57" s="19" t="s">
        <v>21</v>
      </c>
      <c r="H57" s="20" t="str">
        <f aca="false">IF(A57="","",IF(COUNTIFS(Log!$B$5:$B$2000,A57)=0,"",SUMPRODUCT(MAX((Log!$B$5:$B$2000=A57)*Log!$A$5:$A$2000))))</f>
        <v/>
      </c>
      <c r="I57" s="19"/>
      <c r="J57" s="21"/>
      <c r="K57" s="19" t="s">
        <v>77</v>
      </c>
      <c r="L57" s="22" t="str">
        <f aca="true">IF(OR(A57="",J57=""),"",IF(J57&lt;TODAY(),"OVERDUE",IF(J57=TODAY(),"TODAY",IF(J57&lt;=TODAY()+7,"THIS WEEK",""))))</f>
        <v/>
      </c>
      <c r="M57" s="19"/>
      <c r="N57" s="23" t="s">
        <v>306</v>
      </c>
      <c r="O57" s="24" t="str">
        <f aca="true">IF(H57="","",TODAY()-H57)</f>
        <v/>
      </c>
    </row>
    <row r="58" customFormat="false" ht="54" hidden="false" customHeight="true" outlineLevel="0" collapsed="false">
      <c r="A58" s="18" t="s">
        <v>307</v>
      </c>
      <c r="B58" s="19" t="s">
        <v>44</v>
      </c>
      <c r="C58" s="19" t="s">
        <v>143</v>
      </c>
      <c r="D58" s="19" t="s">
        <v>308</v>
      </c>
      <c r="E58" s="19" t="s">
        <v>309</v>
      </c>
      <c r="F58" s="19" t="s">
        <v>76</v>
      </c>
      <c r="G58" s="19" t="s">
        <v>21</v>
      </c>
      <c r="H58" s="20" t="str">
        <f aca="false">IF(A58="","",IF(COUNTIFS(Log!$B$5:$B$2000,A58)=0,"",SUMPRODUCT(MAX((Log!$B$5:$B$2000=A58)*Log!$A$5:$A$2000))))</f>
        <v/>
      </c>
      <c r="I58" s="19"/>
      <c r="J58" s="21"/>
      <c r="K58" s="19" t="s">
        <v>77</v>
      </c>
      <c r="L58" s="22" t="str">
        <f aca="true">IF(OR(A58="",J58=""),"",IF(J58&lt;TODAY(),"OVERDUE",IF(J58=TODAY(),"TODAY",IF(J58&lt;=TODAY()+7,"THIS WEEK",""))))</f>
        <v/>
      </c>
      <c r="M58" s="19" t="s">
        <v>310</v>
      </c>
      <c r="N58" s="23" t="s">
        <v>309</v>
      </c>
      <c r="O58" s="24" t="str">
        <f aca="true">IF(H58="","",TODAY()-H58)</f>
        <v/>
      </c>
    </row>
    <row r="59" customFormat="false" ht="54" hidden="false" customHeight="true" outlineLevel="0" collapsed="false">
      <c r="A59" s="18" t="s">
        <v>311</v>
      </c>
      <c r="B59" s="19" t="s">
        <v>44</v>
      </c>
      <c r="C59" s="19" t="s">
        <v>158</v>
      </c>
      <c r="D59" s="19" t="s">
        <v>312</v>
      </c>
      <c r="E59" s="19" t="s">
        <v>313</v>
      </c>
      <c r="F59" s="19" t="s">
        <v>76</v>
      </c>
      <c r="G59" s="19" t="s">
        <v>25</v>
      </c>
      <c r="H59" s="20" t="str">
        <f aca="false">IF(A59="","",IF(COUNTIFS(Log!$B$5:$B$2000,A59)=0,"",SUMPRODUCT(MAX((Log!$B$5:$B$2000=A59)*Log!$A$5:$A$2000))))</f>
        <v/>
      </c>
      <c r="I59" s="19"/>
      <c r="J59" s="21"/>
      <c r="K59" s="19" t="s">
        <v>77</v>
      </c>
      <c r="L59" s="22" t="str">
        <f aca="true">IF(OR(A59="",J59=""),"",IF(J59&lt;TODAY(),"OVERDUE",IF(J59=TODAY(),"TODAY",IF(J59&lt;=TODAY()+7,"THIS WEEK",""))))</f>
        <v/>
      </c>
      <c r="M59" s="19" t="s">
        <v>314</v>
      </c>
      <c r="N59" s="23" t="s">
        <v>315</v>
      </c>
      <c r="O59" s="24" t="str">
        <f aca="true">IF(H59="","",TODAY()-H59)</f>
        <v/>
      </c>
    </row>
    <row r="60" customFormat="false" ht="54" hidden="false" customHeight="true" outlineLevel="0" collapsed="false">
      <c r="A60" s="18" t="s">
        <v>316</v>
      </c>
      <c r="B60" s="19" t="s">
        <v>44</v>
      </c>
      <c r="C60" s="19" t="s">
        <v>158</v>
      </c>
      <c r="D60" s="19" t="s">
        <v>317</v>
      </c>
      <c r="E60" s="19" t="s">
        <v>318</v>
      </c>
      <c r="F60" s="19" t="s">
        <v>76</v>
      </c>
      <c r="G60" s="19" t="s">
        <v>21</v>
      </c>
      <c r="H60" s="20" t="str">
        <f aca="false">IF(A60="","",IF(COUNTIFS(Log!$B$5:$B$2000,A60)=0,"",SUMPRODUCT(MAX((Log!$B$5:$B$2000=A60)*Log!$A$5:$A$2000))))</f>
        <v/>
      </c>
      <c r="I60" s="19"/>
      <c r="J60" s="21"/>
      <c r="K60" s="19" t="s">
        <v>77</v>
      </c>
      <c r="L60" s="22" t="str">
        <f aca="true">IF(OR(A60="",J60=""),"",IF(J60&lt;TODAY(),"OVERDUE",IF(J60=TODAY(),"TODAY",IF(J60&lt;=TODAY()+7,"THIS WEEK",""))))</f>
        <v/>
      </c>
      <c r="M60" s="19" t="s">
        <v>319</v>
      </c>
      <c r="N60" s="23" t="s">
        <v>318</v>
      </c>
      <c r="O60" s="24" t="str">
        <f aca="true">IF(H60="","",TODAY()-H60)</f>
        <v/>
      </c>
    </row>
    <row r="61" customFormat="false" ht="54" hidden="false" customHeight="true" outlineLevel="0" collapsed="false">
      <c r="A61" s="18" t="s">
        <v>320</v>
      </c>
      <c r="B61" s="19" t="s">
        <v>44</v>
      </c>
      <c r="C61" s="19" t="s">
        <v>158</v>
      </c>
      <c r="D61" s="19" t="s">
        <v>321</v>
      </c>
      <c r="E61" s="19" t="s">
        <v>322</v>
      </c>
      <c r="F61" s="19" t="s">
        <v>76</v>
      </c>
      <c r="G61" s="19" t="s">
        <v>21</v>
      </c>
      <c r="H61" s="20" t="str">
        <f aca="false">IF(A61="","",IF(COUNTIFS(Log!$B$5:$B$2000,A61)=0,"",SUMPRODUCT(MAX((Log!$B$5:$B$2000=A61)*Log!$A$5:$A$2000))))</f>
        <v/>
      </c>
      <c r="I61" s="19"/>
      <c r="J61" s="21"/>
      <c r="K61" s="19" t="s">
        <v>77</v>
      </c>
      <c r="L61" s="22" t="str">
        <f aca="true">IF(OR(A61="",J61=""),"",IF(J61&lt;TODAY(),"OVERDUE",IF(J61=TODAY(),"TODAY",IF(J61&lt;=TODAY()+7,"THIS WEEK",""))))</f>
        <v/>
      </c>
      <c r="M61" s="19" t="s">
        <v>323</v>
      </c>
      <c r="N61" s="23" t="s">
        <v>322</v>
      </c>
      <c r="O61" s="24" t="str">
        <f aca="true">IF(H61="","",TODAY()-H61)</f>
        <v/>
      </c>
    </row>
    <row r="62" customFormat="false" ht="54" hidden="false" customHeight="true" outlineLevel="0" collapsed="false">
      <c r="A62" s="18" t="s">
        <v>324</v>
      </c>
      <c r="B62" s="19" t="s">
        <v>44</v>
      </c>
      <c r="C62" s="19" t="s">
        <v>158</v>
      </c>
      <c r="D62" s="19" t="s">
        <v>325</v>
      </c>
      <c r="E62" s="19"/>
      <c r="F62" s="19" t="s">
        <v>76</v>
      </c>
      <c r="G62" s="19" t="s">
        <v>21</v>
      </c>
      <c r="H62" s="20" t="str">
        <f aca="false">IF(A62="","",IF(COUNTIFS(Log!$B$5:$B$2000,A62)=0,"",SUMPRODUCT(MAX((Log!$B$5:$B$2000=A62)*Log!$A$5:$A$2000))))</f>
        <v/>
      </c>
      <c r="I62" s="19"/>
      <c r="J62" s="21"/>
      <c r="K62" s="19" t="s">
        <v>77</v>
      </c>
      <c r="L62" s="22" t="str">
        <f aca="true">IF(OR(A62="",J62=""),"",IF(J62&lt;TODAY(),"OVERDUE",IF(J62=TODAY(),"TODAY",IF(J62&lt;=TODAY()+7,"THIS WEEK",""))))</f>
        <v/>
      </c>
      <c r="M62" s="19"/>
      <c r="N62" s="23" t="s">
        <v>326</v>
      </c>
      <c r="O62" s="24" t="str">
        <f aca="true">IF(H62="","",TODAY()-H62)</f>
        <v/>
      </c>
    </row>
    <row r="63" customFormat="false" ht="54" hidden="false" customHeight="true" outlineLevel="0" collapsed="false">
      <c r="A63" s="18" t="s">
        <v>327</v>
      </c>
      <c r="B63" s="19" t="s">
        <v>44</v>
      </c>
      <c r="C63" s="19" t="s">
        <v>158</v>
      </c>
      <c r="D63" s="19" t="s">
        <v>328</v>
      </c>
      <c r="E63" s="19"/>
      <c r="F63" s="19" t="s">
        <v>76</v>
      </c>
      <c r="G63" s="19" t="s">
        <v>21</v>
      </c>
      <c r="H63" s="20" t="str">
        <f aca="false">IF(A63="","",IF(COUNTIFS(Log!$B$5:$B$2000,A63)=0,"",SUMPRODUCT(MAX((Log!$B$5:$B$2000=A63)*Log!$A$5:$A$2000))))</f>
        <v/>
      </c>
      <c r="I63" s="19"/>
      <c r="J63" s="21"/>
      <c r="K63" s="19" t="s">
        <v>77</v>
      </c>
      <c r="L63" s="22" t="str">
        <f aca="true">IF(OR(A63="",J63=""),"",IF(J63&lt;TODAY(),"OVERDUE",IF(J63=TODAY(),"TODAY",IF(J63&lt;=TODAY()+7,"THIS WEEK",""))))</f>
        <v/>
      </c>
      <c r="M63" s="19"/>
      <c r="N63" s="23" t="s">
        <v>326</v>
      </c>
      <c r="O63" s="24" t="str">
        <f aca="true">IF(H63="","",TODAY()-H63)</f>
        <v/>
      </c>
    </row>
    <row r="64" customFormat="false" ht="54" hidden="false" customHeight="true" outlineLevel="0" collapsed="false">
      <c r="A64" s="18" t="s">
        <v>329</v>
      </c>
      <c r="B64" s="19" t="s">
        <v>44</v>
      </c>
      <c r="C64" s="19" t="s">
        <v>158</v>
      </c>
      <c r="D64" s="19" t="s">
        <v>330</v>
      </c>
      <c r="E64" s="19" t="s">
        <v>331</v>
      </c>
      <c r="F64" s="19" t="s">
        <v>76</v>
      </c>
      <c r="G64" s="19" t="s">
        <v>21</v>
      </c>
      <c r="H64" s="20" t="str">
        <f aca="false">IF(A64="","",IF(COUNTIFS(Log!$B$5:$B$2000,A64)=0,"",SUMPRODUCT(MAX((Log!$B$5:$B$2000=A64)*Log!$A$5:$A$2000))))</f>
        <v/>
      </c>
      <c r="I64" s="19"/>
      <c r="J64" s="21"/>
      <c r="K64" s="19" t="s">
        <v>77</v>
      </c>
      <c r="L64" s="22" t="str">
        <f aca="true">IF(OR(A64="",J64=""),"",IF(J64&lt;TODAY(),"OVERDUE",IF(J64=TODAY(),"TODAY",IF(J64&lt;=TODAY()+7,"THIS WEEK",""))))</f>
        <v/>
      </c>
      <c r="M64" s="19"/>
      <c r="N64" s="23" t="s">
        <v>331</v>
      </c>
      <c r="O64" s="24" t="str">
        <f aca="true">IF(H64="","",TODAY()-H64)</f>
        <v/>
      </c>
    </row>
    <row r="65" customFormat="false" ht="54" hidden="false" customHeight="true" outlineLevel="0" collapsed="false">
      <c r="A65" s="18" t="s">
        <v>332</v>
      </c>
      <c r="B65" s="19" t="s">
        <v>44</v>
      </c>
      <c r="C65" s="19" t="s">
        <v>158</v>
      </c>
      <c r="D65" s="19" t="s">
        <v>333</v>
      </c>
      <c r="E65" s="19" t="s">
        <v>334</v>
      </c>
      <c r="F65" s="19" t="s">
        <v>76</v>
      </c>
      <c r="G65" s="19" t="s">
        <v>21</v>
      </c>
      <c r="H65" s="20" t="str">
        <f aca="false">IF(A65="","",IF(COUNTIFS(Log!$B$5:$B$2000,A65)=0,"",SUMPRODUCT(MAX((Log!$B$5:$B$2000=A65)*Log!$A$5:$A$2000))))</f>
        <v/>
      </c>
      <c r="I65" s="19"/>
      <c r="J65" s="21"/>
      <c r="K65" s="19" t="s">
        <v>77</v>
      </c>
      <c r="L65" s="22" t="str">
        <f aca="true">IF(OR(A65="",J65=""),"",IF(J65&lt;TODAY(),"OVERDUE",IF(J65=TODAY(),"TODAY",IF(J65&lt;=TODAY()+7,"THIS WEEK",""))))</f>
        <v/>
      </c>
      <c r="M65" s="19"/>
      <c r="N65" s="23" t="s">
        <v>335</v>
      </c>
      <c r="O65" s="24" t="str">
        <f aca="true">IF(H65="","",TODAY()-H65)</f>
        <v/>
      </c>
    </row>
    <row r="66" customFormat="false" ht="54" hidden="false" customHeight="true" outlineLevel="0" collapsed="false">
      <c r="A66" s="18" t="s">
        <v>336</v>
      </c>
      <c r="B66" s="19" t="s">
        <v>44</v>
      </c>
      <c r="C66" s="19" t="s">
        <v>158</v>
      </c>
      <c r="D66" s="19" t="s">
        <v>337</v>
      </c>
      <c r="E66" s="19" t="s">
        <v>338</v>
      </c>
      <c r="F66" s="19" t="s">
        <v>76</v>
      </c>
      <c r="G66" s="19" t="s">
        <v>21</v>
      </c>
      <c r="H66" s="20" t="str">
        <f aca="false">IF(A66="","",IF(COUNTIFS(Log!$B$5:$B$2000,A66)=0,"",SUMPRODUCT(MAX((Log!$B$5:$B$2000=A66)*Log!$A$5:$A$2000))))</f>
        <v/>
      </c>
      <c r="I66" s="19"/>
      <c r="J66" s="21"/>
      <c r="K66" s="19" t="s">
        <v>77</v>
      </c>
      <c r="L66" s="22" t="str">
        <f aca="true">IF(OR(A66="",J66=""),"",IF(J66&lt;TODAY(),"OVERDUE",IF(J66=TODAY(),"TODAY",IF(J66&lt;=TODAY()+7,"THIS WEEK",""))))</f>
        <v/>
      </c>
      <c r="M66" s="19"/>
      <c r="N66" s="23" t="s">
        <v>338</v>
      </c>
      <c r="O66" s="24" t="str">
        <f aca="true">IF(H66="","",TODAY()-H66)</f>
        <v/>
      </c>
    </row>
    <row r="67" customFormat="false" ht="54" hidden="false" customHeight="true" outlineLevel="0" collapsed="false">
      <c r="A67" s="18" t="s">
        <v>339</v>
      </c>
      <c r="B67" s="19" t="s">
        <v>44</v>
      </c>
      <c r="C67" s="19" t="s">
        <v>158</v>
      </c>
      <c r="D67" s="19" t="s">
        <v>340</v>
      </c>
      <c r="E67" s="19" t="s">
        <v>341</v>
      </c>
      <c r="F67" s="19" t="s">
        <v>76</v>
      </c>
      <c r="G67" s="19" t="s">
        <v>21</v>
      </c>
      <c r="H67" s="20" t="str">
        <f aca="false">IF(A67="","",IF(COUNTIFS(Log!$B$5:$B$2000,A67)=0,"",SUMPRODUCT(MAX((Log!$B$5:$B$2000=A67)*Log!$A$5:$A$2000))))</f>
        <v/>
      </c>
      <c r="I67" s="19"/>
      <c r="J67" s="21"/>
      <c r="K67" s="19" t="s">
        <v>77</v>
      </c>
      <c r="L67" s="22" t="str">
        <f aca="true">IF(OR(A67="",J67=""),"",IF(J67&lt;TODAY(),"OVERDUE",IF(J67=TODAY(),"TODAY",IF(J67&lt;=TODAY()+7,"THIS WEEK",""))))</f>
        <v/>
      </c>
      <c r="M67" s="19"/>
      <c r="N67" s="23" t="s">
        <v>342</v>
      </c>
      <c r="O67" s="24" t="str">
        <f aca="true">IF(H67="","",TODAY()-H67)</f>
        <v/>
      </c>
    </row>
    <row r="68" customFormat="false" ht="54" hidden="false" customHeight="true" outlineLevel="0" collapsed="false">
      <c r="A68" s="18" t="s">
        <v>343</v>
      </c>
      <c r="B68" s="19" t="s">
        <v>44</v>
      </c>
      <c r="C68" s="19" t="s">
        <v>181</v>
      </c>
      <c r="D68" s="19" t="s">
        <v>344</v>
      </c>
      <c r="E68" s="19" t="s">
        <v>345</v>
      </c>
      <c r="F68" s="19" t="s">
        <v>76</v>
      </c>
      <c r="G68" s="19" t="s">
        <v>25</v>
      </c>
      <c r="H68" s="20" t="str">
        <f aca="false">IF(A68="","",IF(COUNTIFS(Log!$B$5:$B$2000,A68)=0,"",SUMPRODUCT(MAX((Log!$B$5:$B$2000=A68)*Log!$A$5:$A$2000))))</f>
        <v/>
      </c>
      <c r="I68" s="19"/>
      <c r="J68" s="21"/>
      <c r="K68" s="19" t="s">
        <v>77</v>
      </c>
      <c r="L68" s="22" t="str">
        <f aca="true">IF(OR(A68="",J68=""),"",IF(J68&lt;TODAY(),"OVERDUE",IF(J68=TODAY(),"TODAY",IF(J68&lt;=TODAY()+7,"THIS WEEK",""))))</f>
        <v/>
      </c>
      <c r="M68" s="19" t="s">
        <v>346</v>
      </c>
      <c r="N68" s="23" t="s">
        <v>347</v>
      </c>
      <c r="O68" s="24" t="str">
        <f aca="true">IF(H68="","",TODAY()-H68)</f>
        <v/>
      </c>
    </row>
    <row r="69" customFormat="false" ht="54" hidden="false" customHeight="true" outlineLevel="0" collapsed="false">
      <c r="A69" s="18" t="s">
        <v>348</v>
      </c>
      <c r="B69" s="19" t="s">
        <v>44</v>
      </c>
      <c r="C69" s="19" t="s">
        <v>349</v>
      </c>
      <c r="D69" s="19" t="s">
        <v>350</v>
      </c>
      <c r="E69" s="19" t="s">
        <v>351</v>
      </c>
      <c r="F69" s="19" t="s">
        <v>76</v>
      </c>
      <c r="G69" s="19" t="s">
        <v>21</v>
      </c>
      <c r="H69" s="20" t="str">
        <f aca="false">IF(A69="","",IF(COUNTIFS(Log!$B$5:$B$2000,A69)=0,"",SUMPRODUCT(MAX((Log!$B$5:$B$2000=A69)*Log!$A$5:$A$2000))))</f>
        <v/>
      </c>
      <c r="I69" s="19"/>
      <c r="J69" s="21"/>
      <c r="K69" s="19" t="s">
        <v>77</v>
      </c>
      <c r="L69" s="22" t="str">
        <f aca="true">IF(OR(A69="",J69=""),"",IF(J69&lt;TODAY(),"OVERDUE",IF(J69=TODAY(),"TODAY",IF(J69&lt;=TODAY()+7,"THIS WEEK",""))))</f>
        <v/>
      </c>
      <c r="M69" s="19"/>
      <c r="N69" s="23" t="s">
        <v>351</v>
      </c>
      <c r="O69" s="24" t="str">
        <f aca="true">IF(H69="","",TODAY()-H69)</f>
        <v/>
      </c>
    </row>
    <row r="70" customFormat="false" ht="54" hidden="false" customHeight="true" outlineLevel="0" collapsed="false">
      <c r="A70" s="18" t="s">
        <v>352</v>
      </c>
      <c r="B70" s="19" t="s">
        <v>44</v>
      </c>
      <c r="C70" s="19" t="s">
        <v>349</v>
      </c>
      <c r="D70" s="19" t="s">
        <v>325</v>
      </c>
      <c r="E70" s="19"/>
      <c r="F70" s="19" t="s">
        <v>76</v>
      </c>
      <c r="G70" s="19" t="s">
        <v>21</v>
      </c>
      <c r="H70" s="20" t="str">
        <f aca="false">IF(A70="","",IF(COUNTIFS(Log!$B$5:$B$2000,A70)=0,"",SUMPRODUCT(MAX((Log!$B$5:$B$2000=A70)*Log!$A$5:$A$2000))))</f>
        <v/>
      </c>
      <c r="I70" s="19"/>
      <c r="J70" s="21"/>
      <c r="K70" s="19" t="s">
        <v>77</v>
      </c>
      <c r="L70" s="22" t="str">
        <f aca="true">IF(OR(A70="",J70=""),"",IF(J70&lt;TODAY(),"OVERDUE",IF(J70=TODAY(),"TODAY",IF(J70&lt;=TODAY()+7,"THIS WEEK",""))))</f>
        <v/>
      </c>
      <c r="M70" s="19"/>
      <c r="N70" s="23" t="s">
        <v>326</v>
      </c>
      <c r="O70" s="24" t="str">
        <f aca="true">IF(H70="","",TODAY()-H70)</f>
        <v/>
      </c>
    </row>
    <row r="71" customFormat="false" ht="54" hidden="false" customHeight="true" outlineLevel="0" collapsed="false">
      <c r="A71" s="18" t="s">
        <v>353</v>
      </c>
      <c r="B71" s="19" t="s">
        <v>44</v>
      </c>
      <c r="C71" s="19" t="s">
        <v>354</v>
      </c>
      <c r="D71" s="19" t="s">
        <v>355</v>
      </c>
      <c r="E71" s="19" t="s">
        <v>356</v>
      </c>
      <c r="F71" s="19" t="s">
        <v>76</v>
      </c>
      <c r="G71" s="19" t="s">
        <v>21</v>
      </c>
      <c r="H71" s="20" t="str">
        <f aca="false">IF(A71="","",IF(COUNTIFS(Log!$B$5:$B$2000,A71)=0,"",SUMPRODUCT(MAX((Log!$B$5:$B$2000=A71)*Log!$A$5:$A$2000))))</f>
        <v/>
      </c>
      <c r="I71" s="19"/>
      <c r="J71" s="21"/>
      <c r="K71" s="19" t="s">
        <v>77</v>
      </c>
      <c r="L71" s="22" t="str">
        <f aca="true">IF(OR(A71="",J71=""),"",IF(J71&lt;TODAY(),"OVERDUE",IF(J71=TODAY(),"TODAY",IF(J71&lt;=TODAY()+7,"THIS WEEK",""))))</f>
        <v/>
      </c>
      <c r="M71" s="19" t="s">
        <v>357</v>
      </c>
      <c r="N71" s="23" t="s">
        <v>358</v>
      </c>
      <c r="O71" s="24" t="str">
        <f aca="true">IF(H71="","",TODAY()-H71)</f>
        <v/>
      </c>
    </row>
    <row r="72" customFormat="false" ht="54" hidden="false" customHeight="true" outlineLevel="0" collapsed="false">
      <c r="A72" s="18" t="s">
        <v>359</v>
      </c>
      <c r="B72" s="19" t="s">
        <v>44</v>
      </c>
      <c r="C72" s="19" t="s">
        <v>225</v>
      </c>
      <c r="D72" s="19" t="s">
        <v>360</v>
      </c>
      <c r="E72" s="19" t="s">
        <v>361</v>
      </c>
      <c r="F72" s="19" t="s">
        <v>76</v>
      </c>
      <c r="G72" s="19" t="s">
        <v>21</v>
      </c>
      <c r="H72" s="20" t="str">
        <f aca="false">IF(A72="","",IF(COUNTIFS(Log!$B$5:$B$2000,A72)=0,"",SUMPRODUCT(MAX((Log!$B$5:$B$2000=A72)*Log!$A$5:$A$2000))))</f>
        <v/>
      </c>
      <c r="I72" s="19"/>
      <c r="J72" s="21"/>
      <c r="K72" s="19" t="s">
        <v>77</v>
      </c>
      <c r="L72" s="22" t="str">
        <f aca="true">IF(OR(A72="",J72=""),"",IF(J72&lt;TODAY(),"OVERDUE",IF(J72=TODAY(),"TODAY",IF(J72&lt;=TODAY()+7,"THIS WEEK",""))))</f>
        <v/>
      </c>
      <c r="M72" s="19"/>
      <c r="N72" s="23" t="s">
        <v>361</v>
      </c>
      <c r="O72" s="24" t="str">
        <f aca="true">IF(H72="","",TODAY()-H72)</f>
        <v/>
      </c>
    </row>
    <row r="73" customFormat="false" ht="54" hidden="false" customHeight="true" outlineLevel="0" collapsed="false">
      <c r="A73" s="18" t="s">
        <v>362</v>
      </c>
      <c r="B73" s="19" t="s">
        <v>44</v>
      </c>
      <c r="C73" s="19" t="s">
        <v>225</v>
      </c>
      <c r="D73" s="19" t="s">
        <v>363</v>
      </c>
      <c r="E73" s="19" t="s">
        <v>364</v>
      </c>
      <c r="F73" s="19" t="s">
        <v>76</v>
      </c>
      <c r="G73" s="19" t="s">
        <v>21</v>
      </c>
      <c r="H73" s="20" t="str">
        <f aca="false">IF(A73="","",IF(COUNTIFS(Log!$B$5:$B$2000,A73)=0,"",SUMPRODUCT(MAX((Log!$B$5:$B$2000=A73)*Log!$A$5:$A$2000))))</f>
        <v/>
      </c>
      <c r="I73" s="19"/>
      <c r="J73" s="21"/>
      <c r="K73" s="19" t="s">
        <v>77</v>
      </c>
      <c r="L73" s="22" t="str">
        <f aca="true">IF(OR(A73="",J73=""),"",IF(J73&lt;TODAY(),"OVERDUE",IF(J73=TODAY(),"TODAY",IF(J73&lt;=TODAY()+7,"THIS WEEK",""))))</f>
        <v/>
      </c>
      <c r="M73" s="19" t="s">
        <v>365</v>
      </c>
      <c r="N73" s="23" t="s">
        <v>364</v>
      </c>
      <c r="O73" s="24" t="str">
        <f aca="true">IF(H73="","",TODAY()-H73)</f>
        <v/>
      </c>
    </row>
    <row r="74" customFormat="false" ht="54" hidden="false" customHeight="true" outlineLevel="0" collapsed="false">
      <c r="A74" s="18" t="s">
        <v>366</v>
      </c>
      <c r="B74" s="19" t="s">
        <v>44</v>
      </c>
      <c r="C74" s="19" t="s">
        <v>367</v>
      </c>
      <c r="D74" s="19" t="s">
        <v>368</v>
      </c>
      <c r="E74" s="19"/>
      <c r="F74" s="19" t="s">
        <v>76</v>
      </c>
      <c r="G74" s="19" t="s">
        <v>21</v>
      </c>
      <c r="H74" s="20" t="str">
        <f aca="false">IF(A74="","",IF(COUNTIFS(Log!$B$5:$B$2000,A74)=0,"",SUMPRODUCT(MAX((Log!$B$5:$B$2000=A74)*Log!$A$5:$A$2000))))</f>
        <v/>
      </c>
      <c r="I74" s="19"/>
      <c r="J74" s="21"/>
      <c r="K74" s="19" t="s">
        <v>77</v>
      </c>
      <c r="L74" s="22" t="str">
        <f aca="true">IF(OR(A74="",J74=""),"",IF(J74&lt;TODAY(),"OVERDUE",IF(J74=TODAY(),"TODAY",IF(J74&lt;=TODAY()+7,"THIS WEEK",""))))</f>
        <v/>
      </c>
      <c r="M74" s="19" t="s">
        <v>369</v>
      </c>
      <c r="N74" s="23" t="s">
        <v>370</v>
      </c>
      <c r="O74" s="24" t="str">
        <f aca="true">IF(H74="","",TODAY()-H74)</f>
        <v/>
      </c>
    </row>
    <row r="75" customFormat="false" ht="54" hidden="false" customHeight="true" outlineLevel="0" collapsed="false">
      <c r="A75" s="18" t="s">
        <v>371</v>
      </c>
      <c r="B75" s="19" t="s">
        <v>44</v>
      </c>
      <c r="C75" s="19" t="s">
        <v>367</v>
      </c>
      <c r="D75" s="19" t="s">
        <v>372</v>
      </c>
      <c r="E75" s="19" t="s">
        <v>373</v>
      </c>
      <c r="F75" s="19" t="s">
        <v>76</v>
      </c>
      <c r="G75" s="19" t="s">
        <v>21</v>
      </c>
      <c r="H75" s="20" t="str">
        <f aca="false">IF(A75="","",IF(COUNTIFS(Log!$B$5:$B$2000,A75)=0,"",SUMPRODUCT(MAX((Log!$B$5:$B$2000=A75)*Log!$A$5:$A$2000))))</f>
        <v/>
      </c>
      <c r="I75" s="19"/>
      <c r="J75" s="21"/>
      <c r="K75" s="19" t="s">
        <v>77</v>
      </c>
      <c r="L75" s="22" t="str">
        <f aca="true">IF(OR(A75="",J75=""),"",IF(J75&lt;TODAY(),"OVERDUE",IF(J75=TODAY(),"TODAY",IF(J75&lt;=TODAY()+7,"THIS WEEK",""))))</f>
        <v/>
      </c>
      <c r="M75" s="19" t="s">
        <v>374</v>
      </c>
      <c r="N75" s="23" t="s">
        <v>373</v>
      </c>
      <c r="O75" s="24" t="str">
        <f aca="true">IF(H75="","",TODAY()-H75)</f>
        <v/>
      </c>
    </row>
    <row r="76" customFormat="false" ht="54" hidden="false" customHeight="true" outlineLevel="0" collapsed="false">
      <c r="A76" s="18" t="s">
        <v>375</v>
      </c>
      <c r="B76" s="19" t="s">
        <v>44</v>
      </c>
      <c r="C76" s="19" t="s">
        <v>367</v>
      </c>
      <c r="D76" s="19" t="s">
        <v>376</v>
      </c>
      <c r="E76" s="19"/>
      <c r="F76" s="19" t="s">
        <v>76</v>
      </c>
      <c r="G76" s="19" t="s">
        <v>21</v>
      </c>
      <c r="H76" s="20" t="str">
        <f aca="false">IF(A76="","",IF(COUNTIFS(Log!$B$5:$B$2000,A76)=0,"",SUMPRODUCT(MAX((Log!$B$5:$B$2000=A76)*Log!$A$5:$A$2000))))</f>
        <v/>
      </c>
      <c r="I76" s="19"/>
      <c r="J76" s="21"/>
      <c r="K76" s="19" t="s">
        <v>77</v>
      </c>
      <c r="L76" s="22" t="str">
        <f aca="true">IF(OR(A76="",J76=""),"",IF(J76&lt;TODAY(),"OVERDUE",IF(J76=TODAY(),"TODAY",IF(J76&lt;=TODAY()+7,"THIS WEEK",""))))</f>
        <v/>
      </c>
      <c r="M76" s="19"/>
      <c r="N76" s="23" t="s">
        <v>326</v>
      </c>
      <c r="O76" s="24" t="str">
        <f aca="true">IF(H76="","",TODAY()-H76)</f>
        <v/>
      </c>
    </row>
    <row r="77" customFormat="false" ht="54" hidden="false" customHeight="true" outlineLevel="0" collapsed="false">
      <c r="A77" s="18" t="s">
        <v>377</v>
      </c>
      <c r="B77" s="19" t="s">
        <v>44</v>
      </c>
      <c r="C77" s="19" t="s">
        <v>246</v>
      </c>
      <c r="D77" s="19" t="s">
        <v>378</v>
      </c>
      <c r="E77" s="19"/>
      <c r="F77" s="19" t="s">
        <v>76</v>
      </c>
      <c r="G77" s="19" t="s">
        <v>21</v>
      </c>
      <c r="H77" s="20" t="str">
        <f aca="false">IF(A77="","",IF(COUNTIFS(Log!$B$5:$B$2000,A77)=0,"",SUMPRODUCT(MAX((Log!$B$5:$B$2000=A77)*Log!$A$5:$A$2000))))</f>
        <v/>
      </c>
      <c r="I77" s="19"/>
      <c r="J77" s="21"/>
      <c r="K77" s="19" t="s">
        <v>77</v>
      </c>
      <c r="L77" s="22" t="str">
        <f aca="true">IF(OR(A77="",J77=""),"",IF(J77&lt;TODAY(),"OVERDUE",IF(J77=TODAY(),"TODAY",IF(J77&lt;=TODAY()+7,"THIS WEEK",""))))</f>
        <v/>
      </c>
      <c r="M77" s="19" t="s">
        <v>379</v>
      </c>
      <c r="N77" s="23" t="s">
        <v>380</v>
      </c>
      <c r="O77" s="24" t="str">
        <f aca="true">IF(H77="","",TODAY()-H77)</f>
        <v/>
      </c>
    </row>
    <row r="78" customFormat="false" ht="54" hidden="false" customHeight="true" outlineLevel="0" collapsed="false">
      <c r="A78" s="18" t="s">
        <v>381</v>
      </c>
      <c r="B78" s="19" t="s">
        <v>44</v>
      </c>
      <c r="C78" s="19" t="s">
        <v>246</v>
      </c>
      <c r="D78" s="19" t="s">
        <v>382</v>
      </c>
      <c r="E78" s="19" t="s">
        <v>383</v>
      </c>
      <c r="F78" s="19" t="s">
        <v>76</v>
      </c>
      <c r="G78" s="19" t="s">
        <v>21</v>
      </c>
      <c r="H78" s="20" t="str">
        <f aca="false">IF(A78="","",IF(COUNTIFS(Log!$B$5:$B$2000,A78)=0,"",SUMPRODUCT(MAX((Log!$B$5:$B$2000=A78)*Log!$A$5:$A$2000))))</f>
        <v/>
      </c>
      <c r="I78" s="19"/>
      <c r="J78" s="21"/>
      <c r="K78" s="19" t="s">
        <v>77</v>
      </c>
      <c r="L78" s="22" t="str">
        <f aca="true">IF(OR(A78="",J78=""),"",IF(J78&lt;TODAY(),"OVERDUE",IF(J78=TODAY(),"TODAY",IF(J78&lt;=TODAY()+7,"THIS WEEK",""))))</f>
        <v/>
      </c>
      <c r="M78" s="19" t="s">
        <v>384</v>
      </c>
      <c r="N78" s="23" t="s">
        <v>383</v>
      </c>
      <c r="O78" s="24" t="str">
        <f aca="true">IF(H78="","",TODAY()-H78)</f>
        <v/>
      </c>
    </row>
    <row r="79" customFormat="false" ht="54" hidden="false" customHeight="true" outlineLevel="0" collapsed="false">
      <c r="A79" s="18" t="s">
        <v>385</v>
      </c>
      <c r="B79" s="19" t="s">
        <v>44</v>
      </c>
      <c r="C79" s="19" t="s">
        <v>246</v>
      </c>
      <c r="D79" s="19" t="s">
        <v>386</v>
      </c>
      <c r="E79" s="19" t="s">
        <v>387</v>
      </c>
      <c r="F79" s="19" t="s">
        <v>76</v>
      </c>
      <c r="G79" s="19" t="s">
        <v>21</v>
      </c>
      <c r="H79" s="20" t="str">
        <f aca="false">IF(A79="","",IF(COUNTIFS(Log!$B$5:$B$2000,A79)=0,"",SUMPRODUCT(MAX((Log!$B$5:$B$2000=A79)*Log!$A$5:$A$2000))))</f>
        <v/>
      </c>
      <c r="I79" s="19"/>
      <c r="J79" s="21"/>
      <c r="K79" s="19" t="s">
        <v>77</v>
      </c>
      <c r="L79" s="22" t="str">
        <f aca="true">IF(OR(A79="",J79=""),"",IF(J79&lt;TODAY(),"OVERDUE",IF(J79=TODAY(),"TODAY",IF(J79&lt;=TODAY()+7,"THIS WEEK",""))))</f>
        <v/>
      </c>
      <c r="M79" s="19"/>
      <c r="N79" s="23" t="s">
        <v>387</v>
      </c>
      <c r="O79" s="24" t="str">
        <f aca="true">IF(H79="","",TODAY()-H79)</f>
        <v/>
      </c>
    </row>
    <row r="80" customFormat="false" ht="54" hidden="false" customHeight="true" outlineLevel="0" collapsed="false">
      <c r="A80" s="18" t="s">
        <v>388</v>
      </c>
      <c r="B80" s="19" t="s">
        <v>44</v>
      </c>
      <c r="C80" s="19" t="s">
        <v>246</v>
      </c>
      <c r="D80" s="19" t="s">
        <v>325</v>
      </c>
      <c r="E80" s="19"/>
      <c r="F80" s="19" t="s">
        <v>76</v>
      </c>
      <c r="G80" s="19" t="s">
        <v>21</v>
      </c>
      <c r="H80" s="20" t="str">
        <f aca="false">IF(A80="","",IF(COUNTIFS(Log!$B$5:$B$2000,A80)=0,"",SUMPRODUCT(MAX((Log!$B$5:$B$2000=A80)*Log!$A$5:$A$2000))))</f>
        <v/>
      </c>
      <c r="I80" s="19"/>
      <c r="J80" s="21"/>
      <c r="K80" s="19" t="s">
        <v>77</v>
      </c>
      <c r="L80" s="22" t="str">
        <f aca="true">IF(OR(A80="",J80=""),"",IF(J80&lt;TODAY(),"OVERDUE",IF(J80=TODAY(),"TODAY",IF(J80&lt;=TODAY()+7,"THIS WEEK",""))))</f>
        <v/>
      </c>
      <c r="M80" s="19" t="s">
        <v>389</v>
      </c>
      <c r="N80" s="23" t="s">
        <v>326</v>
      </c>
      <c r="O80" s="24" t="str">
        <f aca="true">IF(H80="","",TODAY()-H80)</f>
        <v/>
      </c>
    </row>
    <row r="81" customFormat="false" ht="54" hidden="false" customHeight="true" outlineLevel="0" collapsed="false">
      <c r="A81" s="18" t="s">
        <v>390</v>
      </c>
      <c r="B81" s="19" t="s">
        <v>44</v>
      </c>
      <c r="C81" s="19" t="s">
        <v>246</v>
      </c>
      <c r="D81" s="19" t="s">
        <v>391</v>
      </c>
      <c r="E81" s="19" t="s">
        <v>392</v>
      </c>
      <c r="F81" s="19" t="s">
        <v>76</v>
      </c>
      <c r="G81" s="19" t="s">
        <v>21</v>
      </c>
      <c r="H81" s="20" t="str">
        <f aca="false">IF(A81="","",IF(COUNTIFS(Log!$B$5:$B$2000,A81)=0,"",SUMPRODUCT(MAX((Log!$B$5:$B$2000=A81)*Log!$A$5:$A$2000))))</f>
        <v/>
      </c>
      <c r="I81" s="19"/>
      <c r="J81" s="21"/>
      <c r="K81" s="19" t="s">
        <v>77</v>
      </c>
      <c r="L81" s="22" t="str">
        <f aca="true">IF(OR(A81="",J81=""),"",IF(J81&lt;TODAY(),"OVERDUE",IF(J81=TODAY(),"TODAY",IF(J81&lt;=TODAY()+7,"THIS WEEK",""))))</f>
        <v/>
      </c>
      <c r="M81" s="19"/>
      <c r="N81" s="23" t="s">
        <v>392</v>
      </c>
      <c r="O81" s="24" t="str">
        <f aca="true">IF(H81="","",TODAY()-H81)</f>
        <v/>
      </c>
    </row>
    <row r="82" customFormat="false" ht="54" hidden="false" customHeight="true" outlineLevel="0" collapsed="false">
      <c r="A82" s="18" t="s">
        <v>393</v>
      </c>
      <c r="B82" s="19" t="s">
        <v>44</v>
      </c>
      <c r="C82" s="19" t="s">
        <v>394</v>
      </c>
      <c r="D82" s="19" t="s">
        <v>395</v>
      </c>
      <c r="E82" s="19" t="s">
        <v>396</v>
      </c>
      <c r="F82" s="19" t="s">
        <v>76</v>
      </c>
      <c r="G82" s="19" t="s">
        <v>21</v>
      </c>
      <c r="H82" s="20" t="str">
        <f aca="false">IF(A82="","",IF(COUNTIFS(Log!$B$5:$B$2000,A82)=0,"",SUMPRODUCT(MAX((Log!$B$5:$B$2000=A82)*Log!$A$5:$A$2000))))</f>
        <v/>
      </c>
      <c r="I82" s="19"/>
      <c r="J82" s="21"/>
      <c r="K82" s="19" t="s">
        <v>77</v>
      </c>
      <c r="L82" s="22" t="str">
        <f aca="true">IF(OR(A82="",J82=""),"",IF(J82&lt;TODAY(),"OVERDUE",IF(J82=TODAY(),"TODAY",IF(J82&lt;=TODAY()+7,"THIS WEEK",""))))</f>
        <v/>
      </c>
      <c r="M82" s="19" t="s">
        <v>397</v>
      </c>
      <c r="N82" s="23" t="s">
        <v>396</v>
      </c>
      <c r="O82" s="24" t="str">
        <f aca="true">IF(H82="","",TODAY()-H82)</f>
        <v/>
      </c>
    </row>
    <row r="83" customFormat="false" ht="54" hidden="false" customHeight="true" outlineLevel="0" collapsed="false">
      <c r="A83" s="18" t="s">
        <v>398</v>
      </c>
      <c r="B83" s="19" t="s">
        <v>44</v>
      </c>
      <c r="C83" s="19" t="s">
        <v>399</v>
      </c>
      <c r="D83" s="19" t="s">
        <v>400</v>
      </c>
      <c r="E83" s="19" t="s">
        <v>401</v>
      </c>
      <c r="F83" s="19" t="s">
        <v>76</v>
      </c>
      <c r="G83" s="19" t="s">
        <v>21</v>
      </c>
      <c r="H83" s="20" t="str">
        <f aca="false">IF(A83="","",IF(COUNTIFS(Log!$B$5:$B$2000,A83)=0,"",SUMPRODUCT(MAX((Log!$B$5:$B$2000=A83)*Log!$A$5:$A$2000))))</f>
        <v/>
      </c>
      <c r="I83" s="19"/>
      <c r="J83" s="21"/>
      <c r="K83" s="19" t="s">
        <v>77</v>
      </c>
      <c r="L83" s="22" t="str">
        <f aca="true">IF(OR(A83="",J83=""),"",IF(J83&lt;TODAY(),"OVERDUE",IF(J83=TODAY(),"TODAY",IF(J83&lt;=TODAY()+7,"THIS WEEK",""))))</f>
        <v/>
      </c>
      <c r="M83" s="19"/>
      <c r="N83" s="23" t="s">
        <v>401</v>
      </c>
      <c r="O83" s="24" t="str">
        <f aca="true">IF(H83="","",TODAY()-H83)</f>
        <v/>
      </c>
    </row>
    <row r="84" customFormat="false" ht="54" hidden="false" customHeight="true" outlineLevel="0" collapsed="false">
      <c r="A84" s="18" t="s">
        <v>402</v>
      </c>
      <c r="B84" s="19" t="s">
        <v>44</v>
      </c>
      <c r="C84" s="19" t="s">
        <v>403</v>
      </c>
      <c r="D84" s="19" t="s">
        <v>404</v>
      </c>
      <c r="E84" s="19" t="s">
        <v>405</v>
      </c>
      <c r="F84" s="19" t="s">
        <v>76</v>
      </c>
      <c r="G84" s="19" t="s">
        <v>21</v>
      </c>
      <c r="H84" s="20" t="str">
        <f aca="false">IF(A84="","",IF(COUNTIFS(Log!$B$5:$B$2000,A84)=0,"",SUMPRODUCT(MAX((Log!$B$5:$B$2000=A84)*Log!$A$5:$A$2000))))</f>
        <v/>
      </c>
      <c r="I84" s="19"/>
      <c r="J84" s="21"/>
      <c r="K84" s="19" t="s">
        <v>77</v>
      </c>
      <c r="L84" s="22" t="str">
        <f aca="true">IF(OR(A84="",J84=""),"",IF(J84&lt;TODAY(),"OVERDUE",IF(J84=TODAY(),"TODAY",IF(J84&lt;=TODAY()+7,"THIS WEEK",""))))</f>
        <v/>
      </c>
      <c r="M84" s="19"/>
      <c r="N84" s="23" t="s">
        <v>406</v>
      </c>
      <c r="O84" s="24" t="str">
        <f aca="true">IF(H84="","",TODAY()-H84)</f>
        <v/>
      </c>
    </row>
    <row r="85" customFormat="false" ht="54" hidden="false" customHeight="true" outlineLevel="0" collapsed="false">
      <c r="A85" s="18" t="s">
        <v>407</v>
      </c>
      <c r="B85" s="19" t="s">
        <v>44</v>
      </c>
      <c r="C85" s="19" t="s">
        <v>403</v>
      </c>
      <c r="D85" s="19" t="s">
        <v>408</v>
      </c>
      <c r="E85" s="19" t="s">
        <v>409</v>
      </c>
      <c r="F85" s="19" t="s">
        <v>76</v>
      </c>
      <c r="G85" s="19" t="s">
        <v>21</v>
      </c>
      <c r="H85" s="20" t="str">
        <f aca="false">IF(A85="","",IF(COUNTIFS(Log!$B$5:$B$2000,A85)=0,"",SUMPRODUCT(MAX((Log!$B$5:$B$2000=A85)*Log!$A$5:$A$2000))))</f>
        <v/>
      </c>
      <c r="I85" s="19"/>
      <c r="J85" s="21"/>
      <c r="K85" s="19" t="s">
        <v>77</v>
      </c>
      <c r="L85" s="22" t="str">
        <f aca="true">IF(OR(A85="",J85=""),"",IF(J85&lt;TODAY(),"OVERDUE",IF(J85=TODAY(),"TODAY",IF(J85&lt;=TODAY()+7,"THIS WEEK",""))))</f>
        <v/>
      </c>
      <c r="M85" s="19"/>
      <c r="N85" s="23" t="s">
        <v>410</v>
      </c>
      <c r="O85" s="24" t="str">
        <f aca="true">IF(H85="","",TODAY()-H85)</f>
        <v/>
      </c>
    </row>
    <row r="86" customFormat="false" ht="54" hidden="false" customHeight="true" outlineLevel="0" collapsed="false">
      <c r="A86" s="18" t="s">
        <v>411</v>
      </c>
      <c r="B86" s="19" t="s">
        <v>45</v>
      </c>
      <c r="C86" s="19" t="s">
        <v>412</v>
      </c>
      <c r="D86" s="19" t="s">
        <v>413</v>
      </c>
      <c r="E86" s="19"/>
      <c r="F86" s="19" t="s">
        <v>414</v>
      </c>
      <c r="G86" s="19" t="s">
        <v>25</v>
      </c>
      <c r="H86" s="20" t="str">
        <f aca="false">IF(A86="","",IF(COUNTIFS(Log!$B$5:$B$2000,A86)=0,"",SUMPRODUCT(MAX((Log!$B$5:$B$2000=A86)*Log!$A$5:$A$2000))))</f>
        <v/>
      </c>
      <c r="I86" s="19"/>
      <c r="J86" s="21"/>
      <c r="K86" s="19" t="s">
        <v>77</v>
      </c>
      <c r="L86" s="22" t="str">
        <f aca="true">IF(OR(A86="",J86=""),"",IF(J86&lt;TODAY(),"OVERDUE",IF(J86=TODAY(),"TODAY",IF(J86&lt;=TODAY()+7,"THIS WEEK",""))))</f>
        <v/>
      </c>
      <c r="M86" s="19" t="s">
        <v>415</v>
      </c>
      <c r="N86" s="23" t="s">
        <v>416</v>
      </c>
      <c r="O86" s="24" t="str">
        <f aca="true">IF(H86="","",TODAY()-H86)</f>
        <v/>
      </c>
    </row>
    <row r="87" customFormat="false" ht="54" hidden="false" customHeight="true" outlineLevel="0" collapsed="false">
      <c r="A87" s="18" t="s">
        <v>417</v>
      </c>
      <c r="B87" s="19" t="s">
        <v>45</v>
      </c>
      <c r="C87" s="19" t="s">
        <v>412</v>
      </c>
      <c r="D87" s="19" t="s">
        <v>418</v>
      </c>
      <c r="E87" s="19"/>
      <c r="F87" s="19" t="s">
        <v>414</v>
      </c>
      <c r="G87" s="19" t="s">
        <v>21</v>
      </c>
      <c r="H87" s="20" t="str">
        <f aca="false">IF(A87="","",IF(COUNTIFS(Log!$B$5:$B$2000,A87)=0,"",SUMPRODUCT(MAX((Log!$B$5:$B$2000=A87)*Log!$A$5:$A$2000))))</f>
        <v/>
      </c>
      <c r="I87" s="19"/>
      <c r="J87" s="21"/>
      <c r="K87" s="19" t="s">
        <v>77</v>
      </c>
      <c r="L87" s="22" t="str">
        <f aca="true">IF(OR(A87="",J87=""),"",IF(J87&lt;TODAY(),"OVERDUE",IF(J87=TODAY(),"TODAY",IF(J87&lt;=TODAY()+7,"THIS WEEK",""))))</f>
        <v/>
      </c>
      <c r="M87" s="19" t="s">
        <v>419</v>
      </c>
      <c r="N87" s="23" t="s">
        <v>420</v>
      </c>
      <c r="O87" s="24" t="str">
        <f aca="true">IF(H87="","",TODAY()-H87)</f>
        <v/>
      </c>
    </row>
    <row r="88" customFormat="false" ht="54" hidden="false" customHeight="true" outlineLevel="0" collapsed="false">
      <c r="A88" s="18" t="s">
        <v>421</v>
      </c>
      <c r="B88" s="19" t="s">
        <v>45</v>
      </c>
      <c r="C88" s="19" t="s">
        <v>422</v>
      </c>
      <c r="D88" s="19" t="s">
        <v>423</v>
      </c>
      <c r="E88" s="19"/>
      <c r="F88" s="19" t="s">
        <v>414</v>
      </c>
      <c r="G88" s="19" t="s">
        <v>21</v>
      </c>
      <c r="H88" s="20" t="str">
        <f aca="false">IF(A88="","",IF(COUNTIFS(Log!$B$5:$B$2000,A88)=0,"",SUMPRODUCT(MAX((Log!$B$5:$B$2000=A88)*Log!$A$5:$A$2000))))</f>
        <v/>
      </c>
      <c r="I88" s="19"/>
      <c r="J88" s="21"/>
      <c r="K88" s="19" t="s">
        <v>77</v>
      </c>
      <c r="L88" s="22" t="str">
        <f aca="true">IF(OR(A88="",J88=""),"",IF(J88&lt;TODAY(),"OVERDUE",IF(J88=TODAY(),"TODAY",IF(J88&lt;=TODAY()+7,"THIS WEEK",""))))</f>
        <v/>
      </c>
      <c r="M88" s="19" t="s">
        <v>424</v>
      </c>
      <c r="N88" s="23" t="s">
        <v>425</v>
      </c>
      <c r="O88" s="24" t="str">
        <f aca="true">IF(H88="","",TODAY()-H88)</f>
        <v/>
      </c>
    </row>
    <row r="89" customFormat="false" ht="54" hidden="false" customHeight="true" outlineLevel="0" collapsed="false">
      <c r="A89" s="18" t="s">
        <v>426</v>
      </c>
      <c r="B89" s="19" t="s">
        <v>45</v>
      </c>
      <c r="C89" s="19" t="s">
        <v>427</v>
      </c>
      <c r="D89" s="19" t="s">
        <v>428</v>
      </c>
      <c r="E89" s="19"/>
      <c r="F89" s="19" t="s">
        <v>414</v>
      </c>
      <c r="G89" s="19" t="s">
        <v>21</v>
      </c>
      <c r="H89" s="20" t="str">
        <f aca="false">IF(A89="","",IF(COUNTIFS(Log!$B$5:$B$2000,A89)=0,"",SUMPRODUCT(MAX((Log!$B$5:$B$2000=A89)*Log!$A$5:$A$2000))))</f>
        <v/>
      </c>
      <c r="I89" s="19"/>
      <c r="J89" s="21"/>
      <c r="K89" s="19" t="s">
        <v>77</v>
      </c>
      <c r="L89" s="22" t="str">
        <f aca="true">IF(OR(A89="",J89=""),"",IF(J89&lt;TODAY(),"OVERDUE",IF(J89=TODAY(),"TODAY",IF(J89&lt;=TODAY()+7,"THIS WEEK",""))))</f>
        <v/>
      </c>
      <c r="M89" s="19" t="s">
        <v>429</v>
      </c>
      <c r="N89" s="23" t="s">
        <v>430</v>
      </c>
      <c r="O89" s="24" t="str">
        <f aca="true">IF(H89="","",TODAY()-H89)</f>
        <v/>
      </c>
    </row>
    <row r="90" customFormat="false" ht="54" hidden="false" customHeight="true" outlineLevel="0" collapsed="false">
      <c r="A90" s="18" t="s">
        <v>431</v>
      </c>
      <c r="B90" s="19" t="s">
        <v>45</v>
      </c>
      <c r="C90" s="19" t="s">
        <v>432</v>
      </c>
      <c r="D90" s="19" t="s">
        <v>433</v>
      </c>
      <c r="E90" s="19"/>
      <c r="F90" s="19" t="s">
        <v>414</v>
      </c>
      <c r="G90" s="19" t="s">
        <v>21</v>
      </c>
      <c r="H90" s="20" t="str">
        <f aca="false">IF(A90="","",IF(COUNTIFS(Log!$B$5:$B$2000,A90)=0,"",SUMPRODUCT(MAX((Log!$B$5:$B$2000=A90)*Log!$A$5:$A$2000))))</f>
        <v/>
      </c>
      <c r="I90" s="19"/>
      <c r="J90" s="21"/>
      <c r="K90" s="19" t="s">
        <v>77</v>
      </c>
      <c r="L90" s="22" t="str">
        <f aca="true">IF(OR(A90="",J90=""),"",IF(J90&lt;TODAY(),"OVERDUE",IF(J90=TODAY(),"TODAY",IF(J90&lt;=TODAY()+7,"THIS WEEK",""))))</f>
        <v/>
      </c>
      <c r="M90" s="19" t="s">
        <v>434</v>
      </c>
      <c r="N90" s="23" t="s">
        <v>435</v>
      </c>
      <c r="O90" s="24" t="str">
        <f aca="true">IF(H90="","",TODAY()-H90)</f>
        <v/>
      </c>
    </row>
    <row r="91" customFormat="false" ht="54" hidden="false" customHeight="true" outlineLevel="0" collapsed="false">
      <c r="A91" s="18" t="s">
        <v>436</v>
      </c>
      <c r="B91" s="19" t="s">
        <v>45</v>
      </c>
      <c r="C91" s="19" t="s">
        <v>437</v>
      </c>
      <c r="D91" s="19" t="s">
        <v>438</v>
      </c>
      <c r="E91" s="19"/>
      <c r="F91" s="19" t="s">
        <v>414</v>
      </c>
      <c r="G91" s="19" t="s">
        <v>21</v>
      </c>
      <c r="H91" s="20" t="str">
        <f aca="false">IF(A91="","",IF(COUNTIFS(Log!$B$5:$B$2000,A91)=0,"",SUMPRODUCT(MAX((Log!$B$5:$B$2000=A91)*Log!$A$5:$A$2000))))</f>
        <v/>
      </c>
      <c r="I91" s="19"/>
      <c r="J91" s="21"/>
      <c r="K91" s="19" t="s">
        <v>77</v>
      </c>
      <c r="L91" s="22" t="str">
        <f aca="true">IF(OR(A91="",J91=""),"",IF(J91&lt;TODAY(),"OVERDUE",IF(J91=TODAY(),"TODAY",IF(J91&lt;=TODAY()+7,"THIS WEEK",""))))</f>
        <v/>
      </c>
      <c r="M91" s="19" t="s">
        <v>439</v>
      </c>
      <c r="N91" s="23" t="s">
        <v>440</v>
      </c>
      <c r="O91" s="24" t="str">
        <f aca="true">IF(H91="","",TODAY()-H91)</f>
        <v/>
      </c>
    </row>
    <row r="92" customFormat="false" ht="54" hidden="false" customHeight="true" outlineLevel="0" collapsed="false">
      <c r="A92" s="18" t="s">
        <v>441</v>
      </c>
      <c r="B92" s="19" t="s">
        <v>45</v>
      </c>
      <c r="C92" s="19" t="s">
        <v>442</v>
      </c>
      <c r="D92" s="19" t="s">
        <v>443</v>
      </c>
      <c r="E92" s="19"/>
      <c r="F92" s="19" t="s">
        <v>414</v>
      </c>
      <c r="G92" s="19" t="s">
        <v>21</v>
      </c>
      <c r="H92" s="20" t="str">
        <f aca="false">IF(A92="","",IF(COUNTIFS(Log!$B$5:$B$2000,A92)=0,"",SUMPRODUCT(MAX((Log!$B$5:$B$2000=A92)*Log!$A$5:$A$2000))))</f>
        <v/>
      </c>
      <c r="I92" s="19"/>
      <c r="J92" s="21"/>
      <c r="K92" s="19" t="s">
        <v>77</v>
      </c>
      <c r="L92" s="22" t="str">
        <f aca="true">IF(OR(A92="",J92=""),"",IF(J92&lt;TODAY(),"OVERDUE",IF(J92=TODAY(),"TODAY",IF(J92&lt;=TODAY()+7,"THIS WEEK",""))))</f>
        <v/>
      </c>
      <c r="M92" s="19" t="s">
        <v>444</v>
      </c>
      <c r="N92" s="23" t="s">
        <v>445</v>
      </c>
      <c r="O92" s="24" t="str">
        <f aca="true">IF(H92="","",TODAY()-H92)</f>
        <v/>
      </c>
    </row>
    <row r="93" customFormat="false" ht="54" hidden="false" customHeight="true" outlineLevel="0" collapsed="false">
      <c r="A93" s="18" t="s">
        <v>446</v>
      </c>
      <c r="B93" s="19" t="s">
        <v>45</v>
      </c>
      <c r="C93" s="19" t="s">
        <v>447</v>
      </c>
      <c r="D93" s="19" t="s">
        <v>448</v>
      </c>
      <c r="E93" s="19"/>
      <c r="F93" s="19" t="s">
        <v>414</v>
      </c>
      <c r="G93" s="19" t="s">
        <v>21</v>
      </c>
      <c r="H93" s="20" t="str">
        <f aca="false">IF(A93="","",IF(COUNTIFS(Log!$B$5:$B$2000,A93)=0,"",SUMPRODUCT(MAX((Log!$B$5:$B$2000=A93)*Log!$A$5:$A$2000))))</f>
        <v/>
      </c>
      <c r="I93" s="19"/>
      <c r="J93" s="21"/>
      <c r="K93" s="19" t="s">
        <v>77</v>
      </c>
      <c r="L93" s="22" t="str">
        <f aca="true">IF(OR(A93="",J93=""),"",IF(J93&lt;TODAY(),"OVERDUE",IF(J93=TODAY(),"TODAY",IF(J93&lt;=TODAY()+7,"THIS WEEK",""))))</f>
        <v/>
      </c>
      <c r="M93" s="19" t="s">
        <v>449</v>
      </c>
      <c r="N93" s="23" t="s">
        <v>450</v>
      </c>
      <c r="O93" s="24" t="str">
        <f aca="true">IF(H93="","",TODAY()-H93)</f>
        <v/>
      </c>
    </row>
    <row r="94" customFormat="false" ht="54" hidden="false" customHeight="true" outlineLevel="0" collapsed="false">
      <c r="A94" s="18" t="s">
        <v>451</v>
      </c>
      <c r="B94" s="19" t="s">
        <v>45</v>
      </c>
      <c r="C94" s="19" t="s">
        <v>452</v>
      </c>
      <c r="D94" s="19" t="s">
        <v>453</v>
      </c>
      <c r="E94" s="19"/>
      <c r="F94" s="19" t="s">
        <v>414</v>
      </c>
      <c r="G94" s="19" t="s">
        <v>21</v>
      </c>
      <c r="H94" s="20" t="str">
        <f aca="false">IF(A94="","",IF(COUNTIFS(Log!$B$5:$B$2000,A94)=0,"",SUMPRODUCT(MAX((Log!$B$5:$B$2000=A94)*Log!$A$5:$A$2000))))</f>
        <v/>
      </c>
      <c r="I94" s="19"/>
      <c r="J94" s="21"/>
      <c r="K94" s="19" t="s">
        <v>77</v>
      </c>
      <c r="L94" s="22" t="str">
        <f aca="true">IF(OR(A94="",J94=""),"",IF(J94&lt;TODAY(),"OVERDUE",IF(J94=TODAY(),"TODAY",IF(J94&lt;=TODAY()+7,"THIS WEEK",""))))</f>
        <v/>
      </c>
      <c r="M94" s="19" t="s">
        <v>454</v>
      </c>
      <c r="N94" s="23" t="s">
        <v>455</v>
      </c>
      <c r="O94" s="24" t="str">
        <f aca="true">IF(H94="","",TODAY()-H94)</f>
        <v/>
      </c>
    </row>
    <row r="95" customFormat="false" ht="54" hidden="false" customHeight="true" outlineLevel="0" collapsed="false">
      <c r="A95" s="18" t="s">
        <v>456</v>
      </c>
      <c r="B95" s="19" t="s">
        <v>45</v>
      </c>
      <c r="C95" s="19" t="s">
        <v>452</v>
      </c>
      <c r="D95" s="19" t="s">
        <v>457</v>
      </c>
      <c r="E95" s="19"/>
      <c r="F95" s="19" t="s">
        <v>414</v>
      </c>
      <c r="G95" s="19" t="s">
        <v>21</v>
      </c>
      <c r="H95" s="20" t="str">
        <f aca="false">IF(A95="","",IF(COUNTIFS(Log!$B$5:$B$2000,A95)=0,"",SUMPRODUCT(MAX((Log!$B$5:$B$2000=A95)*Log!$A$5:$A$2000))))</f>
        <v/>
      </c>
      <c r="I95" s="19"/>
      <c r="J95" s="21"/>
      <c r="K95" s="19" t="s">
        <v>77</v>
      </c>
      <c r="L95" s="22" t="str">
        <f aca="true">IF(OR(A95="",J95=""),"",IF(J95&lt;TODAY(),"OVERDUE",IF(J95=TODAY(),"TODAY",IF(J95&lt;=TODAY()+7,"THIS WEEK",""))))</f>
        <v/>
      </c>
      <c r="M95" s="19" t="s">
        <v>458</v>
      </c>
      <c r="N95" s="23" t="s">
        <v>459</v>
      </c>
      <c r="O95" s="24" t="str">
        <f aca="true">IF(H95="","",TODAY()-H95)</f>
        <v/>
      </c>
    </row>
    <row r="96" customFormat="false" ht="54" hidden="false" customHeight="true" outlineLevel="0" collapsed="false">
      <c r="A96" s="18" t="s">
        <v>460</v>
      </c>
      <c r="B96" s="19" t="s">
        <v>45</v>
      </c>
      <c r="C96" s="19" t="s">
        <v>452</v>
      </c>
      <c r="D96" s="19" t="s">
        <v>461</v>
      </c>
      <c r="E96" s="19"/>
      <c r="F96" s="19" t="s">
        <v>414</v>
      </c>
      <c r="G96" s="19" t="s">
        <v>21</v>
      </c>
      <c r="H96" s="20" t="str">
        <f aca="false">IF(A96="","",IF(COUNTIFS(Log!$B$5:$B$2000,A96)=0,"",SUMPRODUCT(MAX((Log!$B$5:$B$2000=A96)*Log!$A$5:$A$2000))))</f>
        <v/>
      </c>
      <c r="I96" s="19"/>
      <c r="J96" s="21"/>
      <c r="K96" s="19" t="s">
        <v>77</v>
      </c>
      <c r="L96" s="22" t="str">
        <f aca="true">IF(OR(A96="",J96=""),"",IF(J96&lt;TODAY(),"OVERDUE",IF(J96=TODAY(),"TODAY",IF(J96&lt;=TODAY()+7,"THIS WEEK",""))))</f>
        <v/>
      </c>
      <c r="M96" s="19" t="s">
        <v>462</v>
      </c>
      <c r="N96" s="23" t="s">
        <v>463</v>
      </c>
      <c r="O96" s="24" t="str">
        <f aca="true">IF(H96="","",TODAY()-H96)</f>
        <v/>
      </c>
    </row>
    <row r="97" customFormat="false" ht="54" hidden="false" customHeight="true" outlineLevel="0" collapsed="false">
      <c r="A97" s="18" t="s">
        <v>464</v>
      </c>
      <c r="B97" s="19" t="s">
        <v>45</v>
      </c>
      <c r="C97" s="19" t="s">
        <v>452</v>
      </c>
      <c r="D97" s="19" t="s">
        <v>465</v>
      </c>
      <c r="E97" s="19"/>
      <c r="F97" s="19" t="s">
        <v>414</v>
      </c>
      <c r="G97" s="19" t="s">
        <v>25</v>
      </c>
      <c r="H97" s="20" t="str">
        <f aca="false">IF(A97="","",IF(COUNTIFS(Log!$B$5:$B$2000,A97)=0,"",SUMPRODUCT(MAX((Log!$B$5:$B$2000=A97)*Log!$A$5:$A$2000))))</f>
        <v/>
      </c>
      <c r="I97" s="19"/>
      <c r="J97" s="21"/>
      <c r="K97" s="19" t="s">
        <v>77</v>
      </c>
      <c r="L97" s="22" t="str">
        <f aca="true">IF(OR(A97="",J97=""),"",IF(J97&lt;TODAY(),"OVERDUE",IF(J97=TODAY(),"TODAY",IF(J97&lt;=TODAY()+7,"THIS WEEK",""))))</f>
        <v/>
      </c>
      <c r="M97" s="19" t="s">
        <v>466</v>
      </c>
      <c r="N97" s="23" t="s">
        <v>467</v>
      </c>
      <c r="O97" s="24" t="str">
        <f aca="true">IF(H97="","",TODAY()-H97)</f>
        <v/>
      </c>
    </row>
    <row r="98" customFormat="false" ht="54" hidden="false" customHeight="true" outlineLevel="0" collapsed="false">
      <c r="A98" s="18" t="s">
        <v>468</v>
      </c>
      <c r="B98" s="19" t="s">
        <v>45</v>
      </c>
      <c r="C98" s="19" t="s">
        <v>469</v>
      </c>
      <c r="D98" s="19" t="s">
        <v>470</v>
      </c>
      <c r="E98" s="19"/>
      <c r="F98" s="19" t="s">
        <v>414</v>
      </c>
      <c r="G98" s="19" t="s">
        <v>21</v>
      </c>
      <c r="H98" s="20" t="str">
        <f aca="false">IF(A98="","",IF(COUNTIFS(Log!$B$5:$B$2000,A98)=0,"",SUMPRODUCT(MAX((Log!$B$5:$B$2000=A98)*Log!$A$5:$A$2000))))</f>
        <v/>
      </c>
      <c r="I98" s="19"/>
      <c r="J98" s="21"/>
      <c r="K98" s="19" t="s">
        <v>77</v>
      </c>
      <c r="L98" s="22" t="str">
        <f aca="true">IF(OR(A98="",J98=""),"",IF(J98&lt;TODAY(),"OVERDUE",IF(J98=TODAY(),"TODAY",IF(J98&lt;=TODAY()+7,"THIS WEEK",""))))</f>
        <v/>
      </c>
      <c r="M98" s="19" t="s">
        <v>471</v>
      </c>
      <c r="N98" s="23" t="s">
        <v>472</v>
      </c>
      <c r="O98" s="24" t="str">
        <f aca="true">IF(H98="","",TODAY()-H98)</f>
        <v/>
      </c>
    </row>
    <row r="99" customFormat="false" ht="54" hidden="false" customHeight="true" outlineLevel="0" collapsed="false">
      <c r="A99" s="18" t="s">
        <v>473</v>
      </c>
      <c r="B99" s="19" t="s">
        <v>45</v>
      </c>
      <c r="C99" s="19" t="s">
        <v>474</v>
      </c>
      <c r="D99" s="19" t="s">
        <v>475</v>
      </c>
      <c r="E99" s="19"/>
      <c r="F99" s="19" t="s">
        <v>414</v>
      </c>
      <c r="G99" s="19" t="s">
        <v>21</v>
      </c>
      <c r="H99" s="20" t="str">
        <f aca="false">IF(A99="","",IF(COUNTIFS(Log!$B$5:$B$2000,A99)=0,"",SUMPRODUCT(MAX((Log!$B$5:$B$2000=A99)*Log!$A$5:$A$2000))))</f>
        <v/>
      </c>
      <c r="I99" s="19"/>
      <c r="J99" s="21"/>
      <c r="K99" s="19" t="s">
        <v>77</v>
      </c>
      <c r="L99" s="22" t="str">
        <f aca="true">IF(OR(A99="",J99=""),"",IF(J99&lt;TODAY(),"OVERDUE",IF(J99=TODAY(),"TODAY",IF(J99&lt;=TODAY()+7,"THIS WEEK",""))))</f>
        <v/>
      </c>
      <c r="M99" s="19" t="s">
        <v>476</v>
      </c>
      <c r="N99" s="23" t="s">
        <v>477</v>
      </c>
      <c r="O99" s="24" t="str">
        <f aca="true">IF(H99="","",TODAY()-H99)</f>
        <v/>
      </c>
    </row>
    <row r="100" customFormat="false" ht="54" hidden="false" customHeight="true" outlineLevel="0" collapsed="false">
      <c r="A100" s="18" t="s">
        <v>478</v>
      </c>
      <c r="B100" s="19" t="s">
        <v>45</v>
      </c>
      <c r="C100" s="19" t="s">
        <v>479</v>
      </c>
      <c r="D100" s="19" t="s">
        <v>480</v>
      </c>
      <c r="E100" s="19"/>
      <c r="F100" s="19" t="s">
        <v>414</v>
      </c>
      <c r="G100" s="19" t="s">
        <v>21</v>
      </c>
      <c r="H100" s="20" t="str">
        <f aca="false">IF(A100="","",IF(COUNTIFS(Log!$B$5:$B$2000,A100)=0,"",SUMPRODUCT(MAX((Log!$B$5:$B$2000=A100)*Log!$A$5:$A$2000))))</f>
        <v/>
      </c>
      <c r="I100" s="19"/>
      <c r="J100" s="21"/>
      <c r="K100" s="19" t="s">
        <v>77</v>
      </c>
      <c r="L100" s="22" t="str">
        <f aca="true">IF(OR(A100="",J100=""),"",IF(J100&lt;TODAY(),"OVERDUE",IF(J100=TODAY(),"TODAY",IF(J100&lt;=TODAY()+7,"THIS WEEK",""))))</f>
        <v/>
      </c>
      <c r="M100" s="19" t="s">
        <v>481</v>
      </c>
      <c r="N100" s="23" t="s">
        <v>482</v>
      </c>
      <c r="O100" s="24" t="str">
        <f aca="true">IF(H100="","",TODAY()-H100)</f>
        <v/>
      </c>
    </row>
    <row r="101" customFormat="false" ht="54" hidden="false" customHeight="true" outlineLevel="0" collapsed="false">
      <c r="A101" s="18" t="s">
        <v>483</v>
      </c>
      <c r="B101" s="19" t="s">
        <v>45</v>
      </c>
      <c r="C101" s="19" t="s">
        <v>158</v>
      </c>
      <c r="D101" s="19" t="s">
        <v>484</v>
      </c>
      <c r="E101" s="19"/>
      <c r="F101" s="19" t="s">
        <v>414</v>
      </c>
      <c r="G101" s="19" t="s">
        <v>21</v>
      </c>
      <c r="H101" s="20" t="str">
        <f aca="false">IF(A101="","",IF(COUNTIFS(Log!$B$5:$B$2000,A101)=0,"",SUMPRODUCT(MAX((Log!$B$5:$B$2000=A101)*Log!$A$5:$A$2000))))</f>
        <v/>
      </c>
      <c r="I101" s="19"/>
      <c r="J101" s="21"/>
      <c r="K101" s="19" t="s">
        <v>77</v>
      </c>
      <c r="L101" s="22" t="str">
        <f aca="true">IF(OR(A101="",J101=""),"",IF(J101&lt;TODAY(),"OVERDUE",IF(J101=TODAY(),"TODAY",IF(J101&lt;=TODAY()+7,"THIS WEEK",""))))</f>
        <v/>
      </c>
      <c r="M101" s="19" t="s">
        <v>485</v>
      </c>
      <c r="N101" s="23" t="s">
        <v>486</v>
      </c>
      <c r="O101" s="24" t="str">
        <f aca="true">IF(H101="","",TODAY()-H101)</f>
        <v/>
      </c>
    </row>
    <row r="102" customFormat="false" ht="54" hidden="false" customHeight="true" outlineLevel="0" collapsed="false">
      <c r="A102" s="18" t="s">
        <v>487</v>
      </c>
      <c r="B102" s="19" t="s">
        <v>45</v>
      </c>
      <c r="C102" s="19" t="s">
        <v>158</v>
      </c>
      <c r="D102" s="19" t="s">
        <v>488</v>
      </c>
      <c r="E102" s="19"/>
      <c r="F102" s="19" t="s">
        <v>414</v>
      </c>
      <c r="G102" s="19" t="s">
        <v>21</v>
      </c>
      <c r="H102" s="20" t="str">
        <f aca="false">IF(A102="","",IF(COUNTIFS(Log!$B$5:$B$2000,A102)=0,"",SUMPRODUCT(MAX((Log!$B$5:$B$2000=A102)*Log!$A$5:$A$2000))))</f>
        <v/>
      </c>
      <c r="I102" s="19"/>
      <c r="J102" s="21"/>
      <c r="K102" s="19" t="s">
        <v>77</v>
      </c>
      <c r="L102" s="22" t="str">
        <f aca="true">IF(OR(A102="",J102=""),"",IF(J102&lt;TODAY(),"OVERDUE",IF(J102=TODAY(),"TODAY",IF(J102&lt;=TODAY()+7,"THIS WEEK",""))))</f>
        <v/>
      </c>
      <c r="M102" s="19" t="s">
        <v>489</v>
      </c>
      <c r="N102" s="23" t="s">
        <v>490</v>
      </c>
      <c r="O102" s="24" t="str">
        <f aca="true">IF(H102="","",TODAY()-H102)</f>
        <v/>
      </c>
    </row>
    <row r="103" customFormat="false" ht="54" hidden="false" customHeight="true" outlineLevel="0" collapsed="false">
      <c r="A103" s="18" t="s">
        <v>491</v>
      </c>
      <c r="B103" s="19" t="s">
        <v>45</v>
      </c>
      <c r="C103" s="19" t="s">
        <v>158</v>
      </c>
      <c r="D103" s="19" t="s">
        <v>492</v>
      </c>
      <c r="E103" s="19"/>
      <c r="F103" s="19" t="s">
        <v>414</v>
      </c>
      <c r="G103" s="19" t="s">
        <v>21</v>
      </c>
      <c r="H103" s="20" t="str">
        <f aca="false">IF(A103="","",IF(COUNTIFS(Log!$B$5:$B$2000,A103)=0,"",SUMPRODUCT(MAX((Log!$B$5:$B$2000=A103)*Log!$A$5:$A$2000))))</f>
        <v/>
      </c>
      <c r="I103" s="19"/>
      <c r="J103" s="21"/>
      <c r="K103" s="19" t="s">
        <v>77</v>
      </c>
      <c r="L103" s="22" t="str">
        <f aca="true">IF(OR(A103="",J103=""),"",IF(J103&lt;TODAY(),"OVERDUE",IF(J103=TODAY(),"TODAY",IF(J103&lt;=TODAY()+7,"THIS WEEK",""))))</f>
        <v/>
      </c>
      <c r="M103" s="19" t="s">
        <v>493</v>
      </c>
      <c r="N103" s="23" t="s">
        <v>494</v>
      </c>
      <c r="O103" s="24" t="str">
        <f aca="true">IF(H103="","",TODAY()-H103)</f>
        <v/>
      </c>
    </row>
    <row r="104" customFormat="false" ht="54" hidden="false" customHeight="true" outlineLevel="0" collapsed="false">
      <c r="A104" s="18" t="s">
        <v>495</v>
      </c>
      <c r="B104" s="19" t="s">
        <v>45</v>
      </c>
      <c r="C104" s="19" t="s">
        <v>496</v>
      </c>
      <c r="D104" s="19" t="s">
        <v>497</v>
      </c>
      <c r="E104" s="19"/>
      <c r="F104" s="19" t="s">
        <v>414</v>
      </c>
      <c r="G104" s="19" t="s">
        <v>21</v>
      </c>
      <c r="H104" s="20" t="str">
        <f aca="false">IF(A104="","",IF(COUNTIFS(Log!$B$5:$B$2000,A104)=0,"",SUMPRODUCT(MAX((Log!$B$5:$B$2000=A104)*Log!$A$5:$A$2000))))</f>
        <v/>
      </c>
      <c r="I104" s="19"/>
      <c r="J104" s="21"/>
      <c r="K104" s="19" t="s">
        <v>77</v>
      </c>
      <c r="L104" s="22" t="str">
        <f aca="true">IF(OR(A104="",J104=""),"",IF(J104&lt;TODAY(),"OVERDUE",IF(J104=TODAY(),"TODAY",IF(J104&lt;=TODAY()+7,"THIS WEEK",""))))</f>
        <v/>
      </c>
      <c r="M104" s="19" t="s">
        <v>498</v>
      </c>
      <c r="N104" s="23" t="s">
        <v>499</v>
      </c>
      <c r="O104" s="24" t="str">
        <f aca="true">IF(H104="","",TODAY()-H104)</f>
        <v/>
      </c>
    </row>
    <row r="105" customFormat="false" ht="54" hidden="false" customHeight="true" outlineLevel="0" collapsed="false">
      <c r="A105" s="18" t="s">
        <v>500</v>
      </c>
      <c r="B105" s="19" t="s">
        <v>45</v>
      </c>
      <c r="C105" s="19" t="s">
        <v>501</v>
      </c>
      <c r="D105" s="19" t="s">
        <v>502</v>
      </c>
      <c r="E105" s="19"/>
      <c r="F105" s="19" t="s">
        <v>414</v>
      </c>
      <c r="G105" s="19" t="s">
        <v>21</v>
      </c>
      <c r="H105" s="20" t="str">
        <f aca="false">IF(A105="","",IF(COUNTIFS(Log!$B$5:$B$2000,A105)=0,"",SUMPRODUCT(MAX((Log!$B$5:$B$2000=A105)*Log!$A$5:$A$2000))))</f>
        <v/>
      </c>
      <c r="I105" s="19"/>
      <c r="J105" s="21"/>
      <c r="K105" s="19" t="s">
        <v>77</v>
      </c>
      <c r="L105" s="22" t="str">
        <f aca="true">IF(OR(A105="",J105=""),"",IF(J105&lt;TODAY(),"OVERDUE",IF(J105=TODAY(),"TODAY",IF(J105&lt;=TODAY()+7,"THIS WEEK",""))))</f>
        <v/>
      </c>
      <c r="M105" s="19" t="s">
        <v>503</v>
      </c>
      <c r="N105" s="23" t="s">
        <v>504</v>
      </c>
      <c r="O105" s="24" t="str">
        <f aca="true">IF(H105="","",TODAY()-H105)</f>
        <v/>
      </c>
    </row>
    <row r="106" customFormat="false" ht="54" hidden="false" customHeight="true" outlineLevel="0" collapsed="false">
      <c r="A106" s="18" t="s">
        <v>505</v>
      </c>
      <c r="B106" s="19" t="s">
        <v>45</v>
      </c>
      <c r="C106" s="19" t="s">
        <v>225</v>
      </c>
      <c r="D106" s="19" t="s">
        <v>506</v>
      </c>
      <c r="E106" s="19"/>
      <c r="F106" s="19" t="s">
        <v>414</v>
      </c>
      <c r="G106" s="19" t="s">
        <v>21</v>
      </c>
      <c r="H106" s="20" t="str">
        <f aca="false">IF(A106="","",IF(COUNTIFS(Log!$B$5:$B$2000,A106)=0,"",SUMPRODUCT(MAX((Log!$B$5:$B$2000=A106)*Log!$A$5:$A$2000))))</f>
        <v/>
      </c>
      <c r="I106" s="19"/>
      <c r="J106" s="21"/>
      <c r="K106" s="19" t="s">
        <v>77</v>
      </c>
      <c r="L106" s="22" t="str">
        <f aca="true">IF(OR(A106="",J106=""),"",IF(J106&lt;TODAY(),"OVERDUE",IF(J106=TODAY(),"TODAY",IF(J106&lt;=TODAY()+7,"THIS WEEK",""))))</f>
        <v/>
      </c>
      <c r="M106" s="19" t="s">
        <v>507</v>
      </c>
      <c r="N106" s="23" t="s">
        <v>508</v>
      </c>
      <c r="O106" s="24" t="str">
        <f aca="true">IF(H106="","",TODAY()-H106)</f>
        <v/>
      </c>
    </row>
    <row r="107" customFormat="false" ht="54" hidden="false" customHeight="true" outlineLevel="0" collapsed="false">
      <c r="A107" s="18" t="s">
        <v>509</v>
      </c>
      <c r="B107" s="19" t="s">
        <v>45</v>
      </c>
      <c r="C107" s="19" t="s">
        <v>510</v>
      </c>
      <c r="D107" s="19" t="s">
        <v>511</v>
      </c>
      <c r="E107" s="19"/>
      <c r="F107" s="19" t="s">
        <v>414</v>
      </c>
      <c r="G107" s="19" t="s">
        <v>21</v>
      </c>
      <c r="H107" s="20" t="str">
        <f aca="false">IF(A107="","",IF(COUNTIFS(Log!$B$5:$B$2000,A107)=0,"",SUMPRODUCT(MAX((Log!$B$5:$B$2000=A107)*Log!$A$5:$A$2000))))</f>
        <v/>
      </c>
      <c r="I107" s="19"/>
      <c r="J107" s="21"/>
      <c r="K107" s="19" t="s">
        <v>77</v>
      </c>
      <c r="L107" s="22" t="str">
        <f aca="true">IF(OR(A107="",J107=""),"",IF(J107&lt;TODAY(),"OVERDUE",IF(J107=TODAY(),"TODAY",IF(J107&lt;=TODAY()+7,"THIS WEEK",""))))</f>
        <v/>
      </c>
      <c r="M107" s="19" t="s">
        <v>512</v>
      </c>
      <c r="N107" s="23" t="s">
        <v>513</v>
      </c>
      <c r="O107" s="24" t="str">
        <f aca="true">IF(H107="","",TODAY()-H107)</f>
        <v/>
      </c>
    </row>
    <row r="108" customFormat="false" ht="54" hidden="false" customHeight="true" outlineLevel="0" collapsed="false">
      <c r="A108" s="18" t="s">
        <v>514</v>
      </c>
      <c r="B108" s="19" t="s">
        <v>45</v>
      </c>
      <c r="C108" s="19" t="s">
        <v>510</v>
      </c>
      <c r="D108" s="19" t="s">
        <v>515</v>
      </c>
      <c r="E108" s="19"/>
      <c r="F108" s="19" t="s">
        <v>414</v>
      </c>
      <c r="G108" s="19" t="s">
        <v>21</v>
      </c>
      <c r="H108" s="20" t="str">
        <f aca="false">IF(A108="","",IF(COUNTIFS(Log!$B$5:$B$2000,A108)=0,"",SUMPRODUCT(MAX((Log!$B$5:$B$2000=A108)*Log!$A$5:$A$2000))))</f>
        <v/>
      </c>
      <c r="I108" s="19"/>
      <c r="J108" s="21"/>
      <c r="K108" s="19" t="s">
        <v>77</v>
      </c>
      <c r="L108" s="22" t="str">
        <f aca="true">IF(OR(A108="",J108=""),"",IF(J108&lt;TODAY(),"OVERDUE",IF(J108=TODAY(),"TODAY",IF(J108&lt;=TODAY()+7,"THIS WEEK",""))))</f>
        <v/>
      </c>
      <c r="M108" s="19" t="s">
        <v>516</v>
      </c>
      <c r="N108" s="23" t="s">
        <v>517</v>
      </c>
      <c r="O108" s="24" t="str">
        <f aca="true">IF(H108="","",TODAY()-H108)</f>
        <v/>
      </c>
    </row>
    <row r="109" customFormat="false" ht="54" hidden="false" customHeight="true" outlineLevel="0" collapsed="false">
      <c r="A109" s="18" t="s">
        <v>518</v>
      </c>
      <c r="B109" s="19" t="s">
        <v>45</v>
      </c>
      <c r="C109" s="19" t="s">
        <v>510</v>
      </c>
      <c r="D109" s="19" t="s">
        <v>519</v>
      </c>
      <c r="E109" s="19"/>
      <c r="F109" s="19" t="s">
        <v>414</v>
      </c>
      <c r="G109" s="19" t="s">
        <v>21</v>
      </c>
      <c r="H109" s="20" t="str">
        <f aca="false">IF(A109="","",IF(COUNTIFS(Log!$B$5:$B$2000,A109)=0,"",SUMPRODUCT(MAX((Log!$B$5:$B$2000=A109)*Log!$A$5:$A$2000))))</f>
        <v/>
      </c>
      <c r="I109" s="19"/>
      <c r="J109" s="21"/>
      <c r="K109" s="19" t="s">
        <v>77</v>
      </c>
      <c r="L109" s="22" t="str">
        <f aca="true">IF(OR(A109="",J109=""),"",IF(J109&lt;TODAY(),"OVERDUE",IF(J109=TODAY(),"TODAY",IF(J109&lt;=TODAY()+7,"THIS WEEK",""))))</f>
        <v/>
      </c>
      <c r="M109" s="19" t="s">
        <v>520</v>
      </c>
      <c r="N109" s="23" t="s">
        <v>486</v>
      </c>
      <c r="O109" s="24" t="str">
        <f aca="true">IF(H109="","",TODAY()-H109)</f>
        <v/>
      </c>
    </row>
    <row r="110" customFormat="false" ht="54" hidden="false" customHeight="true" outlineLevel="0" collapsed="false">
      <c r="A110" s="18" t="s">
        <v>521</v>
      </c>
      <c r="B110" s="19" t="s">
        <v>45</v>
      </c>
      <c r="C110" s="19" t="s">
        <v>246</v>
      </c>
      <c r="D110" s="19" t="s">
        <v>522</v>
      </c>
      <c r="E110" s="19"/>
      <c r="F110" s="19" t="s">
        <v>414</v>
      </c>
      <c r="G110" s="19" t="s">
        <v>21</v>
      </c>
      <c r="H110" s="20" t="str">
        <f aca="false">IF(A110="","",IF(COUNTIFS(Log!$B$5:$B$2000,A110)=0,"",SUMPRODUCT(MAX((Log!$B$5:$B$2000=A110)*Log!$A$5:$A$2000))))</f>
        <v/>
      </c>
      <c r="I110" s="19"/>
      <c r="J110" s="21"/>
      <c r="K110" s="19" t="s">
        <v>77</v>
      </c>
      <c r="L110" s="22" t="str">
        <f aca="true">IF(OR(A110="",J110=""),"",IF(J110&lt;TODAY(),"OVERDUE",IF(J110=TODAY(),"TODAY",IF(J110&lt;=TODAY()+7,"THIS WEEK",""))))</f>
        <v/>
      </c>
      <c r="M110" s="19" t="s">
        <v>523</v>
      </c>
      <c r="N110" s="23" t="s">
        <v>524</v>
      </c>
      <c r="O110" s="24" t="str">
        <f aca="true">IF(H110="","",TODAY()-H110)</f>
        <v/>
      </c>
    </row>
    <row r="111" customFormat="false" ht="54" hidden="false" customHeight="true" outlineLevel="0" collapsed="false">
      <c r="A111" s="18" t="s">
        <v>525</v>
      </c>
      <c r="B111" s="19" t="s">
        <v>45</v>
      </c>
      <c r="C111" s="19" t="s">
        <v>246</v>
      </c>
      <c r="D111" s="19" t="s">
        <v>526</v>
      </c>
      <c r="E111" s="19"/>
      <c r="F111" s="19" t="s">
        <v>414</v>
      </c>
      <c r="G111" s="19" t="s">
        <v>21</v>
      </c>
      <c r="H111" s="20" t="str">
        <f aca="false">IF(A111="","",IF(COUNTIFS(Log!$B$5:$B$2000,A111)=0,"",SUMPRODUCT(MAX((Log!$B$5:$B$2000=A111)*Log!$A$5:$A$2000))))</f>
        <v/>
      </c>
      <c r="I111" s="19"/>
      <c r="J111" s="21"/>
      <c r="K111" s="19" t="s">
        <v>77</v>
      </c>
      <c r="L111" s="22" t="str">
        <f aca="true">IF(OR(A111="",J111=""),"",IF(J111&lt;TODAY(),"OVERDUE",IF(J111=TODAY(),"TODAY",IF(J111&lt;=TODAY()+7,"THIS WEEK",""))))</f>
        <v/>
      </c>
      <c r="M111" s="19" t="s">
        <v>527</v>
      </c>
      <c r="N111" s="23" t="s">
        <v>528</v>
      </c>
      <c r="O111" s="24" t="str">
        <f aca="true">IF(H111="","",TODAY()-H111)</f>
        <v/>
      </c>
    </row>
    <row r="112" customFormat="false" ht="54" hidden="false" customHeight="true" outlineLevel="0" collapsed="false">
      <c r="A112" s="18" t="s">
        <v>529</v>
      </c>
      <c r="B112" s="19" t="s">
        <v>45</v>
      </c>
      <c r="C112" s="19" t="s">
        <v>530</v>
      </c>
      <c r="D112" s="19" t="s">
        <v>531</v>
      </c>
      <c r="E112" s="19"/>
      <c r="F112" s="19" t="s">
        <v>414</v>
      </c>
      <c r="G112" s="19" t="s">
        <v>21</v>
      </c>
      <c r="H112" s="20" t="str">
        <f aca="false">IF(A112="","",IF(COUNTIFS(Log!$B$5:$B$2000,A112)=0,"",SUMPRODUCT(MAX((Log!$B$5:$B$2000=A112)*Log!$A$5:$A$2000))))</f>
        <v/>
      </c>
      <c r="I112" s="19"/>
      <c r="J112" s="21"/>
      <c r="K112" s="19" t="s">
        <v>77</v>
      </c>
      <c r="L112" s="22" t="str">
        <f aca="true">IF(OR(A112="",J112=""),"",IF(J112&lt;TODAY(),"OVERDUE",IF(J112=TODAY(),"TODAY",IF(J112&lt;=TODAY()+7,"THIS WEEK",""))))</f>
        <v/>
      </c>
      <c r="M112" s="19" t="s">
        <v>532</v>
      </c>
      <c r="N112" s="23" t="s">
        <v>533</v>
      </c>
      <c r="O112" s="24" t="str">
        <f aca="true">IF(H112="","",TODAY()-H112)</f>
        <v/>
      </c>
    </row>
    <row r="113" customFormat="false" ht="54" hidden="false" customHeight="true" outlineLevel="0" collapsed="false">
      <c r="A113" s="18" t="s">
        <v>534</v>
      </c>
      <c r="B113" s="19" t="s">
        <v>45</v>
      </c>
      <c r="C113" s="19" t="s">
        <v>535</v>
      </c>
      <c r="D113" s="19" t="s">
        <v>536</v>
      </c>
      <c r="E113" s="19"/>
      <c r="F113" s="19" t="s">
        <v>414</v>
      </c>
      <c r="G113" s="19" t="s">
        <v>21</v>
      </c>
      <c r="H113" s="20" t="str">
        <f aca="false">IF(A113="","",IF(COUNTIFS(Log!$B$5:$B$2000,A113)=0,"",SUMPRODUCT(MAX((Log!$B$5:$B$2000=A113)*Log!$A$5:$A$2000))))</f>
        <v/>
      </c>
      <c r="I113" s="19"/>
      <c r="J113" s="21"/>
      <c r="K113" s="19" t="s">
        <v>77</v>
      </c>
      <c r="L113" s="22" t="str">
        <f aca="true">IF(OR(A113="",J113=""),"",IF(J113&lt;TODAY(),"OVERDUE",IF(J113=TODAY(),"TODAY",IF(J113&lt;=TODAY()+7,"THIS WEEK",""))))</f>
        <v/>
      </c>
      <c r="M113" s="19" t="s">
        <v>537</v>
      </c>
      <c r="N113" s="23" t="s">
        <v>486</v>
      </c>
      <c r="O113" s="24" t="str">
        <f aca="true">IF(H113="","",TODAY()-H113)</f>
        <v/>
      </c>
    </row>
    <row r="114" customFormat="false" ht="54" hidden="false" customHeight="true" outlineLevel="0" collapsed="false">
      <c r="A114" s="18" t="s">
        <v>538</v>
      </c>
      <c r="B114" s="19" t="s">
        <v>45</v>
      </c>
      <c r="C114" s="19" t="s">
        <v>539</v>
      </c>
      <c r="D114" s="19" t="s">
        <v>540</v>
      </c>
      <c r="E114" s="19"/>
      <c r="F114" s="19" t="s">
        <v>414</v>
      </c>
      <c r="G114" s="19" t="s">
        <v>21</v>
      </c>
      <c r="H114" s="20" t="str">
        <f aca="false">IF(A114="","",IF(COUNTIFS(Log!$B$5:$B$2000,A114)=0,"",SUMPRODUCT(MAX((Log!$B$5:$B$2000=A114)*Log!$A$5:$A$2000))))</f>
        <v/>
      </c>
      <c r="I114" s="19"/>
      <c r="J114" s="21"/>
      <c r="K114" s="19" t="s">
        <v>77</v>
      </c>
      <c r="L114" s="22" t="str">
        <f aca="true">IF(OR(A114="",J114=""),"",IF(J114&lt;TODAY(),"OVERDUE",IF(J114=TODAY(),"TODAY",IF(J114&lt;=TODAY()+7,"THIS WEEK",""))))</f>
        <v/>
      </c>
      <c r="M114" s="19" t="s">
        <v>541</v>
      </c>
      <c r="N114" s="23" t="s">
        <v>542</v>
      </c>
      <c r="O114" s="24" t="str">
        <f aca="true">IF(H114="","",TODAY()-H114)</f>
        <v/>
      </c>
    </row>
    <row r="115" customFormat="false" ht="15" hidden="false" customHeight="false" outlineLevel="0" collapsed="false">
      <c r="A115" s="19"/>
      <c r="B115" s="19"/>
      <c r="C115" s="19"/>
      <c r="D115" s="19"/>
      <c r="E115" s="19"/>
      <c r="F115" s="19"/>
      <c r="G115" s="19"/>
      <c r="H115" s="20" t="str">
        <f aca="false">IF(A115="","",IF(COUNTIFS(Log!$B$5:$B$2000,A115)=0,"",SUMPRODUCT(MAX((Log!$B$5:$B$2000=A115)*Log!$A$5:$A$2000))))</f>
        <v/>
      </c>
      <c r="I115" s="19"/>
      <c r="J115" s="21"/>
      <c r="K115" s="19"/>
      <c r="L115" s="22" t="str">
        <f aca="true">IF(OR(A115="",J115=""),"",IF(J115&lt;TODAY(),"OVERDUE",IF(J115=TODAY(),"TODAY",IF(J115&lt;=TODAY()+7,"THIS WEEK",""))))</f>
        <v/>
      </c>
      <c r="M115" s="19"/>
      <c r="N115" s="19"/>
      <c r="O115" s="24" t="str">
        <f aca="true">IF(H115="","",TODAY()-H115)</f>
        <v/>
      </c>
    </row>
    <row r="116" customFormat="false" ht="15" hidden="false" customHeight="false" outlineLevel="0" collapsed="false">
      <c r="A116" s="19"/>
      <c r="B116" s="19"/>
      <c r="C116" s="19"/>
      <c r="D116" s="19"/>
      <c r="E116" s="19"/>
      <c r="F116" s="19"/>
      <c r="G116" s="19"/>
      <c r="H116" s="20" t="str">
        <f aca="false">IF(A116="","",IF(COUNTIFS(Log!$B$5:$B$2000,A116)=0,"",SUMPRODUCT(MAX((Log!$B$5:$B$2000=A116)*Log!$A$5:$A$2000))))</f>
        <v/>
      </c>
      <c r="I116" s="19"/>
      <c r="J116" s="21"/>
      <c r="K116" s="19"/>
      <c r="L116" s="22" t="str">
        <f aca="true">IF(OR(A116="",J116=""),"",IF(J116&lt;TODAY(),"OVERDUE",IF(J116=TODAY(),"TODAY",IF(J116&lt;=TODAY()+7,"THIS WEEK",""))))</f>
        <v/>
      </c>
      <c r="M116" s="19"/>
      <c r="N116" s="19"/>
      <c r="O116" s="24" t="str">
        <f aca="true">IF(H116="","",TODAY()-H116)</f>
        <v/>
      </c>
    </row>
    <row r="117" customFormat="false" ht="15" hidden="false" customHeight="false" outlineLevel="0" collapsed="false">
      <c r="A117" s="19"/>
      <c r="B117" s="19"/>
      <c r="C117" s="19"/>
      <c r="D117" s="19"/>
      <c r="E117" s="19"/>
      <c r="F117" s="19"/>
      <c r="G117" s="19"/>
      <c r="H117" s="20" t="str">
        <f aca="false">IF(A117="","",IF(COUNTIFS(Log!$B$5:$B$2000,A117)=0,"",SUMPRODUCT(MAX((Log!$B$5:$B$2000=A117)*Log!$A$5:$A$2000))))</f>
        <v/>
      </c>
      <c r="I117" s="19"/>
      <c r="J117" s="21"/>
      <c r="K117" s="19"/>
      <c r="L117" s="22" t="str">
        <f aca="true">IF(OR(A117="",J117=""),"",IF(J117&lt;TODAY(),"OVERDUE",IF(J117=TODAY(),"TODAY",IF(J117&lt;=TODAY()+7,"THIS WEEK",""))))</f>
        <v/>
      </c>
      <c r="M117" s="19"/>
      <c r="N117" s="19"/>
      <c r="O117" s="24" t="str">
        <f aca="true">IF(H117="","",TODAY()-H117)</f>
        <v/>
      </c>
    </row>
    <row r="118" customFormat="false" ht="15" hidden="false" customHeight="false" outlineLevel="0" collapsed="false">
      <c r="A118" s="19"/>
      <c r="B118" s="19"/>
      <c r="C118" s="19"/>
      <c r="D118" s="19"/>
      <c r="E118" s="19"/>
      <c r="F118" s="19"/>
      <c r="G118" s="19"/>
      <c r="H118" s="20" t="str">
        <f aca="false">IF(A118="","",IF(COUNTIFS(Log!$B$5:$B$2000,A118)=0,"",SUMPRODUCT(MAX((Log!$B$5:$B$2000=A118)*Log!$A$5:$A$2000))))</f>
        <v/>
      </c>
      <c r="I118" s="19"/>
      <c r="J118" s="21"/>
      <c r="K118" s="19"/>
      <c r="L118" s="22" t="str">
        <f aca="true">IF(OR(A118="",J118=""),"",IF(J118&lt;TODAY(),"OVERDUE",IF(J118=TODAY(),"TODAY",IF(J118&lt;=TODAY()+7,"THIS WEEK",""))))</f>
        <v/>
      </c>
      <c r="M118" s="19"/>
      <c r="N118" s="19"/>
      <c r="O118" s="24" t="str">
        <f aca="true">IF(H118="","",TODAY()-H118)</f>
        <v/>
      </c>
    </row>
    <row r="119" customFormat="false" ht="15" hidden="false" customHeight="false" outlineLevel="0" collapsed="false">
      <c r="A119" s="19"/>
      <c r="B119" s="19"/>
      <c r="C119" s="19"/>
      <c r="D119" s="19"/>
      <c r="E119" s="19"/>
      <c r="F119" s="19"/>
      <c r="G119" s="19"/>
      <c r="H119" s="20" t="str">
        <f aca="false">IF(A119="","",IF(COUNTIFS(Log!$B$5:$B$2000,A119)=0,"",SUMPRODUCT(MAX((Log!$B$5:$B$2000=A119)*Log!$A$5:$A$2000))))</f>
        <v/>
      </c>
      <c r="I119" s="19"/>
      <c r="J119" s="21"/>
      <c r="K119" s="19"/>
      <c r="L119" s="22" t="str">
        <f aca="true">IF(OR(A119="",J119=""),"",IF(J119&lt;TODAY(),"OVERDUE",IF(J119=TODAY(),"TODAY",IF(J119&lt;=TODAY()+7,"THIS WEEK",""))))</f>
        <v/>
      </c>
      <c r="M119" s="19"/>
      <c r="N119" s="19"/>
      <c r="O119" s="24" t="str">
        <f aca="true">IF(H119="","",TODAY()-H119)</f>
        <v/>
      </c>
    </row>
    <row r="120" customFormat="false" ht="15" hidden="false" customHeight="false" outlineLevel="0" collapsed="false">
      <c r="A120" s="19"/>
      <c r="B120" s="19"/>
      <c r="C120" s="19"/>
      <c r="D120" s="19"/>
      <c r="E120" s="19"/>
      <c r="F120" s="19"/>
      <c r="G120" s="19"/>
      <c r="H120" s="20" t="str">
        <f aca="false">IF(A120="","",IF(COUNTIFS(Log!$B$5:$B$2000,A120)=0,"",SUMPRODUCT(MAX((Log!$B$5:$B$2000=A120)*Log!$A$5:$A$2000))))</f>
        <v/>
      </c>
      <c r="I120" s="19"/>
      <c r="J120" s="21"/>
      <c r="K120" s="19"/>
      <c r="L120" s="22" t="str">
        <f aca="true">IF(OR(A120="",J120=""),"",IF(J120&lt;TODAY(),"OVERDUE",IF(J120=TODAY(),"TODAY",IF(J120&lt;=TODAY()+7,"THIS WEEK",""))))</f>
        <v/>
      </c>
      <c r="M120" s="19"/>
      <c r="N120" s="19"/>
      <c r="O120" s="24" t="str">
        <f aca="true">IF(H120="","",TODAY()-H120)</f>
        <v/>
      </c>
    </row>
    <row r="121" customFormat="false" ht="15" hidden="false" customHeight="false" outlineLevel="0" collapsed="false">
      <c r="A121" s="19"/>
      <c r="B121" s="19"/>
      <c r="C121" s="19"/>
      <c r="D121" s="19"/>
      <c r="E121" s="19"/>
      <c r="F121" s="19"/>
      <c r="G121" s="19"/>
      <c r="H121" s="20" t="str">
        <f aca="false">IF(A121="","",IF(COUNTIFS(Log!$B$5:$B$2000,A121)=0,"",SUMPRODUCT(MAX((Log!$B$5:$B$2000=A121)*Log!$A$5:$A$2000))))</f>
        <v/>
      </c>
      <c r="I121" s="19"/>
      <c r="J121" s="21"/>
      <c r="K121" s="19"/>
      <c r="L121" s="22" t="str">
        <f aca="true">IF(OR(A121="",J121=""),"",IF(J121&lt;TODAY(),"OVERDUE",IF(J121=TODAY(),"TODAY",IF(J121&lt;=TODAY()+7,"THIS WEEK",""))))</f>
        <v/>
      </c>
      <c r="M121" s="19"/>
      <c r="N121" s="19"/>
      <c r="O121" s="24" t="str">
        <f aca="true">IF(H121="","",TODAY()-H121)</f>
        <v/>
      </c>
    </row>
    <row r="122" customFormat="false" ht="15" hidden="false" customHeight="false" outlineLevel="0" collapsed="false">
      <c r="A122" s="19"/>
      <c r="B122" s="19"/>
      <c r="C122" s="19"/>
      <c r="D122" s="19"/>
      <c r="E122" s="19"/>
      <c r="F122" s="19"/>
      <c r="G122" s="19"/>
      <c r="H122" s="20" t="str">
        <f aca="false">IF(A122="","",IF(COUNTIFS(Log!$B$5:$B$2000,A122)=0,"",SUMPRODUCT(MAX((Log!$B$5:$B$2000=A122)*Log!$A$5:$A$2000))))</f>
        <v/>
      </c>
      <c r="I122" s="19"/>
      <c r="J122" s="21"/>
      <c r="K122" s="19"/>
      <c r="L122" s="22" t="str">
        <f aca="true">IF(OR(A122="",J122=""),"",IF(J122&lt;TODAY(),"OVERDUE",IF(J122=TODAY(),"TODAY",IF(J122&lt;=TODAY()+7,"THIS WEEK",""))))</f>
        <v/>
      </c>
      <c r="M122" s="19"/>
      <c r="N122" s="19"/>
      <c r="O122" s="24" t="str">
        <f aca="true">IF(H122="","",TODAY()-H122)</f>
        <v/>
      </c>
    </row>
    <row r="123" customFormat="false" ht="15" hidden="false" customHeight="false" outlineLevel="0" collapsed="false">
      <c r="A123" s="19"/>
      <c r="B123" s="19"/>
      <c r="C123" s="19"/>
      <c r="D123" s="19"/>
      <c r="E123" s="19"/>
      <c r="F123" s="19"/>
      <c r="G123" s="19"/>
      <c r="H123" s="20" t="str">
        <f aca="false">IF(A123="","",IF(COUNTIFS(Log!$B$5:$B$2000,A123)=0,"",SUMPRODUCT(MAX((Log!$B$5:$B$2000=A123)*Log!$A$5:$A$2000))))</f>
        <v/>
      </c>
      <c r="I123" s="19"/>
      <c r="J123" s="21"/>
      <c r="K123" s="19"/>
      <c r="L123" s="22" t="str">
        <f aca="true">IF(OR(A123="",J123=""),"",IF(J123&lt;TODAY(),"OVERDUE",IF(J123=TODAY(),"TODAY",IF(J123&lt;=TODAY()+7,"THIS WEEK",""))))</f>
        <v/>
      </c>
      <c r="M123" s="19"/>
      <c r="N123" s="19"/>
      <c r="O123" s="24" t="str">
        <f aca="true">IF(H123="","",TODAY()-H123)</f>
        <v/>
      </c>
    </row>
    <row r="124" customFormat="false" ht="15" hidden="false" customHeight="false" outlineLevel="0" collapsed="false">
      <c r="A124" s="19"/>
      <c r="B124" s="19"/>
      <c r="C124" s="19"/>
      <c r="D124" s="19"/>
      <c r="E124" s="19"/>
      <c r="F124" s="19"/>
      <c r="G124" s="19"/>
      <c r="H124" s="20" t="str">
        <f aca="false">IF(A124="","",IF(COUNTIFS(Log!$B$5:$B$2000,A124)=0,"",SUMPRODUCT(MAX((Log!$B$5:$B$2000=A124)*Log!$A$5:$A$2000))))</f>
        <v/>
      </c>
      <c r="I124" s="19"/>
      <c r="J124" s="21"/>
      <c r="K124" s="19"/>
      <c r="L124" s="22" t="str">
        <f aca="true">IF(OR(A124="",J124=""),"",IF(J124&lt;TODAY(),"OVERDUE",IF(J124=TODAY(),"TODAY",IF(J124&lt;=TODAY()+7,"THIS WEEK",""))))</f>
        <v/>
      </c>
      <c r="M124" s="19"/>
      <c r="N124" s="19"/>
      <c r="O124" s="24" t="str">
        <f aca="true">IF(H124="","",TODAY()-H124)</f>
        <v/>
      </c>
    </row>
    <row r="125" customFormat="false" ht="15" hidden="false" customHeight="false" outlineLevel="0" collapsed="false">
      <c r="A125" s="19"/>
      <c r="B125" s="19"/>
      <c r="C125" s="19"/>
      <c r="D125" s="19"/>
      <c r="E125" s="19"/>
      <c r="F125" s="19"/>
      <c r="G125" s="19"/>
      <c r="H125" s="20" t="str">
        <f aca="false">IF(A125="","",IF(COUNTIFS(Log!$B$5:$B$2000,A125)=0,"",SUMPRODUCT(MAX((Log!$B$5:$B$2000=A125)*Log!$A$5:$A$2000))))</f>
        <v/>
      </c>
      <c r="I125" s="19"/>
      <c r="J125" s="21"/>
      <c r="K125" s="19"/>
      <c r="L125" s="22" t="str">
        <f aca="true">IF(OR(A125="",J125=""),"",IF(J125&lt;TODAY(),"OVERDUE",IF(J125=TODAY(),"TODAY",IF(J125&lt;=TODAY()+7,"THIS WEEK",""))))</f>
        <v/>
      </c>
      <c r="M125" s="19"/>
      <c r="N125" s="19"/>
      <c r="O125" s="24" t="str">
        <f aca="true">IF(H125="","",TODAY()-H125)</f>
        <v/>
      </c>
    </row>
    <row r="126" customFormat="false" ht="15" hidden="false" customHeight="false" outlineLevel="0" collapsed="false">
      <c r="A126" s="19"/>
      <c r="B126" s="19"/>
      <c r="C126" s="19"/>
      <c r="D126" s="19"/>
      <c r="E126" s="19"/>
      <c r="F126" s="19"/>
      <c r="G126" s="19"/>
      <c r="H126" s="20" t="str">
        <f aca="false">IF(A126="","",IF(COUNTIFS(Log!$B$5:$B$2000,A126)=0,"",SUMPRODUCT(MAX((Log!$B$5:$B$2000=A126)*Log!$A$5:$A$2000))))</f>
        <v/>
      </c>
      <c r="I126" s="19"/>
      <c r="J126" s="21"/>
      <c r="K126" s="19"/>
      <c r="L126" s="22" t="str">
        <f aca="true">IF(OR(A126="",J126=""),"",IF(J126&lt;TODAY(),"OVERDUE",IF(J126=TODAY(),"TODAY",IF(J126&lt;=TODAY()+7,"THIS WEEK",""))))</f>
        <v/>
      </c>
      <c r="M126" s="19"/>
      <c r="N126" s="19"/>
      <c r="O126" s="24" t="str">
        <f aca="true">IF(H126="","",TODAY()-H126)</f>
        <v/>
      </c>
    </row>
    <row r="127" customFormat="false" ht="15" hidden="false" customHeight="false" outlineLevel="0" collapsed="false">
      <c r="A127" s="19"/>
      <c r="B127" s="19"/>
      <c r="C127" s="19"/>
      <c r="D127" s="19"/>
      <c r="E127" s="19"/>
      <c r="F127" s="19"/>
      <c r="G127" s="19"/>
      <c r="H127" s="20" t="str">
        <f aca="false">IF(A127="","",IF(COUNTIFS(Log!$B$5:$B$2000,A127)=0,"",SUMPRODUCT(MAX((Log!$B$5:$B$2000=A127)*Log!$A$5:$A$2000))))</f>
        <v/>
      </c>
      <c r="I127" s="19"/>
      <c r="J127" s="21"/>
      <c r="K127" s="19"/>
      <c r="L127" s="22" t="str">
        <f aca="true">IF(OR(A127="",J127=""),"",IF(J127&lt;TODAY(),"OVERDUE",IF(J127=TODAY(),"TODAY",IF(J127&lt;=TODAY()+7,"THIS WEEK",""))))</f>
        <v/>
      </c>
      <c r="M127" s="19"/>
      <c r="N127" s="19"/>
      <c r="O127" s="24" t="str">
        <f aca="true">IF(H127="","",TODAY()-H127)</f>
        <v/>
      </c>
    </row>
    <row r="128" customFormat="false" ht="15" hidden="false" customHeight="false" outlineLevel="0" collapsed="false">
      <c r="A128" s="19"/>
      <c r="B128" s="19"/>
      <c r="C128" s="19"/>
      <c r="D128" s="19"/>
      <c r="E128" s="19"/>
      <c r="F128" s="19"/>
      <c r="G128" s="19"/>
      <c r="H128" s="20" t="str">
        <f aca="false">IF(A128="","",IF(COUNTIFS(Log!$B$5:$B$2000,A128)=0,"",SUMPRODUCT(MAX((Log!$B$5:$B$2000=A128)*Log!$A$5:$A$2000))))</f>
        <v/>
      </c>
      <c r="I128" s="19"/>
      <c r="J128" s="21"/>
      <c r="K128" s="19"/>
      <c r="L128" s="22" t="str">
        <f aca="true">IF(OR(A128="",J128=""),"",IF(J128&lt;TODAY(),"OVERDUE",IF(J128=TODAY(),"TODAY",IF(J128&lt;=TODAY()+7,"THIS WEEK",""))))</f>
        <v/>
      </c>
      <c r="M128" s="19"/>
      <c r="N128" s="19"/>
      <c r="O128" s="24" t="str">
        <f aca="true">IF(H128="","",TODAY()-H128)</f>
        <v/>
      </c>
    </row>
    <row r="129" customFormat="false" ht="15" hidden="false" customHeight="false" outlineLevel="0" collapsed="false">
      <c r="A129" s="19"/>
      <c r="B129" s="19"/>
      <c r="C129" s="19"/>
      <c r="D129" s="19"/>
      <c r="E129" s="19"/>
      <c r="F129" s="19"/>
      <c r="G129" s="19"/>
      <c r="H129" s="20" t="str">
        <f aca="false">IF(A129="","",IF(COUNTIFS(Log!$B$5:$B$2000,A129)=0,"",SUMPRODUCT(MAX((Log!$B$5:$B$2000=A129)*Log!$A$5:$A$2000))))</f>
        <v/>
      </c>
      <c r="I129" s="19"/>
      <c r="J129" s="21"/>
      <c r="K129" s="19"/>
      <c r="L129" s="22" t="str">
        <f aca="true">IF(OR(A129="",J129=""),"",IF(J129&lt;TODAY(),"OVERDUE",IF(J129=TODAY(),"TODAY",IF(J129&lt;=TODAY()+7,"THIS WEEK",""))))</f>
        <v/>
      </c>
      <c r="M129" s="19"/>
      <c r="N129" s="19"/>
      <c r="O129" s="24" t="str">
        <f aca="true">IF(H129="","",TODAY()-H129)</f>
        <v/>
      </c>
    </row>
    <row r="130" customFormat="false" ht="15" hidden="false" customHeight="false" outlineLevel="0" collapsed="false">
      <c r="A130" s="19"/>
      <c r="B130" s="19"/>
      <c r="C130" s="19"/>
      <c r="D130" s="19"/>
      <c r="E130" s="19"/>
      <c r="F130" s="19"/>
      <c r="G130" s="19"/>
      <c r="H130" s="20" t="str">
        <f aca="false">IF(A130="","",IF(COUNTIFS(Log!$B$5:$B$2000,A130)=0,"",SUMPRODUCT(MAX((Log!$B$5:$B$2000=A130)*Log!$A$5:$A$2000))))</f>
        <v/>
      </c>
      <c r="I130" s="19"/>
      <c r="J130" s="21"/>
      <c r="K130" s="19"/>
      <c r="L130" s="22" t="str">
        <f aca="true">IF(OR(A130="",J130=""),"",IF(J130&lt;TODAY(),"OVERDUE",IF(J130=TODAY(),"TODAY",IF(J130&lt;=TODAY()+7,"THIS WEEK",""))))</f>
        <v/>
      </c>
      <c r="M130" s="19"/>
      <c r="N130" s="19"/>
      <c r="O130" s="24" t="str">
        <f aca="true">IF(H130="","",TODAY()-H130)</f>
        <v/>
      </c>
    </row>
    <row r="131" customFormat="false" ht="15" hidden="false" customHeight="false" outlineLevel="0" collapsed="false">
      <c r="A131" s="19"/>
      <c r="B131" s="19"/>
      <c r="C131" s="19"/>
      <c r="D131" s="19"/>
      <c r="E131" s="19"/>
      <c r="F131" s="19"/>
      <c r="G131" s="19"/>
      <c r="H131" s="20" t="str">
        <f aca="false">IF(A131="","",IF(COUNTIFS(Log!$B$5:$B$2000,A131)=0,"",SUMPRODUCT(MAX((Log!$B$5:$B$2000=A131)*Log!$A$5:$A$2000))))</f>
        <v/>
      </c>
      <c r="I131" s="19"/>
      <c r="J131" s="21"/>
      <c r="K131" s="19"/>
      <c r="L131" s="22" t="str">
        <f aca="true">IF(OR(A131="",J131=""),"",IF(J131&lt;TODAY(),"OVERDUE",IF(J131=TODAY(),"TODAY",IF(J131&lt;=TODAY()+7,"THIS WEEK",""))))</f>
        <v/>
      </c>
      <c r="M131" s="19"/>
      <c r="N131" s="19"/>
      <c r="O131" s="24" t="str">
        <f aca="true">IF(H131="","",TODAY()-H131)</f>
        <v/>
      </c>
    </row>
    <row r="132" customFormat="false" ht="15" hidden="false" customHeight="false" outlineLevel="0" collapsed="false">
      <c r="A132" s="19"/>
      <c r="B132" s="19"/>
      <c r="C132" s="19"/>
      <c r="D132" s="19"/>
      <c r="E132" s="19"/>
      <c r="F132" s="19"/>
      <c r="G132" s="19"/>
      <c r="H132" s="20" t="str">
        <f aca="false">IF(A132="","",IF(COUNTIFS(Log!$B$5:$B$2000,A132)=0,"",SUMPRODUCT(MAX((Log!$B$5:$B$2000=A132)*Log!$A$5:$A$2000))))</f>
        <v/>
      </c>
      <c r="I132" s="19"/>
      <c r="J132" s="21"/>
      <c r="K132" s="19"/>
      <c r="L132" s="22" t="str">
        <f aca="true">IF(OR(A132="",J132=""),"",IF(J132&lt;TODAY(),"OVERDUE",IF(J132=TODAY(),"TODAY",IF(J132&lt;=TODAY()+7,"THIS WEEK",""))))</f>
        <v/>
      </c>
      <c r="M132" s="19"/>
      <c r="N132" s="19"/>
      <c r="O132" s="24" t="str">
        <f aca="true">IF(H132="","",TODAY()-H132)</f>
        <v/>
      </c>
    </row>
    <row r="133" customFormat="false" ht="15" hidden="false" customHeight="false" outlineLevel="0" collapsed="false">
      <c r="A133" s="19"/>
      <c r="B133" s="19"/>
      <c r="C133" s="19"/>
      <c r="D133" s="19"/>
      <c r="E133" s="19"/>
      <c r="F133" s="19"/>
      <c r="G133" s="19"/>
      <c r="H133" s="20" t="str">
        <f aca="false">IF(A133="","",IF(COUNTIFS(Log!$B$5:$B$2000,A133)=0,"",SUMPRODUCT(MAX((Log!$B$5:$B$2000=A133)*Log!$A$5:$A$2000))))</f>
        <v/>
      </c>
      <c r="I133" s="19"/>
      <c r="J133" s="21"/>
      <c r="K133" s="19"/>
      <c r="L133" s="22" t="str">
        <f aca="true">IF(OR(A133="",J133=""),"",IF(J133&lt;TODAY(),"OVERDUE",IF(J133=TODAY(),"TODAY",IF(J133&lt;=TODAY()+7,"THIS WEEK",""))))</f>
        <v/>
      </c>
      <c r="M133" s="19"/>
      <c r="N133" s="19"/>
      <c r="O133" s="24" t="str">
        <f aca="true">IF(H133="","",TODAY()-H133)</f>
        <v/>
      </c>
    </row>
    <row r="134" customFormat="false" ht="15" hidden="false" customHeight="false" outlineLevel="0" collapsed="false">
      <c r="A134" s="19"/>
      <c r="B134" s="19"/>
      <c r="C134" s="19"/>
      <c r="D134" s="19"/>
      <c r="E134" s="19"/>
      <c r="F134" s="19"/>
      <c r="G134" s="19"/>
      <c r="H134" s="20" t="str">
        <f aca="false">IF(A134="","",IF(COUNTIFS(Log!$B$5:$B$2000,A134)=0,"",SUMPRODUCT(MAX((Log!$B$5:$B$2000=A134)*Log!$A$5:$A$2000))))</f>
        <v/>
      </c>
      <c r="I134" s="19"/>
      <c r="J134" s="21"/>
      <c r="K134" s="19"/>
      <c r="L134" s="22" t="str">
        <f aca="true">IF(OR(A134="",J134=""),"",IF(J134&lt;TODAY(),"OVERDUE",IF(J134=TODAY(),"TODAY",IF(J134&lt;=TODAY()+7,"THIS WEEK",""))))</f>
        <v/>
      </c>
      <c r="M134" s="19"/>
      <c r="N134" s="19"/>
      <c r="O134" s="24" t="str">
        <f aca="true">IF(H134="","",TODAY()-H134)</f>
        <v/>
      </c>
    </row>
    <row r="135" customFormat="false" ht="15" hidden="false" customHeight="false" outlineLevel="0" collapsed="false">
      <c r="A135" s="19"/>
      <c r="B135" s="19"/>
      <c r="C135" s="19"/>
      <c r="D135" s="19"/>
      <c r="E135" s="19"/>
      <c r="F135" s="19"/>
      <c r="G135" s="19"/>
      <c r="H135" s="20" t="str">
        <f aca="false">IF(A135="","",IF(COUNTIFS(Log!$B$5:$B$2000,A135)=0,"",SUMPRODUCT(MAX((Log!$B$5:$B$2000=A135)*Log!$A$5:$A$2000))))</f>
        <v/>
      </c>
      <c r="I135" s="19"/>
      <c r="J135" s="21"/>
      <c r="K135" s="19"/>
      <c r="L135" s="22" t="str">
        <f aca="true">IF(OR(A135="",J135=""),"",IF(J135&lt;TODAY(),"OVERDUE",IF(J135=TODAY(),"TODAY",IF(J135&lt;=TODAY()+7,"THIS WEEK",""))))</f>
        <v/>
      </c>
      <c r="M135" s="19"/>
      <c r="N135" s="19"/>
      <c r="O135" s="24" t="str">
        <f aca="true">IF(H135="","",TODAY()-H135)</f>
        <v/>
      </c>
    </row>
    <row r="136" customFormat="false" ht="15" hidden="false" customHeight="false" outlineLevel="0" collapsed="false">
      <c r="A136" s="19"/>
      <c r="B136" s="19"/>
      <c r="C136" s="19"/>
      <c r="D136" s="19"/>
      <c r="E136" s="19"/>
      <c r="F136" s="19"/>
      <c r="G136" s="19"/>
      <c r="H136" s="20" t="str">
        <f aca="false">IF(A136="","",IF(COUNTIFS(Log!$B$5:$B$2000,A136)=0,"",SUMPRODUCT(MAX((Log!$B$5:$B$2000=A136)*Log!$A$5:$A$2000))))</f>
        <v/>
      </c>
      <c r="I136" s="19"/>
      <c r="J136" s="21"/>
      <c r="K136" s="19"/>
      <c r="L136" s="22" t="str">
        <f aca="true">IF(OR(A136="",J136=""),"",IF(J136&lt;TODAY(),"OVERDUE",IF(J136=TODAY(),"TODAY",IF(J136&lt;=TODAY()+7,"THIS WEEK",""))))</f>
        <v/>
      </c>
      <c r="M136" s="19"/>
      <c r="N136" s="19"/>
      <c r="O136" s="24" t="str">
        <f aca="true">IF(H136="","",TODAY()-H136)</f>
        <v/>
      </c>
    </row>
    <row r="137" customFormat="false" ht="15" hidden="false" customHeight="false" outlineLevel="0" collapsed="false">
      <c r="A137" s="19"/>
      <c r="B137" s="19"/>
      <c r="C137" s="19"/>
      <c r="D137" s="19"/>
      <c r="E137" s="19"/>
      <c r="F137" s="19"/>
      <c r="G137" s="19"/>
      <c r="H137" s="20" t="str">
        <f aca="false">IF(A137="","",IF(COUNTIFS(Log!$B$5:$B$2000,A137)=0,"",SUMPRODUCT(MAX((Log!$B$5:$B$2000=A137)*Log!$A$5:$A$2000))))</f>
        <v/>
      </c>
      <c r="I137" s="19"/>
      <c r="J137" s="21"/>
      <c r="K137" s="19"/>
      <c r="L137" s="22" t="str">
        <f aca="true">IF(OR(A137="",J137=""),"",IF(J137&lt;TODAY(),"OVERDUE",IF(J137=TODAY(),"TODAY",IF(J137&lt;=TODAY()+7,"THIS WEEK",""))))</f>
        <v/>
      </c>
      <c r="M137" s="19"/>
      <c r="N137" s="19"/>
      <c r="O137" s="24" t="str">
        <f aca="true">IF(H137="","",TODAY()-H137)</f>
        <v/>
      </c>
    </row>
    <row r="138" customFormat="false" ht="15" hidden="false" customHeight="false" outlineLevel="0" collapsed="false">
      <c r="A138" s="19"/>
      <c r="B138" s="19"/>
      <c r="C138" s="19"/>
      <c r="D138" s="19"/>
      <c r="E138" s="19"/>
      <c r="F138" s="19"/>
      <c r="G138" s="19"/>
      <c r="H138" s="20" t="str">
        <f aca="false">IF(A138="","",IF(COUNTIFS(Log!$B$5:$B$2000,A138)=0,"",SUMPRODUCT(MAX((Log!$B$5:$B$2000=A138)*Log!$A$5:$A$2000))))</f>
        <v/>
      </c>
      <c r="I138" s="19"/>
      <c r="J138" s="21"/>
      <c r="K138" s="19"/>
      <c r="L138" s="22" t="str">
        <f aca="true">IF(OR(A138="",J138=""),"",IF(J138&lt;TODAY(),"OVERDUE",IF(J138=TODAY(),"TODAY",IF(J138&lt;=TODAY()+7,"THIS WEEK",""))))</f>
        <v/>
      </c>
      <c r="M138" s="19"/>
      <c r="N138" s="19"/>
      <c r="O138" s="24" t="str">
        <f aca="true">IF(H138="","",TODAY()-H138)</f>
        <v/>
      </c>
    </row>
    <row r="139" customFormat="false" ht="15" hidden="false" customHeight="false" outlineLevel="0" collapsed="false">
      <c r="A139" s="19"/>
      <c r="B139" s="19"/>
      <c r="C139" s="19"/>
      <c r="D139" s="19"/>
      <c r="E139" s="19"/>
      <c r="F139" s="19"/>
      <c r="G139" s="19"/>
      <c r="H139" s="20" t="str">
        <f aca="false">IF(A139="","",IF(COUNTIFS(Log!$B$5:$B$2000,A139)=0,"",SUMPRODUCT(MAX((Log!$B$5:$B$2000=A139)*Log!$A$5:$A$2000))))</f>
        <v/>
      </c>
      <c r="I139" s="19"/>
      <c r="J139" s="21"/>
      <c r="K139" s="19"/>
      <c r="L139" s="22" t="str">
        <f aca="true">IF(OR(A139="",J139=""),"",IF(J139&lt;TODAY(),"OVERDUE",IF(J139=TODAY(),"TODAY",IF(J139&lt;=TODAY()+7,"THIS WEEK",""))))</f>
        <v/>
      </c>
      <c r="M139" s="19"/>
      <c r="N139" s="19"/>
      <c r="O139" s="24" t="str">
        <f aca="true">IF(H139="","",TODAY()-H139)</f>
        <v/>
      </c>
    </row>
    <row r="140" customFormat="false" ht="15" hidden="false" customHeight="false" outlineLevel="0" collapsed="false">
      <c r="A140" s="19"/>
      <c r="B140" s="19"/>
      <c r="C140" s="19"/>
      <c r="D140" s="19"/>
      <c r="E140" s="19"/>
      <c r="F140" s="19"/>
      <c r="G140" s="19"/>
      <c r="H140" s="20" t="str">
        <f aca="false">IF(A140="","",IF(COUNTIFS(Log!$B$5:$B$2000,A140)=0,"",SUMPRODUCT(MAX((Log!$B$5:$B$2000=A140)*Log!$A$5:$A$2000))))</f>
        <v/>
      </c>
      <c r="I140" s="19"/>
      <c r="J140" s="21"/>
      <c r="K140" s="19"/>
      <c r="L140" s="22" t="str">
        <f aca="true">IF(OR(A140="",J140=""),"",IF(J140&lt;TODAY(),"OVERDUE",IF(J140=TODAY(),"TODAY",IF(J140&lt;=TODAY()+7,"THIS WEEK",""))))</f>
        <v/>
      </c>
      <c r="M140" s="19"/>
      <c r="N140" s="19"/>
      <c r="O140" s="24" t="str">
        <f aca="true">IF(H140="","",TODAY()-H140)</f>
        <v/>
      </c>
    </row>
    <row r="141" customFormat="false" ht="15" hidden="false" customHeight="false" outlineLevel="0" collapsed="false">
      <c r="A141" s="19"/>
      <c r="B141" s="19"/>
      <c r="C141" s="19"/>
      <c r="D141" s="19"/>
      <c r="E141" s="19"/>
      <c r="F141" s="19"/>
      <c r="G141" s="19"/>
      <c r="H141" s="20" t="str">
        <f aca="false">IF(A141="","",IF(COUNTIFS(Log!$B$5:$B$2000,A141)=0,"",SUMPRODUCT(MAX((Log!$B$5:$B$2000=A141)*Log!$A$5:$A$2000))))</f>
        <v/>
      </c>
      <c r="I141" s="19"/>
      <c r="J141" s="21"/>
      <c r="K141" s="19"/>
      <c r="L141" s="22" t="str">
        <f aca="true">IF(OR(A141="",J141=""),"",IF(J141&lt;TODAY(),"OVERDUE",IF(J141=TODAY(),"TODAY",IF(J141&lt;=TODAY()+7,"THIS WEEK",""))))</f>
        <v/>
      </c>
      <c r="M141" s="19"/>
      <c r="N141" s="19"/>
      <c r="O141" s="24" t="str">
        <f aca="true">IF(H141="","",TODAY()-H141)</f>
        <v/>
      </c>
    </row>
    <row r="142" customFormat="false" ht="15" hidden="false" customHeight="false" outlineLevel="0" collapsed="false">
      <c r="A142" s="19"/>
      <c r="B142" s="19"/>
      <c r="C142" s="19"/>
      <c r="D142" s="19"/>
      <c r="E142" s="19"/>
      <c r="F142" s="19"/>
      <c r="G142" s="19"/>
      <c r="H142" s="20" t="str">
        <f aca="false">IF(A142="","",IF(COUNTIFS(Log!$B$5:$B$2000,A142)=0,"",SUMPRODUCT(MAX((Log!$B$5:$B$2000=A142)*Log!$A$5:$A$2000))))</f>
        <v/>
      </c>
      <c r="I142" s="19"/>
      <c r="J142" s="21"/>
      <c r="K142" s="19"/>
      <c r="L142" s="22" t="str">
        <f aca="true">IF(OR(A142="",J142=""),"",IF(J142&lt;TODAY(),"OVERDUE",IF(J142=TODAY(),"TODAY",IF(J142&lt;=TODAY()+7,"THIS WEEK",""))))</f>
        <v/>
      </c>
      <c r="M142" s="19"/>
      <c r="N142" s="19"/>
      <c r="O142" s="24" t="str">
        <f aca="true">IF(H142="","",TODAY()-H142)</f>
        <v/>
      </c>
    </row>
    <row r="143" customFormat="false" ht="15" hidden="false" customHeight="false" outlineLevel="0" collapsed="false">
      <c r="A143" s="19"/>
      <c r="B143" s="19"/>
      <c r="C143" s="19"/>
      <c r="D143" s="19"/>
      <c r="E143" s="19"/>
      <c r="F143" s="19"/>
      <c r="G143" s="19"/>
      <c r="H143" s="20" t="str">
        <f aca="false">IF(A143="","",IF(COUNTIFS(Log!$B$5:$B$2000,A143)=0,"",SUMPRODUCT(MAX((Log!$B$5:$B$2000=A143)*Log!$A$5:$A$2000))))</f>
        <v/>
      </c>
      <c r="I143" s="19"/>
      <c r="J143" s="21"/>
      <c r="K143" s="19"/>
      <c r="L143" s="22" t="str">
        <f aca="true">IF(OR(A143="",J143=""),"",IF(J143&lt;TODAY(),"OVERDUE",IF(J143=TODAY(),"TODAY",IF(J143&lt;=TODAY()+7,"THIS WEEK",""))))</f>
        <v/>
      </c>
      <c r="M143" s="19"/>
      <c r="N143" s="19"/>
      <c r="O143" s="24" t="str">
        <f aca="true">IF(H143="","",TODAY()-H143)</f>
        <v/>
      </c>
    </row>
    <row r="144" customFormat="false" ht="15" hidden="false" customHeight="false" outlineLevel="0" collapsed="false">
      <c r="A144" s="19"/>
      <c r="B144" s="19"/>
      <c r="C144" s="19"/>
      <c r="D144" s="19"/>
      <c r="E144" s="19"/>
      <c r="F144" s="19"/>
      <c r="G144" s="19"/>
      <c r="H144" s="20" t="str">
        <f aca="false">IF(A144="","",IF(COUNTIFS(Log!$B$5:$B$2000,A144)=0,"",SUMPRODUCT(MAX((Log!$B$5:$B$2000=A144)*Log!$A$5:$A$2000))))</f>
        <v/>
      </c>
      <c r="I144" s="19"/>
      <c r="J144" s="21"/>
      <c r="K144" s="19"/>
      <c r="L144" s="22" t="str">
        <f aca="true">IF(OR(A144="",J144=""),"",IF(J144&lt;TODAY(),"OVERDUE",IF(J144=TODAY(),"TODAY",IF(J144&lt;=TODAY()+7,"THIS WEEK",""))))</f>
        <v/>
      </c>
      <c r="M144" s="19"/>
      <c r="N144" s="19"/>
      <c r="O144" s="24" t="str">
        <f aca="true">IF(H144="","",TODAY()-H144)</f>
        <v/>
      </c>
    </row>
    <row r="145" customFormat="false" ht="15" hidden="false" customHeight="false" outlineLevel="0" collapsed="false">
      <c r="A145" s="19"/>
      <c r="B145" s="19"/>
      <c r="C145" s="19"/>
      <c r="D145" s="19"/>
      <c r="E145" s="19"/>
      <c r="F145" s="19"/>
      <c r="G145" s="19"/>
      <c r="H145" s="20" t="str">
        <f aca="false">IF(A145="","",IF(COUNTIFS(Log!$B$5:$B$2000,A145)=0,"",SUMPRODUCT(MAX((Log!$B$5:$B$2000=A145)*Log!$A$5:$A$2000))))</f>
        <v/>
      </c>
      <c r="I145" s="19"/>
      <c r="J145" s="21"/>
      <c r="K145" s="19"/>
      <c r="L145" s="22" t="str">
        <f aca="true">IF(OR(A145="",J145=""),"",IF(J145&lt;TODAY(),"OVERDUE",IF(J145=TODAY(),"TODAY",IF(J145&lt;=TODAY()+7,"THIS WEEK",""))))</f>
        <v/>
      </c>
      <c r="M145" s="19"/>
      <c r="N145" s="19"/>
      <c r="O145" s="24" t="str">
        <f aca="true">IF(H145="","",TODAY()-H145)</f>
        <v/>
      </c>
    </row>
    <row r="146" customFormat="false" ht="15" hidden="false" customHeight="false" outlineLevel="0" collapsed="false">
      <c r="A146" s="19"/>
      <c r="B146" s="19"/>
      <c r="C146" s="19"/>
      <c r="D146" s="19"/>
      <c r="E146" s="19"/>
      <c r="F146" s="19"/>
      <c r="G146" s="19"/>
      <c r="H146" s="20" t="str">
        <f aca="false">IF(A146="","",IF(COUNTIFS(Log!$B$5:$B$2000,A146)=0,"",SUMPRODUCT(MAX((Log!$B$5:$B$2000=A146)*Log!$A$5:$A$2000))))</f>
        <v/>
      </c>
      <c r="I146" s="19"/>
      <c r="J146" s="21"/>
      <c r="K146" s="19"/>
      <c r="L146" s="22" t="str">
        <f aca="true">IF(OR(A146="",J146=""),"",IF(J146&lt;TODAY(),"OVERDUE",IF(J146=TODAY(),"TODAY",IF(J146&lt;=TODAY()+7,"THIS WEEK",""))))</f>
        <v/>
      </c>
      <c r="M146" s="19"/>
      <c r="N146" s="19"/>
      <c r="O146" s="24" t="str">
        <f aca="true">IF(H146="","",TODAY()-H146)</f>
        <v/>
      </c>
    </row>
    <row r="147" customFormat="false" ht="15" hidden="false" customHeight="false" outlineLevel="0" collapsed="false">
      <c r="A147" s="19"/>
      <c r="B147" s="19"/>
      <c r="C147" s="19"/>
      <c r="D147" s="19"/>
      <c r="E147" s="19"/>
      <c r="F147" s="19"/>
      <c r="G147" s="19"/>
      <c r="H147" s="20" t="str">
        <f aca="false">IF(A147="","",IF(COUNTIFS(Log!$B$5:$B$2000,A147)=0,"",SUMPRODUCT(MAX((Log!$B$5:$B$2000=A147)*Log!$A$5:$A$2000))))</f>
        <v/>
      </c>
      <c r="I147" s="19"/>
      <c r="J147" s="21"/>
      <c r="K147" s="19"/>
      <c r="L147" s="22" t="str">
        <f aca="true">IF(OR(A147="",J147=""),"",IF(J147&lt;TODAY(),"OVERDUE",IF(J147=TODAY(),"TODAY",IF(J147&lt;=TODAY()+7,"THIS WEEK",""))))</f>
        <v/>
      </c>
      <c r="M147" s="19"/>
      <c r="N147" s="19"/>
      <c r="O147" s="24" t="str">
        <f aca="true">IF(H147="","",TODAY()-H147)</f>
        <v/>
      </c>
    </row>
    <row r="148" customFormat="false" ht="15" hidden="false" customHeight="false" outlineLevel="0" collapsed="false">
      <c r="A148" s="19"/>
      <c r="B148" s="19"/>
      <c r="C148" s="19"/>
      <c r="D148" s="19"/>
      <c r="E148" s="19"/>
      <c r="F148" s="19"/>
      <c r="G148" s="19"/>
      <c r="H148" s="20" t="str">
        <f aca="false">IF(A148="","",IF(COUNTIFS(Log!$B$5:$B$2000,A148)=0,"",SUMPRODUCT(MAX((Log!$B$5:$B$2000=A148)*Log!$A$5:$A$2000))))</f>
        <v/>
      </c>
      <c r="I148" s="19"/>
      <c r="J148" s="21"/>
      <c r="K148" s="19"/>
      <c r="L148" s="22" t="str">
        <f aca="true">IF(OR(A148="",J148=""),"",IF(J148&lt;TODAY(),"OVERDUE",IF(J148=TODAY(),"TODAY",IF(J148&lt;=TODAY()+7,"THIS WEEK",""))))</f>
        <v/>
      </c>
      <c r="M148" s="19"/>
      <c r="N148" s="19"/>
      <c r="O148" s="24" t="str">
        <f aca="true">IF(H148="","",TODAY()-H148)</f>
        <v/>
      </c>
    </row>
    <row r="149" customFormat="false" ht="15" hidden="false" customHeight="false" outlineLevel="0" collapsed="false">
      <c r="A149" s="19"/>
      <c r="B149" s="19"/>
      <c r="C149" s="19"/>
      <c r="D149" s="19"/>
      <c r="E149" s="19"/>
      <c r="F149" s="19"/>
      <c r="G149" s="19"/>
      <c r="H149" s="20" t="str">
        <f aca="false">IF(A149="","",IF(COUNTIFS(Log!$B$5:$B$2000,A149)=0,"",SUMPRODUCT(MAX((Log!$B$5:$B$2000=A149)*Log!$A$5:$A$2000))))</f>
        <v/>
      </c>
      <c r="I149" s="19"/>
      <c r="J149" s="21"/>
      <c r="K149" s="19"/>
      <c r="L149" s="22" t="str">
        <f aca="true">IF(OR(A149="",J149=""),"",IF(J149&lt;TODAY(),"OVERDUE",IF(J149=TODAY(),"TODAY",IF(J149&lt;=TODAY()+7,"THIS WEEK",""))))</f>
        <v/>
      </c>
      <c r="M149" s="19"/>
      <c r="N149" s="19"/>
      <c r="O149" s="24" t="str">
        <f aca="true">IF(H149="","",TODAY()-H149)</f>
        <v/>
      </c>
    </row>
    <row r="150" customFormat="false" ht="15" hidden="false" customHeight="false" outlineLevel="0" collapsed="false">
      <c r="A150" s="19"/>
      <c r="B150" s="19"/>
      <c r="C150" s="19"/>
      <c r="D150" s="19"/>
      <c r="E150" s="19"/>
      <c r="F150" s="19"/>
      <c r="G150" s="19"/>
      <c r="H150" s="20" t="str">
        <f aca="false">IF(A150="","",IF(COUNTIFS(Log!$B$5:$B$2000,A150)=0,"",SUMPRODUCT(MAX((Log!$B$5:$B$2000=A150)*Log!$A$5:$A$2000))))</f>
        <v/>
      </c>
      <c r="I150" s="19"/>
      <c r="J150" s="21"/>
      <c r="K150" s="19"/>
      <c r="L150" s="22" t="str">
        <f aca="true">IF(OR(A150="",J150=""),"",IF(J150&lt;TODAY(),"OVERDUE",IF(J150=TODAY(),"TODAY",IF(J150&lt;=TODAY()+7,"THIS WEEK",""))))</f>
        <v/>
      </c>
      <c r="M150" s="19"/>
      <c r="N150" s="19"/>
      <c r="O150" s="24" t="str">
        <f aca="true">IF(H150="","",TODAY()-H150)</f>
        <v/>
      </c>
    </row>
    <row r="151" customFormat="false" ht="15" hidden="false" customHeight="false" outlineLevel="0" collapsed="false">
      <c r="A151" s="19"/>
      <c r="B151" s="19"/>
      <c r="C151" s="19"/>
      <c r="D151" s="19"/>
      <c r="E151" s="19"/>
      <c r="F151" s="19"/>
      <c r="G151" s="19"/>
      <c r="H151" s="20" t="str">
        <f aca="false">IF(A151="","",IF(COUNTIFS(Log!$B$5:$B$2000,A151)=0,"",SUMPRODUCT(MAX((Log!$B$5:$B$2000=A151)*Log!$A$5:$A$2000))))</f>
        <v/>
      </c>
      <c r="I151" s="19"/>
      <c r="J151" s="21"/>
      <c r="K151" s="19"/>
      <c r="L151" s="22" t="str">
        <f aca="true">IF(OR(A151="",J151=""),"",IF(J151&lt;TODAY(),"OVERDUE",IF(J151=TODAY(),"TODAY",IF(J151&lt;=TODAY()+7,"THIS WEEK",""))))</f>
        <v/>
      </c>
      <c r="M151" s="19"/>
      <c r="N151" s="19"/>
      <c r="O151" s="24" t="str">
        <f aca="true">IF(H151="","",TODAY()-H151)</f>
        <v/>
      </c>
    </row>
    <row r="152" customFormat="false" ht="1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20" t="str">
        <f aca="false">IF(A152="","",IF(COUNTIFS(Log!$B$5:$B$2000,A152)=0,"",SUMPRODUCT(MAX((Log!$B$5:$B$2000=A152)*Log!$A$5:$A$2000))))</f>
        <v/>
      </c>
      <c r="I152" s="19"/>
      <c r="J152" s="21"/>
      <c r="K152" s="19"/>
      <c r="L152" s="22" t="str">
        <f aca="true">IF(OR(A152="",J152=""),"",IF(J152&lt;TODAY(),"OVERDUE",IF(J152=TODAY(),"TODAY",IF(J152&lt;=TODAY()+7,"THIS WEEK",""))))</f>
        <v/>
      </c>
      <c r="M152" s="19"/>
      <c r="N152" s="19"/>
      <c r="O152" s="24" t="str">
        <f aca="true">IF(H152="","",TODAY()-H152)</f>
        <v/>
      </c>
    </row>
    <row r="153" customFormat="false" ht="15" hidden="false" customHeight="false" outlineLevel="0" collapsed="false">
      <c r="A153" s="19"/>
      <c r="B153" s="19"/>
      <c r="C153" s="19"/>
      <c r="D153" s="19"/>
      <c r="E153" s="19"/>
      <c r="F153" s="19"/>
      <c r="G153" s="19"/>
      <c r="H153" s="20" t="str">
        <f aca="false">IF(A153="","",IF(COUNTIFS(Log!$B$5:$B$2000,A153)=0,"",SUMPRODUCT(MAX((Log!$B$5:$B$2000=A153)*Log!$A$5:$A$2000))))</f>
        <v/>
      </c>
      <c r="I153" s="19"/>
      <c r="J153" s="21"/>
      <c r="K153" s="19"/>
      <c r="L153" s="22" t="str">
        <f aca="true">IF(OR(A153="",J153=""),"",IF(J153&lt;TODAY(),"OVERDUE",IF(J153=TODAY(),"TODAY",IF(J153&lt;=TODAY()+7,"THIS WEEK",""))))</f>
        <v/>
      </c>
      <c r="M153" s="19"/>
      <c r="N153" s="19"/>
      <c r="O153" s="24" t="str">
        <f aca="true">IF(H153="","",TODAY()-H153)</f>
        <v/>
      </c>
    </row>
    <row r="154" customFormat="false" ht="15" hidden="false" customHeight="false" outlineLevel="0" collapsed="false">
      <c r="A154" s="19"/>
      <c r="B154" s="19"/>
      <c r="C154" s="19"/>
      <c r="D154" s="19"/>
      <c r="E154" s="19"/>
      <c r="F154" s="19"/>
      <c r="G154" s="19"/>
      <c r="H154" s="20" t="str">
        <f aca="false">IF(A154="","",IF(COUNTIFS(Log!$B$5:$B$2000,A154)=0,"",SUMPRODUCT(MAX((Log!$B$5:$B$2000=A154)*Log!$A$5:$A$2000))))</f>
        <v/>
      </c>
      <c r="I154" s="19"/>
      <c r="J154" s="21"/>
      <c r="K154" s="19"/>
      <c r="L154" s="22" t="str">
        <f aca="true">IF(OR(A154="",J154=""),"",IF(J154&lt;TODAY(),"OVERDUE",IF(J154=TODAY(),"TODAY",IF(J154&lt;=TODAY()+7,"THIS WEEK",""))))</f>
        <v/>
      </c>
      <c r="M154" s="19"/>
      <c r="N154" s="19"/>
      <c r="O154" s="24" t="str">
        <f aca="true">IF(H154="","",TODAY()-H154)</f>
        <v/>
      </c>
    </row>
    <row r="155" customFormat="false" ht="15" hidden="false" customHeight="false" outlineLevel="0" collapsed="false">
      <c r="A155" s="19"/>
      <c r="B155" s="19"/>
      <c r="C155" s="19"/>
      <c r="D155" s="19"/>
      <c r="E155" s="19"/>
      <c r="F155" s="19"/>
      <c r="G155" s="19"/>
      <c r="H155" s="20" t="str">
        <f aca="false">IF(A155="","",IF(COUNTIFS(Log!$B$5:$B$2000,A155)=0,"",SUMPRODUCT(MAX((Log!$B$5:$B$2000=A155)*Log!$A$5:$A$2000))))</f>
        <v/>
      </c>
      <c r="I155" s="19"/>
      <c r="J155" s="21"/>
      <c r="K155" s="19"/>
      <c r="L155" s="22" t="str">
        <f aca="true">IF(OR(A155="",J155=""),"",IF(J155&lt;TODAY(),"OVERDUE",IF(J155=TODAY(),"TODAY",IF(J155&lt;=TODAY()+7,"THIS WEEK",""))))</f>
        <v/>
      </c>
      <c r="M155" s="19"/>
      <c r="N155" s="19"/>
      <c r="O155" s="24" t="str">
        <f aca="true">IF(H155="","",TODAY()-H155)</f>
        <v/>
      </c>
    </row>
    <row r="156" customFormat="false" ht="15" hidden="false" customHeight="false" outlineLevel="0" collapsed="false">
      <c r="A156" s="19"/>
      <c r="B156" s="19"/>
      <c r="C156" s="19"/>
      <c r="D156" s="19"/>
      <c r="E156" s="19"/>
      <c r="F156" s="19"/>
      <c r="G156" s="19"/>
      <c r="H156" s="20" t="str">
        <f aca="false">IF(A156="","",IF(COUNTIFS(Log!$B$5:$B$2000,A156)=0,"",SUMPRODUCT(MAX((Log!$B$5:$B$2000=A156)*Log!$A$5:$A$2000))))</f>
        <v/>
      </c>
      <c r="I156" s="19"/>
      <c r="J156" s="21"/>
      <c r="K156" s="19"/>
      <c r="L156" s="22" t="str">
        <f aca="true">IF(OR(A156="",J156=""),"",IF(J156&lt;TODAY(),"OVERDUE",IF(J156=TODAY(),"TODAY",IF(J156&lt;=TODAY()+7,"THIS WEEK",""))))</f>
        <v/>
      </c>
      <c r="M156" s="19"/>
      <c r="N156" s="19"/>
      <c r="O156" s="24" t="str">
        <f aca="true">IF(H156="","",TODAY()-H156)</f>
        <v/>
      </c>
    </row>
    <row r="157" customFormat="false" ht="15" hidden="false" customHeight="false" outlineLevel="0" collapsed="false">
      <c r="A157" s="19"/>
      <c r="B157" s="19"/>
      <c r="C157" s="19"/>
      <c r="D157" s="19"/>
      <c r="E157" s="19"/>
      <c r="F157" s="19"/>
      <c r="G157" s="19"/>
      <c r="H157" s="20" t="str">
        <f aca="false">IF(A157="","",IF(COUNTIFS(Log!$B$5:$B$2000,A157)=0,"",SUMPRODUCT(MAX((Log!$B$5:$B$2000=A157)*Log!$A$5:$A$2000))))</f>
        <v/>
      </c>
      <c r="I157" s="19"/>
      <c r="J157" s="21"/>
      <c r="K157" s="19"/>
      <c r="L157" s="22" t="str">
        <f aca="true">IF(OR(A157="",J157=""),"",IF(J157&lt;TODAY(),"OVERDUE",IF(J157=TODAY(),"TODAY",IF(J157&lt;=TODAY()+7,"THIS WEEK",""))))</f>
        <v/>
      </c>
      <c r="M157" s="19"/>
      <c r="N157" s="19"/>
      <c r="O157" s="24" t="str">
        <f aca="true">IF(H157="","",TODAY()-H157)</f>
        <v/>
      </c>
    </row>
    <row r="158" customFormat="false" ht="15" hidden="false" customHeight="false" outlineLevel="0" collapsed="false">
      <c r="A158" s="19"/>
      <c r="B158" s="19"/>
      <c r="C158" s="19"/>
      <c r="D158" s="19"/>
      <c r="E158" s="19"/>
      <c r="F158" s="19"/>
      <c r="G158" s="19"/>
      <c r="H158" s="20" t="str">
        <f aca="false">IF(A158="","",IF(COUNTIFS(Log!$B$5:$B$2000,A158)=0,"",SUMPRODUCT(MAX((Log!$B$5:$B$2000=A158)*Log!$A$5:$A$2000))))</f>
        <v/>
      </c>
      <c r="I158" s="19"/>
      <c r="J158" s="21"/>
      <c r="K158" s="19"/>
      <c r="L158" s="22" t="str">
        <f aca="true">IF(OR(A158="",J158=""),"",IF(J158&lt;TODAY(),"OVERDUE",IF(J158=TODAY(),"TODAY",IF(J158&lt;=TODAY()+7,"THIS WEEK",""))))</f>
        <v/>
      </c>
      <c r="M158" s="19"/>
      <c r="N158" s="19"/>
      <c r="O158" s="24" t="str">
        <f aca="true">IF(H158="","",TODAY()-H158)</f>
        <v/>
      </c>
    </row>
    <row r="159" customFormat="false" ht="15" hidden="false" customHeight="false" outlineLevel="0" collapsed="false">
      <c r="A159" s="19"/>
      <c r="B159" s="19"/>
      <c r="C159" s="19"/>
      <c r="D159" s="19"/>
      <c r="E159" s="19"/>
      <c r="F159" s="19"/>
      <c r="G159" s="19"/>
      <c r="H159" s="20" t="str">
        <f aca="false">IF(A159="","",IF(COUNTIFS(Log!$B$5:$B$2000,A159)=0,"",SUMPRODUCT(MAX((Log!$B$5:$B$2000=A159)*Log!$A$5:$A$2000))))</f>
        <v/>
      </c>
      <c r="I159" s="19"/>
      <c r="J159" s="21"/>
      <c r="K159" s="19"/>
      <c r="L159" s="22" t="str">
        <f aca="true">IF(OR(A159="",J159=""),"",IF(J159&lt;TODAY(),"OVERDUE",IF(J159=TODAY(),"TODAY",IF(J159&lt;=TODAY()+7,"THIS WEEK",""))))</f>
        <v/>
      </c>
      <c r="M159" s="19"/>
      <c r="N159" s="19"/>
      <c r="O159" s="24" t="str">
        <f aca="true">IF(H159="","",TODAY()-H159)</f>
        <v/>
      </c>
    </row>
    <row r="160" customFormat="false" ht="15" hidden="false" customHeight="false" outlineLevel="0" collapsed="false">
      <c r="A160" s="19"/>
      <c r="B160" s="19"/>
      <c r="C160" s="19"/>
      <c r="D160" s="19"/>
      <c r="E160" s="19"/>
      <c r="F160" s="19"/>
      <c r="G160" s="19"/>
      <c r="H160" s="20" t="str">
        <f aca="false">IF(A160="","",IF(COUNTIFS(Log!$B$5:$B$2000,A160)=0,"",SUMPRODUCT(MAX((Log!$B$5:$B$2000=A160)*Log!$A$5:$A$2000))))</f>
        <v/>
      </c>
      <c r="I160" s="19"/>
      <c r="J160" s="21"/>
      <c r="K160" s="19"/>
      <c r="L160" s="22" t="str">
        <f aca="true">IF(OR(A160="",J160=""),"",IF(J160&lt;TODAY(),"OVERDUE",IF(J160=TODAY(),"TODAY",IF(J160&lt;=TODAY()+7,"THIS WEEK",""))))</f>
        <v/>
      </c>
      <c r="M160" s="19"/>
      <c r="N160" s="19"/>
      <c r="O160" s="24" t="str">
        <f aca="true">IF(H160="","",TODAY()-H160)</f>
        <v/>
      </c>
    </row>
    <row r="161" customFormat="false" ht="15" hidden="false" customHeight="false" outlineLevel="0" collapsed="false">
      <c r="A161" s="19"/>
      <c r="B161" s="19"/>
      <c r="C161" s="19"/>
      <c r="D161" s="19"/>
      <c r="E161" s="19"/>
      <c r="F161" s="19"/>
      <c r="G161" s="19"/>
      <c r="H161" s="20" t="str">
        <f aca="false">IF(A161="","",IF(COUNTIFS(Log!$B$5:$B$2000,A161)=0,"",SUMPRODUCT(MAX((Log!$B$5:$B$2000=A161)*Log!$A$5:$A$2000))))</f>
        <v/>
      </c>
      <c r="I161" s="19"/>
      <c r="J161" s="21"/>
      <c r="K161" s="19"/>
      <c r="L161" s="22" t="str">
        <f aca="true">IF(OR(A161="",J161=""),"",IF(J161&lt;TODAY(),"OVERDUE",IF(J161=TODAY(),"TODAY",IF(J161&lt;=TODAY()+7,"THIS WEEK",""))))</f>
        <v/>
      </c>
      <c r="M161" s="19"/>
      <c r="N161" s="19"/>
      <c r="O161" s="24" t="str">
        <f aca="true">IF(H161="","",TODAY()-H161)</f>
        <v/>
      </c>
    </row>
    <row r="162" customFormat="false" ht="15" hidden="false" customHeight="false" outlineLevel="0" collapsed="false">
      <c r="A162" s="19"/>
      <c r="B162" s="19"/>
      <c r="C162" s="19"/>
      <c r="D162" s="19"/>
      <c r="E162" s="19"/>
      <c r="F162" s="19"/>
      <c r="G162" s="19"/>
      <c r="H162" s="20" t="str">
        <f aca="false">IF(A162="","",IF(COUNTIFS(Log!$B$5:$B$2000,A162)=0,"",SUMPRODUCT(MAX((Log!$B$5:$B$2000=A162)*Log!$A$5:$A$2000))))</f>
        <v/>
      </c>
      <c r="I162" s="19"/>
      <c r="J162" s="21"/>
      <c r="K162" s="19"/>
      <c r="L162" s="22" t="str">
        <f aca="true">IF(OR(A162="",J162=""),"",IF(J162&lt;TODAY(),"OVERDUE",IF(J162=TODAY(),"TODAY",IF(J162&lt;=TODAY()+7,"THIS WEEK",""))))</f>
        <v/>
      </c>
      <c r="M162" s="19"/>
      <c r="N162" s="19"/>
      <c r="O162" s="24" t="str">
        <f aca="true">IF(H162="","",TODAY()-H162)</f>
        <v/>
      </c>
    </row>
    <row r="163" customFormat="false" ht="15" hidden="false" customHeight="false" outlineLevel="0" collapsed="false">
      <c r="A163" s="19"/>
      <c r="B163" s="19"/>
      <c r="C163" s="19"/>
      <c r="D163" s="19"/>
      <c r="E163" s="19"/>
      <c r="F163" s="19"/>
      <c r="G163" s="19"/>
      <c r="H163" s="20" t="str">
        <f aca="false">IF(A163="","",IF(COUNTIFS(Log!$B$5:$B$2000,A163)=0,"",SUMPRODUCT(MAX((Log!$B$5:$B$2000=A163)*Log!$A$5:$A$2000))))</f>
        <v/>
      </c>
      <c r="I163" s="19"/>
      <c r="J163" s="21"/>
      <c r="K163" s="19"/>
      <c r="L163" s="22" t="str">
        <f aca="true">IF(OR(A163="",J163=""),"",IF(J163&lt;TODAY(),"OVERDUE",IF(J163=TODAY(),"TODAY",IF(J163&lt;=TODAY()+7,"THIS WEEK",""))))</f>
        <v/>
      </c>
      <c r="M163" s="19"/>
      <c r="N163" s="19"/>
      <c r="O163" s="24" t="str">
        <f aca="true">IF(H163="","",TODAY()-H163)</f>
        <v/>
      </c>
    </row>
    <row r="164" customFormat="false" ht="15" hidden="false" customHeight="false" outlineLevel="0" collapsed="false">
      <c r="A164" s="19"/>
      <c r="B164" s="19"/>
      <c r="C164" s="19"/>
      <c r="D164" s="19"/>
      <c r="E164" s="19"/>
      <c r="F164" s="19"/>
      <c r="G164" s="19"/>
      <c r="H164" s="20" t="str">
        <f aca="false">IF(A164="","",IF(COUNTIFS(Log!$B$5:$B$2000,A164)=0,"",SUMPRODUCT(MAX((Log!$B$5:$B$2000=A164)*Log!$A$5:$A$2000))))</f>
        <v/>
      </c>
      <c r="I164" s="19"/>
      <c r="J164" s="21"/>
      <c r="K164" s="19"/>
      <c r="L164" s="22" t="str">
        <f aca="true">IF(OR(A164="",J164=""),"",IF(J164&lt;TODAY(),"OVERDUE",IF(J164=TODAY(),"TODAY",IF(J164&lt;=TODAY()+7,"THIS WEEK",""))))</f>
        <v/>
      </c>
      <c r="M164" s="19"/>
      <c r="N164" s="19"/>
      <c r="O164" s="24" t="str">
        <f aca="true">IF(H164="","",TODAY()-H164)</f>
        <v/>
      </c>
    </row>
    <row r="165" customFormat="false" ht="15" hidden="false" customHeight="false" outlineLevel="0" collapsed="false">
      <c r="A165" s="19"/>
      <c r="B165" s="19"/>
      <c r="C165" s="19"/>
      <c r="D165" s="19"/>
      <c r="E165" s="19"/>
      <c r="F165" s="19"/>
      <c r="G165" s="19"/>
      <c r="H165" s="20" t="str">
        <f aca="false">IF(A165="","",IF(COUNTIFS(Log!$B$5:$B$2000,A165)=0,"",SUMPRODUCT(MAX((Log!$B$5:$B$2000=A165)*Log!$A$5:$A$2000))))</f>
        <v/>
      </c>
      <c r="I165" s="19"/>
      <c r="J165" s="21"/>
      <c r="K165" s="19"/>
      <c r="L165" s="22" t="str">
        <f aca="true">IF(OR(A165="",J165=""),"",IF(J165&lt;TODAY(),"OVERDUE",IF(J165=TODAY(),"TODAY",IF(J165&lt;=TODAY()+7,"THIS WEEK",""))))</f>
        <v/>
      </c>
      <c r="M165" s="19"/>
      <c r="N165" s="19"/>
      <c r="O165" s="24" t="str">
        <f aca="true">IF(H165="","",TODAY()-H165)</f>
        <v/>
      </c>
    </row>
    <row r="166" customFormat="false" ht="15" hidden="false" customHeight="false" outlineLevel="0" collapsed="false">
      <c r="A166" s="19"/>
      <c r="B166" s="19"/>
      <c r="C166" s="19"/>
      <c r="D166" s="19"/>
      <c r="E166" s="19"/>
      <c r="F166" s="19"/>
      <c r="G166" s="19"/>
      <c r="H166" s="20" t="str">
        <f aca="false">IF(A166="","",IF(COUNTIFS(Log!$B$5:$B$2000,A166)=0,"",SUMPRODUCT(MAX((Log!$B$5:$B$2000=A166)*Log!$A$5:$A$2000))))</f>
        <v/>
      </c>
      <c r="I166" s="19"/>
      <c r="J166" s="21"/>
      <c r="K166" s="19"/>
      <c r="L166" s="22" t="str">
        <f aca="true">IF(OR(A166="",J166=""),"",IF(J166&lt;TODAY(),"OVERDUE",IF(J166=TODAY(),"TODAY",IF(J166&lt;=TODAY()+7,"THIS WEEK",""))))</f>
        <v/>
      </c>
      <c r="M166" s="19"/>
      <c r="N166" s="19"/>
      <c r="O166" s="24" t="str">
        <f aca="true">IF(H166="","",TODAY()-H166)</f>
        <v/>
      </c>
    </row>
    <row r="167" customFormat="false" ht="15" hidden="false" customHeight="false" outlineLevel="0" collapsed="false">
      <c r="A167" s="19"/>
      <c r="B167" s="19"/>
      <c r="C167" s="19"/>
      <c r="D167" s="19"/>
      <c r="E167" s="19"/>
      <c r="F167" s="19"/>
      <c r="G167" s="19"/>
      <c r="H167" s="20" t="str">
        <f aca="false">IF(A167="","",IF(COUNTIFS(Log!$B$5:$B$2000,A167)=0,"",SUMPRODUCT(MAX((Log!$B$5:$B$2000=A167)*Log!$A$5:$A$2000))))</f>
        <v/>
      </c>
      <c r="I167" s="19"/>
      <c r="J167" s="21"/>
      <c r="K167" s="19"/>
      <c r="L167" s="22" t="str">
        <f aca="true">IF(OR(A167="",J167=""),"",IF(J167&lt;TODAY(),"OVERDUE",IF(J167=TODAY(),"TODAY",IF(J167&lt;=TODAY()+7,"THIS WEEK",""))))</f>
        <v/>
      </c>
      <c r="M167" s="19"/>
      <c r="N167" s="19"/>
      <c r="O167" s="24" t="str">
        <f aca="true">IF(H167="","",TODAY()-H167)</f>
        <v/>
      </c>
    </row>
    <row r="168" customFormat="false" ht="15" hidden="false" customHeight="false" outlineLevel="0" collapsed="false">
      <c r="A168" s="19"/>
      <c r="B168" s="19"/>
      <c r="C168" s="19"/>
      <c r="D168" s="19"/>
      <c r="E168" s="19"/>
      <c r="F168" s="19"/>
      <c r="G168" s="19"/>
      <c r="H168" s="20" t="str">
        <f aca="false">IF(A168="","",IF(COUNTIFS(Log!$B$5:$B$2000,A168)=0,"",SUMPRODUCT(MAX((Log!$B$5:$B$2000=A168)*Log!$A$5:$A$2000))))</f>
        <v/>
      </c>
      <c r="I168" s="19"/>
      <c r="J168" s="21"/>
      <c r="K168" s="19"/>
      <c r="L168" s="22" t="str">
        <f aca="true">IF(OR(A168="",J168=""),"",IF(J168&lt;TODAY(),"OVERDUE",IF(J168=TODAY(),"TODAY",IF(J168&lt;=TODAY()+7,"THIS WEEK",""))))</f>
        <v/>
      </c>
      <c r="M168" s="19"/>
      <c r="N168" s="19"/>
      <c r="O168" s="24" t="str">
        <f aca="true">IF(H168="","",TODAY()-H168)</f>
        <v/>
      </c>
    </row>
    <row r="169" customFormat="false" ht="15" hidden="false" customHeight="false" outlineLevel="0" collapsed="false">
      <c r="A169" s="19"/>
      <c r="B169" s="19"/>
      <c r="C169" s="19"/>
      <c r="D169" s="19"/>
      <c r="E169" s="19"/>
      <c r="F169" s="19"/>
      <c r="G169" s="19"/>
      <c r="H169" s="20" t="str">
        <f aca="false">IF(A169="","",IF(COUNTIFS(Log!$B$5:$B$2000,A169)=0,"",SUMPRODUCT(MAX((Log!$B$5:$B$2000=A169)*Log!$A$5:$A$2000))))</f>
        <v/>
      </c>
      <c r="I169" s="19"/>
      <c r="J169" s="21"/>
      <c r="K169" s="19"/>
      <c r="L169" s="22" t="str">
        <f aca="true">IF(OR(A169="",J169=""),"",IF(J169&lt;TODAY(),"OVERDUE",IF(J169=TODAY(),"TODAY",IF(J169&lt;=TODAY()+7,"THIS WEEK",""))))</f>
        <v/>
      </c>
      <c r="M169" s="19"/>
      <c r="N169" s="19"/>
      <c r="O169" s="24" t="str">
        <f aca="true">IF(H169="","",TODAY()-H169)</f>
        <v/>
      </c>
    </row>
    <row r="170" customFormat="false" ht="15" hidden="false" customHeight="false" outlineLevel="0" collapsed="false">
      <c r="A170" s="19"/>
      <c r="B170" s="19"/>
      <c r="C170" s="19"/>
      <c r="D170" s="19"/>
      <c r="E170" s="19"/>
      <c r="F170" s="19"/>
      <c r="G170" s="19"/>
      <c r="H170" s="20" t="str">
        <f aca="false">IF(A170="","",IF(COUNTIFS(Log!$B$5:$B$2000,A170)=0,"",SUMPRODUCT(MAX((Log!$B$5:$B$2000=A170)*Log!$A$5:$A$2000))))</f>
        <v/>
      </c>
      <c r="I170" s="19"/>
      <c r="J170" s="21"/>
      <c r="K170" s="19"/>
      <c r="L170" s="22" t="str">
        <f aca="true">IF(OR(A170="",J170=""),"",IF(J170&lt;TODAY(),"OVERDUE",IF(J170=TODAY(),"TODAY",IF(J170&lt;=TODAY()+7,"THIS WEEK",""))))</f>
        <v/>
      </c>
      <c r="M170" s="19"/>
      <c r="N170" s="19"/>
      <c r="O170" s="24" t="str">
        <f aca="true">IF(H170="","",TODAY()-H170)</f>
        <v/>
      </c>
    </row>
    <row r="171" customFormat="false" ht="15" hidden="false" customHeight="false" outlineLevel="0" collapsed="false">
      <c r="A171" s="19"/>
      <c r="B171" s="19"/>
      <c r="C171" s="19"/>
      <c r="D171" s="19"/>
      <c r="E171" s="19"/>
      <c r="F171" s="19"/>
      <c r="G171" s="19"/>
      <c r="H171" s="20" t="str">
        <f aca="false">IF(A171="","",IF(COUNTIFS(Log!$B$5:$B$2000,A171)=0,"",SUMPRODUCT(MAX((Log!$B$5:$B$2000=A171)*Log!$A$5:$A$2000))))</f>
        <v/>
      </c>
      <c r="I171" s="19"/>
      <c r="J171" s="21"/>
      <c r="K171" s="19"/>
      <c r="L171" s="22" t="str">
        <f aca="true">IF(OR(A171="",J171=""),"",IF(J171&lt;TODAY(),"OVERDUE",IF(J171=TODAY(),"TODAY",IF(J171&lt;=TODAY()+7,"THIS WEEK",""))))</f>
        <v/>
      </c>
      <c r="M171" s="19"/>
      <c r="N171" s="19"/>
      <c r="O171" s="24" t="str">
        <f aca="true">IF(H171="","",TODAY()-H171)</f>
        <v/>
      </c>
    </row>
    <row r="172" customFormat="false" ht="15" hidden="false" customHeight="false" outlineLevel="0" collapsed="false">
      <c r="A172" s="19"/>
      <c r="B172" s="19"/>
      <c r="C172" s="19"/>
      <c r="D172" s="19"/>
      <c r="E172" s="19"/>
      <c r="F172" s="19"/>
      <c r="G172" s="19"/>
      <c r="H172" s="20" t="str">
        <f aca="false">IF(A172="","",IF(COUNTIFS(Log!$B$5:$B$2000,A172)=0,"",SUMPRODUCT(MAX((Log!$B$5:$B$2000=A172)*Log!$A$5:$A$2000))))</f>
        <v/>
      </c>
      <c r="I172" s="19"/>
      <c r="J172" s="21"/>
      <c r="K172" s="19"/>
      <c r="L172" s="22" t="str">
        <f aca="true">IF(OR(A172="",J172=""),"",IF(J172&lt;TODAY(),"OVERDUE",IF(J172=TODAY(),"TODAY",IF(J172&lt;=TODAY()+7,"THIS WEEK",""))))</f>
        <v/>
      </c>
      <c r="M172" s="19"/>
      <c r="N172" s="19"/>
      <c r="O172" s="24" t="str">
        <f aca="true">IF(H172="","",TODAY()-H172)</f>
        <v/>
      </c>
    </row>
    <row r="173" customFormat="false" ht="15" hidden="false" customHeight="false" outlineLevel="0" collapsed="false">
      <c r="A173" s="19"/>
      <c r="B173" s="19"/>
      <c r="C173" s="19"/>
      <c r="D173" s="19"/>
      <c r="E173" s="19"/>
      <c r="F173" s="19"/>
      <c r="G173" s="19"/>
      <c r="H173" s="20" t="str">
        <f aca="false">IF(A173="","",IF(COUNTIFS(Log!$B$5:$B$2000,A173)=0,"",SUMPRODUCT(MAX((Log!$B$5:$B$2000=A173)*Log!$A$5:$A$2000))))</f>
        <v/>
      </c>
      <c r="I173" s="19"/>
      <c r="J173" s="21"/>
      <c r="K173" s="19"/>
      <c r="L173" s="22" t="str">
        <f aca="true">IF(OR(A173="",J173=""),"",IF(J173&lt;TODAY(),"OVERDUE",IF(J173=TODAY(),"TODAY",IF(J173&lt;=TODAY()+7,"THIS WEEK",""))))</f>
        <v/>
      </c>
      <c r="M173" s="19"/>
      <c r="N173" s="19"/>
      <c r="O173" s="24" t="str">
        <f aca="true">IF(H173="","",TODAY()-H173)</f>
        <v/>
      </c>
    </row>
    <row r="174" customFormat="false" ht="15" hidden="false" customHeight="false" outlineLevel="0" collapsed="false">
      <c r="A174" s="19"/>
      <c r="B174" s="19"/>
      <c r="C174" s="19"/>
      <c r="D174" s="19"/>
      <c r="E174" s="19"/>
      <c r="F174" s="19"/>
      <c r="G174" s="19"/>
      <c r="H174" s="20" t="str">
        <f aca="false">IF(A174="","",IF(COUNTIFS(Log!$B$5:$B$2000,A174)=0,"",SUMPRODUCT(MAX((Log!$B$5:$B$2000=A174)*Log!$A$5:$A$2000))))</f>
        <v/>
      </c>
      <c r="I174" s="19"/>
      <c r="J174" s="21"/>
      <c r="K174" s="19"/>
      <c r="L174" s="22" t="str">
        <f aca="true">IF(OR(A174="",J174=""),"",IF(J174&lt;TODAY(),"OVERDUE",IF(J174=TODAY(),"TODAY",IF(J174&lt;=TODAY()+7,"THIS WEEK",""))))</f>
        <v/>
      </c>
      <c r="M174" s="19"/>
      <c r="N174" s="19"/>
      <c r="O174" s="24" t="str">
        <f aca="true">IF(H174="","",TODAY()-H174)</f>
        <v/>
      </c>
    </row>
    <row r="175" customFormat="false" ht="15" hidden="false" customHeight="false" outlineLevel="0" collapsed="false">
      <c r="A175" s="19"/>
      <c r="B175" s="19"/>
      <c r="C175" s="19"/>
      <c r="D175" s="19"/>
      <c r="E175" s="19"/>
      <c r="F175" s="19"/>
      <c r="G175" s="19"/>
      <c r="H175" s="20" t="str">
        <f aca="false">IF(A175="","",IF(COUNTIFS(Log!$B$5:$B$2000,A175)=0,"",SUMPRODUCT(MAX((Log!$B$5:$B$2000=A175)*Log!$A$5:$A$2000))))</f>
        <v/>
      </c>
      <c r="I175" s="19"/>
      <c r="J175" s="21"/>
      <c r="K175" s="19"/>
      <c r="L175" s="22" t="str">
        <f aca="true">IF(OR(A175="",J175=""),"",IF(J175&lt;TODAY(),"OVERDUE",IF(J175=TODAY(),"TODAY",IF(J175&lt;=TODAY()+7,"THIS WEEK",""))))</f>
        <v/>
      </c>
      <c r="M175" s="19"/>
      <c r="N175" s="19"/>
      <c r="O175" s="24" t="str">
        <f aca="true">IF(H175="","",TODAY()-H175)</f>
        <v/>
      </c>
    </row>
    <row r="176" customFormat="false" ht="15" hidden="false" customHeight="false" outlineLevel="0" collapsed="false">
      <c r="A176" s="19"/>
      <c r="B176" s="19"/>
      <c r="C176" s="19"/>
      <c r="D176" s="19"/>
      <c r="E176" s="19"/>
      <c r="F176" s="19"/>
      <c r="G176" s="19"/>
      <c r="H176" s="20" t="str">
        <f aca="false">IF(A176="","",IF(COUNTIFS(Log!$B$5:$B$2000,A176)=0,"",SUMPRODUCT(MAX((Log!$B$5:$B$2000=A176)*Log!$A$5:$A$2000))))</f>
        <v/>
      </c>
      <c r="I176" s="19"/>
      <c r="J176" s="21"/>
      <c r="K176" s="19"/>
      <c r="L176" s="22" t="str">
        <f aca="true">IF(OR(A176="",J176=""),"",IF(J176&lt;TODAY(),"OVERDUE",IF(J176=TODAY(),"TODAY",IF(J176&lt;=TODAY()+7,"THIS WEEK",""))))</f>
        <v/>
      </c>
      <c r="M176" s="19"/>
      <c r="N176" s="19"/>
      <c r="O176" s="24" t="str">
        <f aca="true">IF(H176="","",TODAY()-H176)</f>
        <v/>
      </c>
    </row>
    <row r="177" customFormat="false" ht="15" hidden="false" customHeight="false" outlineLevel="0" collapsed="false">
      <c r="A177" s="19"/>
      <c r="B177" s="19"/>
      <c r="C177" s="19"/>
      <c r="D177" s="19"/>
      <c r="E177" s="19"/>
      <c r="F177" s="19"/>
      <c r="G177" s="19"/>
      <c r="H177" s="20" t="str">
        <f aca="false">IF(A177="","",IF(COUNTIFS(Log!$B$5:$B$2000,A177)=0,"",SUMPRODUCT(MAX((Log!$B$5:$B$2000=A177)*Log!$A$5:$A$2000))))</f>
        <v/>
      </c>
      <c r="I177" s="19"/>
      <c r="J177" s="21"/>
      <c r="K177" s="19"/>
      <c r="L177" s="22" t="str">
        <f aca="true">IF(OR(A177="",J177=""),"",IF(J177&lt;TODAY(),"OVERDUE",IF(J177=TODAY(),"TODAY",IF(J177&lt;=TODAY()+7,"THIS WEEK",""))))</f>
        <v/>
      </c>
      <c r="M177" s="19"/>
      <c r="N177" s="19"/>
      <c r="O177" s="24" t="str">
        <f aca="true">IF(H177="","",TODAY()-H177)</f>
        <v/>
      </c>
    </row>
    <row r="178" customFormat="false" ht="15" hidden="false" customHeight="false" outlineLevel="0" collapsed="false">
      <c r="A178" s="19"/>
      <c r="B178" s="19"/>
      <c r="C178" s="19"/>
      <c r="D178" s="19"/>
      <c r="E178" s="19"/>
      <c r="F178" s="19"/>
      <c r="G178" s="19"/>
      <c r="H178" s="20" t="str">
        <f aca="false">IF(A178="","",IF(COUNTIFS(Log!$B$5:$B$2000,A178)=0,"",SUMPRODUCT(MAX((Log!$B$5:$B$2000=A178)*Log!$A$5:$A$2000))))</f>
        <v/>
      </c>
      <c r="I178" s="19"/>
      <c r="J178" s="21"/>
      <c r="K178" s="19"/>
      <c r="L178" s="22" t="str">
        <f aca="true">IF(OR(A178="",J178=""),"",IF(J178&lt;TODAY(),"OVERDUE",IF(J178=TODAY(),"TODAY",IF(J178&lt;=TODAY()+7,"THIS WEEK",""))))</f>
        <v/>
      </c>
      <c r="M178" s="19"/>
      <c r="N178" s="19"/>
      <c r="O178" s="24" t="str">
        <f aca="true">IF(H178="","",TODAY()-H178)</f>
        <v/>
      </c>
    </row>
    <row r="179" customFormat="false" ht="15" hidden="false" customHeight="false" outlineLevel="0" collapsed="false">
      <c r="A179" s="19"/>
      <c r="B179" s="19"/>
      <c r="C179" s="19"/>
      <c r="D179" s="19"/>
      <c r="E179" s="19"/>
      <c r="F179" s="19"/>
      <c r="G179" s="19"/>
      <c r="H179" s="20" t="str">
        <f aca="false">IF(A179="","",IF(COUNTIFS(Log!$B$5:$B$2000,A179)=0,"",SUMPRODUCT(MAX((Log!$B$5:$B$2000=A179)*Log!$A$5:$A$2000))))</f>
        <v/>
      </c>
      <c r="I179" s="19"/>
      <c r="J179" s="21"/>
      <c r="K179" s="19"/>
      <c r="L179" s="22" t="str">
        <f aca="true">IF(OR(A179="",J179=""),"",IF(J179&lt;TODAY(),"OVERDUE",IF(J179=TODAY(),"TODAY",IF(J179&lt;=TODAY()+7,"THIS WEEK",""))))</f>
        <v/>
      </c>
      <c r="M179" s="19"/>
      <c r="N179" s="19"/>
      <c r="O179" s="24" t="str">
        <f aca="true">IF(H179="","",TODAY()-H179)</f>
        <v/>
      </c>
    </row>
    <row r="180" customFormat="false" ht="15" hidden="false" customHeight="false" outlineLevel="0" collapsed="false">
      <c r="A180" s="19"/>
      <c r="B180" s="19"/>
      <c r="C180" s="19"/>
      <c r="D180" s="19"/>
      <c r="E180" s="19"/>
      <c r="F180" s="19"/>
      <c r="G180" s="19"/>
      <c r="H180" s="20" t="str">
        <f aca="false">IF(A180="","",IF(COUNTIFS(Log!$B$5:$B$2000,A180)=0,"",SUMPRODUCT(MAX((Log!$B$5:$B$2000=A180)*Log!$A$5:$A$2000))))</f>
        <v/>
      </c>
      <c r="I180" s="19"/>
      <c r="J180" s="21"/>
      <c r="K180" s="19"/>
      <c r="L180" s="22" t="str">
        <f aca="true">IF(OR(A180="",J180=""),"",IF(J180&lt;TODAY(),"OVERDUE",IF(J180=TODAY(),"TODAY",IF(J180&lt;=TODAY()+7,"THIS WEEK",""))))</f>
        <v/>
      </c>
      <c r="M180" s="19"/>
      <c r="N180" s="19"/>
      <c r="O180" s="24" t="str">
        <f aca="true">IF(H180="","",TODAY()-H180)</f>
        <v/>
      </c>
    </row>
    <row r="181" customFormat="false" ht="15" hidden="false" customHeight="false" outlineLevel="0" collapsed="false">
      <c r="A181" s="19"/>
      <c r="B181" s="19"/>
      <c r="C181" s="19"/>
      <c r="D181" s="19"/>
      <c r="E181" s="19"/>
      <c r="F181" s="19"/>
      <c r="G181" s="19"/>
      <c r="H181" s="20" t="str">
        <f aca="false">IF(A181="","",IF(COUNTIFS(Log!$B$5:$B$2000,A181)=0,"",SUMPRODUCT(MAX((Log!$B$5:$B$2000=A181)*Log!$A$5:$A$2000))))</f>
        <v/>
      </c>
      <c r="I181" s="19"/>
      <c r="J181" s="21"/>
      <c r="K181" s="19"/>
      <c r="L181" s="22" t="str">
        <f aca="true">IF(OR(A181="",J181=""),"",IF(J181&lt;TODAY(),"OVERDUE",IF(J181=TODAY(),"TODAY",IF(J181&lt;=TODAY()+7,"THIS WEEK",""))))</f>
        <v/>
      </c>
      <c r="M181" s="19"/>
      <c r="N181" s="19"/>
      <c r="O181" s="24" t="str">
        <f aca="true">IF(H181="","",TODAY()-H181)</f>
        <v/>
      </c>
    </row>
    <row r="182" customFormat="false" ht="15" hidden="false" customHeight="false" outlineLevel="0" collapsed="false">
      <c r="A182" s="19"/>
      <c r="B182" s="19"/>
      <c r="C182" s="19"/>
      <c r="D182" s="19"/>
      <c r="E182" s="19"/>
      <c r="F182" s="19"/>
      <c r="G182" s="19"/>
      <c r="H182" s="20" t="str">
        <f aca="false">IF(A182="","",IF(COUNTIFS(Log!$B$5:$B$2000,A182)=0,"",SUMPRODUCT(MAX((Log!$B$5:$B$2000=A182)*Log!$A$5:$A$2000))))</f>
        <v/>
      </c>
      <c r="I182" s="19"/>
      <c r="J182" s="21"/>
      <c r="K182" s="19"/>
      <c r="L182" s="22" t="str">
        <f aca="true">IF(OR(A182="",J182=""),"",IF(J182&lt;TODAY(),"OVERDUE",IF(J182=TODAY(),"TODAY",IF(J182&lt;=TODAY()+7,"THIS WEEK",""))))</f>
        <v/>
      </c>
      <c r="M182" s="19"/>
      <c r="N182" s="19"/>
      <c r="O182" s="24" t="str">
        <f aca="true">IF(H182="","",TODAY()-H182)</f>
        <v/>
      </c>
    </row>
    <row r="183" customFormat="false" ht="15" hidden="false" customHeight="false" outlineLevel="0" collapsed="false">
      <c r="A183" s="19"/>
      <c r="B183" s="19"/>
      <c r="C183" s="19"/>
      <c r="D183" s="19"/>
      <c r="E183" s="19"/>
      <c r="F183" s="19"/>
      <c r="G183" s="19"/>
      <c r="H183" s="20" t="str">
        <f aca="false">IF(A183="","",IF(COUNTIFS(Log!$B$5:$B$2000,A183)=0,"",SUMPRODUCT(MAX((Log!$B$5:$B$2000=A183)*Log!$A$5:$A$2000))))</f>
        <v/>
      </c>
      <c r="I183" s="19"/>
      <c r="J183" s="21"/>
      <c r="K183" s="19"/>
      <c r="L183" s="22" t="str">
        <f aca="true">IF(OR(A183="",J183=""),"",IF(J183&lt;TODAY(),"OVERDUE",IF(J183=TODAY(),"TODAY",IF(J183&lt;=TODAY()+7,"THIS WEEK",""))))</f>
        <v/>
      </c>
      <c r="M183" s="19"/>
      <c r="N183" s="19"/>
      <c r="O183" s="24" t="str">
        <f aca="true">IF(H183="","",TODAY()-H183)</f>
        <v/>
      </c>
    </row>
    <row r="184" customFormat="false" ht="15" hidden="false" customHeight="false" outlineLevel="0" collapsed="false">
      <c r="A184" s="19"/>
      <c r="B184" s="19"/>
      <c r="C184" s="19"/>
      <c r="D184" s="19"/>
      <c r="E184" s="19"/>
      <c r="F184" s="19"/>
      <c r="G184" s="19"/>
      <c r="H184" s="20" t="str">
        <f aca="false">IF(A184="","",IF(COUNTIFS(Log!$B$5:$B$2000,A184)=0,"",SUMPRODUCT(MAX((Log!$B$5:$B$2000=A184)*Log!$A$5:$A$2000))))</f>
        <v/>
      </c>
      <c r="I184" s="19"/>
      <c r="J184" s="21"/>
      <c r="K184" s="19"/>
      <c r="L184" s="22" t="str">
        <f aca="true">IF(OR(A184="",J184=""),"",IF(J184&lt;TODAY(),"OVERDUE",IF(J184=TODAY(),"TODAY",IF(J184&lt;=TODAY()+7,"THIS WEEK",""))))</f>
        <v/>
      </c>
      <c r="M184" s="19"/>
      <c r="N184" s="19"/>
      <c r="O184" s="24" t="str">
        <f aca="true">IF(H184="","",TODAY()-H184)</f>
        <v/>
      </c>
    </row>
    <row r="185" customFormat="false" ht="15" hidden="false" customHeight="false" outlineLevel="0" collapsed="false">
      <c r="A185" s="19"/>
      <c r="B185" s="19"/>
      <c r="C185" s="19"/>
      <c r="D185" s="19"/>
      <c r="E185" s="19"/>
      <c r="F185" s="19"/>
      <c r="G185" s="19"/>
      <c r="H185" s="20" t="str">
        <f aca="false">IF(A185="","",IF(COUNTIFS(Log!$B$5:$B$2000,A185)=0,"",SUMPRODUCT(MAX((Log!$B$5:$B$2000=A185)*Log!$A$5:$A$2000))))</f>
        <v/>
      </c>
      <c r="I185" s="19"/>
      <c r="J185" s="21"/>
      <c r="K185" s="19"/>
      <c r="L185" s="22" t="str">
        <f aca="true">IF(OR(A185="",J185=""),"",IF(J185&lt;TODAY(),"OVERDUE",IF(J185=TODAY(),"TODAY",IF(J185&lt;=TODAY()+7,"THIS WEEK",""))))</f>
        <v/>
      </c>
      <c r="M185" s="19"/>
      <c r="N185" s="19"/>
      <c r="O185" s="24" t="str">
        <f aca="true">IF(H185="","",TODAY()-H185)</f>
        <v/>
      </c>
    </row>
    <row r="186" customFormat="false" ht="15" hidden="false" customHeight="false" outlineLevel="0" collapsed="false">
      <c r="A186" s="19"/>
      <c r="B186" s="19"/>
      <c r="C186" s="19"/>
      <c r="D186" s="19"/>
      <c r="E186" s="19"/>
      <c r="F186" s="19"/>
      <c r="G186" s="19"/>
      <c r="H186" s="20" t="str">
        <f aca="false">IF(A186="","",IF(COUNTIFS(Log!$B$5:$B$2000,A186)=0,"",SUMPRODUCT(MAX((Log!$B$5:$B$2000=A186)*Log!$A$5:$A$2000))))</f>
        <v/>
      </c>
      <c r="I186" s="19"/>
      <c r="J186" s="21"/>
      <c r="K186" s="19"/>
      <c r="L186" s="22" t="str">
        <f aca="true">IF(OR(A186="",J186=""),"",IF(J186&lt;TODAY(),"OVERDUE",IF(J186=TODAY(),"TODAY",IF(J186&lt;=TODAY()+7,"THIS WEEK",""))))</f>
        <v/>
      </c>
      <c r="M186" s="19"/>
      <c r="N186" s="19"/>
      <c r="O186" s="24" t="str">
        <f aca="true">IF(H186="","",TODAY()-H186)</f>
        <v/>
      </c>
    </row>
    <row r="187" customFormat="false" ht="15" hidden="false" customHeight="false" outlineLevel="0" collapsed="false">
      <c r="A187" s="19"/>
      <c r="B187" s="19"/>
      <c r="C187" s="19"/>
      <c r="D187" s="19"/>
      <c r="E187" s="19"/>
      <c r="F187" s="19"/>
      <c r="G187" s="19"/>
      <c r="H187" s="20" t="str">
        <f aca="false">IF(A187="","",IF(COUNTIFS(Log!$B$5:$B$2000,A187)=0,"",SUMPRODUCT(MAX((Log!$B$5:$B$2000=A187)*Log!$A$5:$A$2000))))</f>
        <v/>
      </c>
      <c r="I187" s="19"/>
      <c r="J187" s="21"/>
      <c r="K187" s="19"/>
      <c r="L187" s="22" t="str">
        <f aca="true">IF(OR(A187="",J187=""),"",IF(J187&lt;TODAY(),"OVERDUE",IF(J187=TODAY(),"TODAY",IF(J187&lt;=TODAY()+7,"THIS WEEK",""))))</f>
        <v/>
      </c>
      <c r="M187" s="19"/>
      <c r="N187" s="19"/>
      <c r="O187" s="24" t="str">
        <f aca="true">IF(H187="","",TODAY()-H187)</f>
        <v/>
      </c>
    </row>
    <row r="188" customFormat="false" ht="15" hidden="false" customHeight="false" outlineLevel="0" collapsed="false">
      <c r="A188" s="19"/>
      <c r="B188" s="19"/>
      <c r="C188" s="19"/>
      <c r="D188" s="19"/>
      <c r="E188" s="19"/>
      <c r="F188" s="19"/>
      <c r="G188" s="19"/>
      <c r="H188" s="20" t="str">
        <f aca="false">IF(A188="","",IF(COUNTIFS(Log!$B$5:$B$2000,A188)=0,"",SUMPRODUCT(MAX((Log!$B$5:$B$2000=A188)*Log!$A$5:$A$2000))))</f>
        <v/>
      </c>
      <c r="I188" s="19"/>
      <c r="J188" s="21"/>
      <c r="K188" s="19"/>
      <c r="L188" s="22" t="str">
        <f aca="true">IF(OR(A188="",J188=""),"",IF(J188&lt;TODAY(),"OVERDUE",IF(J188=TODAY(),"TODAY",IF(J188&lt;=TODAY()+7,"THIS WEEK",""))))</f>
        <v/>
      </c>
      <c r="M188" s="19"/>
      <c r="N188" s="19"/>
      <c r="O188" s="24" t="str">
        <f aca="true">IF(H188="","",TODAY()-H188)</f>
        <v/>
      </c>
    </row>
    <row r="189" customFormat="false" ht="15" hidden="false" customHeight="false" outlineLevel="0" collapsed="false">
      <c r="A189" s="19"/>
      <c r="B189" s="19"/>
      <c r="C189" s="19"/>
      <c r="D189" s="19"/>
      <c r="E189" s="19"/>
      <c r="F189" s="19"/>
      <c r="G189" s="19"/>
      <c r="H189" s="20" t="str">
        <f aca="false">IF(A189="","",IF(COUNTIFS(Log!$B$5:$B$2000,A189)=0,"",SUMPRODUCT(MAX((Log!$B$5:$B$2000=A189)*Log!$A$5:$A$2000))))</f>
        <v/>
      </c>
      <c r="I189" s="19"/>
      <c r="J189" s="21"/>
      <c r="K189" s="19"/>
      <c r="L189" s="22" t="str">
        <f aca="true">IF(OR(A189="",J189=""),"",IF(J189&lt;TODAY(),"OVERDUE",IF(J189=TODAY(),"TODAY",IF(J189&lt;=TODAY()+7,"THIS WEEK",""))))</f>
        <v/>
      </c>
      <c r="M189" s="19"/>
      <c r="N189" s="19"/>
      <c r="O189" s="24" t="str">
        <f aca="true">IF(H189="","",TODAY()-H189)</f>
        <v/>
      </c>
    </row>
    <row r="190" customFormat="false" ht="15" hidden="false" customHeight="false" outlineLevel="0" collapsed="false">
      <c r="A190" s="19"/>
      <c r="B190" s="19"/>
      <c r="C190" s="19"/>
      <c r="D190" s="19"/>
      <c r="E190" s="19"/>
      <c r="F190" s="19"/>
      <c r="G190" s="19"/>
      <c r="H190" s="20" t="str">
        <f aca="false">IF(A190="","",IF(COUNTIFS(Log!$B$5:$B$2000,A190)=0,"",SUMPRODUCT(MAX((Log!$B$5:$B$2000=A190)*Log!$A$5:$A$2000))))</f>
        <v/>
      </c>
      <c r="I190" s="19"/>
      <c r="J190" s="21"/>
      <c r="K190" s="19"/>
      <c r="L190" s="22" t="str">
        <f aca="true">IF(OR(A190="",J190=""),"",IF(J190&lt;TODAY(),"OVERDUE",IF(J190=TODAY(),"TODAY",IF(J190&lt;=TODAY()+7,"THIS WEEK",""))))</f>
        <v/>
      </c>
      <c r="M190" s="19"/>
      <c r="N190" s="19"/>
      <c r="O190" s="24" t="str">
        <f aca="true">IF(H190="","",TODAY()-H190)</f>
        <v/>
      </c>
    </row>
    <row r="191" customFormat="false" ht="15" hidden="false" customHeight="false" outlineLevel="0" collapsed="false">
      <c r="A191" s="19"/>
      <c r="B191" s="19"/>
      <c r="C191" s="19"/>
      <c r="D191" s="19"/>
      <c r="E191" s="19"/>
      <c r="F191" s="19"/>
      <c r="G191" s="19"/>
      <c r="H191" s="20" t="str">
        <f aca="false">IF(A191="","",IF(COUNTIFS(Log!$B$5:$B$2000,A191)=0,"",SUMPRODUCT(MAX((Log!$B$5:$B$2000=A191)*Log!$A$5:$A$2000))))</f>
        <v/>
      </c>
      <c r="I191" s="19"/>
      <c r="J191" s="21"/>
      <c r="K191" s="19"/>
      <c r="L191" s="22" t="str">
        <f aca="true">IF(OR(A191="",J191=""),"",IF(J191&lt;TODAY(),"OVERDUE",IF(J191=TODAY(),"TODAY",IF(J191&lt;=TODAY()+7,"THIS WEEK",""))))</f>
        <v/>
      </c>
      <c r="M191" s="19"/>
      <c r="N191" s="19"/>
      <c r="O191" s="24" t="str">
        <f aca="true">IF(H191="","",TODAY()-H191)</f>
        <v/>
      </c>
    </row>
    <row r="192" customFormat="false" ht="15" hidden="false" customHeight="false" outlineLevel="0" collapsed="false">
      <c r="A192" s="19"/>
      <c r="B192" s="19"/>
      <c r="C192" s="19"/>
      <c r="D192" s="19"/>
      <c r="E192" s="19"/>
      <c r="F192" s="19"/>
      <c r="G192" s="19"/>
      <c r="H192" s="20" t="str">
        <f aca="false">IF(A192="","",IF(COUNTIFS(Log!$B$5:$B$2000,A192)=0,"",SUMPRODUCT(MAX((Log!$B$5:$B$2000=A192)*Log!$A$5:$A$2000))))</f>
        <v/>
      </c>
      <c r="I192" s="19"/>
      <c r="J192" s="21"/>
      <c r="K192" s="19"/>
      <c r="L192" s="22" t="str">
        <f aca="true">IF(OR(A192="",J192=""),"",IF(J192&lt;TODAY(),"OVERDUE",IF(J192=TODAY(),"TODAY",IF(J192&lt;=TODAY()+7,"THIS WEEK",""))))</f>
        <v/>
      </c>
      <c r="M192" s="19"/>
      <c r="N192" s="19"/>
      <c r="O192" s="24" t="str">
        <f aca="true">IF(H192="","",TODAY()-H192)</f>
        <v/>
      </c>
    </row>
    <row r="193" customFormat="false" ht="15" hidden="false" customHeight="false" outlineLevel="0" collapsed="false">
      <c r="A193" s="19"/>
      <c r="B193" s="19"/>
      <c r="C193" s="19"/>
      <c r="D193" s="19"/>
      <c r="E193" s="19"/>
      <c r="F193" s="19"/>
      <c r="G193" s="19"/>
      <c r="H193" s="20" t="str">
        <f aca="false">IF(A193="","",IF(COUNTIFS(Log!$B$5:$B$2000,A193)=0,"",SUMPRODUCT(MAX((Log!$B$5:$B$2000=A193)*Log!$A$5:$A$2000))))</f>
        <v/>
      </c>
      <c r="I193" s="19"/>
      <c r="J193" s="21"/>
      <c r="K193" s="19"/>
      <c r="L193" s="22" t="str">
        <f aca="true">IF(OR(A193="",J193=""),"",IF(J193&lt;TODAY(),"OVERDUE",IF(J193=TODAY(),"TODAY",IF(J193&lt;=TODAY()+7,"THIS WEEK",""))))</f>
        <v/>
      </c>
      <c r="M193" s="19"/>
      <c r="N193" s="19"/>
      <c r="O193" s="24" t="str">
        <f aca="true">IF(H193="","",TODAY()-H193)</f>
        <v/>
      </c>
    </row>
    <row r="194" customFormat="false" ht="15" hidden="false" customHeight="false" outlineLevel="0" collapsed="false">
      <c r="A194" s="19"/>
      <c r="B194" s="19"/>
      <c r="C194" s="19"/>
      <c r="D194" s="19"/>
      <c r="E194" s="19"/>
      <c r="F194" s="19"/>
      <c r="G194" s="19"/>
      <c r="H194" s="20" t="str">
        <f aca="false">IF(A194="","",IF(COUNTIFS(Log!$B$5:$B$2000,A194)=0,"",SUMPRODUCT(MAX((Log!$B$5:$B$2000=A194)*Log!$A$5:$A$2000))))</f>
        <v/>
      </c>
      <c r="I194" s="19"/>
      <c r="J194" s="21"/>
      <c r="K194" s="19"/>
      <c r="L194" s="22" t="str">
        <f aca="true">IF(OR(A194="",J194=""),"",IF(J194&lt;TODAY(),"OVERDUE",IF(J194=TODAY(),"TODAY",IF(J194&lt;=TODAY()+7,"THIS WEEK",""))))</f>
        <v/>
      </c>
      <c r="M194" s="19"/>
      <c r="N194" s="19"/>
      <c r="O194" s="24" t="str">
        <f aca="true">IF(H194="","",TODAY()-H194)</f>
        <v/>
      </c>
    </row>
    <row r="195" customFormat="false" ht="15" hidden="false" customHeight="false" outlineLevel="0" collapsed="false">
      <c r="A195" s="19"/>
      <c r="B195" s="19"/>
      <c r="C195" s="19"/>
      <c r="D195" s="19"/>
      <c r="E195" s="19"/>
      <c r="F195" s="19"/>
      <c r="G195" s="19"/>
      <c r="H195" s="20" t="str">
        <f aca="false">IF(A195="","",IF(COUNTIFS(Log!$B$5:$B$2000,A195)=0,"",SUMPRODUCT(MAX((Log!$B$5:$B$2000=A195)*Log!$A$5:$A$2000))))</f>
        <v/>
      </c>
      <c r="I195" s="19"/>
      <c r="J195" s="21"/>
      <c r="K195" s="19"/>
      <c r="L195" s="22" t="str">
        <f aca="true">IF(OR(A195="",J195=""),"",IF(J195&lt;TODAY(),"OVERDUE",IF(J195=TODAY(),"TODAY",IF(J195&lt;=TODAY()+7,"THIS WEEK",""))))</f>
        <v/>
      </c>
      <c r="M195" s="19"/>
      <c r="N195" s="19"/>
      <c r="O195" s="24" t="str">
        <f aca="true">IF(H195="","",TODAY()-H195)</f>
        <v/>
      </c>
    </row>
    <row r="196" customFormat="false" ht="15" hidden="false" customHeight="false" outlineLevel="0" collapsed="false">
      <c r="A196" s="19"/>
      <c r="B196" s="19"/>
      <c r="C196" s="19"/>
      <c r="D196" s="19"/>
      <c r="E196" s="19"/>
      <c r="F196" s="19"/>
      <c r="G196" s="19"/>
      <c r="H196" s="20" t="str">
        <f aca="false">IF(A196="","",IF(COUNTIFS(Log!$B$5:$B$2000,A196)=0,"",SUMPRODUCT(MAX((Log!$B$5:$B$2000=A196)*Log!$A$5:$A$2000))))</f>
        <v/>
      </c>
      <c r="I196" s="19"/>
      <c r="J196" s="21"/>
      <c r="K196" s="19"/>
      <c r="L196" s="22" t="str">
        <f aca="true">IF(OR(A196="",J196=""),"",IF(J196&lt;TODAY(),"OVERDUE",IF(J196=TODAY(),"TODAY",IF(J196&lt;=TODAY()+7,"THIS WEEK",""))))</f>
        <v/>
      </c>
      <c r="M196" s="19"/>
      <c r="N196" s="19"/>
      <c r="O196" s="24" t="str">
        <f aca="true">IF(H196="","",TODAY()-H196)</f>
        <v/>
      </c>
    </row>
    <row r="197" customFormat="false" ht="15" hidden="false" customHeight="false" outlineLevel="0" collapsed="false">
      <c r="A197" s="19"/>
      <c r="B197" s="19"/>
      <c r="C197" s="19"/>
      <c r="D197" s="19"/>
      <c r="E197" s="19"/>
      <c r="F197" s="19"/>
      <c r="G197" s="19"/>
      <c r="H197" s="20" t="str">
        <f aca="false">IF(A197="","",IF(COUNTIFS(Log!$B$5:$B$2000,A197)=0,"",SUMPRODUCT(MAX((Log!$B$5:$B$2000=A197)*Log!$A$5:$A$2000))))</f>
        <v/>
      </c>
      <c r="I197" s="19"/>
      <c r="J197" s="21"/>
      <c r="K197" s="19"/>
      <c r="L197" s="22" t="str">
        <f aca="true">IF(OR(A197="",J197=""),"",IF(J197&lt;TODAY(),"OVERDUE",IF(J197=TODAY(),"TODAY",IF(J197&lt;=TODAY()+7,"THIS WEEK",""))))</f>
        <v/>
      </c>
      <c r="M197" s="19"/>
      <c r="N197" s="19"/>
      <c r="O197" s="24" t="str">
        <f aca="true">IF(H197="","",TODAY()-H197)</f>
        <v/>
      </c>
    </row>
    <row r="198" customFormat="false" ht="15" hidden="false" customHeight="false" outlineLevel="0" collapsed="false">
      <c r="A198" s="19"/>
      <c r="B198" s="19"/>
      <c r="C198" s="19"/>
      <c r="D198" s="19"/>
      <c r="E198" s="19"/>
      <c r="F198" s="19"/>
      <c r="G198" s="19"/>
      <c r="H198" s="20" t="str">
        <f aca="false">IF(A198="","",IF(COUNTIFS(Log!$B$5:$B$2000,A198)=0,"",SUMPRODUCT(MAX((Log!$B$5:$B$2000=A198)*Log!$A$5:$A$2000))))</f>
        <v/>
      </c>
      <c r="I198" s="19"/>
      <c r="J198" s="21"/>
      <c r="K198" s="19"/>
      <c r="L198" s="22" t="str">
        <f aca="true">IF(OR(A198="",J198=""),"",IF(J198&lt;TODAY(),"OVERDUE",IF(J198=TODAY(),"TODAY",IF(J198&lt;=TODAY()+7,"THIS WEEK",""))))</f>
        <v/>
      </c>
      <c r="M198" s="19"/>
      <c r="N198" s="19"/>
      <c r="O198" s="24" t="str">
        <f aca="true">IF(H198="","",TODAY()-H198)</f>
        <v/>
      </c>
    </row>
    <row r="199" customFormat="false" ht="15" hidden="false" customHeight="false" outlineLevel="0" collapsed="false">
      <c r="A199" s="19"/>
      <c r="B199" s="19"/>
      <c r="C199" s="19"/>
      <c r="D199" s="19"/>
      <c r="E199" s="19"/>
      <c r="F199" s="19"/>
      <c r="G199" s="19"/>
      <c r="H199" s="20" t="str">
        <f aca="false">IF(A199="","",IF(COUNTIFS(Log!$B$5:$B$2000,A199)=0,"",SUMPRODUCT(MAX((Log!$B$5:$B$2000=A199)*Log!$A$5:$A$2000))))</f>
        <v/>
      </c>
      <c r="I199" s="19"/>
      <c r="J199" s="21"/>
      <c r="K199" s="19"/>
      <c r="L199" s="22" t="str">
        <f aca="true">IF(OR(A199="",J199=""),"",IF(J199&lt;TODAY(),"OVERDUE",IF(J199=TODAY(),"TODAY",IF(J199&lt;=TODAY()+7,"THIS WEEK",""))))</f>
        <v/>
      </c>
      <c r="M199" s="19"/>
      <c r="N199" s="19"/>
      <c r="O199" s="24" t="str">
        <f aca="true">IF(H199="","",TODAY()-H199)</f>
        <v/>
      </c>
    </row>
    <row r="200" customFormat="false" ht="15" hidden="false" customHeight="false" outlineLevel="0" collapsed="false">
      <c r="A200" s="19"/>
      <c r="B200" s="19"/>
      <c r="C200" s="19"/>
      <c r="D200" s="19"/>
      <c r="E200" s="19"/>
      <c r="F200" s="19"/>
      <c r="G200" s="19"/>
      <c r="H200" s="20" t="str">
        <f aca="false">IF(A200="","",IF(COUNTIFS(Log!$B$5:$B$2000,A200)=0,"",SUMPRODUCT(MAX((Log!$B$5:$B$2000=A200)*Log!$A$5:$A$2000))))</f>
        <v/>
      </c>
      <c r="I200" s="19"/>
      <c r="J200" s="21"/>
      <c r="K200" s="19"/>
      <c r="L200" s="22" t="str">
        <f aca="true">IF(OR(A200="",J200=""),"",IF(J200&lt;TODAY(),"OVERDUE",IF(J200=TODAY(),"TODAY",IF(J200&lt;=TODAY()+7,"THIS WEEK",""))))</f>
        <v/>
      </c>
      <c r="M200" s="19"/>
      <c r="N200" s="19"/>
      <c r="O200" s="24" t="str">
        <f aca="true">IF(H200="","",TODAY()-H200)</f>
        <v/>
      </c>
    </row>
    <row r="201" customFormat="false" ht="15" hidden="false" customHeight="false" outlineLevel="0" collapsed="false">
      <c r="A201" s="19"/>
      <c r="B201" s="19"/>
      <c r="C201" s="19"/>
      <c r="D201" s="19"/>
      <c r="E201" s="19"/>
      <c r="F201" s="19"/>
      <c r="G201" s="19"/>
      <c r="H201" s="20" t="str">
        <f aca="false">IF(A201="","",IF(COUNTIFS(Log!$B$5:$B$2000,A201)=0,"",SUMPRODUCT(MAX((Log!$B$5:$B$2000=A201)*Log!$A$5:$A$2000))))</f>
        <v/>
      </c>
      <c r="I201" s="19"/>
      <c r="J201" s="21"/>
      <c r="K201" s="19"/>
      <c r="L201" s="22" t="str">
        <f aca="true">IF(OR(A201="",J201=""),"",IF(J201&lt;TODAY(),"OVERDUE",IF(J201=TODAY(),"TODAY",IF(J201&lt;=TODAY()+7,"THIS WEEK",""))))</f>
        <v/>
      </c>
      <c r="M201" s="19"/>
      <c r="N201" s="19"/>
      <c r="O201" s="24" t="str">
        <f aca="true">IF(H201="","",TODAY()-H201)</f>
        <v/>
      </c>
    </row>
    <row r="202" customFormat="false" ht="15" hidden="false" customHeight="false" outlineLevel="0" collapsed="false">
      <c r="A202" s="19"/>
      <c r="B202" s="19"/>
      <c r="C202" s="19"/>
      <c r="D202" s="19"/>
      <c r="E202" s="19"/>
      <c r="F202" s="19"/>
      <c r="G202" s="19"/>
      <c r="H202" s="20" t="str">
        <f aca="false">IF(A202="","",IF(COUNTIFS(Log!$B$5:$B$2000,A202)=0,"",SUMPRODUCT(MAX((Log!$B$5:$B$2000=A202)*Log!$A$5:$A$2000))))</f>
        <v/>
      </c>
      <c r="I202" s="19"/>
      <c r="J202" s="21"/>
      <c r="K202" s="19"/>
      <c r="L202" s="22" t="str">
        <f aca="true">IF(OR(A202="",J202=""),"",IF(J202&lt;TODAY(),"OVERDUE",IF(J202=TODAY(),"TODAY",IF(J202&lt;=TODAY()+7,"THIS WEEK",""))))</f>
        <v/>
      </c>
      <c r="M202" s="19"/>
      <c r="N202" s="19"/>
      <c r="O202" s="24" t="str">
        <f aca="true">IF(H202="","",TODAY()-H202)</f>
        <v/>
      </c>
    </row>
    <row r="203" customFormat="false" ht="15" hidden="false" customHeight="false" outlineLevel="0" collapsed="false">
      <c r="A203" s="19"/>
      <c r="B203" s="19"/>
      <c r="C203" s="19"/>
      <c r="D203" s="19"/>
      <c r="E203" s="19"/>
      <c r="F203" s="19"/>
      <c r="G203" s="19"/>
      <c r="H203" s="20" t="str">
        <f aca="false">IF(A203="","",IF(COUNTIFS(Log!$B$5:$B$2000,A203)=0,"",SUMPRODUCT(MAX((Log!$B$5:$B$2000=A203)*Log!$A$5:$A$2000))))</f>
        <v/>
      </c>
      <c r="I203" s="19"/>
      <c r="J203" s="21"/>
      <c r="K203" s="19"/>
      <c r="L203" s="22" t="str">
        <f aca="true">IF(OR(A203="",J203=""),"",IF(J203&lt;TODAY(),"OVERDUE",IF(J203=TODAY(),"TODAY",IF(J203&lt;=TODAY()+7,"THIS WEEK",""))))</f>
        <v/>
      </c>
      <c r="M203" s="19"/>
      <c r="N203" s="19"/>
      <c r="O203" s="24" t="str">
        <f aca="true">IF(H203="","",TODAY()-H203)</f>
        <v/>
      </c>
    </row>
    <row r="204" customFormat="false" ht="15" hidden="false" customHeight="false" outlineLevel="0" collapsed="false">
      <c r="A204" s="19"/>
      <c r="B204" s="19"/>
      <c r="C204" s="19"/>
      <c r="D204" s="19"/>
      <c r="E204" s="19"/>
      <c r="F204" s="19"/>
      <c r="G204" s="19"/>
      <c r="H204" s="20" t="str">
        <f aca="false">IF(A204="","",IF(COUNTIFS(Log!$B$5:$B$2000,A204)=0,"",SUMPRODUCT(MAX((Log!$B$5:$B$2000=A204)*Log!$A$5:$A$2000))))</f>
        <v/>
      </c>
      <c r="I204" s="19"/>
      <c r="J204" s="21"/>
      <c r="K204" s="19"/>
      <c r="L204" s="22" t="str">
        <f aca="true">IF(OR(A204="",J204=""),"",IF(J204&lt;TODAY(),"OVERDUE",IF(J204=TODAY(),"TODAY",IF(J204&lt;=TODAY()+7,"THIS WEEK",""))))</f>
        <v/>
      </c>
      <c r="M204" s="19"/>
      <c r="N204" s="19"/>
      <c r="O204" s="24" t="str">
        <f aca="true">IF(H204="","",TODAY()-H204)</f>
        <v/>
      </c>
    </row>
    <row r="205" customFormat="false" ht="15" hidden="false" customHeight="false" outlineLevel="0" collapsed="false">
      <c r="A205" s="19"/>
      <c r="B205" s="19"/>
      <c r="C205" s="19"/>
      <c r="D205" s="19"/>
      <c r="E205" s="19"/>
      <c r="F205" s="19"/>
      <c r="G205" s="19"/>
      <c r="H205" s="20" t="str">
        <f aca="false">IF(A205="","",IF(COUNTIFS(Log!$B$5:$B$2000,A205)=0,"",SUMPRODUCT(MAX((Log!$B$5:$B$2000=A205)*Log!$A$5:$A$2000))))</f>
        <v/>
      </c>
      <c r="I205" s="19"/>
      <c r="J205" s="21"/>
      <c r="K205" s="19"/>
      <c r="L205" s="22" t="str">
        <f aca="true">IF(OR(A205="",J205=""),"",IF(J205&lt;TODAY(),"OVERDUE",IF(J205=TODAY(),"TODAY",IF(J205&lt;=TODAY()+7,"THIS WEEK",""))))</f>
        <v/>
      </c>
      <c r="M205" s="19"/>
      <c r="N205" s="19"/>
      <c r="O205" s="24" t="str">
        <f aca="true">IF(H205="","",TODAY()-H205)</f>
        <v/>
      </c>
    </row>
    <row r="206" customFormat="false" ht="15" hidden="false" customHeight="false" outlineLevel="0" collapsed="false">
      <c r="A206" s="19"/>
      <c r="B206" s="19"/>
      <c r="C206" s="19"/>
      <c r="D206" s="19"/>
      <c r="E206" s="19"/>
      <c r="F206" s="19"/>
      <c r="G206" s="19"/>
      <c r="H206" s="20" t="str">
        <f aca="false">IF(A206="","",IF(COUNTIFS(Log!$B$5:$B$2000,A206)=0,"",SUMPRODUCT(MAX((Log!$B$5:$B$2000=A206)*Log!$A$5:$A$2000))))</f>
        <v/>
      </c>
      <c r="I206" s="19"/>
      <c r="J206" s="21"/>
      <c r="K206" s="19"/>
      <c r="L206" s="22" t="str">
        <f aca="true">IF(OR(A206="",J206=""),"",IF(J206&lt;TODAY(),"OVERDUE",IF(J206=TODAY(),"TODAY",IF(J206&lt;=TODAY()+7,"THIS WEEK",""))))</f>
        <v/>
      </c>
      <c r="M206" s="19"/>
      <c r="N206" s="19"/>
      <c r="O206" s="24" t="str">
        <f aca="true">IF(H206="","",TODAY()-H206)</f>
        <v/>
      </c>
    </row>
    <row r="207" customFormat="false" ht="15" hidden="false" customHeight="false" outlineLevel="0" collapsed="false">
      <c r="A207" s="19"/>
      <c r="B207" s="19"/>
      <c r="C207" s="19"/>
      <c r="D207" s="19"/>
      <c r="E207" s="19"/>
      <c r="F207" s="19"/>
      <c r="G207" s="19"/>
      <c r="H207" s="20" t="str">
        <f aca="false">IF(A207="","",IF(COUNTIFS(Log!$B$5:$B$2000,A207)=0,"",SUMPRODUCT(MAX((Log!$B$5:$B$2000=A207)*Log!$A$5:$A$2000))))</f>
        <v/>
      </c>
      <c r="I207" s="19"/>
      <c r="J207" s="21"/>
      <c r="K207" s="19"/>
      <c r="L207" s="22" t="str">
        <f aca="true">IF(OR(A207="",J207=""),"",IF(J207&lt;TODAY(),"OVERDUE",IF(J207=TODAY(),"TODAY",IF(J207&lt;=TODAY()+7,"THIS WEEK",""))))</f>
        <v/>
      </c>
      <c r="M207" s="19"/>
      <c r="N207" s="19"/>
      <c r="O207" s="24" t="str">
        <f aca="true">IF(H207="","",TODAY()-H207)</f>
        <v/>
      </c>
    </row>
    <row r="208" customFormat="false" ht="15" hidden="false" customHeight="false" outlineLevel="0" collapsed="false">
      <c r="A208" s="19"/>
      <c r="B208" s="19"/>
      <c r="C208" s="19"/>
      <c r="D208" s="19"/>
      <c r="E208" s="19"/>
      <c r="F208" s="19"/>
      <c r="G208" s="19"/>
      <c r="H208" s="20" t="str">
        <f aca="false">IF(A208="","",IF(COUNTIFS(Log!$B$5:$B$2000,A208)=0,"",SUMPRODUCT(MAX((Log!$B$5:$B$2000=A208)*Log!$A$5:$A$2000))))</f>
        <v/>
      </c>
      <c r="I208" s="19"/>
      <c r="J208" s="21"/>
      <c r="K208" s="19"/>
      <c r="L208" s="22" t="str">
        <f aca="true">IF(OR(A208="",J208=""),"",IF(J208&lt;TODAY(),"OVERDUE",IF(J208=TODAY(),"TODAY",IF(J208&lt;=TODAY()+7,"THIS WEEK",""))))</f>
        <v/>
      </c>
      <c r="M208" s="19"/>
      <c r="N208" s="19"/>
      <c r="O208" s="24" t="str">
        <f aca="true">IF(H208="","",TODAY()-H208)</f>
        <v/>
      </c>
    </row>
    <row r="209" customFormat="false" ht="15" hidden="false" customHeight="false" outlineLevel="0" collapsed="false">
      <c r="A209" s="19"/>
      <c r="B209" s="19"/>
      <c r="C209" s="19"/>
      <c r="D209" s="19"/>
      <c r="E209" s="19"/>
      <c r="F209" s="19"/>
      <c r="G209" s="19"/>
      <c r="H209" s="20" t="str">
        <f aca="false">IF(A209="","",IF(COUNTIFS(Log!$B$5:$B$2000,A209)=0,"",SUMPRODUCT(MAX((Log!$B$5:$B$2000=A209)*Log!$A$5:$A$2000))))</f>
        <v/>
      </c>
      <c r="I209" s="19"/>
      <c r="J209" s="21"/>
      <c r="K209" s="19"/>
      <c r="L209" s="22" t="str">
        <f aca="true">IF(OR(A209="",J209=""),"",IF(J209&lt;TODAY(),"OVERDUE",IF(J209=TODAY(),"TODAY",IF(J209&lt;=TODAY()+7,"THIS WEEK",""))))</f>
        <v/>
      </c>
      <c r="M209" s="19"/>
      <c r="N209" s="19"/>
      <c r="O209" s="24" t="str">
        <f aca="true">IF(H209="","",TODAY()-H209)</f>
        <v/>
      </c>
    </row>
    <row r="210" customFormat="false" ht="15" hidden="false" customHeight="false" outlineLevel="0" collapsed="false">
      <c r="A210" s="19"/>
      <c r="B210" s="19"/>
      <c r="C210" s="19"/>
      <c r="D210" s="19"/>
      <c r="E210" s="19"/>
      <c r="F210" s="19"/>
      <c r="G210" s="19"/>
      <c r="H210" s="20" t="str">
        <f aca="false">IF(A210="","",IF(COUNTIFS(Log!$B$5:$B$2000,A210)=0,"",SUMPRODUCT(MAX((Log!$B$5:$B$2000=A210)*Log!$A$5:$A$2000))))</f>
        <v/>
      </c>
      <c r="I210" s="19"/>
      <c r="J210" s="21"/>
      <c r="K210" s="19"/>
      <c r="L210" s="22" t="str">
        <f aca="true">IF(OR(A210="",J210=""),"",IF(J210&lt;TODAY(),"OVERDUE",IF(J210=TODAY(),"TODAY",IF(J210&lt;=TODAY()+7,"THIS WEEK",""))))</f>
        <v/>
      </c>
      <c r="M210" s="19"/>
      <c r="N210" s="19"/>
      <c r="O210" s="24" t="str">
        <f aca="true">IF(H210="","",TODAY()-H210)</f>
        <v/>
      </c>
    </row>
    <row r="211" customFormat="false" ht="15" hidden="false" customHeight="false" outlineLevel="0" collapsed="false">
      <c r="A211" s="19"/>
      <c r="B211" s="19"/>
      <c r="C211" s="19"/>
      <c r="D211" s="19"/>
      <c r="E211" s="19"/>
      <c r="F211" s="19"/>
      <c r="G211" s="19"/>
      <c r="H211" s="20" t="str">
        <f aca="false">IF(A211="","",IF(COUNTIFS(Log!$B$5:$B$2000,A211)=0,"",SUMPRODUCT(MAX((Log!$B$5:$B$2000=A211)*Log!$A$5:$A$2000))))</f>
        <v/>
      </c>
      <c r="I211" s="19"/>
      <c r="J211" s="21"/>
      <c r="K211" s="19"/>
      <c r="L211" s="22" t="str">
        <f aca="true">IF(OR(A211="",J211=""),"",IF(J211&lt;TODAY(),"OVERDUE",IF(J211=TODAY(),"TODAY",IF(J211&lt;=TODAY()+7,"THIS WEEK",""))))</f>
        <v/>
      </c>
      <c r="M211" s="19"/>
      <c r="N211" s="19"/>
      <c r="O211" s="24" t="str">
        <f aca="true">IF(H211="","",TODAY()-H211)</f>
        <v/>
      </c>
    </row>
    <row r="212" customFormat="false" ht="15" hidden="false" customHeight="false" outlineLevel="0" collapsed="false">
      <c r="A212" s="19"/>
      <c r="B212" s="19"/>
      <c r="C212" s="19"/>
      <c r="D212" s="19"/>
      <c r="E212" s="19"/>
      <c r="F212" s="19"/>
      <c r="G212" s="19"/>
      <c r="H212" s="20" t="str">
        <f aca="false">IF(A212="","",IF(COUNTIFS(Log!$B$5:$B$2000,A212)=0,"",SUMPRODUCT(MAX((Log!$B$5:$B$2000=A212)*Log!$A$5:$A$2000))))</f>
        <v/>
      </c>
      <c r="I212" s="19"/>
      <c r="J212" s="21"/>
      <c r="K212" s="19"/>
      <c r="L212" s="22" t="str">
        <f aca="true">IF(OR(A212="",J212=""),"",IF(J212&lt;TODAY(),"OVERDUE",IF(J212=TODAY(),"TODAY",IF(J212&lt;=TODAY()+7,"THIS WEEK",""))))</f>
        <v/>
      </c>
      <c r="M212" s="19"/>
      <c r="N212" s="19"/>
      <c r="O212" s="24" t="str">
        <f aca="true">IF(H212="","",TODAY()-H212)</f>
        <v/>
      </c>
    </row>
    <row r="213" customFormat="false" ht="15" hidden="false" customHeight="false" outlineLevel="0" collapsed="false">
      <c r="A213" s="19"/>
      <c r="B213" s="19"/>
      <c r="C213" s="19"/>
      <c r="D213" s="19"/>
      <c r="E213" s="19"/>
      <c r="F213" s="19"/>
      <c r="G213" s="19"/>
      <c r="H213" s="20" t="str">
        <f aca="false">IF(A213="","",IF(COUNTIFS(Log!$B$5:$B$2000,A213)=0,"",SUMPRODUCT(MAX((Log!$B$5:$B$2000=A213)*Log!$A$5:$A$2000))))</f>
        <v/>
      </c>
      <c r="I213" s="19"/>
      <c r="J213" s="21"/>
      <c r="K213" s="19"/>
      <c r="L213" s="22" t="str">
        <f aca="true">IF(OR(A213="",J213=""),"",IF(J213&lt;TODAY(),"OVERDUE",IF(J213=TODAY(),"TODAY",IF(J213&lt;=TODAY()+7,"THIS WEEK",""))))</f>
        <v/>
      </c>
      <c r="M213" s="19"/>
      <c r="N213" s="19"/>
      <c r="O213" s="24" t="str">
        <f aca="true">IF(H213="","",TODAY()-H213)</f>
        <v/>
      </c>
    </row>
    <row r="214" customFormat="false" ht="15" hidden="false" customHeight="false" outlineLevel="0" collapsed="false">
      <c r="A214" s="19"/>
      <c r="B214" s="19"/>
      <c r="C214" s="19"/>
      <c r="D214" s="19"/>
      <c r="E214" s="19"/>
      <c r="F214" s="19"/>
      <c r="G214" s="19"/>
      <c r="H214" s="20" t="str">
        <f aca="false">IF(A214="","",IF(COUNTIFS(Log!$B$5:$B$2000,A214)=0,"",SUMPRODUCT(MAX((Log!$B$5:$B$2000=A214)*Log!$A$5:$A$2000))))</f>
        <v/>
      </c>
      <c r="I214" s="19"/>
      <c r="J214" s="21"/>
      <c r="K214" s="19"/>
      <c r="L214" s="22" t="str">
        <f aca="true">IF(OR(A214="",J214=""),"",IF(J214&lt;TODAY(),"OVERDUE",IF(J214=TODAY(),"TODAY",IF(J214&lt;=TODAY()+7,"THIS WEEK",""))))</f>
        <v/>
      </c>
      <c r="M214" s="19"/>
      <c r="N214" s="19"/>
      <c r="O214" s="24" t="str">
        <f aca="true">IF(H214="","",TODAY()-H214)</f>
        <v/>
      </c>
    </row>
    <row r="215" customFormat="false" ht="15" hidden="false" customHeight="false" outlineLevel="0" collapsed="false">
      <c r="A215" s="19"/>
      <c r="B215" s="19"/>
      <c r="C215" s="19"/>
      <c r="D215" s="19"/>
      <c r="E215" s="19"/>
      <c r="F215" s="19"/>
      <c r="G215" s="19"/>
      <c r="H215" s="20" t="str">
        <f aca="false">IF(A215="","",IF(COUNTIFS(Log!$B$5:$B$2000,A215)=0,"",SUMPRODUCT(MAX((Log!$B$5:$B$2000=A215)*Log!$A$5:$A$2000))))</f>
        <v/>
      </c>
      <c r="I215" s="19"/>
      <c r="J215" s="21"/>
      <c r="K215" s="19"/>
      <c r="L215" s="22" t="str">
        <f aca="true">IF(OR(A215="",J215=""),"",IF(J215&lt;TODAY(),"OVERDUE",IF(J215=TODAY(),"TODAY",IF(J215&lt;=TODAY()+7,"THIS WEEK",""))))</f>
        <v/>
      </c>
      <c r="M215" s="19"/>
      <c r="N215" s="19"/>
      <c r="O215" s="24" t="str">
        <f aca="true">IF(H215="","",TODAY()-H215)</f>
        <v/>
      </c>
    </row>
    <row r="216" customFormat="false" ht="15" hidden="false" customHeight="false" outlineLevel="0" collapsed="false">
      <c r="A216" s="19"/>
      <c r="B216" s="19"/>
      <c r="C216" s="19"/>
      <c r="D216" s="19"/>
      <c r="E216" s="19"/>
      <c r="F216" s="19"/>
      <c r="G216" s="19"/>
      <c r="H216" s="20" t="str">
        <f aca="false">IF(A216="","",IF(COUNTIFS(Log!$B$5:$B$2000,A216)=0,"",SUMPRODUCT(MAX((Log!$B$5:$B$2000=A216)*Log!$A$5:$A$2000))))</f>
        <v/>
      </c>
      <c r="I216" s="19"/>
      <c r="J216" s="21"/>
      <c r="K216" s="19"/>
      <c r="L216" s="22" t="str">
        <f aca="true">IF(OR(A216="",J216=""),"",IF(J216&lt;TODAY(),"OVERDUE",IF(J216=TODAY(),"TODAY",IF(J216&lt;=TODAY()+7,"THIS WEEK",""))))</f>
        <v/>
      </c>
      <c r="M216" s="19"/>
      <c r="N216" s="19"/>
      <c r="O216" s="24" t="str">
        <f aca="true">IF(H216="","",TODAY()-H216)</f>
        <v/>
      </c>
    </row>
    <row r="217" customFormat="false" ht="15" hidden="false" customHeight="false" outlineLevel="0" collapsed="false">
      <c r="A217" s="19"/>
      <c r="B217" s="19"/>
      <c r="C217" s="19"/>
      <c r="D217" s="19"/>
      <c r="E217" s="19"/>
      <c r="F217" s="19"/>
      <c r="G217" s="19"/>
      <c r="H217" s="20" t="str">
        <f aca="false">IF(A217="","",IF(COUNTIFS(Log!$B$5:$B$2000,A217)=0,"",SUMPRODUCT(MAX((Log!$B$5:$B$2000=A217)*Log!$A$5:$A$2000))))</f>
        <v/>
      </c>
      <c r="I217" s="19"/>
      <c r="J217" s="21"/>
      <c r="K217" s="19"/>
      <c r="L217" s="22" t="str">
        <f aca="true">IF(OR(A217="",J217=""),"",IF(J217&lt;TODAY(),"OVERDUE",IF(J217=TODAY(),"TODAY",IF(J217&lt;=TODAY()+7,"THIS WEEK",""))))</f>
        <v/>
      </c>
      <c r="M217" s="19"/>
      <c r="N217" s="19"/>
      <c r="O217" s="24" t="str">
        <f aca="true">IF(H217="","",TODAY()-H217)</f>
        <v/>
      </c>
    </row>
    <row r="218" customFormat="false" ht="15" hidden="false" customHeight="false" outlineLevel="0" collapsed="false">
      <c r="A218" s="19"/>
      <c r="B218" s="19"/>
      <c r="C218" s="19"/>
      <c r="D218" s="19"/>
      <c r="E218" s="19"/>
      <c r="F218" s="19"/>
      <c r="G218" s="19"/>
      <c r="H218" s="20" t="str">
        <f aca="false">IF(A218="","",IF(COUNTIFS(Log!$B$5:$B$2000,A218)=0,"",SUMPRODUCT(MAX((Log!$B$5:$B$2000=A218)*Log!$A$5:$A$2000))))</f>
        <v/>
      </c>
      <c r="I218" s="19"/>
      <c r="J218" s="21"/>
      <c r="K218" s="19"/>
      <c r="L218" s="22" t="str">
        <f aca="true">IF(OR(A218="",J218=""),"",IF(J218&lt;TODAY(),"OVERDUE",IF(J218=TODAY(),"TODAY",IF(J218&lt;=TODAY()+7,"THIS WEEK",""))))</f>
        <v/>
      </c>
      <c r="M218" s="19"/>
      <c r="N218" s="19"/>
      <c r="O218" s="24" t="str">
        <f aca="true">IF(H218="","",TODAY()-H218)</f>
        <v/>
      </c>
    </row>
    <row r="219" customFormat="false" ht="15" hidden="false" customHeight="false" outlineLevel="0" collapsed="false">
      <c r="A219" s="19"/>
      <c r="B219" s="19"/>
      <c r="C219" s="19"/>
      <c r="D219" s="19"/>
      <c r="E219" s="19"/>
      <c r="F219" s="19"/>
      <c r="G219" s="19"/>
      <c r="H219" s="20" t="str">
        <f aca="false">IF(A219="","",IF(COUNTIFS(Log!$B$5:$B$2000,A219)=0,"",SUMPRODUCT(MAX((Log!$B$5:$B$2000=A219)*Log!$A$5:$A$2000))))</f>
        <v/>
      </c>
      <c r="I219" s="19"/>
      <c r="J219" s="21"/>
      <c r="K219" s="19"/>
      <c r="L219" s="22" t="str">
        <f aca="true">IF(OR(A219="",J219=""),"",IF(J219&lt;TODAY(),"OVERDUE",IF(J219=TODAY(),"TODAY",IF(J219&lt;=TODAY()+7,"THIS WEEK",""))))</f>
        <v/>
      </c>
      <c r="M219" s="19"/>
      <c r="N219" s="19"/>
      <c r="O219" s="24" t="str">
        <f aca="true">IF(H219="","",TODAY()-H219)</f>
        <v/>
      </c>
    </row>
    <row r="220" customFormat="false" ht="15" hidden="false" customHeight="false" outlineLevel="0" collapsed="false">
      <c r="A220" s="19"/>
      <c r="B220" s="19"/>
      <c r="C220" s="19"/>
      <c r="D220" s="19"/>
      <c r="E220" s="19"/>
      <c r="F220" s="19"/>
      <c r="G220" s="19"/>
      <c r="H220" s="20" t="str">
        <f aca="false">IF(A220="","",IF(COUNTIFS(Log!$B$5:$B$2000,A220)=0,"",SUMPRODUCT(MAX((Log!$B$5:$B$2000=A220)*Log!$A$5:$A$2000))))</f>
        <v/>
      </c>
      <c r="I220" s="19"/>
      <c r="J220" s="21"/>
      <c r="K220" s="19"/>
      <c r="L220" s="22" t="str">
        <f aca="true">IF(OR(A220="",J220=""),"",IF(J220&lt;TODAY(),"OVERDUE",IF(J220=TODAY(),"TODAY",IF(J220&lt;=TODAY()+7,"THIS WEEK",""))))</f>
        <v/>
      </c>
      <c r="M220" s="19"/>
      <c r="N220" s="19"/>
      <c r="O220" s="24" t="str">
        <f aca="true">IF(H220="","",TODAY()-H220)</f>
        <v/>
      </c>
    </row>
    <row r="221" customFormat="false" ht="15" hidden="false" customHeight="false" outlineLevel="0" collapsed="false">
      <c r="A221" s="19"/>
      <c r="B221" s="19"/>
      <c r="C221" s="19"/>
      <c r="D221" s="19"/>
      <c r="E221" s="19"/>
      <c r="F221" s="19"/>
      <c r="G221" s="19"/>
      <c r="H221" s="20" t="str">
        <f aca="false">IF(A221="","",IF(COUNTIFS(Log!$B$5:$B$2000,A221)=0,"",SUMPRODUCT(MAX((Log!$B$5:$B$2000=A221)*Log!$A$5:$A$2000))))</f>
        <v/>
      </c>
      <c r="I221" s="19"/>
      <c r="J221" s="21"/>
      <c r="K221" s="19"/>
      <c r="L221" s="22" t="str">
        <f aca="true">IF(OR(A221="",J221=""),"",IF(J221&lt;TODAY(),"OVERDUE",IF(J221=TODAY(),"TODAY",IF(J221&lt;=TODAY()+7,"THIS WEEK",""))))</f>
        <v/>
      </c>
      <c r="M221" s="19"/>
      <c r="N221" s="19"/>
      <c r="O221" s="24" t="str">
        <f aca="true">IF(H221="","",TODAY()-H221)</f>
        <v/>
      </c>
    </row>
    <row r="222" customFormat="false" ht="15" hidden="false" customHeight="false" outlineLevel="0" collapsed="false">
      <c r="A222" s="19"/>
      <c r="B222" s="19"/>
      <c r="C222" s="19"/>
      <c r="D222" s="19"/>
      <c r="E222" s="19"/>
      <c r="F222" s="19"/>
      <c r="G222" s="19"/>
      <c r="H222" s="20" t="str">
        <f aca="false">IF(A222="","",IF(COUNTIFS(Log!$B$5:$B$2000,A222)=0,"",SUMPRODUCT(MAX((Log!$B$5:$B$2000=A222)*Log!$A$5:$A$2000))))</f>
        <v/>
      </c>
      <c r="I222" s="19"/>
      <c r="J222" s="21"/>
      <c r="K222" s="19"/>
      <c r="L222" s="22" t="str">
        <f aca="true">IF(OR(A222="",J222=""),"",IF(J222&lt;TODAY(),"OVERDUE",IF(J222=TODAY(),"TODAY",IF(J222&lt;=TODAY()+7,"THIS WEEK",""))))</f>
        <v/>
      </c>
      <c r="M222" s="19"/>
      <c r="N222" s="19"/>
      <c r="O222" s="24" t="str">
        <f aca="true">IF(H222="","",TODAY()-H222)</f>
        <v/>
      </c>
    </row>
    <row r="223" customFormat="false" ht="15" hidden="false" customHeight="false" outlineLevel="0" collapsed="false">
      <c r="A223" s="19"/>
      <c r="B223" s="19"/>
      <c r="C223" s="19"/>
      <c r="D223" s="19"/>
      <c r="E223" s="19"/>
      <c r="F223" s="19"/>
      <c r="G223" s="19"/>
      <c r="H223" s="20" t="str">
        <f aca="false">IF(A223="","",IF(COUNTIFS(Log!$B$5:$B$2000,A223)=0,"",SUMPRODUCT(MAX((Log!$B$5:$B$2000=A223)*Log!$A$5:$A$2000))))</f>
        <v/>
      </c>
      <c r="I223" s="19"/>
      <c r="J223" s="21"/>
      <c r="K223" s="19"/>
      <c r="L223" s="22" t="str">
        <f aca="true">IF(OR(A223="",J223=""),"",IF(J223&lt;TODAY(),"OVERDUE",IF(J223=TODAY(),"TODAY",IF(J223&lt;=TODAY()+7,"THIS WEEK",""))))</f>
        <v/>
      </c>
      <c r="M223" s="19"/>
      <c r="N223" s="19"/>
      <c r="O223" s="24" t="str">
        <f aca="true">IF(H223="","",TODAY()-H223)</f>
        <v/>
      </c>
    </row>
    <row r="224" customFormat="false" ht="15" hidden="false" customHeight="false" outlineLevel="0" collapsed="false">
      <c r="A224" s="19"/>
      <c r="B224" s="19"/>
      <c r="C224" s="19"/>
      <c r="D224" s="19"/>
      <c r="E224" s="19"/>
      <c r="F224" s="19"/>
      <c r="G224" s="19"/>
      <c r="H224" s="20" t="str">
        <f aca="false">IF(A224="","",IF(COUNTIFS(Log!$B$5:$B$2000,A224)=0,"",SUMPRODUCT(MAX((Log!$B$5:$B$2000=A224)*Log!$A$5:$A$2000))))</f>
        <v/>
      </c>
      <c r="I224" s="19"/>
      <c r="J224" s="21"/>
      <c r="K224" s="19"/>
      <c r="L224" s="22" t="str">
        <f aca="true">IF(OR(A224="",J224=""),"",IF(J224&lt;TODAY(),"OVERDUE",IF(J224=TODAY(),"TODAY",IF(J224&lt;=TODAY()+7,"THIS WEEK",""))))</f>
        <v/>
      </c>
      <c r="M224" s="19"/>
      <c r="N224" s="19"/>
      <c r="O224" s="24" t="str">
        <f aca="true">IF(H224="","",TODAY()-H224)</f>
        <v/>
      </c>
    </row>
    <row r="225" customFormat="false" ht="15" hidden="false" customHeight="false" outlineLevel="0" collapsed="false">
      <c r="A225" s="19"/>
      <c r="B225" s="19"/>
      <c r="C225" s="19"/>
      <c r="D225" s="19"/>
      <c r="E225" s="19"/>
      <c r="F225" s="19"/>
      <c r="G225" s="19"/>
      <c r="H225" s="20" t="str">
        <f aca="false">IF(A225="","",IF(COUNTIFS(Log!$B$5:$B$2000,A225)=0,"",SUMPRODUCT(MAX((Log!$B$5:$B$2000=A225)*Log!$A$5:$A$2000))))</f>
        <v/>
      </c>
      <c r="I225" s="19"/>
      <c r="J225" s="21"/>
      <c r="K225" s="19"/>
      <c r="L225" s="22" t="str">
        <f aca="true">IF(OR(A225="",J225=""),"",IF(J225&lt;TODAY(),"OVERDUE",IF(J225=TODAY(),"TODAY",IF(J225&lt;=TODAY()+7,"THIS WEEK",""))))</f>
        <v/>
      </c>
      <c r="M225" s="19"/>
      <c r="N225" s="19"/>
      <c r="O225" s="24" t="str">
        <f aca="true">IF(H225="","",TODAY()-H225)</f>
        <v/>
      </c>
    </row>
    <row r="226" customFormat="false" ht="15" hidden="false" customHeight="false" outlineLevel="0" collapsed="false">
      <c r="A226" s="19"/>
      <c r="B226" s="19"/>
      <c r="C226" s="19"/>
      <c r="D226" s="19"/>
      <c r="E226" s="19"/>
      <c r="F226" s="19"/>
      <c r="G226" s="19"/>
      <c r="H226" s="20" t="str">
        <f aca="false">IF(A226="","",IF(COUNTIFS(Log!$B$5:$B$2000,A226)=0,"",SUMPRODUCT(MAX((Log!$B$5:$B$2000=A226)*Log!$A$5:$A$2000))))</f>
        <v/>
      </c>
      <c r="I226" s="19"/>
      <c r="J226" s="21"/>
      <c r="K226" s="19"/>
      <c r="L226" s="22" t="str">
        <f aca="true">IF(OR(A226="",J226=""),"",IF(J226&lt;TODAY(),"OVERDUE",IF(J226=TODAY(),"TODAY",IF(J226&lt;=TODAY()+7,"THIS WEEK",""))))</f>
        <v/>
      </c>
      <c r="M226" s="19"/>
      <c r="N226" s="19"/>
      <c r="O226" s="24" t="str">
        <f aca="true">IF(H226="","",TODAY()-H226)</f>
        <v/>
      </c>
    </row>
    <row r="227" customFormat="false" ht="15" hidden="false" customHeight="false" outlineLevel="0" collapsed="false">
      <c r="A227" s="19"/>
      <c r="B227" s="19"/>
      <c r="C227" s="19"/>
      <c r="D227" s="19"/>
      <c r="E227" s="19"/>
      <c r="F227" s="19"/>
      <c r="G227" s="19"/>
      <c r="H227" s="20" t="str">
        <f aca="false">IF(A227="","",IF(COUNTIFS(Log!$B$5:$B$2000,A227)=0,"",SUMPRODUCT(MAX((Log!$B$5:$B$2000=A227)*Log!$A$5:$A$2000))))</f>
        <v/>
      </c>
      <c r="I227" s="19"/>
      <c r="J227" s="21"/>
      <c r="K227" s="19"/>
      <c r="L227" s="22" t="str">
        <f aca="true">IF(OR(A227="",J227=""),"",IF(J227&lt;TODAY(),"OVERDUE",IF(J227=TODAY(),"TODAY",IF(J227&lt;=TODAY()+7,"THIS WEEK",""))))</f>
        <v/>
      </c>
      <c r="M227" s="19"/>
      <c r="N227" s="19"/>
      <c r="O227" s="24" t="str">
        <f aca="true">IF(H227="","",TODAY()-H227)</f>
        <v/>
      </c>
    </row>
    <row r="228" customFormat="false" ht="15" hidden="false" customHeight="false" outlineLevel="0" collapsed="false">
      <c r="A228" s="19"/>
      <c r="B228" s="19"/>
      <c r="C228" s="19"/>
      <c r="D228" s="19"/>
      <c r="E228" s="19"/>
      <c r="F228" s="19"/>
      <c r="G228" s="19"/>
      <c r="H228" s="20" t="str">
        <f aca="false">IF(A228="","",IF(COUNTIFS(Log!$B$5:$B$2000,A228)=0,"",SUMPRODUCT(MAX((Log!$B$5:$B$2000=A228)*Log!$A$5:$A$2000))))</f>
        <v/>
      </c>
      <c r="I228" s="19"/>
      <c r="J228" s="21"/>
      <c r="K228" s="19"/>
      <c r="L228" s="22" t="str">
        <f aca="true">IF(OR(A228="",J228=""),"",IF(J228&lt;TODAY(),"OVERDUE",IF(J228=TODAY(),"TODAY",IF(J228&lt;=TODAY()+7,"THIS WEEK",""))))</f>
        <v/>
      </c>
      <c r="M228" s="19"/>
      <c r="N228" s="19"/>
      <c r="O228" s="24" t="str">
        <f aca="true">IF(H228="","",TODAY()-H228)</f>
        <v/>
      </c>
    </row>
    <row r="229" customFormat="false" ht="15" hidden="false" customHeight="false" outlineLevel="0" collapsed="false">
      <c r="A229" s="19"/>
      <c r="B229" s="19"/>
      <c r="C229" s="19"/>
      <c r="D229" s="19"/>
      <c r="E229" s="19"/>
      <c r="F229" s="19"/>
      <c r="G229" s="19"/>
      <c r="H229" s="20" t="str">
        <f aca="false">IF(A229="","",IF(COUNTIFS(Log!$B$5:$B$2000,A229)=0,"",SUMPRODUCT(MAX((Log!$B$5:$B$2000=A229)*Log!$A$5:$A$2000))))</f>
        <v/>
      </c>
      <c r="I229" s="19"/>
      <c r="J229" s="21"/>
      <c r="K229" s="19"/>
      <c r="L229" s="22" t="str">
        <f aca="true">IF(OR(A229="",J229=""),"",IF(J229&lt;TODAY(),"OVERDUE",IF(J229=TODAY(),"TODAY",IF(J229&lt;=TODAY()+7,"THIS WEEK",""))))</f>
        <v/>
      </c>
      <c r="M229" s="19"/>
      <c r="N229" s="19"/>
      <c r="O229" s="24" t="str">
        <f aca="true">IF(H229="","",TODAY()-H229)</f>
        <v/>
      </c>
    </row>
    <row r="230" customFormat="false" ht="15" hidden="false" customHeight="false" outlineLevel="0" collapsed="false">
      <c r="A230" s="19"/>
      <c r="B230" s="19"/>
      <c r="C230" s="19"/>
      <c r="D230" s="19"/>
      <c r="E230" s="19"/>
      <c r="F230" s="19"/>
      <c r="G230" s="19"/>
      <c r="H230" s="20" t="str">
        <f aca="false">IF(A230="","",IF(COUNTIFS(Log!$B$5:$B$2000,A230)=0,"",SUMPRODUCT(MAX((Log!$B$5:$B$2000=A230)*Log!$A$5:$A$2000))))</f>
        <v/>
      </c>
      <c r="I230" s="19"/>
      <c r="J230" s="21"/>
      <c r="K230" s="19"/>
      <c r="L230" s="22" t="str">
        <f aca="true">IF(OR(A230="",J230=""),"",IF(J230&lt;TODAY(),"OVERDUE",IF(J230=TODAY(),"TODAY",IF(J230&lt;=TODAY()+7,"THIS WEEK",""))))</f>
        <v/>
      </c>
      <c r="M230" s="19"/>
      <c r="N230" s="19"/>
      <c r="O230" s="24" t="str">
        <f aca="true">IF(H230="","",TODAY()-H230)</f>
        <v/>
      </c>
    </row>
    <row r="231" customFormat="false" ht="15" hidden="false" customHeight="false" outlineLevel="0" collapsed="false">
      <c r="A231" s="19"/>
      <c r="B231" s="19"/>
      <c r="C231" s="19"/>
      <c r="D231" s="19"/>
      <c r="E231" s="19"/>
      <c r="F231" s="19"/>
      <c r="G231" s="19"/>
      <c r="H231" s="20" t="str">
        <f aca="false">IF(A231="","",IF(COUNTIFS(Log!$B$5:$B$2000,A231)=0,"",SUMPRODUCT(MAX((Log!$B$5:$B$2000=A231)*Log!$A$5:$A$2000))))</f>
        <v/>
      </c>
      <c r="I231" s="19"/>
      <c r="J231" s="21"/>
      <c r="K231" s="19"/>
      <c r="L231" s="22" t="str">
        <f aca="true">IF(OR(A231="",J231=""),"",IF(J231&lt;TODAY(),"OVERDUE",IF(J231=TODAY(),"TODAY",IF(J231&lt;=TODAY()+7,"THIS WEEK",""))))</f>
        <v/>
      </c>
      <c r="M231" s="19"/>
      <c r="N231" s="19"/>
      <c r="O231" s="24" t="str">
        <f aca="true">IF(H231="","",TODAY()-H231)</f>
        <v/>
      </c>
    </row>
    <row r="232" customFormat="false" ht="15" hidden="false" customHeight="false" outlineLevel="0" collapsed="false">
      <c r="A232" s="19"/>
      <c r="B232" s="19"/>
      <c r="C232" s="19"/>
      <c r="D232" s="19"/>
      <c r="E232" s="19"/>
      <c r="F232" s="19"/>
      <c r="G232" s="19"/>
      <c r="H232" s="20" t="str">
        <f aca="false">IF(A232="","",IF(COUNTIFS(Log!$B$5:$B$2000,A232)=0,"",SUMPRODUCT(MAX((Log!$B$5:$B$2000=A232)*Log!$A$5:$A$2000))))</f>
        <v/>
      </c>
      <c r="I232" s="19"/>
      <c r="J232" s="21"/>
      <c r="K232" s="19"/>
      <c r="L232" s="22" t="str">
        <f aca="true">IF(OR(A232="",J232=""),"",IF(J232&lt;TODAY(),"OVERDUE",IF(J232=TODAY(),"TODAY",IF(J232&lt;=TODAY()+7,"THIS WEEK",""))))</f>
        <v/>
      </c>
      <c r="M232" s="19"/>
      <c r="N232" s="19"/>
      <c r="O232" s="24" t="str">
        <f aca="true">IF(H232="","",TODAY()-H232)</f>
        <v/>
      </c>
    </row>
    <row r="233" customFormat="false" ht="15" hidden="false" customHeight="false" outlineLevel="0" collapsed="false">
      <c r="A233" s="19"/>
      <c r="B233" s="19"/>
      <c r="C233" s="19"/>
      <c r="D233" s="19"/>
      <c r="E233" s="19"/>
      <c r="F233" s="19"/>
      <c r="G233" s="19"/>
      <c r="H233" s="20" t="str">
        <f aca="false">IF(A233="","",IF(COUNTIFS(Log!$B$5:$B$2000,A233)=0,"",SUMPRODUCT(MAX((Log!$B$5:$B$2000=A233)*Log!$A$5:$A$2000))))</f>
        <v/>
      </c>
      <c r="I233" s="19"/>
      <c r="J233" s="21"/>
      <c r="K233" s="19"/>
      <c r="L233" s="22" t="str">
        <f aca="true">IF(OR(A233="",J233=""),"",IF(J233&lt;TODAY(),"OVERDUE",IF(J233=TODAY(),"TODAY",IF(J233&lt;=TODAY()+7,"THIS WEEK",""))))</f>
        <v/>
      </c>
      <c r="M233" s="19"/>
      <c r="N233" s="19"/>
      <c r="O233" s="24" t="str">
        <f aca="true">IF(H233="","",TODAY()-H233)</f>
        <v/>
      </c>
    </row>
    <row r="234" customFormat="false" ht="15" hidden="false" customHeight="false" outlineLevel="0" collapsed="false">
      <c r="A234" s="19"/>
      <c r="B234" s="19"/>
      <c r="C234" s="19"/>
      <c r="D234" s="19"/>
      <c r="E234" s="19"/>
      <c r="F234" s="19"/>
      <c r="G234" s="19"/>
      <c r="H234" s="20" t="str">
        <f aca="false">IF(A234="","",IF(COUNTIFS(Log!$B$5:$B$2000,A234)=0,"",SUMPRODUCT(MAX((Log!$B$5:$B$2000=A234)*Log!$A$5:$A$2000))))</f>
        <v/>
      </c>
      <c r="I234" s="19"/>
      <c r="J234" s="21"/>
      <c r="K234" s="19"/>
      <c r="L234" s="22" t="str">
        <f aca="true">IF(OR(A234="",J234=""),"",IF(J234&lt;TODAY(),"OVERDUE",IF(J234=TODAY(),"TODAY",IF(J234&lt;=TODAY()+7,"THIS WEEK",""))))</f>
        <v/>
      </c>
      <c r="M234" s="19"/>
      <c r="N234" s="19"/>
      <c r="O234" s="24" t="str">
        <f aca="true">IF(H234="","",TODAY()-H234)</f>
        <v/>
      </c>
    </row>
    <row r="235" customFormat="false" ht="15" hidden="false" customHeight="false" outlineLevel="0" collapsed="false">
      <c r="A235" s="19"/>
      <c r="B235" s="19"/>
      <c r="C235" s="19"/>
      <c r="D235" s="19"/>
      <c r="E235" s="19"/>
      <c r="F235" s="19"/>
      <c r="G235" s="19"/>
      <c r="H235" s="20" t="str">
        <f aca="false">IF(A235="","",IF(COUNTIFS(Log!$B$5:$B$2000,A235)=0,"",SUMPRODUCT(MAX((Log!$B$5:$B$2000=A235)*Log!$A$5:$A$2000))))</f>
        <v/>
      </c>
      <c r="I235" s="19"/>
      <c r="J235" s="21"/>
      <c r="K235" s="19"/>
      <c r="L235" s="22" t="str">
        <f aca="true">IF(OR(A235="",J235=""),"",IF(J235&lt;TODAY(),"OVERDUE",IF(J235=TODAY(),"TODAY",IF(J235&lt;=TODAY()+7,"THIS WEEK",""))))</f>
        <v/>
      </c>
      <c r="M235" s="19"/>
      <c r="N235" s="19"/>
      <c r="O235" s="24" t="str">
        <f aca="true">IF(H235="","",TODAY()-H235)</f>
        <v/>
      </c>
    </row>
    <row r="236" customFormat="false" ht="15" hidden="false" customHeight="false" outlineLevel="0" collapsed="false">
      <c r="A236" s="19"/>
      <c r="B236" s="19"/>
      <c r="C236" s="19"/>
      <c r="D236" s="19"/>
      <c r="E236" s="19"/>
      <c r="F236" s="19"/>
      <c r="G236" s="19"/>
      <c r="H236" s="20" t="str">
        <f aca="false">IF(A236="","",IF(COUNTIFS(Log!$B$5:$B$2000,A236)=0,"",SUMPRODUCT(MAX((Log!$B$5:$B$2000=A236)*Log!$A$5:$A$2000))))</f>
        <v/>
      </c>
      <c r="I236" s="19"/>
      <c r="J236" s="21"/>
      <c r="K236" s="19"/>
      <c r="L236" s="22" t="str">
        <f aca="true">IF(OR(A236="",J236=""),"",IF(J236&lt;TODAY(),"OVERDUE",IF(J236=TODAY(),"TODAY",IF(J236&lt;=TODAY()+7,"THIS WEEK",""))))</f>
        <v/>
      </c>
      <c r="M236" s="19"/>
      <c r="N236" s="19"/>
      <c r="O236" s="24" t="str">
        <f aca="true">IF(H236="","",TODAY()-H236)</f>
        <v/>
      </c>
    </row>
    <row r="237" customFormat="false" ht="15" hidden="false" customHeight="false" outlineLevel="0" collapsed="false">
      <c r="A237" s="19"/>
      <c r="B237" s="19"/>
      <c r="C237" s="19"/>
      <c r="D237" s="19"/>
      <c r="E237" s="19"/>
      <c r="F237" s="19"/>
      <c r="G237" s="19"/>
      <c r="H237" s="20" t="str">
        <f aca="false">IF(A237="","",IF(COUNTIFS(Log!$B$5:$B$2000,A237)=0,"",SUMPRODUCT(MAX((Log!$B$5:$B$2000=A237)*Log!$A$5:$A$2000))))</f>
        <v/>
      </c>
      <c r="I237" s="19"/>
      <c r="J237" s="21"/>
      <c r="K237" s="19"/>
      <c r="L237" s="22" t="str">
        <f aca="true">IF(OR(A237="",J237=""),"",IF(J237&lt;TODAY(),"OVERDUE",IF(J237=TODAY(),"TODAY",IF(J237&lt;=TODAY()+7,"THIS WEEK",""))))</f>
        <v/>
      </c>
      <c r="M237" s="19"/>
      <c r="N237" s="19"/>
      <c r="O237" s="24" t="str">
        <f aca="true">IF(H237="","",TODAY()-H237)</f>
        <v/>
      </c>
    </row>
    <row r="238" customFormat="false" ht="15" hidden="false" customHeight="false" outlineLevel="0" collapsed="false">
      <c r="A238" s="19"/>
      <c r="B238" s="19"/>
      <c r="C238" s="19"/>
      <c r="D238" s="19"/>
      <c r="E238" s="19"/>
      <c r="F238" s="19"/>
      <c r="G238" s="19"/>
      <c r="H238" s="20" t="str">
        <f aca="false">IF(A238="","",IF(COUNTIFS(Log!$B$5:$B$2000,A238)=0,"",SUMPRODUCT(MAX((Log!$B$5:$B$2000=A238)*Log!$A$5:$A$2000))))</f>
        <v/>
      </c>
      <c r="I238" s="19"/>
      <c r="J238" s="21"/>
      <c r="K238" s="19"/>
      <c r="L238" s="22" t="str">
        <f aca="true">IF(OR(A238="",J238=""),"",IF(J238&lt;TODAY(),"OVERDUE",IF(J238=TODAY(),"TODAY",IF(J238&lt;=TODAY()+7,"THIS WEEK",""))))</f>
        <v/>
      </c>
      <c r="M238" s="19"/>
      <c r="N238" s="19"/>
      <c r="O238" s="24" t="str">
        <f aca="true">IF(H238="","",TODAY()-H238)</f>
        <v/>
      </c>
    </row>
    <row r="239" customFormat="false" ht="15" hidden="false" customHeight="false" outlineLevel="0" collapsed="false">
      <c r="A239" s="19"/>
      <c r="B239" s="19"/>
      <c r="C239" s="19"/>
      <c r="D239" s="19"/>
      <c r="E239" s="19"/>
      <c r="F239" s="19"/>
      <c r="G239" s="19"/>
      <c r="H239" s="20" t="str">
        <f aca="false">IF(A239="","",IF(COUNTIFS(Log!$B$5:$B$2000,A239)=0,"",SUMPRODUCT(MAX((Log!$B$5:$B$2000=A239)*Log!$A$5:$A$2000))))</f>
        <v/>
      </c>
      <c r="I239" s="19"/>
      <c r="J239" s="21"/>
      <c r="K239" s="19"/>
      <c r="L239" s="22" t="str">
        <f aca="true">IF(OR(A239="",J239=""),"",IF(J239&lt;TODAY(),"OVERDUE",IF(J239=TODAY(),"TODAY",IF(J239&lt;=TODAY()+7,"THIS WEEK",""))))</f>
        <v/>
      </c>
      <c r="M239" s="19"/>
      <c r="N239" s="19"/>
      <c r="O239" s="24" t="str">
        <f aca="true">IF(H239="","",TODAY()-H239)</f>
        <v/>
      </c>
    </row>
    <row r="240" customFormat="false" ht="15" hidden="false" customHeight="false" outlineLevel="0" collapsed="false">
      <c r="A240" s="19"/>
      <c r="B240" s="19"/>
      <c r="C240" s="19"/>
      <c r="D240" s="19"/>
      <c r="E240" s="19"/>
      <c r="F240" s="19"/>
      <c r="G240" s="19"/>
      <c r="H240" s="20" t="str">
        <f aca="false">IF(A240="","",IF(COUNTIFS(Log!$B$5:$B$2000,A240)=0,"",SUMPRODUCT(MAX((Log!$B$5:$B$2000=A240)*Log!$A$5:$A$2000))))</f>
        <v/>
      </c>
      <c r="I240" s="19"/>
      <c r="J240" s="21"/>
      <c r="K240" s="19"/>
      <c r="L240" s="22" t="str">
        <f aca="true">IF(OR(A240="",J240=""),"",IF(J240&lt;TODAY(),"OVERDUE",IF(J240=TODAY(),"TODAY",IF(J240&lt;=TODAY()+7,"THIS WEEK",""))))</f>
        <v/>
      </c>
      <c r="M240" s="19"/>
      <c r="N240" s="19"/>
      <c r="O240" s="24" t="str">
        <f aca="true">IF(H240="","",TODAY()-H240)</f>
        <v/>
      </c>
    </row>
    <row r="241" customFormat="false" ht="15" hidden="false" customHeight="false" outlineLevel="0" collapsed="false">
      <c r="A241" s="19"/>
      <c r="B241" s="19"/>
      <c r="C241" s="19"/>
      <c r="D241" s="19"/>
      <c r="E241" s="19"/>
      <c r="F241" s="19"/>
      <c r="G241" s="19"/>
      <c r="H241" s="20" t="str">
        <f aca="false">IF(A241="","",IF(COUNTIFS(Log!$B$5:$B$2000,A241)=0,"",SUMPRODUCT(MAX((Log!$B$5:$B$2000=A241)*Log!$A$5:$A$2000))))</f>
        <v/>
      </c>
      <c r="I241" s="19"/>
      <c r="J241" s="21"/>
      <c r="K241" s="19"/>
      <c r="L241" s="22" t="str">
        <f aca="true">IF(OR(A241="",J241=""),"",IF(J241&lt;TODAY(),"OVERDUE",IF(J241=TODAY(),"TODAY",IF(J241&lt;=TODAY()+7,"THIS WEEK",""))))</f>
        <v/>
      </c>
      <c r="M241" s="19"/>
      <c r="N241" s="19"/>
      <c r="O241" s="24" t="str">
        <f aca="true">IF(H241="","",TODAY()-H241)</f>
        <v/>
      </c>
    </row>
    <row r="242" customFormat="false" ht="15" hidden="false" customHeight="false" outlineLevel="0" collapsed="false">
      <c r="A242" s="19"/>
      <c r="B242" s="19"/>
      <c r="C242" s="19"/>
      <c r="D242" s="19"/>
      <c r="E242" s="19"/>
      <c r="F242" s="19"/>
      <c r="G242" s="19"/>
      <c r="H242" s="20" t="str">
        <f aca="false">IF(A242="","",IF(COUNTIFS(Log!$B$5:$B$2000,A242)=0,"",SUMPRODUCT(MAX((Log!$B$5:$B$2000=A242)*Log!$A$5:$A$2000))))</f>
        <v/>
      </c>
      <c r="I242" s="19"/>
      <c r="J242" s="21"/>
      <c r="K242" s="19"/>
      <c r="L242" s="22" t="str">
        <f aca="true">IF(OR(A242="",J242=""),"",IF(J242&lt;TODAY(),"OVERDUE",IF(J242=TODAY(),"TODAY",IF(J242&lt;=TODAY()+7,"THIS WEEK",""))))</f>
        <v/>
      </c>
      <c r="M242" s="19"/>
      <c r="N242" s="19"/>
      <c r="O242" s="24" t="str">
        <f aca="true">IF(H242="","",TODAY()-H242)</f>
        <v/>
      </c>
    </row>
    <row r="243" customFormat="false" ht="15" hidden="false" customHeight="false" outlineLevel="0" collapsed="false">
      <c r="A243" s="19"/>
      <c r="B243" s="19"/>
      <c r="C243" s="19"/>
      <c r="D243" s="19"/>
      <c r="E243" s="19"/>
      <c r="F243" s="19"/>
      <c r="G243" s="19"/>
      <c r="H243" s="20" t="str">
        <f aca="false">IF(A243="","",IF(COUNTIFS(Log!$B$5:$B$2000,A243)=0,"",SUMPRODUCT(MAX((Log!$B$5:$B$2000=A243)*Log!$A$5:$A$2000))))</f>
        <v/>
      </c>
      <c r="I243" s="19"/>
      <c r="J243" s="21"/>
      <c r="K243" s="19"/>
      <c r="L243" s="22" t="str">
        <f aca="true">IF(OR(A243="",J243=""),"",IF(J243&lt;TODAY(),"OVERDUE",IF(J243=TODAY(),"TODAY",IF(J243&lt;=TODAY()+7,"THIS WEEK",""))))</f>
        <v/>
      </c>
      <c r="M243" s="19"/>
      <c r="N243" s="19"/>
      <c r="O243" s="24" t="str">
        <f aca="true">IF(H243="","",TODAY()-H243)</f>
        <v/>
      </c>
    </row>
    <row r="244" customFormat="false" ht="15" hidden="false" customHeight="false" outlineLevel="0" collapsed="false">
      <c r="A244" s="19"/>
      <c r="B244" s="19"/>
      <c r="C244" s="19"/>
      <c r="D244" s="19"/>
      <c r="E244" s="19"/>
      <c r="F244" s="19"/>
      <c r="G244" s="19"/>
      <c r="H244" s="20" t="str">
        <f aca="false">IF(A244="","",IF(COUNTIFS(Log!$B$5:$B$2000,A244)=0,"",SUMPRODUCT(MAX((Log!$B$5:$B$2000=A244)*Log!$A$5:$A$2000))))</f>
        <v/>
      </c>
      <c r="I244" s="19"/>
      <c r="J244" s="21"/>
      <c r="K244" s="19"/>
      <c r="L244" s="22" t="str">
        <f aca="true">IF(OR(A244="",J244=""),"",IF(J244&lt;TODAY(),"OVERDUE",IF(J244=TODAY(),"TODAY",IF(J244&lt;=TODAY()+7,"THIS WEEK",""))))</f>
        <v/>
      </c>
      <c r="M244" s="19"/>
      <c r="N244" s="19"/>
      <c r="O244" s="24" t="str">
        <f aca="true">IF(H244="","",TODAY()-H244)</f>
        <v/>
      </c>
    </row>
    <row r="245" customFormat="false" ht="15" hidden="false" customHeight="false" outlineLevel="0" collapsed="false">
      <c r="A245" s="19"/>
      <c r="B245" s="19"/>
      <c r="C245" s="19"/>
      <c r="D245" s="19"/>
      <c r="E245" s="19"/>
      <c r="F245" s="19"/>
      <c r="G245" s="19"/>
      <c r="H245" s="20" t="str">
        <f aca="false">IF(A245="","",IF(COUNTIFS(Log!$B$5:$B$2000,A245)=0,"",SUMPRODUCT(MAX((Log!$B$5:$B$2000=A245)*Log!$A$5:$A$2000))))</f>
        <v/>
      </c>
      <c r="I245" s="19"/>
      <c r="J245" s="21"/>
      <c r="K245" s="19"/>
      <c r="L245" s="22" t="str">
        <f aca="true">IF(OR(A245="",J245=""),"",IF(J245&lt;TODAY(),"OVERDUE",IF(J245=TODAY(),"TODAY",IF(J245&lt;=TODAY()+7,"THIS WEEK",""))))</f>
        <v/>
      </c>
      <c r="M245" s="19"/>
      <c r="N245" s="19"/>
      <c r="O245" s="24" t="str">
        <f aca="true">IF(H245="","",TODAY()-H245)</f>
        <v/>
      </c>
    </row>
    <row r="246" customFormat="false" ht="15" hidden="false" customHeight="false" outlineLevel="0" collapsed="false">
      <c r="A246" s="19"/>
      <c r="B246" s="19"/>
      <c r="C246" s="19"/>
      <c r="D246" s="19"/>
      <c r="E246" s="19"/>
      <c r="F246" s="19"/>
      <c r="G246" s="19"/>
      <c r="H246" s="20" t="str">
        <f aca="false">IF(A246="","",IF(COUNTIFS(Log!$B$5:$B$2000,A246)=0,"",SUMPRODUCT(MAX((Log!$B$5:$B$2000=A246)*Log!$A$5:$A$2000))))</f>
        <v/>
      </c>
      <c r="I246" s="19"/>
      <c r="J246" s="21"/>
      <c r="K246" s="19"/>
      <c r="L246" s="22" t="str">
        <f aca="true">IF(OR(A246="",J246=""),"",IF(J246&lt;TODAY(),"OVERDUE",IF(J246=TODAY(),"TODAY",IF(J246&lt;=TODAY()+7,"THIS WEEK",""))))</f>
        <v/>
      </c>
      <c r="M246" s="19"/>
      <c r="N246" s="19"/>
      <c r="O246" s="24" t="str">
        <f aca="true">IF(H246="","",TODAY()-H246)</f>
        <v/>
      </c>
    </row>
    <row r="247" customFormat="false" ht="15" hidden="false" customHeight="false" outlineLevel="0" collapsed="false">
      <c r="A247" s="19"/>
      <c r="B247" s="19"/>
      <c r="C247" s="19"/>
      <c r="D247" s="19"/>
      <c r="E247" s="19"/>
      <c r="F247" s="19"/>
      <c r="G247" s="19"/>
      <c r="H247" s="20" t="str">
        <f aca="false">IF(A247="","",IF(COUNTIFS(Log!$B$5:$B$2000,A247)=0,"",SUMPRODUCT(MAX((Log!$B$5:$B$2000=A247)*Log!$A$5:$A$2000))))</f>
        <v/>
      </c>
      <c r="I247" s="19"/>
      <c r="J247" s="21"/>
      <c r="K247" s="19"/>
      <c r="L247" s="22" t="str">
        <f aca="true">IF(OR(A247="",J247=""),"",IF(J247&lt;TODAY(),"OVERDUE",IF(J247=TODAY(),"TODAY",IF(J247&lt;=TODAY()+7,"THIS WEEK",""))))</f>
        <v/>
      </c>
      <c r="M247" s="19"/>
      <c r="N247" s="19"/>
      <c r="O247" s="24" t="str">
        <f aca="true">IF(H247="","",TODAY()-H247)</f>
        <v/>
      </c>
    </row>
    <row r="248" customFormat="false" ht="15" hidden="false" customHeight="false" outlineLevel="0" collapsed="false">
      <c r="A248" s="19"/>
      <c r="B248" s="19"/>
      <c r="C248" s="19"/>
      <c r="D248" s="19"/>
      <c r="E248" s="19"/>
      <c r="F248" s="19"/>
      <c r="G248" s="19"/>
      <c r="H248" s="20" t="str">
        <f aca="false">IF(A248="","",IF(COUNTIFS(Log!$B$5:$B$2000,A248)=0,"",SUMPRODUCT(MAX((Log!$B$5:$B$2000=A248)*Log!$A$5:$A$2000))))</f>
        <v/>
      </c>
      <c r="I248" s="19"/>
      <c r="J248" s="21"/>
      <c r="K248" s="19"/>
      <c r="L248" s="22" t="str">
        <f aca="true">IF(OR(A248="",J248=""),"",IF(J248&lt;TODAY(),"OVERDUE",IF(J248=TODAY(),"TODAY",IF(J248&lt;=TODAY()+7,"THIS WEEK",""))))</f>
        <v/>
      </c>
      <c r="M248" s="19"/>
      <c r="N248" s="19"/>
      <c r="O248" s="24" t="str">
        <f aca="true">IF(H248="","",TODAY()-H248)</f>
        <v/>
      </c>
    </row>
    <row r="249" customFormat="false" ht="15" hidden="false" customHeight="false" outlineLevel="0" collapsed="false">
      <c r="A249" s="19"/>
      <c r="B249" s="19"/>
      <c r="C249" s="19"/>
      <c r="D249" s="19"/>
      <c r="E249" s="19"/>
      <c r="F249" s="19"/>
      <c r="G249" s="19"/>
      <c r="H249" s="20" t="str">
        <f aca="false">IF(A249="","",IF(COUNTIFS(Log!$B$5:$B$2000,A249)=0,"",SUMPRODUCT(MAX((Log!$B$5:$B$2000=A249)*Log!$A$5:$A$2000))))</f>
        <v/>
      </c>
      <c r="I249" s="19"/>
      <c r="J249" s="21"/>
      <c r="K249" s="19"/>
      <c r="L249" s="22" t="str">
        <f aca="true">IF(OR(A249="",J249=""),"",IF(J249&lt;TODAY(),"OVERDUE",IF(J249=TODAY(),"TODAY",IF(J249&lt;=TODAY()+7,"THIS WEEK",""))))</f>
        <v/>
      </c>
      <c r="M249" s="19"/>
      <c r="N249" s="19"/>
      <c r="O249" s="24" t="str">
        <f aca="true">IF(H249="","",TODAY()-H249)</f>
        <v/>
      </c>
    </row>
    <row r="250" customFormat="false" ht="15" hidden="false" customHeight="false" outlineLevel="0" collapsed="false">
      <c r="A250" s="19"/>
      <c r="B250" s="19"/>
      <c r="C250" s="19"/>
      <c r="D250" s="19"/>
      <c r="E250" s="19"/>
      <c r="F250" s="19"/>
      <c r="G250" s="19"/>
      <c r="H250" s="20" t="str">
        <f aca="false">IF(A250="","",IF(COUNTIFS(Log!$B$5:$B$2000,A250)=0,"",SUMPRODUCT(MAX((Log!$B$5:$B$2000=A250)*Log!$A$5:$A$2000))))</f>
        <v/>
      </c>
      <c r="I250" s="19"/>
      <c r="J250" s="21"/>
      <c r="K250" s="19"/>
      <c r="L250" s="22" t="str">
        <f aca="true">IF(OR(A250="",J250=""),"",IF(J250&lt;TODAY(),"OVERDUE",IF(J250=TODAY(),"TODAY",IF(J250&lt;=TODAY()+7,"THIS WEEK",""))))</f>
        <v/>
      </c>
      <c r="M250" s="19"/>
      <c r="N250" s="19"/>
      <c r="O250" s="24" t="str">
        <f aca="true">IF(H250="","",TODAY()-H250)</f>
        <v/>
      </c>
    </row>
    <row r="251" customFormat="false" ht="15" hidden="false" customHeight="false" outlineLevel="0" collapsed="false">
      <c r="A251" s="19"/>
      <c r="B251" s="19"/>
      <c r="C251" s="19"/>
      <c r="D251" s="19"/>
      <c r="E251" s="19"/>
      <c r="F251" s="19"/>
      <c r="G251" s="19"/>
      <c r="H251" s="20" t="str">
        <f aca="false">IF(A251="","",IF(COUNTIFS(Log!$B$5:$B$2000,A251)=0,"",SUMPRODUCT(MAX((Log!$B$5:$B$2000=A251)*Log!$A$5:$A$2000))))</f>
        <v/>
      </c>
      <c r="I251" s="19"/>
      <c r="J251" s="21"/>
      <c r="K251" s="19"/>
      <c r="L251" s="22" t="str">
        <f aca="true">IF(OR(A251="",J251=""),"",IF(J251&lt;TODAY(),"OVERDUE",IF(J251=TODAY(),"TODAY",IF(J251&lt;=TODAY()+7,"THIS WEEK",""))))</f>
        <v/>
      </c>
      <c r="M251" s="19"/>
      <c r="N251" s="19"/>
      <c r="O251" s="24" t="str">
        <f aca="true">IF(H251="","",TODAY()-H251)</f>
        <v/>
      </c>
    </row>
    <row r="252" customFormat="false" ht="15" hidden="false" customHeight="false" outlineLevel="0" collapsed="false">
      <c r="A252" s="19"/>
      <c r="B252" s="19"/>
      <c r="C252" s="19"/>
      <c r="D252" s="19"/>
      <c r="E252" s="19"/>
      <c r="F252" s="19"/>
      <c r="G252" s="19"/>
      <c r="H252" s="20" t="str">
        <f aca="false">IF(A252="","",IF(COUNTIFS(Log!$B$5:$B$2000,A252)=0,"",SUMPRODUCT(MAX((Log!$B$5:$B$2000=A252)*Log!$A$5:$A$2000))))</f>
        <v/>
      </c>
      <c r="I252" s="19"/>
      <c r="J252" s="21"/>
      <c r="K252" s="19"/>
      <c r="L252" s="22" t="str">
        <f aca="true">IF(OR(A252="",J252=""),"",IF(J252&lt;TODAY(),"OVERDUE",IF(J252=TODAY(),"TODAY",IF(J252&lt;=TODAY()+7,"THIS WEEK",""))))</f>
        <v/>
      </c>
      <c r="M252" s="19"/>
      <c r="N252" s="19"/>
      <c r="O252" s="24" t="str">
        <f aca="true">IF(H252="","",TODAY()-H252)</f>
        <v/>
      </c>
    </row>
    <row r="253" customFormat="false" ht="15" hidden="false" customHeight="false" outlineLevel="0" collapsed="false">
      <c r="A253" s="19"/>
      <c r="B253" s="19"/>
      <c r="C253" s="19"/>
      <c r="D253" s="19"/>
      <c r="E253" s="19"/>
      <c r="F253" s="19"/>
      <c r="G253" s="19"/>
      <c r="H253" s="20" t="str">
        <f aca="false">IF(A253="","",IF(COUNTIFS(Log!$B$5:$B$2000,A253)=0,"",SUMPRODUCT(MAX((Log!$B$5:$B$2000=A253)*Log!$A$5:$A$2000))))</f>
        <v/>
      </c>
      <c r="I253" s="19"/>
      <c r="J253" s="21"/>
      <c r="K253" s="19"/>
      <c r="L253" s="22" t="str">
        <f aca="true">IF(OR(A253="",J253=""),"",IF(J253&lt;TODAY(),"OVERDUE",IF(J253=TODAY(),"TODAY",IF(J253&lt;=TODAY()+7,"THIS WEEK",""))))</f>
        <v/>
      </c>
      <c r="M253" s="19"/>
      <c r="N253" s="19"/>
      <c r="O253" s="24" t="str">
        <f aca="true">IF(H253="","",TODAY()-H253)</f>
        <v/>
      </c>
    </row>
    <row r="254" customFormat="false" ht="15" hidden="false" customHeight="false" outlineLevel="0" collapsed="false">
      <c r="A254" s="19"/>
      <c r="B254" s="19"/>
      <c r="C254" s="19"/>
      <c r="D254" s="19"/>
      <c r="E254" s="19"/>
      <c r="F254" s="19"/>
      <c r="G254" s="19"/>
      <c r="H254" s="20" t="str">
        <f aca="false">IF(A254="","",IF(COUNTIFS(Log!$B$5:$B$2000,A254)=0,"",SUMPRODUCT(MAX((Log!$B$5:$B$2000=A254)*Log!$A$5:$A$2000))))</f>
        <v/>
      </c>
      <c r="I254" s="19"/>
      <c r="J254" s="21"/>
      <c r="K254" s="19"/>
      <c r="L254" s="22" t="str">
        <f aca="true">IF(OR(A254="",J254=""),"",IF(J254&lt;TODAY(),"OVERDUE",IF(J254=TODAY(),"TODAY",IF(J254&lt;=TODAY()+7,"THIS WEEK",""))))</f>
        <v/>
      </c>
      <c r="M254" s="19"/>
      <c r="N254" s="19"/>
      <c r="O254" s="24" t="str">
        <f aca="true">IF(H254="","",TODAY()-H254)</f>
        <v/>
      </c>
    </row>
    <row r="255" customFormat="false" ht="15" hidden="false" customHeight="false" outlineLevel="0" collapsed="false">
      <c r="A255" s="19"/>
      <c r="B255" s="19"/>
      <c r="C255" s="19"/>
      <c r="D255" s="19"/>
      <c r="E255" s="19"/>
      <c r="F255" s="19"/>
      <c r="G255" s="19"/>
      <c r="H255" s="20" t="str">
        <f aca="false">IF(A255="","",IF(COUNTIFS(Log!$B$5:$B$2000,A255)=0,"",SUMPRODUCT(MAX((Log!$B$5:$B$2000=A255)*Log!$A$5:$A$2000))))</f>
        <v/>
      </c>
      <c r="I255" s="19"/>
      <c r="J255" s="21"/>
      <c r="K255" s="19"/>
      <c r="L255" s="22" t="str">
        <f aca="true">IF(OR(A255="",J255=""),"",IF(J255&lt;TODAY(),"OVERDUE",IF(J255=TODAY(),"TODAY",IF(J255&lt;=TODAY()+7,"THIS WEEK",""))))</f>
        <v/>
      </c>
      <c r="M255" s="19"/>
      <c r="N255" s="19"/>
      <c r="O255" s="24" t="str">
        <f aca="true">IF(H255="","",TODAY()-H255)</f>
        <v/>
      </c>
    </row>
    <row r="256" customFormat="false" ht="15" hidden="false" customHeight="false" outlineLevel="0" collapsed="false">
      <c r="A256" s="19"/>
      <c r="B256" s="19"/>
      <c r="C256" s="19"/>
      <c r="D256" s="19"/>
      <c r="E256" s="19"/>
      <c r="F256" s="19"/>
      <c r="G256" s="19"/>
      <c r="H256" s="20" t="str">
        <f aca="false">IF(A256="","",IF(COUNTIFS(Log!$B$5:$B$2000,A256)=0,"",SUMPRODUCT(MAX((Log!$B$5:$B$2000=A256)*Log!$A$5:$A$2000))))</f>
        <v/>
      </c>
      <c r="I256" s="19"/>
      <c r="J256" s="21"/>
      <c r="K256" s="19"/>
      <c r="L256" s="22" t="str">
        <f aca="true">IF(OR(A256="",J256=""),"",IF(J256&lt;TODAY(),"OVERDUE",IF(J256=TODAY(),"TODAY",IF(J256&lt;=TODAY()+7,"THIS WEEK",""))))</f>
        <v/>
      </c>
      <c r="M256" s="19"/>
      <c r="N256" s="19"/>
      <c r="O256" s="24" t="str">
        <f aca="true">IF(H256="","",TODAY()-H256)</f>
        <v/>
      </c>
    </row>
    <row r="257" customFormat="false" ht="15" hidden="false" customHeight="false" outlineLevel="0" collapsed="false">
      <c r="A257" s="19"/>
      <c r="B257" s="19"/>
      <c r="C257" s="19"/>
      <c r="D257" s="19"/>
      <c r="E257" s="19"/>
      <c r="F257" s="19"/>
      <c r="G257" s="19"/>
      <c r="H257" s="20" t="str">
        <f aca="false">IF(A257="","",IF(COUNTIFS(Log!$B$5:$B$2000,A257)=0,"",SUMPRODUCT(MAX((Log!$B$5:$B$2000=A257)*Log!$A$5:$A$2000))))</f>
        <v/>
      </c>
      <c r="I257" s="19"/>
      <c r="J257" s="21"/>
      <c r="K257" s="19"/>
      <c r="L257" s="22" t="str">
        <f aca="true">IF(OR(A257="",J257=""),"",IF(J257&lt;TODAY(),"OVERDUE",IF(J257=TODAY(),"TODAY",IF(J257&lt;=TODAY()+7,"THIS WEEK",""))))</f>
        <v/>
      </c>
      <c r="M257" s="19"/>
      <c r="N257" s="19"/>
      <c r="O257" s="24" t="str">
        <f aca="true">IF(H257="","",TODAY()-H257)</f>
        <v/>
      </c>
    </row>
    <row r="258" customFormat="false" ht="15" hidden="false" customHeight="false" outlineLevel="0" collapsed="false">
      <c r="A258" s="19"/>
      <c r="B258" s="19"/>
      <c r="C258" s="19"/>
      <c r="D258" s="19"/>
      <c r="E258" s="19"/>
      <c r="F258" s="19"/>
      <c r="G258" s="19"/>
      <c r="H258" s="20" t="str">
        <f aca="false">IF(A258="","",IF(COUNTIFS(Log!$B$5:$B$2000,A258)=0,"",SUMPRODUCT(MAX((Log!$B$5:$B$2000=A258)*Log!$A$5:$A$2000))))</f>
        <v/>
      </c>
      <c r="I258" s="19"/>
      <c r="J258" s="21"/>
      <c r="K258" s="19"/>
      <c r="L258" s="22" t="str">
        <f aca="true">IF(OR(A258="",J258=""),"",IF(J258&lt;TODAY(),"OVERDUE",IF(J258=TODAY(),"TODAY",IF(J258&lt;=TODAY()+7,"THIS WEEK",""))))</f>
        <v/>
      </c>
      <c r="M258" s="19"/>
      <c r="N258" s="19"/>
      <c r="O258" s="24" t="str">
        <f aca="true">IF(H258="","",TODAY()-H258)</f>
        <v/>
      </c>
    </row>
    <row r="259" customFormat="false" ht="15" hidden="false" customHeight="false" outlineLevel="0" collapsed="false">
      <c r="A259" s="19"/>
      <c r="B259" s="19"/>
      <c r="C259" s="19"/>
      <c r="D259" s="19"/>
      <c r="E259" s="19"/>
      <c r="F259" s="19"/>
      <c r="G259" s="19"/>
      <c r="H259" s="20" t="str">
        <f aca="false">IF(A259="","",IF(COUNTIFS(Log!$B$5:$B$2000,A259)=0,"",SUMPRODUCT(MAX((Log!$B$5:$B$2000=A259)*Log!$A$5:$A$2000))))</f>
        <v/>
      </c>
      <c r="I259" s="19"/>
      <c r="J259" s="21"/>
      <c r="K259" s="19"/>
      <c r="L259" s="22" t="str">
        <f aca="true">IF(OR(A259="",J259=""),"",IF(J259&lt;TODAY(),"OVERDUE",IF(J259=TODAY(),"TODAY",IF(J259&lt;=TODAY()+7,"THIS WEEK",""))))</f>
        <v/>
      </c>
      <c r="M259" s="19"/>
      <c r="N259" s="19"/>
      <c r="O259" s="24" t="str">
        <f aca="true">IF(H259="","",TODAY()-H259)</f>
        <v/>
      </c>
    </row>
    <row r="260" customFormat="false" ht="15" hidden="false" customHeight="false" outlineLevel="0" collapsed="false">
      <c r="A260" s="19"/>
      <c r="B260" s="19"/>
      <c r="C260" s="19"/>
      <c r="D260" s="19"/>
      <c r="E260" s="19"/>
      <c r="F260" s="19"/>
      <c r="G260" s="19"/>
      <c r="H260" s="20" t="str">
        <f aca="false">IF(A260="","",IF(COUNTIFS(Log!$B$5:$B$2000,A260)=0,"",SUMPRODUCT(MAX((Log!$B$5:$B$2000=A260)*Log!$A$5:$A$2000))))</f>
        <v/>
      </c>
      <c r="I260" s="19"/>
      <c r="J260" s="21"/>
      <c r="K260" s="19"/>
      <c r="L260" s="22" t="str">
        <f aca="true">IF(OR(A260="",J260=""),"",IF(J260&lt;TODAY(),"OVERDUE",IF(J260=TODAY(),"TODAY",IF(J260&lt;=TODAY()+7,"THIS WEEK",""))))</f>
        <v/>
      </c>
      <c r="M260" s="19"/>
      <c r="N260" s="19"/>
      <c r="O260" s="24" t="str">
        <f aca="true">IF(H260="","",TODAY()-H260)</f>
        <v/>
      </c>
    </row>
    <row r="261" customFormat="false" ht="15" hidden="false" customHeight="false" outlineLevel="0" collapsed="false">
      <c r="A261" s="19"/>
      <c r="B261" s="19"/>
      <c r="C261" s="19"/>
      <c r="D261" s="19"/>
      <c r="E261" s="19"/>
      <c r="F261" s="19"/>
      <c r="G261" s="19"/>
      <c r="H261" s="20" t="str">
        <f aca="false">IF(A261="","",IF(COUNTIFS(Log!$B$5:$B$2000,A261)=0,"",SUMPRODUCT(MAX((Log!$B$5:$B$2000=A261)*Log!$A$5:$A$2000))))</f>
        <v/>
      </c>
      <c r="I261" s="19"/>
      <c r="J261" s="21"/>
      <c r="K261" s="19"/>
      <c r="L261" s="22" t="str">
        <f aca="true">IF(OR(A261="",J261=""),"",IF(J261&lt;TODAY(),"OVERDUE",IF(J261=TODAY(),"TODAY",IF(J261&lt;=TODAY()+7,"THIS WEEK",""))))</f>
        <v/>
      </c>
      <c r="M261" s="19"/>
      <c r="N261" s="19"/>
      <c r="O261" s="24" t="str">
        <f aca="true">IF(H261="","",TODAY()-H261)</f>
        <v/>
      </c>
    </row>
    <row r="262" customFormat="false" ht="15" hidden="false" customHeight="false" outlineLevel="0" collapsed="false">
      <c r="A262" s="19"/>
      <c r="B262" s="19"/>
      <c r="C262" s="19"/>
      <c r="D262" s="19"/>
      <c r="E262" s="19"/>
      <c r="F262" s="19"/>
      <c r="G262" s="19"/>
      <c r="H262" s="20" t="str">
        <f aca="false">IF(A262="","",IF(COUNTIFS(Log!$B$5:$B$2000,A262)=0,"",SUMPRODUCT(MAX((Log!$B$5:$B$2000=A262)*Log!$A$5:$A$2000))))</f>
        <v/>
      </c>
      <c r="I262" s="19"/>
      <c r="J262" s="21"/>
      <c r="K262" s="19"/>
      <c r="L262" s="22" t="str">
        <f aca="true">IF(OR(A262="",J262=""),"",IF(J262&lt;TODAY(),"OVERDUE",IF(J262=TODAY(),"TODAY",IF(J262&lt;=TODAY()+7,"THIS WEEK",""))))</f>
        <v/>
      </c>
      <c r="M262" s="19"/>
      <c r="N262" s="19"/>
      <c r="O262" s="24" t="str">
        <f aca="true">IF(H262="","",TODAY()-H262)</f>
        <v/>
      </c>
    </row>
    <row r="263" customFormat="false" ht="15" hidden="false" customHeight="false" outlineLevel="0" collapsed="false">
      <c r="A263" s="19"/>
      <c r="B263" s="19"/>
      <c r="C263" s="19"/>
      <c r="D263" s="19"/>
      <c r="E263" s="19"/>
      <c r="F263" s="19"/>
      <c r="G263" s="19"/>
      <c r="H263" s="20" t="str">
        <f aca="false">IF(A263="","",IF(COUNTIFS(Log!$B$5:$B$2000,A263)=0,"",SUMPRODUCT(MAX((Log!$B$5:$B$2000=A263)*Log!$A$5:$A$2000))))</f>
        <v/>
      </c>
      <c r="I263" s="19"/>
      <c r="J263" s="21"/>
      <c r="K263" s="19"/>
      <c r="L263" s="22" t="str">
        <f aca="true">IF(OR(A263="",J263=""),"",IF(J263&lt;TODAY(),"OVERDUE",IF(J263=TODAY(),"TODAY",IF(J263&lt;=TODAY()+7,"THIS WEEK",""))))</f>
        <v/>
      </c>
      <c r="M263" s="19"/>
      <c r="N263" s="19"/>
      <c r="O263" s="24" t="str">
        <f aca="true">IF(H263="","",TODAY()-H263)</f>
        <v/>
      </c>
    </row>
    <row r="264" customFormat="false" ht="15" hidden="false" customHeight="false" outlineLevel="0" collapsed="false">
      <c r="A264" s="19"/>
      <c r="B264" s="19"/>
      <c r="C264" s="19"/>
      <c r="D264" s="19"/>
      <c r="E264" s="19"/>
      <c r="F264" s="19"/>
      <c r="G264" s="19"/>
      <c r="H264" s="20" t="str">
        <f aca="false">IF(A264="","",IF(COUNTIFS(Log!$B$5:$B$2000,A264)=0,"",SUMPRODUCT(MAX((Log!$B$5:$B$2000=A264)*Log!$A$5:$A$2000))))</f>
        <v/>
      </c>
      <c r="I264" s="19"/>
      <c r="J264" s="21"/>
      <c r="K264" s="19"/>
      <c r="L264" s="22" t="str">
        <f aca="true">IF(OR(A264="",J264=""),"",IF(J264&lt;TODAY(),"OVERDUE",IF(J264=TODAY(),"TODAY",IF(J264&lt;=TODAY()+7,"THIS WEEK",""))))</f>
        <v/>
      </c>
      <c r="M264" s="19"/>
      <c r="N264" s="19"/>
      <c r="O264" s="24" t="str">
        <f aca="true">IF(H264="","",TODAY()-H264)</f>
        <v/>
      </c>
    </row>
  </sheetData>
  <autoFilter ref="A4:O264"/>
  <mergeCells count="2">
    <mergeCell ref="A1:O1"/>
    <mergeCell ref="A2:O2"/>
  </mergeCells>
  <conditionalFormatting sqref="L5:L264">
    <cfRule type="cellIs" priority="2" operator="equal" aboveAverage="0" equalAverage="0" bottom="0" percent="0" rank="0" text="" dxfId="8">
      <formula>"OVERDUE"</formula>
    </cfRule>
    <cfRule type="cellIs" priority="3" operator="equal" aboveAverage="0" equalAverage="0" bottom="0" percent="0" rank="0" text="" dxfId="9">
      <formula>"TODAY"</formula>
    </cfRule>
    <cfRule type="cellIs" priority="4" operator="equal" aboveAverage="0" equalAverage="0" bottom="0" percent="0" rank="0" text="" dxfId="10">
      <formula>"THIS WEEK"</formula>
    </cfRule>
  </conditionalFormatting>
  <conditionalFormatting sqref="G5:G264">
    <cfRule type="cellIs" priority="5" operator="equal" aboveAverage="0" equalAverage="0" bottom="0" percent="0" rank="0" text="" dxfId="11">
      <formula>"Partner"</formula>
    </cfRule>
    <cfRule type="cellIs" priority="6" operator="equal" aboveAverage="0" equalAverage="0" bottom="0" percent="0" rank="0" text="" dxfId="12">
      <formula>"Strong"</formula>
    </cfRule>
  </conditionalFormatting>
  <dataValidations count="5">
    <dataValidation allowBlank="true" errorStyle="stop" operator="between" showDropDown="false" showErrorMessage="false" showInputMessage="false" sqref="B5:B264" type="list">
      <formula1>"Venue,Gym,Media,Supplier,Official,Sponsor,Partner,Other"</formula1>
      <formula2>0</formula2>
    </dataValidation>
    <dataValidation allowBlank="true" errorStyle="stop" operator="between" showDropDown="false" showErrorMessage="false" showInputMessage="false" sqref="F5:F264" type="list">
      <formula1>"CCCL,BBG,Both"</formula1>
      <formula2>0</formula2>
    </dataValidation>
    <dataValidation allowBlank="true" errorStyle="stop" operator="between" showDropDown="false" showErrorMessage="false" showInputMessage="false" sqref="G5:G264" type="list">
      <formula1>"Not contacted,Cold,Warm,Strong,Partner,Not a fit"</formula1>
      <formula2>0</formula2>
    </dataValidation>
    <dataValidation allowBlank="true" errorStyle="stop" operator="between" showDropDown="false" showErrorMessage="false" showInputMessage="false" sqref="K5:K264" type="list">
      <formula1>"Cody,Kyle,Sean,Jordan,Front desk"</formula1>
      <formula2>0</formula2>
    </dataValidation>
    <dataValidation allowBlank="true" errorStyle="stop" operator="between" showDropDown="false" showErrorMessage="false" showInputMessage="false" sqref="J5:J264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56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543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544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7" t="s">
        <v>545</v>
      </c>
      <c r="B4" s="17" t="s">
        <v>546</v>
      </c>
      <c r="C4" s="17" t="s">
        <v>547</v>
      </c>
      <c r="D4" s="17" t="s">
        <v>548</v>
      </c>
      <c r="E4" s="17" t="s">
        <v>549</v>
      </c>
      <c r="F4" s="17" t="s">
        <v>66</v>
      </c>
      <c r="G4" s="17" t="s">
        <v>67</v>
      </c>
    </row>
    <row r="5" customFormat="false" ht="15" hidden="false" customHeight="false" outlineLevel="0" collapsed="false">
      <c r="A5" s="21"/>
      <c r="B5" s="19"/>
      <c r="C5" s="19"/>
      <c r="D5" s="19"/>
      <c r="E5" s="19"/>
      <c r="F5" s="19"/>
      <c r="G5" s="21"/>
    </row>
    <row r="6" customFormat="false" ht="15" hidden="false" customHeight="false" outlineLevel="0" collapsed="false">
      <c r="A6" s="21"/>
      <c r="B6" s="19"/>
      <c r="C6" s="19"/>
      <c r="D6" s="19"/>
      <c r="E6" s="19"/>
      <c r="F6" s="19"/>
      <c r="G6" s="21"/>
    </row>
    <row r="7" customFormat="false" ht="15" hidden="false" customHeight="false" outlineLevel="0" collapsed="false">
      <c r="A7" s="21"/>
      <c r="B7" s="19"/>
      <c r="C7" s="19"/>
      <c r="D7" s="19"/>
      <c r="E7" s="19"/>
      <c r="F7" s="19"/>
      <c r="G7" s="21"/>
    </row>
    <row r="8" customFormat="false" ht="15" hidden="false" customHeight="false" outlineLevel="0" collapsed="false">
      <c r="A8" s="21"/>
      <c r="B8" s="19"/>
      <c r="C8" s="19"/>
      <c r="D8" s="19"/>
      <c r="E8" s="19"/>
      <c r="F8" s="19"/>
      <c r="G8" s="21"/>
    </row>
    <row r="9" customFormat="false" ht="15" hidden="false" customHeight="false" outlineLevel="0" collapsed="false">
      <c r="A9" s="21"/>
      <c r="B9" s="19"/>
      <c r="C9" s="19"/>
      <c r="D9" s="19"/>
      <c r="E9" s="19"/>
      <c r="F9" s="19"/>
      <c r="G9" s="21"/>
    </row>
    <row r="10" customFormat="false" ht="15" hidden="false" customHeight="false" outlineLevel="0" collapsed="false">
      <c r="A10" s="21"/>
      <c r="B10" s="19"/>
      <c r="C10" s="19"/>
      <c r="D10" s="19"/>
      <c r="E10" s="19"/>
      <c r="F10" s="19"/>
      <c r="G10" s="21"/>
    </row>
    <row r="11" customFormat="false" ht="15" hidden="false" customHeight="false" outlineLevel="0" collapsed="false">
      <c r="A11" s="21"/>
      <c r="B11" s="19"/>
      <c r="C11" s="19"/>
      <c r="D11" s="19"/>
      <c r="E11" s="19"/>
      <c r="F11" s="19"/>
      <c r="G11" s="21"/>
    </row>
    <row r="12" customFormat="false" ht="15" hidden="false" customHeight="false" outlineLevel="0" collapsed="false">
      <c r="A12" s="21"/>
      <c r="B12" s="19"/>
      <c r="C12" s="19"/>
      <c r="D12" s="19"/>
      <c r="E12" s="19"/>
      <c r="F12" s="19"/>
      <c r="G12" s="21"/>
    </row>
    <row r="13" customFormat="false" ht="15" hidden="false" customHeight="false" outlineLevel="0" collapsed="false">
      <c r="A13" s="21"/>
      <c r="B13" s="19"/>
      <c r="C13" s="19"/>
      <c r="D13" s="19"/>
      <c r="E13" s="19"/>
      <c r="F13" s="19"/>
      <c r="G13" s="21"/>
    </row>
    <row r="14" customFormat="false" ht="15" hidden="false" customHeight="false" outlineLevel="0" collapsed="false">
      <c r="A14" s="21"/>
      <c r="B14" s="19"/>
      <c r="C14" s="19"/>
      <c r="D14" s="19"/>
      <c r="E14" s="19"/>
      <c r="F14" s="19"/>
      <c r="G14" s="21"/>
    </row>
    <row r="15" customFormat="false" ht="15" hidden="false" customHeight="false" outlineLevel="0" collapsed="false">
      <c r="A15" s="21"/>
      <c r="B15" s="19"/>
      <c r="C15" s="19"/>
      <c r="D15" s="19"/>
      <c r="E15" s="19"/>
      <c r="F15" s="19"/>
      <c r="G15" s="21"/>
    </row>
    <row r="16" customFormat="false" ht="15" hidden="false" customHeight="false" outlineLevel="0" collapsed="false">
      <c r="A16" s="21"/>
      <c r="B16" s="19"/>
      <c r="C16" s="19"/>
      <c r="D16" s="19"/>
      <c r="E16" s="19"/>
      <c r="F16" s="19"/>
      <c r="G16" s="21"/>
    </row>
    <row r="17" customFormat="false" ht="15" hidden="false" customHeight="false" outlineLevel="0" collapsed="false">
      <c r="A17" s="21"/>
      <c r="B17" s="19"/>
      <c r="C17" s="19"/>
      <c r="D17" s="19"/>
      <c r="E17" s="19"/>
      <c r="F17" s="19"/>
      <c r="G17" s="21"/>
    </row>
    <row r="18" customFormat="false" ht="15" hidden="false" customHeight="false" outlineLevel="0" collapsed="false">
      <c r="A18" s="21"/>
      <c r="B18" s="19"/>
      <c r="C18" s="19"/>
      <c r="D18" s="19"/>
      <c r="E18" s="19"/>
      <c r="F18" s="19"/>
      <c r="G18" s="21"/>
    </row>
    <row r="19" customFormat="false" ht="15" hidden="false" customHeight="false" outlineLevel="0" collapsed="false">
      <c r="A19" s="21"/>
      <c r="B19" s="19"/>
      <c r="C19" s="19"/>
      <c r="D19" s="19"/>
      <c r="E19" s="19"/>
      <c r="F19" s="19"/>
      <c r="G19" s="21"/>
    </row>
    <row r="20" customFormat="false" ht="15" hidden="false" customHeight="false" outlineLevel="0" collapsed="false">
      <c r="A20" s="21"/>
      <c r="B20" s="19"/>
      <c r="C20" s="19"/>
      <c r="D20" s="19"/>
      <c r="E20" s="19"/>
      <c r="F20" s="19"/>
      <c r="G20" s="21"/>
    </row>
    <row r="21" customFormat="false" ht="15" hidden="false" customHeight="false" outlineLevel="0" collapsed="false">
      <c r="A21" s="21"/>
      <c r="B21" s="19"/>
      <c r="C21" s="19"/>
      <c r="D21" s="19"/>
      <c r="E21" s="19"/>
      <c r="F21" s="19"/>
      <c r="G21" s="21"/>
    </row>
    <row r="22" customFormat="false" ht="15" hidden="false" customHeight="false" outlineLevel="0" collapsed="false">
      <c r="A22" s="21"/>
      <c r="B22" s="19"/>
      <c r="C22" s="19"/>
      <c r="D22" s="19"/>
      <c r="E22" s="19"/>
      <c r="F22" s="19"/>
      <c r="G22" s="21"/>
    </row>
    <row r="23" customFormat="false" ht="15" hidden="false" customHeight="false" outlineLevel="0" collapsed="false">
      <c r="A23" s="21"/>
      <c r="B23" s="19"/>
      <c r="C23" s="19"/>
      <c r="D23" s="19"/>
      <c r="E23" s="19"/>
      <c r="F23" s="19"/>
      <c r="G23" s="21"/>
    </row>
    <row r="24" customFormat="false" ht="15" hidden="false" customHeight="false" outlineLevel="0" collapsed="false">
      <c r="A24" s="21"/>
      <c r="B24" s="19"/>
      <c r="C24" s="19"/>
      <c r="D24" s="19"/>
      <c r="E24" s="19"/>
      <c r="F24" s="19"/>
      <c r="G24" s="21"/>
    </row>
    <row r="25" customFormat="false" ht="15" hidden="false" customHeight="false" outlineLevel="0" collapsed="false">
      <c r="A25" s="21"/>
      <c r="B25" s="19"/>
      <c r="C25" s="19"/>
      <c r="D25" s="19"/>
      <c r="E25" s="19"/>
      <c r="F25" s="19"/>
      <c r="G25" s="21"/>
    </row>
    <row r="26" customFormat="false" ht="15" hidden="false" customHeight="false" outlineLevel="0" collapsed="false">
      <c r="A26" s="21"/>
      <c r="B26" s="19"/>
      <c r="C26" s="19"/>
      <c r="D26" s="19"/>
      <c r="E26" s="19"/>
      <c r="F26" s="19"/>
      <c r="G26" s="21"/>
    </row>
    <row r="27" customFormat="false" ht="15" hidden="false" customHeight="false" outlineLevel="0" collapsed="false">
      <c r="A27" s="21"/>
      <c r="B27" s="19"/>
      <c r="C27" s="19"/>
      <c r="D27" s="19"/>
      <c r="E27" s="19"/>
      <c r="F27" s="19"/>
      <c r="G27" s="21"/>
    </row>
    <row r="28" customFormat="false" ht="15" hidden="false" customHeight="false" outlineLevel="0" collapsed="false">
      <c r="A28" s="21"/>
      <c r="B28" s="19"/>
      <c r="C28" s="19"/>
      <c r="D28" s="19"/>
      <c r="E28" s="19"/>
      <c r="F28" s="19"/>
      <c r="G28" s="21"/>
    </row>
    <row r="29" customFormat="false" ht="15" hidden="false" customHeight="false" outlineLevel="0" collapsed="false">
      <c r="A29" s="21"/>
      <c r="B29" s="19"/>
      <c r="C29" s="19"/>
      <c r="D29" s="19"/>
      <c r="E29" s="19"/>
      <c r="F29" s="19"/>
      <c r="G29" s="21"/>
    </row>
    <row r="30" customFormat="false" ht="15" hidden="false" customHeight="false" outlineLevel="0" collapsed="false">
      <c r="A30" s="21"/>
      <c r="B30" s="19"/>
      <c r="C30" s="19"/>
      <c r="D30" s="19"/>
      <c r="E30" s="19"/>
      <c r="F30" s="19"/>
      <c r="G30" s="21"/>
    </row>
    <row r="31" customFormat="false" ht="15" hidden="false" customHeight="false" outlineLevel="0" collapsed="false">
      <c r="A31" s="21"/>
      <c r="B31" s="19"/>
      <c r="C31" s="19"/>
      <c r="D31" s="19"/>
      <c r="E31" s="19"/>
      <c r="F31" s="19"/>
      <c r="G31" s="21"/>
    </row>
    <row r="32" customFormat="false" ht="15" hidden="false" customHeight="false" outlineLevel="0" collapsed="false">
      <c r="A32" s="21"/>
      <c r="B32" s="19"/>
      <c r="C32" s="19"/>
      <c r="D32" s="19"/>
      <c r="E32" s="19"/>
      <c r="F32" s="19"/>
      <c r="G32" s="21"/>
    </row>
    <row r="33" customFormat="false" ht="15" hidden="false" customHeight="false" outlineLevel="0" collapsed="false">
      <c r="A33" s="21"/>
      <c r="B33" s="19"/>
      <c r="C33" s="19"/>
      <c r="D33" s="19"/>
      <c r="E33" s="19"/>
      <c r="F33" s="19"/>
      <c r="G33" s="21"/>
    </row>
    <row r="34" customFormat="false" ht="15" hidden="false" customHeight="false" outlineLevel="0" collapsed="false">
      <c r="A34" s="21"/>
      <c r="B34" s="19"/>
      <c r="C34" s="19"/>
      <c r="D34" s="19"/>
      <c r="E34" s="19"/>
      <c r="F34" s="19"/>
      <c r="G34" s="21"/>
    </row>
    <row r="35" customFormat="false" ht="15" hidden="false" customHeight="false" outlineLevel="0" collapsed="false">
      <c r="A35" s="21"/>
      <c r="B35" s="19"/>
      <c r="C35" s="19"/>
      <c r="D35" s="19"/>
      <c r="E35" s="19"/>
      <c r="F35" s="19"/>
      <c r="G35" s="21"/>
    </row>
    <row r="36" customFormat="false" ht="15" hidden="false" customHeight="false" outlineLevel="0" collapsed="false">
      <c r="A36" s="21"/>
      <c r="B36" s="19"/>
      <c r="C36" s="19"/>
      <c r="D36" s="19"/>
      <c r="E36" s="19"/>
      <c r="F36" s="19"/>
      <c r="G36" s="21"/>
    </row>
    <row r="37" customFormat="false" ht="15" hidden="false" customHeight="false" outlineLevel="0" collapsed="false">
      <c r="A37" s="21"/>
      <c r="B37" s="19"/>
      <c r="C37" s="19"/>
      <c r="D37" s="19"/>
      <c r="E37" s="19"/>
      <c r="F37" s="19"/>
      <c r="G37" s="21"/>
    </row>
    <row r="38" customFormat="false" ht="15" hidden="false" customHeight="false" outlineLevel="0" collapsed="false">
      <c r="A38" s="21"/>
      <c r="B38" s="19"/>
      <c r="C38" s="19"/>
      <c r="D38" s="19"/>
      <c r="E38" s="19"/>
      <c r="F38" s="19"/>
      <c r="G38" s="21"/>
    </row>
    <row r="39" customFormat="false" ht="15" hidden="false" customHeight="false" outlineLevel="0" collapsed="false">
      <c r="A39" s="21"/>
      <c r="B39" s="19"/>
      <c r="C39" s="19"/>
      <c r="D39" s="19"/>
      <c r="E39" s="19"/>
      <c r="F39" s="19"/>
      <c r="G39" s="21"/>
    </row>
    <row r="40" customFormat="false" ht="15" hidden="false" customHeight="false" outlineLevel="0" collapsed="false">
      <c r="A40" s="21"/>
      <c r="B40" s="19"/>
      <c r="C40" s="19"/>
      <c r="D40" s="19"/>
      <c r="E40" s="19"/>
      <c r="F40" s="19"/>
      <c r="G40" s="21"/>
    </row>
    <row r="41" customFormat="false" ht="15" hidden="false" customHeight="false" outlineLevel="0" collapsed="false">
      <c r="A41" s="21"/>
      <c r="B41" s="19"/>
      <c r="C41" s="19"/>
      <c r="D41" s="19"/>
      <c r="E41" s="19"/>
      <c r="F41" s="19"/>
      <c r="G41" s="21"/>
    </row>
    <row r="42" customFormat="false" ht="15" hidden="false" customHeight="false" outlineLevel="0" collapsed="false">
      <c r="A42" s="21"/>
      <c r="B42" s="19"/>
      <c r="C42" s="19"/>
      <c r="D42" s="19"/>
      <c r="E42" s="19"/>
      <c r="F42" s="19"/>
      <c r="G42" s="21"/>
    </row>
    <row r="43" customFormat="false" ht="15" hidden="false" customHeight="false" outlineLevel="0" collapsed="false">
      <c r="A43" s="21"/>
      <c r="B43" s="19"/>
      <c r="C43" s="19"/>
      <c r="D43" s="19"/>
      <c r="E43" s="19"/>
      <c r="F43" s="19"/>
      <c r="G43" s="21"/>
    </row>
    <row r="44" customFormat="false" ht="15" hidden="false" customHeight="false" outlineLevel="0" collapsed="false">
      <c r="A44" s="21"/>
      <c r="B44" s="19"/>
      <c r="C44" s="19"/>
      <c r="D44" s="19"/>
      <c r="E44" s="19"/>
      <c r="F44" s="19"/>
      <c r="G44" s="21"/>
    </row>
    <row r="45" customFormat="false" ht="15" hidden="false" customHeight="false" outlineLevel="0" collapsed="false">
      <c r="A45" s="21"/>
      <c r="B45" s="19"/>
      <c r="C45" s="19"/>
      <c r="D45" s="19"/>
      <c r="E45" s="19"/>
      <c r="F45" s="19"/>
      <c r="G45" s="21"/>
    </row>
    <row r="46" customFormat="false" ht="15" hidden="false" customHeight="false" outlineLevel="0" collapsed="false">
      <c r="A46" s="21"/>
      <c r="B46" s="19"/>
      <c r="C46" s="19"/>
      <c r="D46" s="19"/>
      <c r="E46" s="19"/>
      <c r="F46" s="19"/>
      <c r="G46" s="21"/>
    </row>
    <row r="47" customFormat="false" ht="15" hidden="false" customHeight="false" outlineLevel="0" collapsed="false">
      <c r="A47" s="21"/>
      <c r="B47" s="19"/>
      <c r="C47" s="19"/>
      <c r="D47" s="19"/>
      <c r="E47" s="19"/>
      <c r="F47" s="19"/>
      <c r="G47" s="21"/>
    </row>
    <row r="48" customFormat="false" ht="15" hidden="false" customHeight="false" outlineLevel="0" collapsed="false">
      <c r="A48" s="21"/>
      <c r="B48" s="19"/>
      <c r="C48" s="19"/>
      <c r="D48" s="19"/>
      <c r="E48" s="19"/>
      <c r="F48" s="19"/>
      <c r="G48" s="21"/>
    </row>
    <row r="49" customFormat="false" ht="15" hidden="false" customHeight="false" outlineLevel="0" collapsed="false">
      <c r="A49" s="21"/>
      <c r="B49" s="19"/>
      <c r="C49" s="19"/>
      <c r="D49" s="19"/>
      <c r="E49" s="19"/>
      <c r="F49" s="19"/>
      <c r="G49" s="21"/>
    </row>
    <row r="50" customFormat="false" ht="15" hidden="false" customHeight="false" outlineLevel="0" collapsed="false">
      <c r="A50" s="21"/>
      <c r="B50" s="19"/>
      <c r="C50" s="19"/>
      <c r="D50" s="19"/>
      <c r="E50" s="19"/>
      <c r="F50" s="19"/>
      <c r="G50" s="21"/>
    </row>
    <row r="51" customFormat="false" ht="15" hidden="false" customHeight="false" outlineLevel="0" collapsed="false">
      <c r="A51" s="21"/>
      <c r="B51" s="19"/>
      <c r="C51" s="19"/>
      <c r="D51" s="19"/>
      <c r="E51" s="19"/>
      <c r="F51" s="19"/>
      <c r="G51" s="21"/>
    </row>
    <row r="52" customFormat="false" ht="15" hidden="false" customHeight="false" outlineLevel="0" collapsed="false">
      <c r="A52" s="21"/>
      <c r="B52" s="19"/>
      <c r="C52" s="19"/>
      <c r="D52" s="19"/>
      <c r="E52" s="19"/>
      <c r="F52" s="19"/>
      <c r="G52" s="21"/>
    </row>
    <row r="53" customFormat="false" ht="15" hidden="false" customHeight="false" outlineLevel="0" collapsed="false">
      <c r="A53" s="21"/>
      <c r="B53" s="19"/>
      <c r="C53" s="19"/>
      <c r="D53" s="19"/>
      <c r="E53" s="19"/>
      <c r="F53" s="19"/>
      <c r="G53" s="21"/>
    </row>
    <row r="54" customFormat="false" ht="15" hidden="false" customHeight="false" outlineLevel="0" collapsed="false">
      <c r="A54" s="21"/>
      <c r="B54" s="19"/>
      <c r="C54" s="19"/>
      <c r="D54" s="19"/>
      <c r="E54" s="19"/>
      <c r="F54" s="19"/>
      <c r="G54" s="21"/>
    </row>
    <row r="55" customFormat="false" ht="15" hidden="false" customHeight="false" outlineLevel="0" collapsed="false">
      <c r="A55" s="21"/>
      <c r="B55" s="19"/>
      <c r="C55" s="19"/>
      <c r="D55" s="19"/>
      <c r="E55" s="19"/>
      <c r="F55" s="19"/>
      <c r="G55" s="21"/>
    </row>
    <row r="56" customFormat="false" ht="15" hidden="false" customHeight="false" outlineLevel="0" collapsed="false">
      <c r="A56" s="21"/>
      <c r="B56" s="19"/>
      <c r="C56" s="19"/>
      <c r="D56" s="19"/>
      <c r="E56" s="19"/>
      <c r="F56" s="19"/>
      <c r="G56" s="21"/>
    </row>
    <row r="57" customFormat="false" ht="15" hidden="false" customHeight="false" outlineLevel="0" collapsed="false">
      <c r="A57" s="21"/>
      <c r="B57" s="19"/>
      <c r="C57" s="19"/>
      <c r="D57" s="19"/>
      <c r="E57" s="19"/>
      <c r="F57" s="19"/>
      <c r="G57" s="21"/>
    </row>
    <row r="58" customFormat="false" ht="15" hidden="false" customHeight="false" outlineLevel="0" collapsed="false">
      <c r="A58" s="21"/>
      <c r="B58" s="19"/>
      <c r="C58" s="19"/>
      <c r="D58" s="19"/>
      <c r="E58" s="19"/>
      <c r="F58" s="19"/>
      <c r="G58" s="21"/>
    </row>
    <row r="59" customFormat="false" ht="15" hidden="false" customHeight="false" outlineLevel="0" collapsed="false">
      <c r="A59" s="21"/>
      <c r="B59" s="19"/>
      <c r="C59" s="19"/>
      <c r="D59" s="19"/>
      <c r="E59" s="19"/>
      <c r="F59" s="19"/>
      <c r="G59" s="21"/>
    </row>
    <row r="60" customFormat="false" ht="15" hidden="false" customHeight="false" outlineLevel="0" collapsed="false">
      <c r="A60" s="21"/>
      <c r="B60" s="19"/>
      <c r="C60" s="19"/>
      <c r="D60" s="19"/>
      <c r="E60" s="19"/>
      <c r="F60" s="19"/>
      <c r="G60" s="21"/>
    </row>
    <row r="61" customFormat="false" ht="15" hidden="false" customHeight="false" outlineLevel="0" collapsed="false">
      <c r="A61" s="21"/>
      <c r="B61" s="19"/>
      <c r="C61" s="19"/>
      <c r="D61" s="19"/>
      <c r="E61" s="19"/>
      <c r="F61" s="19"/>
      <c r="G61" s="21"/>
    </row>
    <row r="62" customFormat="false" ht="15" hidden="false" customHeight="false" outlineLevel="0" collapsed="false">
      <c r="A62" s="21"/>
      <c r="B62" s="19"/>
      <c r="C62" s="19"/>
      <c r="D62" s="19"/>
      <c r="E62" s="19"/>
      <c r="F62" s="19"/>
      <c r="G62" s="21"/>
    </row>
    <row r="63" customFormat="false" ht="15" hidden="false" customHeight="false" outlineLevel="0" collapsed="false">
      <c r="A63" s="21"/>
      <c r="B63" s="19"/>
      <c r="C63" s="19"/>
      <c r="D63" s="19"/>
      <c r="E63" s="19"/>
      <c r="F63" s="19"/>
      <c r="G63" s="21"/>
    </row>
    <row r="64" customFormat="false" ht="15" hidden="false" customHeight="false" outlineLevel="0" collapsed="false">
      <c r="A64" s="21"/>
      <c r="B64" s="19"/>
      <c r="C64" s="19"/>
      <c r="D64" s="19"/>
      <c r="E64" s="19"/>
      <c r="F64" s="19"/>
      <c r="G64" s="21"/>
    </row>
    <row r="65" customFormat="false" ht="15" hidden="false" customHeight="false" outlineLevel="0" collapsed="false">
      <c r="A65" s="21"/>
      <c r="B65" s="19"/>
      <c r="C65" s="19"/>
      <c r="D65" s="19"/>
      <c r="E65" s="19"/>
      <c r="F65" s="19"/>
      <c r="G65" s="21"/>
    </row>
    <row r="66" customFormat="false" ht="15" hidden="false" customHeight="false" outlineLevel="0" collapsed="false">
      <c r="A66" s="21"/>
      <c r="B66" s="19"/>
      <c r="C66" s="19"/>
      <c r="D66" s="19"/>
      <c r="E66" s="19"/>
      <c r="F66" s="19"/>
      <c r="G66" s="21"/>
    </row>
    <row r="67" customFormat="false" ht="15" hidden="false" customHeight="false" outlineLevel="0" collapsed="false">
      <c r="A67" s="21"/>
      <c r="B67" s="19"/>
      <c r="C67" s="19"/>
      <c r="D67" s="19"/>
      <c r="E67" s="19"/>
      <c r="F67" s="19"/>
      <c r="G67" s="21"/>
    </row>
    <row r="68" customFormat="false" ht="15" hidden="false" customHeight="false" outlineLevel="0" collapsed="false">
      <c r="A68" s="21"/>
      <c r="B68" s="19"/>
      <c r="C68" s="19"/>
      <c r="D68" s="19"/>
      <c r="E68" s="19"/>
      <c r="F68" s="19"/>
      <c r="G68" s="21"/>
    </row>
    <row r="69" customFormat="false" ht="15" hidden="false" customHeight="false" outlineLevel="0" collapsed="false">
      <c r="A69" s="21"/>
      <c r="B69" s="19"/>
      <c r="C69" s="19"/>
      <c r="D69" s="19"/>
      <c r="E69" s="19"/>
      <c r="F69" s="19"/>
      <c r="G69" s="21"/>
    </row>
    <row r="70" customFormat="false" ht="15" hidden="false" customHeight="false" outlineLevel="0" collapsed="false">
      <c r="A70" s="21"/>
      <c r="B70" s="19"/>
      <c r="C70" s="19"/>
      <c r="D70" s="19"/>
      <c r="E70" s="19"/>
      <c r="F70" s="19"/>
      <c r="G70" s="21"/>
    </row>
    <row r="71" customFormat="false" ht="15" hidden="false" customHeight="false" outlineLevel="0" collapsed="false">
      <c r="A71" s="21"/>
      <c r="B71" s="19"/>
      <c r="C71" s="19"/>
      <c r="D71" s="19"/>
      <c r="E71" s="19"/>
      <c r="F71" s="19"/>
      <c r="G71" s="21"/>
    </row>
    <row r="72" customFormat="false" ht="15" hidden="false" customHeight="false" outlineLevel="0" collapsed="false">
      <c r="A72" s="21"/>
      <c r="B72" s="19"/>
      <c r="C72" s="19"/>
      <c r="D72" s="19"/>
      <c r="E72" s="19"/>
      <c r="F72" s="19"/>
      <c r="G72" s="21"/>
    </row>
    <row r="73" customFormat="false" ht="15" hidden="false" customHeight="false" outlineLevel="0" collapsed="false">
      <c r="A73" s="21"/>
      <c r="B73" s="19"/>
      <c r="C73" s="19"/>
      <c r="D73" s="19"/>
      <c r="E73" s="19"/>
      <c r="F73" s="19"/>
      <c r="G73" s="21"/>
    </row>
    <row r="74" customFormat="false" ht="15" hidden="false" customHeight="false" outlineLevel="0" collapsed="false">
      <c r="A74" s="21"/>
      <c r="B74" s="19"/>
      <c r="C74" s="19"/>
      <c r="D74" s="19"/>
      <c r="E74" s="19"/>
      <c r="F74" s="19"/>
      <c r="G74" s="21"/>
    </row>
    <row r="75" customFormat="false" ht="15" hidden="false" customHeight="false" outlineLevel="0" collapsed="false">
      <c r="A75" s="21"/>
      <c r="B75" s="19"/>
      <c r="C75" s="19"/>
      <c r="D75" s="19"/>
      <c r="E75" s="19"/>
      <c r="F75" s="19"/>
      <c r="G75" s="21"/>
    </row>
    <row r="76" customFormat="false" ht="15" hidden="false" customHeight="false" outlineLevel="0" collapsed="false">
      <c r="A76" s="21"/>
      <c r="B76" s="19"/>
      <c r="C76" s="19"/>
      <c r="D76" s="19"/>
      <c r="E76" s="19"/>
      <c r="F76" s="19"/>
      <c r="G76" s="21"/>
    </row>
    <row r="77" customFormat="false" ht="15" hidden="false" customHeight="false" outlineLevel="0" collapsed="false">
      <c r="A77" s="21"/>
      <c r="B77" s="19"/>
      <c r="C77" s="19"/>
      <c r="D77" s="19"/>
      <c r="E77" s="19"/>
      <c r="F77" s="19"/>
      <c r="G77" s="21"/>
    </row>
    <row r="78" customFormat="false" ht="15" hidden="false" customHeight="false" outlineLevel="0" collapsed="false">
      <c r="A78" s="21"/>
      <c r="B78" s="19"/>
      <c r="C78" s="19"/>
      <c r="D78" s="19"/>
      <c r="E78" s="19"/>
      <c r="F78" s="19"/>
      <c r="G78" s="21"/>
    </row>
    <row r="79" customFormat="false" ht="15" hidden="false" customHeight="false" outlineLevel="0" collapsed="false">
      <c r="A79" s="21"/>
      <c r="B79" s="19"/>
      <c r="C79" s="19"/>
      <c r="D79" s="19"/>
      <c r="E79" s="19"/>
      <c r="F79" s="19"/>
      <c r="G79" s="21"/>
    </row>
    <row r="80" customFormat="false" ht="15" hidden="false" customHeight="false" outlineLevel="0" collapsed="false">
      <c r="A80" s="21"/>
      <c r="B80" s="19"/>
      <c r="C80" s="19"/>
      <c r="D80" s="19"/>
      <c r="E80" s="19"/>
      <c r="F80" s="19"/>
      <c r="G80" s="21"/>
    </row>
    <row r="81" customFormat="false" ht="15" hidden="false" customHeight="false" outlineLevel="0" collapsed="false">
      <c r="A81" s="21"/>
      <c r="B81" s="19"/>
      <c r="C81" s="19"/>
      <c r="D81" s="19"/>
      <c r="E81" s="19"/>
      <c r="F81" s="19"/>
      <c r="G81" s="21"/>
    </row>
    <row r="82" customFormat="false" ht="15" hidden="false" customHeight="false" outlineLevel="0" collapsed="false">
      <c r="A82" s="21"/>
      <c r="B82" s="19"/>
      <c r="C82" s="19"/>
      <c r="D82" s="19"/>
      <c r="E82" s="19"/>
      <c r="F82" s="19"/>
      <c r="G82" s="21"/>
    </row>
    <row r="83" customFormat="false" ht="15" hidden="false" customHeight="false" outlineLevel="0" collapsed="false">
      <c r="A83" s="21"/>
      <c r="B83" s="19"/>
      <c r="C83" s="19"/>
      <c r="D83" s="19"/>
      <c r="E83" s="19"/>
      <c r="F83" s="19"/>
      <c r="G83" s="21"/>
    </row>
    <row r="84" customFormat="false" ht="15" hidden="false" customHeight="false" outlineLevel="0" collapsed="false">
      <c r="A84" s="21"/>
      <c r="B84" s="19"/>
      <c r="C84" s="19"/>
      <c r="D84" s="19"/>
      <c r="E84" s="19"/>
      <c r="F84" s="19"/>
      <c r="G84" s="21"/>
    </row>
    <row r="85" customFormat="false" ht="15" hidden="false" customHeight="false" outlineLevel="0" collapsed="false">
      <c r="A85" s="21"/>
      <c r="B85" s="19"/>
      <c r="C85" s="19"/>
      <c r="D85" s="19"/>
      <c r="E85" s="19"/>
      <c r="F85" s="19"/>
      <c r="G85" s="21"/>
    </row>
    <row r="86" customFormat="false" ht="15" hidden="false" customHeight="false" outlineLevel="0" collapsed="false">
      <c r="A86" s="21"/>
      <c r="B86" s="19"/>
      <c r="C86" s="19"/>
      <c r="D86" s="19"/>
      <c r="E86" s="19"/>
      <c r="F86" s="19"/>
      <c r="G86" s="21"/>
    </row>
    <row r="87" customFormat="false" ht="15" hidden="false" customHeight="false" outlineLevel="0" collapsed="false">
      <c r="A87" s="21"/>
      <c r="B87" s="19"/>
      <c r="C87" s="19"/>
      <c r="D87" s="19"/>
      <c r="E87" s="19"/>
      <c r="F87" s="19"/>
      <c r="G87" s="21"/>
    </row>
    <row r="88" customFormat="false" ht="15" hidden="false" customHeight="false" outlineLevel="0" collapsed="false">
      <c r="A88" s="21"/>
      <c r="B88" s="19"/>
      <c r="C88" s="19"/>
      <c r="D88" s="19"/>
      <c r="E88" s="19"/>
      <c r="F88" s="19"/>
      <c r="G88" s="21"/>
    </row>
    <row r="89" customFormat="false" ht="15" hidden="false" customHeight="false" outlineLevel="0" collapsed="false">
      <c r="A89" s="21"/>
      <c r="B89" s="19"/>
      <c r="C89" s="19"/>
      <c r="D89" s="19"/>
      <c r="E89" s="19"/>
      <c r="F89" s="19"/>
      <c r="G89" s="21"/>
    </row>
    <row r="90" customFormat="false" ht="15" hidden="false" customHeight="false" outlineLevel="0" collapsed="false">
      <c r="A90" s="21"/>
      <c r="B90" s="19"/>
      <c r="C90" s="19"/>
      <c r="D90" s="19"/>
      <c r="E90" s="19"/>
      <c r="F90" s="19"/>
      <c r="G90" s="21"/>
    </row>
    <row r="91" customFormat="false" ht="15" hidden="false" customHeight="false" outlineLevel="0" collapsed="false">
      <c r="A91" s="21"/>
      <c r="B91" s="19"/>
      <c r="C91" s="19"/>
      <c r="D91" s="19"/>
      <c r="E91" s="19"/>
      <c r="F91" s="19"/>
      <c r="G91" s="21"/>
    </row>
    <row r="92" customFormat="false" ht="15" hidden="false" customHeight="false" outlineLevel="0" collapsed="false">
      <c r="A92" s="21"/>
      <c r="B92" s="19"/>
      <c r="C92" s="19"/>
      <c r="D92" s="19"/>
      <c r="E92" s="19"/>
      <c r="F92" s="19"/>
      <c r="G92" s="21"/>
    </row>
    <row r="93" customFormat="false" ht="15" hidden="false" customHeight="false" outlineLevel="0" collapsed="false">
      <c r="A93" s="21"/>
      <c r="B93" s="19"/>
      <c r="C93" s="19"/>
      <c r="D93" s="19"/>
      <c r="E93" s="19"/>
      <c r="F93" s="19"/>
      <c r="G93" s="21"/>
    </row>
    <row r="94" customFormat="false" ht="15" hidden="false" customHeight="false" outlineLevel="0" collapsed="false">
      <c r="A94" s="21"/>
      <c r="B94" s="19"/>
      <c r="C94" s="19"/>
      <c r="D94" s="19"/>
      <c r="E94" s="19"/>
      <c r="F94" s="19"/>
      <c r="G94" s="21"/>
    </row>
    <row r="95" customFormat="false" ht="15" hidden="false" customHeight="false" outlineLevel="0" collapsed="false">
      <c r="A95" s="21"/>
      <c r="B95" s="19"/>
      <c r="C95" s="19"/>
      <c r="D95" s="19"/>
      <c r="E95" s="19"/>
      <c r="F95" s="19"/>
      <c r="G95" s="21"/>
    </row>
    <row r="96" customFormat="false" ht="15" hidden="false" customHeight="false" outlineLevel="0" collapsed="false">
      <c r="A96" s="21"/>
      <c r="B96" s="19"/>
      <c r="C96" s="19"/>
      <c r="D96" s="19"/>
      <c r="E96" s="19"/>
      <c r="F96" s="19"/>
      <c r="G96" s="21"/>
    </row>
    <row r="97" customFormat="false" ht="15" hidden="false" customHeight="false" outlineLevel="0" collapsed="false">
      <c r="A97" s="21"/>
      <c r="B97" s="19"/>
      <c r="C97" s="19"/>
      <c r="D97" s="19"/>
      <c r="E97" s="19"/>
      <c r="F97" s="19"/>
      <c r="G97" s="21"/>
    </row>
    <row r="98" customFormat="false" ht="15" hidden="false" customHeight="false" outlineLevel="0" collapsed="false">
      <c r="A98" s="21"/>
      <c r="B98" s="19"/>
      <c r="C98" s="19"/>
      <c r="D98" s="19"/>
      <c r="E98" s="19"/>
      <c r="F98" s="19"/>
      <c r="G98" s="21"/>
    </row>
    <row r="99" customFormat="false" ht="15" hidden="false" customHeight="false" outlineLevel="0" collapsed="false">
      <c r="A99" s="21"/>
      <c r="B99" s="19"/>
      <c r="C99" s="19"/>
      <c r="D99" s="19"/>
      <c r="E99" s="19"/>
      <c r="F99" s="19"/>
      <c r="G99" s="21"/>
    </row>
    <row r="100" customFormat="false" ht="15" hidden="false" customHeight="false" outlineLevel="0" collapsed="false">
      <c r="A100" s="21"/>
      <c r="B100" s="19"/>
      <c r="C100" s="19"/>
      <c r="D100" s="19"/>
      <c r="E100" s="19"/>
      <c r="F100" s="19"/>
      <c r="G100" s="21"/>
    </row>
    <row r="101" customFormat="false" ht="15" hidden="false" customHeight="false" outlineLevel="0" collapsed="false">
      <c r="A101" s="21"/>
      <c r="B101" s="19"/>
      <c r="C101" s="19"/>
      <c r="D101" s="19"/>
      <c r="E101" s="19"/>
      <c r="F101" s="19"/>
      <c r="G101" s="21"/>
    </row>
    <row r="102" customFormat="false" ht="15" hidden="false" customHeight="false" outlineLevel="0" collapsed="false">
      <c r="A102" s="21"/>
      <c r="B102" s="19"/>
      <c r="C102" s="19"/>
      <c r="D102" s="19"/>
      <c r="E102" s="19"/>
      <c r="F102" s="19"/>
      <c r="G102" s="21"/>
    </row>
    <row r="103" customFormat="false" ht="15" hidden="false" customHeight="false" outlineLevel="0" collapsed="false">
      <c r="A103" s="21"/>
      <c r="B103" s="19"/>
      <c r="C103" s="19"/>
      <c r="D103" s="19"/>
      <c r="E103" s="19"/>
      <c r="F103" s="19"/>
      <c r="G103" s="21"/>
    </row>
    <row r="104" customFormat="false" ht="15" hidden="false" customHeight="false" outlineLevel="0" collapsed="false">
      <c r="A104" s="21"/>
      <c r="B104" s="19"/>
      <c r="C104" s="19"/>
      <c r="D104" s="19"/>
      <c r="E104" s="19"/>
      <c r="F104" s="19"/>
      <c r="G104" s="21"/>
    </row>
    <row r="105" customFormat="false" ht="15" hidden="false" customHeight="false" outlineLevel="0" collapsed="false">
      <c r="A105" s="21"/>
      <c r="B105" s="19"/>
      <c r="C105" s="19"/>
      <c r="D105" s="19"/>
      <c r="E105" s="19"/>
      <c r="F105" s="19"/>
      <c r="G105" s="21"/>
    </row>
    <row r="106" customFormat="false" ht="15" hidden="false" customHeight="false" outlineLevel="0" collapsed="false">
      <c r="A106" s="21"/>
      <c r="B106" s="19"/>
      <c r="C106" s="19"/>
      <c r="D106" s="19"/>
      <c r="E106" s="19"/>
      <c r="F106" s="19"/>
      <c r="G106" s="21"/>
    </row>
    <row r="107" customFormat="false" ht="15" hidden="false" customHeight="false" outlineLevel="0" collapsed="false">
      <c r="A107" s="21"/>
      <c r="B107" s="19"/>
      <c r="C107" s="19"/>
      <c r="D107" s="19"/>
      <c r="E107" s="19"/>
      <c r="F107" s="19"/>
      <c r="G107" s="21"/>
    </row>
    <row r="108" customFormat="false" ht="15" hidden="false" customHeight="false" outlineLevel="0" collapsed="false">
      <c r="A108" s="21"/>
      <c r="B108" s="19"/>
      <c r="C108" s="19"/>
      <c r="D108" s="19"/>
      <c r="E108" s="19"/>
      <c r="F108" s="19"/>
      <c r="G108" s="21"/>
    </row>
    <row r="109" customFormat="false" ht="15" hidden="false" customHeight="false" outlineLevel="0" collapsed="false">
      <c r="A109" s="21"/>
      <c r="B109" s="19"/>
      <c r="C109" s="19"/>
      <c r="D109" s="19"/>
      <c r="E109" s="19"/>
      <c r="F109" s="19"/>
      <c r="G109" s="21"/>
    </row>
    <row r="110" customFormat="false" ht="15" hidden="false" customHeight="false" outlineLevel="0" collapsed="false">
      <c r="A110" s="21"/>
      <c r="B110" s="19"/>
      <c r="C110" s="19"/>
      <c r="D110" s="19"/>
      <c r="E110" s="19"/>
      <c r="F110" s="19"/>
      <c r="G110" s="21"/>
    </row>
    <row r="111" customFormat="false" ht="15" hidden="false" customHeight="false" outlineLevel="0" collapsed="false">
      <c r="A111" s="21"/>
      <c r="B111" s="19"/>
      <c r="C111" s="19"/>
      <c r="D111" s="19"/>
      <c r="E111" s="19"/>
      <c r="F111" s="19"/>
      <c r="G111" s="21"/>
    </row>
    <row r="112" customFormat="false" ht="15" hidden="false" customHeight="false" outlineLevel="0" collapsed="false">
      <c r="A112" s="21"/>
      <c r="B112" s="19"/>
      <c r="C112" s="19"/>
      <c r="D112" s="19"/>
      <c r="E112" s="19"/>
      <c r="F112" s="19"/>
      <c r="G112" s="21"/>
    </row>
    <row r="113" customFormat="false" ht="15" hidden="false" customHeight="false" outlineLevel="0" collapsed="false">
      <c r="A113" s="21"/>
      <c r="B113" s="19"/>
      <c r="C113" s="19"/>
      <c r="D113" s="19"/>
      <c r="E113" s="19"/>
      <c r="F113" s="19"/>
      <c r="G113" s="21"/>
    </row>
    <row r="114" customFormat="false" ht="15" hidden="false" customHeight="false" outlineLevel="0" collapsed="false">
      <c r="A114" s="21"/>
      <c r="B114" s="19"/>
      <c r="C114" s="19"/>
      <c r="D114" s="19"/>
      <c r="E114" s="19"/>
      <c r="F114" s="19"/>
      <c r="G114" s="21"/>
    </row>
    <row r="115" customFormat="false" ht="15" hidden="false" customHeight="false" outlineLevel="0" collapsed="false">
      <c r="A115" s="21"/>
      <c r="B115" s="19"/>
      <c r="C115" s="19"/>
      <c r="D115" s="19"/>
      <c r="E115" s="19"/>
      <c r="F115" s="19"/>
      <c r="G115" s="21"/>
    </row>
    <row r="116" customFormat="false" ht="15" hidden="false" customHeight="false" outlineLevel="0" collapsed="false">
      <c r="A116" s="21"/>
      <c r="B116" s="19"/>
      <c r="C116" s="19"/>
      <c r="D116" s="19"/>
      <c r="E116" s="19"/>
      <c r="F116" s="19"/>
      <c r="G116" s="21"/>
    </row>
    <row r="117" customFormat="false" ht="15" hidden="false" customHeight="false" outlineLevel="0" collapsed="false">
      <c r="A117" s="21"/>
      <c r="B117" s="19"/>
      <c r="C117" s="19"/>
      <c r="D117" s="19"/>
      <c r="E117" s="19"/>
      <c r="F117" s="19"/>
      <c r="G117" s="21"/>
    </row>
    <row r="118" customFormat="false" ht="15" hidden="false" customHeight="false" outlineLevel="0" collapsed="false">
      <c r="A118" s="21"/>
      <c r="B118" s="19"/>
      <c r="C118" s="19"/>
      <c r="D118" s="19"/>
      <c r="E118" s="19"/>
      <c r="F118" s="19"/>
      <c r="G118" s="21"/>
    </row>
    <row r="119" customFormat="false" ht="15" hidden="false" customHeight="false" outlineLevel="0" collapsed="false">
      <c r="A119" s="21"/>
      <c r="B119" s="19"/>
      <c r="C119" s="19"/>
      <c r="D119" s="19"/>
      <c r="E119" s="19"/>
      <c r="F119" s="19"/>
      <c r="G119" s="21"/>
    </row>
    <row r="120" customFormat="false" ht="15" hidden="false" customHeight="false" outlineLevel="0" collapsed="false">
      <c r="A120" s="21"/>
      <c r="B120" s="19"/>
      <c r="C120" s="19"/>
      <c r="D120" s="19"/>
      <c r="E120" s="19"/>
      <c r="F120" s="19"/>
      <c r="G120" s="21"/>
    </row>
    <row r="121" customFormat="false" ht="15" hidden="false" customHeight="false" outlineLevel="0" collapsed="false">
      <c r="A121" s="21"/>
      <c r="B121" s="19"/>
      <c r="C121" s="19"/>
      <c r="D121" s="19"/>
      <c r="E121" s="19"/>
      <c r="F121" s="19"/>
      <c r="G121" s="21"/>
    </row>
    <row r="122" customFormat="false" ht="15" hidden="false" customHeight="false" outlineLevel="0" collapsed="false">
      <c r="A122" s="21"/>
      <c r="B122" s="19"/>
      <c r="C122" s="19"/>
      <c r="D122" s="19"/>
      <c r="E122" s="19"/>
      <c r="F122" s="19"/>
      <c r="G122" s="21"/>
    </row>
    <row r="123" customFormat="false" ht="15" hidden="false" customHeight="false" outlineLevel="0" collapsed="false">
      <c r="A123" s="21"/>
      <c r="B123" s="19"/>
      <c r="C123" s="19"/>
      <c r="D123" s="19"/>
      <c r="E123" s="19"/>
      <c r="F123" s="19"/>
      <c r="G123" s="21"/>
    </row>
    <row r="124" customFormat="false" ht="15" hidden="false" customHeight="false" outlineLevel="0" collapsed="false">
      <c r="A124" s="21"/>
      <c r="B124" s="19"/>
      <c r="C124" s="19"/>
      <c r="D124" s="19"/>
      <c r="E124" s="19"/>
      <c r="F124" s="19"/>
      <c r="G124" s="21"/>
    </row>
    <row r="125" customFormat="false" ht="15" hidden="false" customHeight="false" outlineLevel="0" collapsed="false">
      <c r="A125" s="21"/>
      <c r="B125" s="19"/>
      <c r="C125" s="19"/>
      <c r="D125" s="19"/>
      <c r="E125" s="19"/>
      <c r="F125" s="19"/>
      <c r="G125" s="21"/>
    </row>
    <row r="126" customFormat="false" ht="15" hidden="false" customHeight="false" outlineLevel="0" collapsed="false">
      <c r="A126" s="21"/>
      <c r="B126" s="19"/>
      <c r="C126" s="19"/>
      <c r="D126" s="19"/>
      <c r="E126" s="19"/>
      <c r="F126" s="19"/>
      <c r="G126" s="21"/>
    </row>
    <row r="127" customFormat="false" ht="15" hidden="false" customHeight="false" outlineLevel="0" collapsed="false">
      <c r="A127" s="21"/>
      <c r="B127" s="19"/>
      <c r="C127" s="19"/>
      <c r="D127" s="19"/>
      <c r="E127" s="19"/>
      <c r="F127" s="19"/>
      <c r="G127" s="21"/>
    </row>
    <row r="128" customFormat="false" ht="15" hidden="false" customHeight="false" outlineLevel="0" collapsed="false">
      <c r="A128" s="21"/>
      <c r="B128" s="19"/>
      <c r="C128" s="19"/>
      <c r="D128" s="19"/>
      <c r="E128" s="19"/>
      <c r="F128" s="19"/>
      <c r="G128" s="21"/>
    </row>
    <row r="129" customFormat="false" ht="15" hidden="false" customHeight="false" outlineLevel="0" collapsed="false">
      <c r="A129" s="21"/>
      <c r="B129" s="19"/>
      <c r="C129" s="19"/>
      <c r="D129" s="19"/>
      <c r="E129" s="19"/>
      <c r="F129" s="19"/>
      <c r="G129" s="21"/>
    </row>
    <row r="130" customFormat="false" ht="15" hidden="false" customHeight="false" outlineLevel="0" collapsed="false">
      <c r="A130" s="21"/>
      <c r="B130" s="19"/>
      <c r="C130" s="19"/>
      <c r="D130" s="19"/>
      <c r="E130" s="19"/>
      <c r="F130" s="19"/>
      <c r="G130" s="21"/>
    </row>
    <row r="131" customFormat="false" ht="15" hidden="false" customHeight="false" outlineLevel="0" collapsed="false">
      <c r="A131" s="21"/>
      <c r="B131" s="19"/>
      <c r="C131" s="19"/>
      <c r="D131" s="19"/>
      <c r="E131" s="19"/>
      <c r="F131" s="19"/>
      <c r="G131" s="21"/>
    </row>
    <row r="132" customFormat="false" ht="15" hidden="false" customHeight="false" outlineLevel="0" collapsed="false">
      <c r="A132" s="21"/>
      <c r="B132" s="19"/>
      <c r="C132" s="19"/>
      <c r="D132" s="19"/>
      <c r="E132" s="19"/>
      <c r="F132" s="19"/>
      <c r="G132" s="21"/>
    </row>
    <row r="133" customFormat="false" ht="15" hidden="false" customHeight="false" outlineLevel="0" collapsed="false">
      <c r="A133" s="21"/>
      <c r="B133" s="19"/>
      <c r="C133" s="19"/>
      <c r="D133" s="19"/>
      <c r="E133" s="19"/>
      <c r="F133" s="19"/>
      <c r="G133" s="21"/>
    </row>
    <row r="134" customFormat="false" ht="15" hidden="false" customHeight="false" outlineLevel="0" collapsed="false">
      <c r="A134" s="21"/>
      <c r="B134" s="19"/>
      <c r="C134" s="19"/>
      <c r="D134" s="19"/>
      <c r="E134" s="19"/>
      <c r="F134" s="19"/>
      <c r="G134" s="21"/>
    </row>
    <row r="135" customFormat="false" ht="15" hidden="false" customHeight="false" outlineLevel="0" collapsed="false">
      <c r="A135" s="21"/>
      <c r="B135" s="19"/>
      <c r="C135" s="19"/>
      <c r="D135" s="19"/>
      <c r="E135" s="19"/>
      <c r="F135" s="19"/>
      <c r="G135" s="21"/>
    </row>
    <row r="136" customFormat="false" ht="15" hidden="false" customHeight="false" outlineLevel="0" collapsed="false">
      <c r="A136" s="21"/>
      <c r="B136" s="19"/>
      <c r="C136" s="19"/>
      <c r="D136" s="19"/>
      <c r="E136" s="19"/>
      <c r="F136" s="19"/>
      <c r="G136" s="21"/>
    </row>
    <row r="137" customFormat="false" ht="15" hidden="false" customHeight="false" outlineLevel="0" collapsed="false">
      <c r="A137" s="21"/>
      <c r="B137" s="19"/>
      <c r="C137" s="19"/>
      <c r="D137" s="19"/>
      <c r="E137" s="19"/>
      <c r="F137" s="19"/>
      <c r="G137" s="21"/>
    </row>
    <row r="138" customFormat="false" ht="15" hidden="false" customHeight="false" outlineLevel="0" collapsed="false">
      <c r="A138" s="21"/>
      <c r="B138" s="19"/>
      <c r="C138" s="19"/>
      <c r="D138" s="19"/>
      <c r="E138" s="19"/>
      <c r="F138" s="19"/>
      <c r="G138" s="21"/>
    </row>
    <row r="139" customFormat="false" ht="15" hidden="false" customHeight="false" outlineLevel="0" collapsed="false">
      <c r="A139" s="21"/>
      <c r="B139" s="19"/>
      <c r="C139" s="19"/>
      <c r="D139" s="19"/>
      <c r="E139" s="19"/>
      <c r="F139" s="19"/>
      <c r="G139" s="21"/>
    </row>
    <row r="140" customFormat="false" ht="15" hidden="false" customHeight="false" outlineLevel="0" collapsed="false">
      <c r="A140" s="21"/>
      <c r="B140" s="19"/>
      <c r="C140" s="19"/>
      <c r="D140" s="19"/>
      <c r="E140" s="19"/>
      <c r="F140" s="19"/>
      <c r="G140" s="21"/>
    </row>
    <row r="141" customFormat="false" ht="15" hidden="false" customHeight="false" outlineLevel="0" collapsed="false">
      <c r="A141" s="21"/>
      <c r="B141" s="19"/>
      <c r="C141" s="19"/>
      <c r="D141" s="19"/>
      <c r="E141" s="19"/>
      <c r="F141" s="19"/>
      <c r="G141" s="21"/>
    </row>
    <row r="142" customFormat="false" ht="15" hidden="false" customHeight="false" outlineLevel="0" collapsed="false">
      <c r="A142" s="21"/>
      <c r="B142" s="19"/>
      <c r="C142" s="19"/>
      <c r="D142" s="19"/>
      <c r="E142" s="19"/>
      <c r="F142" s="19"/>
      <c r="G142" s="21"/>
    </row>
    <row r="143" customFormat="false" ht="15" hidden="false" customHeight="false" outlineLevel="0" collapsed="false">
      <c r="A143" s="21"/>
      <c r="B143" s="19"/>
      <c r="C143" s="19"/>
      <c r="D143" s="19"/>
      <c r="E143" s="19"/>
      <c r="F143" s="19"/>
      <c r="G143" s="21"/>
    </row>
    <row r="144" customFormat="false" ht="15" hidden="false" customHeight="false" outlineLevel="0" collapsed="false">
      <c r="A144" s="21"/>
      <c r="B144" s="19"/>
      <c r="C144" s="19"/>
      <c r="D144" s="19"/>
      <c r="E144" s="19"/>
      <c r="F144" s="19"/>
      <c r="G144" s="21"/>
    </row>
    <row r="145" customFormat="false" ht="15" hidden="false" customHeight="false" outlineLevel="0" collapsed="false">
      <c r="A145" s="21"/>
      <c r="B145" s="19"/>
      <c r="C145" s="19"/>
      <c r="D145" s="19"/>
      <c r="E145" s="19"/>
      <c r="F145" s="19"/>
      <c r="G145" s="21"/>
    </row>
    <row r="146" customFormat="false" ht="15" hidden="false" customHeight="false" outlineLevel="0" collapsed="false">
      <c r="A146" s="21"/>
      <c r="B146" s="19"/>
      <c r="C146" s="19"/>
      <c r="D146" s="19"/>
      <c r="E146" s="19"/>
      <c r="F146" s="19"/>
      <c r="G146" s="21"/>
    </row>
    <row r="147" customFormat="false" ht="15" hidden="false" customHeight="false" outlineLevel="0" collapsed="false">
      <c r="A147" s="21"/>
      <c r="B147" s="19"/>
      <c r="C147" s="19"/>
      <c r="D147" s="19"/>
      <c r="E147" s="19"/>
      <c r="F147" s="19"/>
      <c r="G147" s="21"/>
    </row>
    <row r="148" customFormat="false" ht="15" hidden="false" customHeight="false" outlineLevel="0" collapsed="false">
      <c r="A148" s="21"/>
      <c r="B148" s="19"/>
      <c r="C148" s="19"/>
      <c r="D148" s="19"/>
      <c r="E148" s="19"/>
      <c r="F148" s="19"/>
      <c r="G148" s="21"/>
    </row>
    <row r="149" customFormat="false" ht="15" hidden="false" customHeight="false" outlineLevel="0" collapsed="false">
      <c r="A149" s="21"/>
      <c r="B149" s="19"/>
      <c r="C149" s="19"/>
      <c r="D149" s="19"/>
      <c r="E149" s="19"/>
      <c r="F149" s="19"/>
      <c r="G149" s="21"/>
    </row>
    <row r="150" customFormat="false" ht="15" hidden="false" customHeight="false" outlineLevel="0" collapsed="false">
      <c r="A150" s="21"/>
      <c r="B150" s="19"/>
      <c r="C150" s="19"/>
      <c r="D150" s="19"/>
      <c r="E150" s="19"/>
      <c r="F150" s="19"/>
      <c r="G150" s="21"/>
    </row>
    <row r="151" customFormat="false" ht="15" hidden="false" customHeight="false" outlineLevel="0" collapsed="false">
      <c r="A151" s="21"/>
      <c r="B151" s="19"/>
      <c r="C151" s="19"/>
      <c r="D151" s="19"/>
      <c r="E151" s="19"/>
      <c r="F151" s="19"/>
      <c r="G151" s="21"/>
    </row>
    <row r="152" customFormat="false" ht="15" hidden="false" customHeight="false" outlineLevel="0" collapsed="false">
      <c r="A152" s="21"/>
      <c r="B152" s="19"/>
      <c r="C152" s="19"/>
      <c r="D152" s="19"/>
      <c r="E152" s="19"/>
      <c r="F152" s="19"/>
      <c r="G152" s="21"/>
    </row>
    <row r="153" customFormat="false" ht="15" hidden="false" customHeight="false" outlineLevel="0" collapsed="false">
      <c r="A153" s="21"/>
      <c r="B153" s="19"/>
      <c r="C153" s="19"/>
      <c r="D153" s="19"/>
      <c r="E153" s="19"/>
      <c r="F153" s="19"/>
      <c r="G153" s="21"/>
    </row>
    <row r="154" customFormat="false" ht="15" hidden="false" customHeight="false" outlineLevel="0" collapsed="false">
      <c r="A154" s="21"/>
      <c r="B154" s="19"/>
      <c r="C154" s="19"/>
      <c r="D154" s="19"/>
      <c r="E154" s="19"/>
      <c r="F154" s="19"/>
      <c r="G154" s="21"/>
    </row>
    <row r="155" customFormat="false" ht="15" hidden="false" customHeight="false" outlineLevel="0" collapsed="false">
      <c r="A155" s="21"/>
      <c r="B155" s="19"/>
      <c r="C155" s="19"/>
      <c r="D155" s="19"/>
      <c r="E155" s="19"/>
      <c r="F155" s="19"/>
      <c r="G155" s="21"/>
    </row>
    <row r="156" customFormat="false" ht="15" hidden="false" customHeight="false" outlineLevel="0" collapsed="false">
      <c r="A156" s="21"/>
      <c r="B156" s="19"/>
      <c r="C156" s="19"/>
      <c r="D156" s="19"/>
      <c r="E156" s="19"/>
      <c r="F156" s="19"/>
      <c r="G156" s="21"/>
    </row>
    <row r="157" customFormat="false" ht="15" hidden="false" customHeight="false" outlineLevel="0" collapsed="false">
      <c r="A157" s="21"/>
      <c r="B157" s="19"/>
      <c r="C157" s="19"/>
      <c r="D157" s="19"/>
      <c r="E157" s="19"/>
      <c r="F157" s="19"/>
      <c r="G157" s="21"/>
    </row>
    <row r="158" customFormat="false" ht="15" hidden="false" customHeight="false" outlineLevel="0" collapsed="false">
      <c r="A158" s="21"/>
      <c r="B158" s="19"/>
      <c r="C158" s="19"/>
      <c r="D158" s="19"/>
      <c r="E158" s="19"/>
      <c r="F158" s="19"/>
      <c r="G158" s="21"/>
    </row>
    <row r="159" customFormat="false" ht="15" hidden="false" customHeight="false" outlineLevel="0" collapsed="false">
      <c r="A159" s="21"/>
      <c r="B159" s="19"/>
      <c r="C159" s="19"/>
      <c r="D159" s="19"/>
      <c r="E159" s="19"/>
      <c r="F159" s="19"/>
      <c r="G159" s="21"/>
    </row>
    <row r="160" customFormat="false" ht="15" hidden="false" customHeight="false" outlineLevel="0" collapsed="false">
      <c r="A160" s="21"/>
      <c r="B160" s="19"/>
      <c r="C160" s="19"/>
      <c r="D160" s="19"/>
      <c r="E160" s="19"/>
      <c r="F160" s="19"/>
      <c r="G160" s="21"/>
    </row>
    <row r="161" customFormat="false" ht="15" hidden="false" customHeight="false" outlineLevel="0" collapsed="false">
      <c r="A161" s="21"/>
      <c r="B161" s="19"/>
      <c r="C161" s="19"/>
      <c r="D161" s="19"/>
      <c r="E161" s="19"/>
      <c r="F161" s="19"/>
      <c r="G161" s="21"/>
    </row>
    <row r="162" customFormat="false" ht="15" hidden="false" customHeight="false" outlineLevel="0" collapsed="false">
      <c r="A162" s="21"/>
      <c r="B162" s="19"/>
      <c r="C162" s="19"/>
      <c r="D162" s="19"/>
      <c r="E162" s="19"/>
      <c r="F162" s="19"/>
      <c r="G162" s="21"/>
    </row>
    <row r="163" customFormat="false" ht="15" hidden="false" customHeight="false" outlineLevel="0" collapsed="false">
      <c r="A163" s="21"/>
      <c r="B163" s="19"/>
      <c r="C163" s="19"/>
      <c r="D163" s="19"/>
      <c r="E163" s="19"/>
      <c r="F163" s="19"/>
      <c r="G163" s="21"/>
    </row>
    <row r="164" customFormat="false" ht="15" hidden="false" customHeight="false" outlineLevel="0" collapsed="false">
      <c r="A164" s="21"/>
      <c r="B164" s="19"/>
      <c r="C164" s="19"/>
      <c r="D164" s="19"/>
      <c r="E164" s="19"/>
      <c r="F164" s="19"/>
      <c r="G164" s="21"/>
    </row>
    <row r="165" customFormat="false" ht="15" hidden="false" customHeight="false" outlineLevel="0" collapsed="false">
      <c r="A165" s="21"/>
      <c r="B165" s="19"/>
      <c r="C165" s="19"/>
      <c r="D165" s="19"/>
      <c r="E165" s="19"/>
      <c r="F165" s="19"/>
      <c r="G165" s="21"/>
    </row>
    <row r="166" customFormat="false" ht="15" hidden="false" customHeight="false" outlineLevel="0" collapsed="false">
      <c r="A166" s="21"/>
      <c r="B166" s="19"/>
      <c r="C166" s="19"/>
      <c r="D166" s="19"/>
      <c r="E166" s="19"/>
      <c r="F166" s="19"/>
      <c r="G166" s="21"/>
    </row>
    <row r="167" customFormat="false" ht="15" hidden="false" customHeight="false" outlineLevel="0" collapsed="false">
      <c r="A167" s="21"/>
      <c r="B167" s="19"/>
      <c r="C167" s="19"/>
      <c r="D167" s="19"/>
      <c r="E167" s="19"/>
      <c r="F167" s="19"/>
      <c r="G167" s="21"/>
    </row>
    <row r="168" customFormat="false" ht="15" hidden="false" customHeight="false" outlineLevel="0" collapsed="false">
      <c r="A168" s="21"/>
      <c r="B168" s="19"/>
      <c r="C168" s="19"/>
      <c r="D168" s="19"/>
      <c r="E168" s="19"/>
      <c r="F168" s="19"/>
      <c r="G168" s="21"/>
    </row>
    <row r="169" customFormat="false" ht="15" hidden="false" customHeight="false" outlineLevel="0" collapsed="false">
      <c r="A169" s="21"/>
      <c r="B169" s="19"/>
      <c r="C169" s="19"/>
      <c r="D169" s="19"/>
      <c r="E169" s="19"/>
      <c r="F169" s="19"/>
      <c r="G169" s="21"/>
    </row>
    <row r="170" customFormat="false" ht="15" hidden="false" customHeight="false" outlineLevel="0" collapsed="false">
      <c r="A170" s="21"/>
      <c r="B170" s="19"/>
      <c r="C170" s="19"/>
      <c r="D170" s="19"/>
      <c r="E170" s="19"/>
      <c r="F170" s="19"/>
      <c r="G170" s="21"/>
    </row>
    <row r="171" customFormat="false" ht="15" hidden="false" customHeight="false" outlineLevel="0" collapsed="false">
      <c r="A171" s="21"/>
      <c r="B171" s="19"/>
      <c r="C171" s="19"/>
      <c r="D171" s="19"/>
      <c r="E171" s="19"/>
      <c r="F171" s="19"/>
      <c r="G171" s="21"/>
    </row>
    <row r="172" customFormat="false" ht="15" hidden="false" customHeight="false" outlineLevel="0" collapsed="false">
      <c r="A172" s="21"/>
      <c r="B172" s="19"/>
      <c r="C172" s="19"/>
      <c r="D172" s="19"/>
      <c r="E172" s="19"/>
      <c r="F172" s="19"/>
      <c r="G172" s="21"/>
    </row>
    <row r="173" customFormat="false" ht="15" hidden="false" customHeight="false" outlineLevel="0" collapsed="false">
      <c r="A173" s="21"/>
      <c r="B173" s="19"/>
      <c r="C173" s="19"/>
      <c r="D173" s="19"/>
      <c r="E173" s="19"/>
      <c r="F173" s="19"/>
      <c r="G173" s="21"/>
    </row>
    <row r="174" customFormat="false" ht="15" hidden="false" customHeight="false" outlineLevel="0" collapsed="false">
      <c r="A174" s="21"/>
      <c r="B174" s="19"/>
      <c r="C174" s="19"/>
      <c r="D174" s="19"/>
      <c r="E174" s="19"/>
      <c r="F174" s="19"/>
      <c r="G174" s="21"/>
    </row>
    <row r="175" customFormat="false" ht="15" hidden="false" customHeight="false" outlineLevel="0" collapsed="false">
      <c r="A175" s="21"/>
      <c r="B175" s="19"/>
      <c r="C175" s="19"/>
      <c r="D175" s="19"/>
      <c r="E175" s="19"/>
      <c r="F175" s="19"/>
      <c r="G175" s="21"/>
    </row>
    <row r="176" customFormat="false" ht="15" hidden="false" customHeight="false" outlineLevel="0" collapsed="false">
      <c r="A176" s="21"/>
      <c r="B176" s="19"/>
      <c r="C176" s="19"/>
      <c r="D176" s="19"/>
      <c r="E176" s="19"/>
      <c r="F176" s="19"/>
      <c r="G176" s="21"/>
    </row>
    <row r="177" customFormat="false" ht="15" hidden="false" customHeight="false" outlineLevel="0" collapsed="false">
      <c r="A177" s="21"/>
      <c r="B177" s="19"/>
      <c r="C177" s="19"/>
      <c r="D177" s="19"/>
      <c r="E177" s="19"/>
      <c r="F177" s="19"/>
      <c r="G177" s="21"/>
    </row>
    <row r="178" customFormat="false" ht="15" hidden="false" customHeight="false" outlineLevel="0" collapsed="false">
      <c r="A178" s="21"/>
      <c r="B178" s="19"/>
      <c r="C178" s="19"/>
      <c r="D178" s="19"/>
      <c r="E178" s="19"/>
      <c r="F178" s="19"/>
      <c r="G178" s="21"/>
    </row>
    <row r="179" customFormat="false" ht="15" hidden="false" customHeight="false" outlineLevel="0" collapsed="false">
      <c r="A179" s="21"/>
      <c r="B179" s="19"/>
      <c r="C179" s="19"/>
      <c r="D179" s="19"/>
      <c r="E179" s="19"/>
      <c r="F179" s="19"/>
      <c r="G179" s="21"/>
    </row>
    <row r="180" customFormat="false" ht="15" hidden="false" customHeight="false" outlineLevel="0" collapsed="false">
      <c r="A180" s="21"/>
      <c r="B180" s="19"/>
      <c r="C180" s="19"/>
      <c r="D180" s="19"/>
      <c r="E180" s="19"/>
      <c r="F180" s="19"/>
      <c r="G180" s="21"/>
    </row>
    <row r="181" customFormat="false" ht="15" hidden="false" customHeight="false" outlineLevel="0" collapsed="false">
      <c r="A181" s="21"/>
      <c r="B181" s="19"/>
      <c r="C181" s="19"/>
      <c r="D181" s="19"/>
      <c r="E181" s="19"/>
      <c r="F181" s="19"/>
      <c r="G181" s="21"/>
    </row>
    <row r="182" customFormat="false" ht="15" hidden="false" customHeight="false" outlineLevel="0" collapsed="false">
      <c r="A182" s="21"/>
      <c r="B182" s="19"/>
      <c r="C182" s="19"/>
      <c r="D182" s="19"/>
      <c r="E182" s="19"/>
      <c r="F182" s="19"/>
      <c r="G182" s="21"/>
    </row>
    <row r="183" customFormat="false" ht="15" hidden="false" customHeight="false" outlineLevel="0" collapsed="false">
      <c r="A183" s="21"/>
      <c r="B183" s="19"/>
      <c r="C183" s="19"/>
      <c r="D183" s="19"/>
      <c r="E183" s="19"/>
      <c r="F183" s="19"/>
      <c r="G183" s="21"/>
    </row>
    <row r="184" customFormat="false" ht="15" hidden="false" customHeight="false" outlineLevel="0" collapsed="false">
      <c r="A184" s="21"/>
      <c r="B184" s="19"/>
      <c r="C184" s="19"/>
      <c r="D184" s="19"/>
      <c r="E184" s="19"/>
      <c r="F184" s="19"/>
      <c r="G184" s="21"/>
    </row>
    <row r="185" customFormat="false" ht="15" hidden="false" customHeight="false" outlineLevel="0" collapsed="false">
      <c r="A185" s="21"/>
      <c r="B185" s="19"/>
      <c r="C185" s="19"/>
      <c r="D185" s="19"/>
      <c r="E185" s="19"/>
      <c r="F185" s="19"/>
      <c r="G185" s="21"/>
    </row>
    <row r="186" customFormat="false" ht="15" hidden="false" customHeight="false" outlineLevel="0" collapsed="false">
      <c r="A186" s="21"/>
      <c r="B186" s="19"/>
      <c r="C186" s="19"/>
      <c r="D186" s="19"/>
      <c r="E186" s="19"/>
      <c r="F186" s="19"/>
      <c r="G186" s="21"/>
    </row>
    <row r="187" customFormat="false" ht="15" hidden="false" customHeight="false" outlineLevel="0" collapsed="false">
      <c r="A187" s="21"/>
      <c r="B187" s="19"/>
      <c r="C187" s="19"/>
      <c r="D187" s="19"/>
      <c r="E187" s="19"/>
      <c r="F187" s="19"/>
      <c r="G187" s="21"/>
    </row>
    <row r="188" customFormat="false" ht="15" hidden="false" customHeight="false" outlineLevel="0" collapsed="false">
      <c r="A188" s="21"/>
      <c r="B188" s="19"/>
      <c r="C188" s="19"/>
      <c r="D188" s="19"/>
      <c r="E188" s="19"/>
      <c r="F188" s="19"/>
      <c r="G188" s="21"/>
    </row>
    <row r="189" customFormat="false" ht="15" hidden="false" customHeight="false" outlineLevel="0" collapsed="false">
      <c r="A189" s="21"/>
      <c r="B189" s="19"/>
      <c r="C189" s="19"/>
      <c r="D189" s="19"/>
      <c r="E189" s="19"/>
      <c r="F189" s="19"/>
      <c r="G189" s="21"/>
    </row>
    <row r="190" customFormat="false" ht="15" hidden="false" customHeight="false" outlineLevel="0" collapsed="false">
      <c r="A190" s="21"/>
      <c r="B190" s="19"/>
      <c r="C190" s="19"/>
      <c r="D190" s="19"/>
      <c r="E190" s="19"/>
      <c r="F190" s="19"/>
      <c r="G190" s="21"/>
    </row>
    <row r="191" customFormat="false" ht="15" hidden="false" customHeight="false" outlineLevel="0" collapsed="false">
      <c r="A191" s="21"/>
      <c r="B191" s="19"/>
      <c r="C191" s="19"/>
      <c r="D191" s="19"/>
      <c r="E191" s="19"/>
      <c r="F191" s="19"/>
      <c r="G191" s="21"/>
    </row>
    <row r="192" customFormat="false" ht="15" hidden="false" customHeight="false" outlineLevel="0" collapsed="false">
      <c r="A192" s="21"/>
      <c r="B192" s="19"/>
      <c r="C192" s="19"/>
      <c r="D192" s="19"/>
      <c r="E192" s="19"/>
      <c r="F192" s="19"/>
      <c r="G192" s="21"/>
    </row>
    <row r="193" customFormat="false" ht="15" hidden="false" customHeight="false" outlineLevel="0" collapsed="false">
      <c r="A193" s="21"/>
      <c r="B193" s="19"/>
      <c r="C193" s="19"/>
      <c r="D193" s="19"/>
      <c r="E193" s="19"/>
      <c r="F193" s="19"/>
      <c r="G193" s="21"/>
    </row>
    <row r="194" customFormat="false" ht="15" hidden="false" customHeight="false" outlineLevel="0" collapsed="false">
      <c r="A194" s="21"/>
      <c r="B194" s="19"/>
      <c r="C194" s="19"/>
      <c r="D194" s="19"/>
      <c r="E194" s="19"/>
      <c r="F194" s="19"/>
      <c r="G194" s="21"/>
    </row>
    <row r="195" customFormat="false" ht="15" hidden="false" customHeight="false" outlineLevel="0" collapsed="false">
      <c r="A195" s="21"/>
      <c r="B195" s="19"/>
      <c r="C195" s="19"/>
      <c r="D195" s="19"/>
      <c r="E195" s="19"/>
      <c r="F195" s="19"/>
      <c r="G195" s="21"/>
    </row>
    <row r="196" customFormat="false" ht="15" hidden="false" customHeight="false" outlineLevel="0" collapsed="false">
      <c r="A196" s="21"/>
      <c r="B196" s="19"/>
      <c r="C196" s="19"/>
      <c r="D196" s="19"/>
      <c r="E196" s="19"/>
      <c r="F196" s="19"/>
      <c r="G196" s="21"/>
    </row>
    <row r="197" customFormat="false" ht="15" hidden="false" customHeight="false" outlineLevel="0" collapsed="false">
      <c r="A197" s="21"/>
      <c r="B197" s="19"/>
      <c r="C197" s="19"/>
      <c r="D197" s="19"/>
      <c r="E197" s="19"/>
      <c r="F197" s="19"/>
      <c r="G197" s="21"/>
    </row>
    <row r="198" customFormat="false" ht="15" hidden="false" customHeight="false" outlineLevel="0" collapsed="false">
      <c r="A198" s="21"/>
      <c r="B198" s="19"/>
      <c r="C198" s="19"/>
      <c r="D198" s="19"/>
      <c r="E198" s="19"/>
      <c r="F198" s="19"/>
      <c r="G198" s="21"/>
    </row>
    <row r="199" customFormat="false" ht="15" hidden="false" customHeight="false" outlineLevel="0" collapsed="false">
      <c r="A199" s="21"/>
      <c r="B199" s="19"/>
      <c r="C199" s="19"/>
      <c r="D199" s="19"/>
      <c r="E199" s="19"/>
      <c r="F199" s="19"/>
      <c r="G199" s="21"/>
    </row>
    <row r="200" customFormat="false" ht="15" hidden="false" customHeight="false" outlineLevel="0" collapsed="false">
      <c r="A200" s="21"/>
      <c r="B200" s="19"/>
      <c r="C200" s="19"/>
      <c r="D200" s="19"/>
      <c r="E200" s="19"/>
      <c r="F200" s="19"/>
      <c r="G200" s="21"/>
    </row>
    <row r="201" customFormat="false" ht="15" hidden="false" customHeight="false" outlineLevel="0" collapsed="false">
      <c r="A201" s="21"/>
      <c r="B201" s="19"/>
      <c r="C201" s="19"/>
      <c r="D201" s="19"/>
      <c r="E201" s="19"/>
      <c r="F201" s="19"/>
      <c r="G201" s="21"/>
    </row>
    <row r="202" customFormat="false" ht="15" hidden="false" customHeight="false" outlineLevel="0" collapsed="false">
      <c r="A202" s="21"/>
      <c r="B202" s="19"/>
      <c r="C202" s="19"/>
      <c r="D202" s="19"/>
      <c r="E202" s="19"/>
      <c r="F202" s="19"/>
      <c r="G202" s="21"/>
    </row>
    <row r="203" customFormat="false" ht="15" hidden="false" customHeight="false" outlineLevel="0" collapsed="false">
      <c r="A203" s="21"/>
      <c r="B203" s="19"/>
      <c r="C203" s="19"/>
      <c r="D203" s="19"/>
      <c r="E203" s="19"/>
      <c r="F203" s="19"/>
      <c r="G203" s="21"/>
    </row>
    <row r="204" customFormat="false" ht="15" hidden="false" customHeight="false" outlineLevel="0" collapsed="false">
      <c r="A204" s="21"/>
      <c r="B204" s="19"/>
      <c r="C204" s="19"/>
      <c r="D204" s="19"/>
      <c r="E204" s="19"/>
      <c r="F204" s="19"/>
      <c r="G204" s="21"/>
    </row>
    <row r="205" customFormat="false" ht="15" hidden="false" customHeight="false" outlineLevel="0" collapsed="false">
      <c r="A205" s="21"/>
      <c r="B205" s="19"/>
      <c r="C205" s="19"/>
      <c r="D205" s="19"/>
      <c r="E205" s="19"/>
      <c r="F205" s="19"/>
      <c r="G205" s="21"/>
    </row>
    <row r="206" customFormat="false" ht="15" hidden="false" customHeight="false" outlineLevel="0" collapsed="false">
      <c r="A206" s="21"/>
      <c r="B206" s="19"/>
      <c r="C206" s="19"/>
      <c r="D206" s="19"/>
      <c r="E206" s="19"/>
      <c r="F206" s="19"/>
      <c r="G206" s="21"/>
    </row>
    <row r="207" customFormat="false" ht="15" hidden="false" customHeight="false" outlineLevel="0" collapsed="false">
      <c r="A207" s="21"/>
      <c r="B207" s="19"/>
      <c r="C207" s="19"/>
      <c r="D207" s="19"/>
      <c r="E207" s="19"/>
      <c r="F207" s="19"/>
      <c r="G207" s="21"/>
    </row>
    <row r="208" customFormat="false" ht="15" hidden="false" customHeight="false" outlineLevel="0" collapsed="false">
      <c r="A208" s="21"/>
      <c r="B208" s="19"/>
      <c r="C208" s="19"/>
      <c r="D208" s="19"/>
      <c r="E208" s="19"/>
      <c r="F208" s="19"/>
      <c r="G208" s="21"/>
    </row>
    <row r="209" customFormat="false" ht="15" hidden="false" customHeight="false" outlineLevel="0" collapsed="false">
      <c r="A209" s="21"/>
      <c r="B209" s="19"/>
      <c r="C209" s="19"/>
      <c r="D209" s="19"/>
      <c r="E209" s="19"/>
      <c r="F209" s="19"/>
      <c r="G209" s="21"/>
    </row>
    <row r="210" customFormat="false" ht="15" hidden="false" customHeight="false" outlineLevel="0" collapsed="false">
      <c r="A210" s="21"/>
      <c r="B210" s="19"/>
      <c r="C210" s="19"/>
      <c r="D210" s="19"/>
      <c r="E210" s="19"/>
      <c r="F210" s="19"/>
      <c r="G210" s="21"/>
    </row>
    <row r="211" customFormat="false" ht="15" hidden="false" customHeight="false" outlineLevel="0" collapsed="false">
      <c r="A211" s="21"/>
      <c r="B211" s="19"/>
      <c r="C211" s="19"/>
      <c r="D211" s="19"/>
      <c r="E211" s="19"/>
      <c r="F211" s="19"/>
      <c r="G211" s="21"/>
    </row>
    <row r="212" customFormat="false" ht="15" hidden="false" customHeight="false" outlineLevel="0" collapsed="false">
      <c r="A212" s="21"/>
      <c r="B212" s="19"/>
      <c r="C212" s="19"/>
      <c r="D212" s="19"/>
      <c r="E212" s="19"/>
      <c r="F212" s="19"/>
      <c r="G212" s="21"/>
    </row>
    <row r="213" customFormat="false" ht="15" hidden="false" customHeight="false" outlineLevel="0" collapsed="false">
      <c r="A213" s="21"/>
      <c r="B213" s="19"/>
      <c r="C213" s="19"/>
      <c r="D213" s="19"/>
      <c r="E213" s="19"/>
      <c r="F213" s="19"/>
      <c r="G213" s="21"/>
    </row>
    <row r="214" customFormat="false" ht="15" hidden="false" customHeight="false" outlineLevel="0" collapsed="false">
      <c r="A214" s="21"/>
      <c r="B214" s="19"/>
      <c r="C214" s="19"/>
      <c r="D214" s="19"/>
      <c r="E214" s="19"/>
      <c r="F214" s="19"/>
      <c r="G214" s="21"/>
    </row>
    <row r="215" customFormat="false" ht="15" hidden="false" customHeight="false" outlineLevel="0" collapsed="false">
      <c r="A215" s="21"/>
      <c r="B215" s="19"/>
      <c r="C215" s="19"/>
      <c r="D215" s="19"/>
      <c r="E215" s="19"/>
      <c r="F215" s="19"/>
      <c r="G215" s="21"/>
    </row>
    <row r="216" customFormat="false" ht="15" hidden="false" customHeight="false" outlineLevel="0" collapsed="false">
      <c r="A216" s="21"/>
      <c r="B216" s="19"/>
      <c r="C216" s="19"/>
      <c r="D216" s="19"/>
      <c r="E216" s="19"/>
      <c r="F216" s="19"/>
      <c r="G216" s="21"/>
    </row>
    <row r="217" customFormat="false" ht="15" hidden="false" customHeight="false" outlineLevel="0" collapsed="false">
      <c r="A217" s="21"/>
      <c r="B217" s="19"/>
      <c r="C217" s="19"/>
      <c r="D217" s="19"/>
      <c r="E217" s="19"/>
      <c r="F217" s="19"/>
      <c r="G217" s="21"/>
    </row>
    <row r="218" customFormat="false" ht="15" hidden="false" customHeight="false" outlineLevel="0" collapsed="false">
      <c r="A218" s="21"/>
      <c r="B218" s="19"/>
      <c r="C218" s="19"/>
      <c r="D218" s="19"/>
      <c r="E218" s="19"/>
      <c r="F218" s="19"/>
      <c r="G218" s="21"/>
    </row>
    <row r="219" customFormat="false" ht="15" hidden="false" customHeight="false" outlineLevel="0" collapsed="false">
      <c r="A219" s="21"/>
      <c r="B219" s="19"/>
      <c r="C219" s="19"/>
      <c r="D219" s="19"/>
      <c r="E219" s="19"/>
      <c r="F219" s="19"/>
      <c r="G219" s="21"/>
    </row>
    <row r="220" customFormat="false" ht="15" hidden="false" customHeight="false" outlineLevel="0" collapsed="false">
      <c r="A220" s="21"/>
      <c r="B220" s="19"/>
      <c r="C220" s="19"/>
      <c r="D220" s="19"/>
      <c r="E220" s="19"/>
      <c r="F220" s="19"/>
      <c r="G220" s="21"/>
    </row>
    <row r="221" customFormat="false" ht="15" hidden="false" customHeight="false" outlineLevel="0" collapsed="false">
      <c r="A221" s="21"/>
      <c r="B221" s="19"/>
      <c r="C221" s="19"/>
      <c r="D221" s="19"/>
      <c r="E221" s="19"/>
      <c r="F221" s="19"/>
      <c r="G221" s="21"/>
    </row>
    <row r="222" customFormat="false" ht="15" hidden="false" customHeight="false" outlineLevel="0" collapsed="false">
      <c r="A222" s="21"/>
      <c r="B222" s="19"/>
      <c r="C222" s="19"/>
      <c r="D222" s="19"/>
      <c r="E222" s="19"/>
      <c r="F222" s="19"/>
      <c r="G222" s="21"/>
    </row>
    <row r="223" customFormat="false" ht="15" hidden="false" customHeight="false" outlineLevel="0" collapsed="false">
      <c r="A223" s="21"/>
      <c r="B223" s="19"/>
      <c r="C223" s="19"/>
      <c r="D223" s="19"/>
      <c r="E223" s="19"/>
      <c r="F223" s="19"/>
      <c r="G223" s="21"/>
    </row>
    <row r="224" customFormat="false" ht="15" hidden="false" customHeight="false" outlineLevel="0" collapsed="false">
      <c r="A224" s="21"/>
      <c r="B224" s="19"/>
      <c r="C224" s="19"/>
      <c r="D224" s="19"/>
      <c r="E224" s="19"/>
      <c r="F224" s="19"/>
      <c r="G224" s="21"/>
    </row>
    <row r="225" customFormat="false" ht="15" hidden="false" customHeight="false" outlineLevel="0" collapsed="false">
      <c r="A225" s="21"/>
      <c r="B225" s="19"/>
      <c r="C225" s="19"/>
      <c r="D225" s="19"/>
      <c r="E225" s="19"/>
      <c r="F225" s="19"/>
      <c r="G225" s="21"/>
    </row>
    <row r="226" customFormat="false" ht="15" hidden="false" customHeight="false" outlineLevel="0" collapsed="false">
      <c r="A226" s="21"/>
      <c r="B226" s="19"/>
      <c r="C226" s="19"/>
      <c r="D226" s="19"/>
      <c r="E226" s="19"/>
      <c r="F226" s="19"/>
      <c r="G226" s="21"/>
    </row>
    <row r="227" customFormat="false" ht="15" hidden="false" customHeight="false" outlineLevel="0" collapsed="false">
      <c r="A227" s="21"/>
      <c r="B227" s="19"/>
      <c r="C227" s="19"/>
      <c r="D227" s="19"/>
      <c r="E227" s="19"/>
      <c r="F227" s="19"/>
      <c r="G227" s="21"/>
    </row>
    <row r="228" customFormat="false" ht="15" hidden="false" customHeight="false" outlineLevel="0" collapsed="false">
      <c r="A228" s="21"/>
      <c r="B228" s="19"/>
      <c r="C228" s="19"/>
      <c r="D228" s="19"/>
      <c r="E228" s="19"/>
      <c r="F228" s="19"/>
      <c r="G228" s="21"/>
    </row>
    <row r="229" customFormat="false" ht="15" hidden="false" customHeight="false" outlineLevel="0" collapsed="false">
      <c r="A229" s="21"/>
      <c r="B229" s="19"/>
      <c r="C229" s="19"/>
      <c r="D229" s="19"/>
      <c r="E229" s="19"/>
      <c r="F229" s="19"/>
      <c r="G229" s="21"/>
    </row>
    <row r="230" customFormat="false" ht="15" hidden="false" customHeight="false" outlineLevel="0" collapsed="false">
      <c r="A230" s="21"/>
      <c r="B230" s="19"/>
      <c r="C230" s="19"/>
      <c r="D230" s="19"/>
      <c r="E230" s="19"/>
      <c r="F230" s="19"/>
      <c r="G230" s="21"/>
    </row>
    <row r="231" customFormat="false" ht="15" hidden="false" customHeight="false" outlineLevel="0" collapsed="false">
      <c r="A231" s="21"/>
      <c r="B231" s="19"/>
      <c r="C231" s="19"/>
      <c r="D231" s="19"/>
      <c r="E231" s="19"/>
      <c r="F231" s="19"/>
      <c r="G231" s="21"/>
    </row>
    <row r="232" customFormat="false" ht="15" hidden="false" customHeight="false" outlineLevel="0" collapsed="false">
      <c r="A232" s="21"/>
      <c r="B232" s="19"/>
      <c r="C232" s="19"/>
      <c r="D232" s="19"/>
      <c r="E232" s="19"/>
      <c r="F232" s="19"/>
      <c r="G232" s="21"/>
    </row>
    <row r="233" customFormat="false" ht="15" hidden="false" customHeight="false" outlineLevel="0" collapsed="false">
      <c r="A233" s="21"/>
      <c r="B233" s="19"/>
      <c r="C233" s="19"/>
      <c r="D233" s="19"/>
      <c r="E233" s="19"/>
      <c r="F233" s="19"/>
      <c r="G233" s="21"/>
    </row>
    <row r="234" customFormat="false" ht="15" hidden="false" customHeight="false" outlineLevel="0" collapsed="false">
      <c r="A234" s="21"/>
      <c r="B234" s="19"/>
      <c r="C234" s="19"/>
      <c r="D234" s="19"/>
      <c r="E234" s="19"/>
      <c r="F234" s="19"/>
      <c r="G234" s="21"/>
    </row>
    <row r="235" customFormat="false" ht="15" hidden="false" customHeight="false" outlineLevel="0" collapsed="false">
      <c r="A235" s="21"/>
      <c r="B235" s="19"/>
      <c r="C235" s="19"/>
      <c r="D235" s="19"/>
      <c r="E235" s="19"/>
      <c r="F235" s="19"/>
      <c r="G235" s="21"/>
    </row>
    <row r="236" customFormat="false" ht="15" hidden="false" customHeight="false" outlineLevel="0" collapsed="false">
      <c r="A236" s="21"/>
      <c r="B236" s="19"/>
      <c r="C236" s="19"/>
      <c r="D236" s="19"/>
      <c r="E236" s="19"/>
      <c r="F236" s="19"/>
      <c r="G236" s="21"/>
    </row>
    <row r="237" customFormat="false" ht="15" hidden="false" customHeight="false" outlineLevel="0" collapsed="false">
      <c r="A237" s="21"/>
      <c r="B237" s="19"/>
      <c r="C237" s="19"/>
      <c r="D237" s="19"/>
      <c r="E237" s="19"/>
      <c r="F237" s="19"/>
      <c r="G237" s="21"/>
    </row>
    <row r="238" customFormat="false" ht="15" hidden="false" customHeight="false" outlineLevel="0" collapsed="false">
      <c r="A238" s="21"/>
      <c r="B238" s="19"/>
      <c r="C238" s="19"/>
      <c r="D238" s="19"/>
      <c r="E238" s="19"/>
      <c r="F238" s="19"/>
      <c r="G238" s="21"/>
    </row>
    <row r="239" customFormat="false" ht="15" hidden="false" customHeight="false" outlineLevel="0" collapsed="false">
      <c r="A239" s="21"/>
      <c r="B239" s="19"/>
      <c r="C239" s="19"/>
      <c r="D239" s="19"/>
      <c r="E239" s="19"/>
      <c r="F239" s="19"/>
      <c r="G239" s="21"/>
    </row>
    <row r="240" customFormat="false" ht="15" hidden="false" customHeight="false" outlineLevel="0" collapsed="false">
      <c r="A240" s="21"/>
      <c r="B240" s="19"/>
      <c r="C240" s="19"/>
      <c r="D240" s="19"/>
      <c r="E240" s="19"/>
      <c r="F240" s="19"/>
      <c r="G240" s="21"/>
    </row>
    <row r="241" customFormat="false" ht="15" hidden="false" customHeight="false" outlineLevel="0" collapsed="false">
      <c r="A241" s="21"/>
      <c r="B241" s="19"/>
      <c r="C241" s="19"/>
      <c r="D241" s="19"/>
      <c r="E241" s="19"/>
      <c r="F241" s="19"/>
      <c r="G241" s="21"/>
    </row>
    <row r="242" customFormat="false" ht="15" hidden="false" customHeight="false" outlineLevel="0" collapsed="false">
      <c r="A242" s="21"/>
      <c r="B242" s="19"/>
      <c r="C242" s="19"/>
      <c r="D242" s="19"/>
      <c r="E242" s="19"/>
      <c r="F242" s="19"/>
      <c r="G242" s="21"/>
    </row>
    <row r="243" customFormat="false" ht="15" hidden="false" customHeight="false" outlineLevel="0" collapsed="false">
      <c r="A243" s="21"/>
      <c r="B243" s="19"/>
      <c r="C243" s="19"/>
      <c r="D243" s="19"/>
      <c r="E243" s="19"/>
      <c r="F243" s="19"/>
      <c r="G243" s="21"/>
    </row>
    <row r="244" customFormat="false" ht="15" hidden="false" customHeight="false" outlineLevel="0" collapsed="false">
      <c r="A244" s="21"/>
      <c r="B244" s="19"/>
      <c r="C244" s="19"/>
      <c r="D244" s="19"/>
      <c r="E244" s="19"/>
      <c r="F244" s="19"/>
      <c r="G244" s="21"/>
    </row>
    <row r="245" customFormat="false" ht="15" hidden="false" customHeight="false" outlineLevel="0" collapsed="false">
      <c r="A245" s="21"/>
      <c r="B245" s="19"/>
      <c r="C245" s="19"/>
      <c r="D245" s="19"/>
      <c r="E245" s="19"/>
      <c r="F245" s="19"/>
      <c r="G245" s="21"/>
    </row>
    <row r="246" customFormat="false" ht="15" hidden="false" customHeight="false" outlineLevel="0" collapsed="false">
      <c r="A246" s="21"/>
      <c r="B246" s="19"/>
      <c r="C246" s="19"/>
      <c r="D246" s="19"/>
      <c r="E246" s="19"/>
      <c r="F246" s="19"/>
      <c r="G246" s="21"/>
    </row>
    <row r="247" customFormat="false" ht="15" hidden="false" customHeight="false" outlineLevel="0" collapsed="false">
      <c r="A247" s="21"/>
      <c r="B247" s="19"/>
      <c r="C247" s="19"/>
      <c r="D247" s="19"/>
      <c r="E247" s="19"/>
      <c r="F247" s="19"/>
      <c r="G247" s="21"/>
    </row>
    <row r="248" customFormat="false" ht="15" hidden="false" customHeight="false" outlineLevel="0" collapsed="false">
      <c r="A248" s="21"/>
      <c r="B248" s="19"/>
      <c r="C248" s="19"/>
      <c r="D248" s="19"/>
      <c r="E248" s="19"/>
      <c r="F248" s="19"/>
      <c r="G248" s="21"/>
    </row>
    <row r="249" customFormat="false" ht="15" hidden="false" customHeight="false" outlineLevel="0" collapsed="false">
      <c r="A249" s="21"/>
      <c r="B249" s="19"/>
      <c r="C249" s="19"/>
      <c r="D249" s="19"/>
      <c r="E249" s="19"/>
      <c r="F249" s="19"/>
      <c r="G249" s="21"/>
    </row>
    <row r="250" customFormat="false" ht="15" hidden="false" customHeight="false" outlineLevel="0" collapsed="false">
      <c r="A250" s="21"/>
      <c r="B250" s="19"/>
      <c r="C250" s="19"/>
      <c r="D250" s="19"/>
      <c r="E250" s="19"/>
      <c r="F250" s="19"/>
      <c r="G250" s="21"/>
    </row>
    <row r="251" customFormat="false" ht="15" hidden="false" customHeight="false" outlineLevel="0" collapsed="false">
      <c r="A251" s="21"/>
      <c r="B251" s="19"/>
      <c r="C251" s="19"/>
      <c r="D251" s="19"/>
      <c r="E251" s="19"/>
      <c r="F251" s="19"/>
      <c r="G251" s="21"/>
    </row>
    <row r="252" customFormat="false" ht="15" hidden="false" customHeight="false" outlineLevel="0" collapsed="false">
      <c r="A252" s="21"/>
      <c r="B252" s="19"/>
      <c r="C252" s="19"/>
      <c r="D252" s="19"/>
      <c r="E252" s="19"/>
      <c r="F252" s="19"/>
      <c r="G252" s="21"/>
    </row>
    <row r="253" customFormat="false" ht="15" hidden="false" customHeight="false" outlineLevel="0" collapsed="false">
      <c r="A253" s="21"/>
      <c r="B253" s="19"/>
      <c r="C253" s="19"/>
      <c r="D253" s="19"/>
      <c r="E253" s="19"/>
      <c r="F253" s="19"/>
      <c r="G253" s="21"/>
    </row>
    <row r="254" customFormat="false" ht="15" hidden="false" customHeight="false" outlineLevel="0" collapsed="false">
      <c r="A254" s="21"/>
      <c r="B254" s="19"/>
      <c r="C254" s="19"/>
      <c r="D254" s="19"/>
      <c r="E254" s="19"/>
      <c r="F254" s="19"/>
      <c r="G254" s="21"/>
    </row>
    <row r="255" customFormat="false" ht="15" hidden="false" customHeight="false" outlineLevel="0" collapsed="false">
      <c r="A255" s="21"/>
      <c r="B255" s="19"/>
      <c r="C255" s="19"/>
      <c r="D255" s="19"/>
      <c r="E255" s="19"/>
      <c r="F255" s="19"/>
      <c r="G255" s="21"/>
    </row>
    <row r="256" customFormat="false" ht="15" hidden="false" customHeight="false" outlineLevel="0" collapsed="false">
      <c r="A256" s="21"/>
      <c r="B256" s="19"/>
      <c r="C256" s="19"/>
      <c r="D256" s="19"/>
      <c r="E256" s="19"/>
      <c r="F256" s="19"/>
      <c r="G256" s="21"/>
    </row>
    <row r="257" customFormat="false" ht="15" hidden="false" customHeight="false" outlineLevel="0" collapsed="false">
      <c r="A257" s="21"/>
      <c r="B257" s="19"/>
      <c r="C257" s="19"/>
      <c r="D257" s="19"/>
      <c r="E257" s="19"/>
      <c r="F257" s="19"/>
      <c r="G257" s="21"/>
    </row>
    <row r="258" customFormat="false" ht="15" hidden="false" customHeight="false" outlineLevel="0" collapsed="false">
      <c r="A258" s="21"/>
      <c r="B258" s="19"/>
      <c r="C258" s="19"/>
      <c r="D258" s="19"/>
      <c r="E258" s="19"/>
      <c r="F258" s="19"/>
      <c r="G258" s="21"/>
    </row>
    <row r="259" customFormat="false" ht="15" hidden="false" customHeight="false" outlineLevel="0" collapsed="false">
      <c r="A259" s="21"/>
      <c r="B259" s="19"/>
      <c r="C259" s="19"/>
      <c r="D259" s="19"/>
      <c r="E259" s="19"/>
      <c r="F259" s="19"/>
      <c r="G259" s="21"/>
    </row>
    <row r="260" customFormat="false" ht="15" hidden="false" customHeight="false" outlineLevel="0" collapsed="false">
      <c r="A260" s="21"/>
      <c r="B260" s="19"/>
      <c r="C260" s="19"/>
      <c r="D260" s="19"/>
      <c r="E260" s="19"/>
      <c r="F260" s="19"/>
      <c r="G260" s="21"/>
    </row>
    <row r="261" customFormat="false" ht="15" hidden="false" customHeight="false" outlineLevel="0" collapsed="false">
      <c r="A261" s="21"/>
      <c r="B261" s="19"/>
      <c r="C261" s="19"/>
      <c r="D261" s="19"/>
      <c r="E261" s="19"/>
      <c r="F261" s="19"/>
      <c r="G261" s="21"/>
    </row>
    <row r="262" customFormat="false" ht="15" hidden="false" customHeight="false" outlineLevel="0" collapsed="false">
      <c r="A262" s="21"/>
      <c r="B262" s="19"/>
      <c r="C262" s="19"/>
      <c r="D262" s="19"/>
      <c r="E262" s="19"/>
      <c r="F262" s="19"/>
      <c r="G262" s="21"/>
    </row>
    <row r="263" customFormat="false" ht="15" hidden="false" customHeight="false" outlineLevel="0" collapsed="false">
      <c r="A263" s="21"/>
      <c r="B263" s="19"/>
      <c r="C263" s="19"/>
      <c r="D263" s="19"/>
      <c r="E263" s="19"/>
      <c r="F263" s="19"/>
      <c r="G263" s="21"/>
    </row>
    <row r="264" customFormat="false" ht="15" hidden="false" customHeight="false" outlineLevel="0" collapsed="false">
      <c r="A264" s="21"/>
      <c r="B264" s="19"/>
      <c r="C264" s="19"/>
      <c r="D264" s="19"/>
      <c r="E264" s="19"/>
      <c r="F264" s="19"/>
      <c r="G264" s="21"/>
    </row>
    <row r="265" customFormat="false" ht="15" hidden="false" customHeight="false" outlineLevel="0" collapsed="false">
      <c r="A265" s="21"/>
      <c r="B265" s="19"/>
      <c r="C265" s="19"/>
      <c r="D265" s="19"/>
      <c r="E265" s="19"/>
      <c r="F265" s="19"/>
      <c r="G265" s="21"/>
    </row>
    <row r="266" customFormat="false" ht="15" hidden="false" customHeight="false" outlineLevel="0" collapsed="false">
      <c r="A266" s="21"/>
      <c r="B266" s="19"/>
      <c r="C266" s="19"/>
      <c r="D266" s="19"/>
      <c r="E266" s="19"/>
      <c r="F266" s="19"/>
      <c r="G266" s="21"/>
    </row>
    <row r="267" customFormat="false" ht="15" hidden="false" customHeight="false" outlineLevel="0" collapsed="false">
      <c r="A267" s="21"/>
      <c r="B267" s="19"/>
      <c r="C267" s="19"/>
      <c r="D267" s="19"/>
      <c r="E267" s="19"/>
      <c r="F267" s="19"/>
      <c r="G267" s="21"/>
    </row>
    <row r="268" customFormat="false" ht="15" hidden="false" customHeight="false" outlineLevel="0" collapsed="false">
      <c r="A268" s="21"/>
      <c r="B268" s="19"/>
      <c r="C268" s="19"/>
      <c r="D268" s="19"/>
      <c r="E268" s="19"/>
      <c r="F268" s="19"/>
      <c r="G268" s="21"/>
    </row>
    <row r="269" customFormat="false" ht="15" hidden="false" customHeight="false" outlineLevel="0" collapsed="false">
      <c r="A269" s="21"/>
      <c r="B269" s="19"/>
      <c r="C269" s="19"/>
      <c r="D269" s="19"/>
      <c r="E269" s="19"/>
      <c r="F269" s="19"/>
      <c r="G269" s="21"/>
    </row>
    <row r="270" customFormat="false" ht="15" hidden="false" customHeight="false" outlineLevel="0" collapsed="false">
      <c r="A270" s="21"/>
      <c r="B270" s="19"/>
      <c r="C270" s="19"/>
      <c r="D270" s="19"/>
      <c r="E270" s="19"/>
      <c r="F270" s="19"/>
      <c r="G270" s="21"/>
    </row>
    <row r="271" customFormat="false" ht="15" hidden="false" customHeight="false" outlineLevel="0" collapsed="false">
      <c r="A271" s="21"/>
      <c r="B271" s="19"/>
      <c r="C271" s="19"/>
      <c r="D271" s="19"/>
      <c r="E271" s="19"/>
      <c r="F271" s="19"/>
      <c r="G271" s="21"/>
    </row>
    <row r="272" customFormat="false" ht="15" hidden="false" customHeight="false" outlineLevel="0" collapsed="false">
      <c r="A272" s="21"/>
      <c r="B272" s="19"/>
      <c r="C272" s="19"/>
      <c r="D272" s="19"/>
      <c r="E272" s="19"/>
      <c r="F272" s="19"/>
      <c r="G272" s="21"/>
    </row>
    <row r="273" customFormat="false" ht="15" hidden="false" customHeight="false" outlineLevel="0" collapsed="false">
      <c r="A273" s="21"/>
      <c r="B273" s="19"/>
      <c r="C273" s="19"/>
      <c r="D273" s="19"/>
      <c r="E273" s="19"/>
      <c r="F273" s="19"/>
      <c r="G273" s="21"/>
    </row>
    <row r="274" customFormat="false" ht="15" hidden="false" customHeight="false" outlineLevel="0" collapsed="false">
      <c r="A274" s="21"/>
      <c r="B274" s="19"/>
      <c r="C274" s="19"/>
      <c r="D274" s="19"/>
      <c r="E274" s="19"/>
      <c r="F274" s="19"/>
      <c r="G274" s="21"/>
    </row>
    <row r="275" customFormat="false" ht="15" hidden="false" customHeight="false" outlineLevel="0" collapsed="false">
      <c r="A275" s="21"/>
      <c r="B275" s="19"/>
      <c r="C275" s="19"/>
      <c r="D275" s="19"/>
      <c r="E275" s="19"/>
      <c r="F275" s="19"/>
      <c r="G275" s="21"/>
    </row>
    <row r="276" customFormat="false" ht="15" hidden="false" customHeight="false" outlineLevel="0" collapsed="false">
      <c r="A276" s="21"/>
      <c r="B276" s="19"/>
      <c r="C276" s="19"/>
      <c r="D276" s="19"/>
      <c r="E276" s="19"/>
      <c r="F276" s="19"/>
      <c r="G276" s="21"/>
    </row>
    <row r="277" customFormat="false" ht="15" hidden="false" customHeight="false" outlineLevel="0" collapsed="false">
      <c r="A277" s="21"/>
      <c r="B277" s="19"/>
      <c r="C277" s="19"/>
      <c r="D277" s="19"/>
      <c r="E277" s="19"/>
      <c r="F277" s="19"/>
      <c r="G277" s="21"/>
    </row>
    <row r="278" customFormat="false" ht="15" hidden="false" customHeight="false" outlineLevel="0" collapsed="false">
      <c r="A278" s="21"/>
      <c r="B278" s="19"/>
      <c r="C278" s="19"/>
      <c r="D278" s="19"/>
      <c r="E278" s="19"/>
      <c r="F278" s="19"/>
      <c r="G278" s="21"/>
    </row>
    <row r="279" customFormat="false" ht="15" hidden="false" customHeight="false" outlineLevel="0" collapsed="false">
      <c r="A279" s="21"/>
      <c r="B279" s="19"/>
      <c r="C279" s="19"/>
      <c r="D279" s="19"/>
      <c r="E279" s="19"/>
      <c r="F279" s="19"/>
      <c r="G279" s="21"/>
    </row>
    <row r="280" customFormat="false" ht="15" hidden="false" customHeight="false" outlineLevel="0" collapsed="false">
      <c r="A280" s="21"/>
      <c r="B280" s="19"/>
      <c r="C280" s="19"/>
      <c r="D280" s="19"/>
      <c r="E280" s="19"/>
      <c r="F280" s="19"/>
      <c r="G280" s="21"/>
    </row>
    <row r="281" customFormat="false" ht="15" hidden="false" customHeight="false" outlineLevel="0" collapsed="false">
      <c r="A281" s="21"/>
      <c r="B281" s="19"/>
      <c r="C281" s="19"/>
      <c r="D281" s="19"/>
      <c r="E281" s="19"/>
      <c r="F281" s="19"/>
      <c r="G281" s="21"/>
    </row>
    <row r="282" customFormat="false" ht="15" hidden="false" customHeight="false" outlineLevel="0" collapsed="false">
      <c r="A282" s="21"/>
      <c r="B282" s="19"/>
      <c r="C282" s="19"/>
      <c r="D282" s="19"/>
      <c r="E282" s="19"/>
      <c r="F282" s="19"/>
      <c r="G282" s="21"/>
    </row>
    <row r="283" customFormat="false" ht="15" hidden="false" customHeight="false" outlineLevel="0" collapsed="false">
      <c r="A283" s="21"/>
      <c r="B283" s="19"/>
      <c r="C283" s="19"/>
      <c r="D283" s="19"/>
      <c r="E283" s="19"/>
      <c r="F283" s="19"/>
      <c r="G283" s="21"/>
    </row>
    <row r="284" customFormat="false" ht="15" hidden="false" customHeight="false" outlineLevel="0" collapsed="false">
      <c r="A284" s="21"/>
      <c r="B284" s="19"/>
      <c r="C284" s="19"/>
      <c r="D284" s="19"/>
      <c r="E284" s="19"/>
      <c r="F284" s="19"/>
      <c r="G284" s="21"/>
    </row>
    <row r="285" customFormat="false" ht="15" hidden="false" customHeight="false" outlineLevel="0" collapsed="false">
      <c r="A285" s="21"/>
      <c r="B285" s="19"/>
      <c r="C285" s="19"/>
      <c r="D285" s="19"/>
      <c r="E285" s="19"/>
      <c r="F285" s="19"/>
      <c r="G285" s="21"/>
    </row>
    <row r="286" customFormat="false" ht="15" hidden="false" customHeight="false" outlineLevel="0" collapsed="false">
      <c r="A286" s="21"/>
      <c r="B286" s="19"/>
      <c r="C286" s="19"/>
      <c r="D286" s="19"/>
      <c r="E286" s="19"/>
      <c r="F286" s="19"/>
      <c r="G286" s="21"/>
    </row>
    <row r="287" customFormat="false" ht="15" hidden="false" customHeight="false" outlineLevel="0" collapsed="false">
      <c r="A287" s="21"/>
      <c r="B287" s="19"/>
      <c r="C287" s="19"/>
      <c r="D287" s="19"/>
      <c r="E287" s="19"/>
      <c r="F287" s="19"/>
      <c r="G287" s="21"/>
    </row>
    <row r="288" customFormat="false" ht="15" hidden="false" customHeight="false" outlineLevel="0" collapsed="false">
      <c r="A288" s="21"/>
      <c r="B288" s="19"/>
      <c r="C288" s="19"/>
      <c r="D288" s="19"/>
      <c r="E288" s="19"/>
      <c r="F288" s="19"/>
      <c r="G288" s="21"/>
    </row>
    <row r="289" customFormat="false" ht="15" hidden="false" customHeight="false" outlineLevel="0" collapsed="false">
      <c r="A289" s="21"/>
      <c r="B289" s="19"/>
      <c r="C289" s="19"/>
      <c r="D289" s="19"/>
      <c r="E289" s="19"/>
      <c r="F289" s="19"/>
      <c r="G289" s="21"/>
    </row>
    <row r="290" customFormat="false" ht="15" hidden="false" customHeight="false" outlineLevel="0" collapsed="false">
      <c r="A290" s="21"/>
      <c r="B290" s="19"/>
      <c r="C290" s="19"/>
      <c r="D290" s="19"/>
      <c r="E290" s="19"/>
      <c r="F290" s="19"/>
      <c r="G290" s="21"/>
    </row>
    <row r="291" customFormat="false" ht="15" hidden="false" customHeight="false" outlineLevel="0" collapsed="false">
      <c r="A291" s="21"/>
      <c r="B291" s="19"/>
      <c r="C291" s="19"/>
      <c r="D291" s="19"/>
      <c r="E291" s="19"/>
      <c r="F291" s="19"/>
      <c r="G291" s="21"/>
    </row>
    <row r="292" customFormat="false" ht="15" hidden="false" customHeight="false" outlineLevel="0" collapsed="false">
      <c r="A292" s="21"/>
      <c r="B292" s="19"/>
      <c r="C292" s="19"/>
      <c r="D292" s="19"/>
      <c r="E292" s="19"/>
      <c r="F292" s="19"/>
      <c r="G292" s="21"/>
    </row>
    <row r="293" customFormat="false" ht="15" hidden="false" customHeight="false" outlineLevel="0" collapsed="false">
      <c r="A293" s="21"/>
      <c r="B293" s="19"/>
      <c r="C293" s="19"/>
      <c r="D293" s="19"/>
      <c r="E293" s="19"/>
      <c r="F293" s="19"/>
      <c r="G293" s="21"/>
    </row>
    <row r="294" customFormat="false" ht="15" hidden="false" customHeight="false" outlineLevel="0" collapsed="false">
      <c r="A294" s="21"/>
      <c r="B294" s="19"/>
      <c r="C294" s="19"/>
      <c r="D294" s="19"/>
      <c r="E294" s="19"/>
      <c r="F294" s="19"/>
      <c r="G294" s="21"/>
    </row>
    <row r="295" customFormat="false" ht="15" hidden="false" customHeight="false" outlineLevel="0" collapsed="false">
      <c r="A295" s="21"/>
      <c r="B295" s="19"/>
      <c r="C295" s="19"/>
      <c r="D295" s="19"/>
      <c r="E295" s="19"/>
      <c r="F295" s="19"/>
      <c r="G295" s="21"/>
    </row>
    <row r="296" customFormat="false" ht="15" hidden="false" customHeight="false" outlineLevel="0" collapsed="false">
      <c r="A296" s="21"/>
      <c r="B296" s="19"/>
      <c r="C296" s="19"/>
      <c r="D296" s="19"/>
      <c r="E296" s="19"/>
      <c r="F296" s="19"/>
      <c r="G296" s="21"/>
    </row>
    <row r="297" customFormat="false" ht="15" hidden="false" customHeight="false" outlineLevel="0" collapsed="false">
      <c r="A297" s="21"/>
      <c r="B297" s="19"/>
      <c r="C297" s="19"/>
      <c r="D297" s="19"/>
      <c r="E297" s="19"/>
      <c r="F297" s="19"/>
      <c r="G297" s="21"/>
    </row>
    <row r="298" customFormat="false" ht="15" hidden="false" customHeight="false" outlineLevel="0" collapsed="false">
      <c r="A298" s="21"/>
      <c r="B298" s="19"/>
      <c r="C298" s="19"/>
      <c r="D298" s="19"/>
      <c r="E298" s="19"/>
      <c r="F298" s="19"/>
      <c r="G298" s="21"/>
    </row>
    <row r="299" customFormat="false" ht="15" hidden="false" customHeight="false" outlineLevel="0" collapsed="false">
      <c r="A299" s="21"/>
      <c r="B299" s="19"/>
      <c r="C299" s="19"/>
      <c r="D299" s="19"/>
      <c r="E299" s="19"/>
      <c r="F299" s="19"/>
      <c r="G299" s="21"/>
    </row>
    <row r="300" customFormat="false" ht="15" hidden="false" customHeight="false" outlineLevel="0" collapsed="false">
      <c r="A300" s="21"/>
      <c r="B300" s="19"/>
      <c r="C300" s="19"/>
      <c r="D300" s="19"/>
      <c r="E300" s="19"/>
      <c r="F300" s="19"/>
      <c r="G300" s="21"/>
    </row>
    <row r="301" customFormat="false" ht="15" hidden="false" customHeight="false" outlineLevel="0" collapsed="false">
      <c r="A301" s="21"/>
      <c r="B301" s="19"/>
      <c r="C301" s="19"/>
      <c r="D301" s="19"/>
      <c r="E301" s="19"/>
      <c r="F301" s="19"/>
      <c r="G301" s="21"/>
    </row>
    <row r="302" customFormat="false" ht="15" hidden="false" customHeight="false" outlineLevel="0" collapsed="false">
      <c r="A302" s="21"/>
      <c r="B302" s="19"/>
      <c r="C302" s="19"/>
      <c r="D302" s="19"/>
      <c r="E302" s="19"/>
      <c r="F302" s="19"/>
      <c r="G302" s="21"/>
    </row>
    <row r="303" customFormat="false" ht="15" hidden="false" customHeight="false" outlineLevel="0" collapsed="false">
      <c r="A303" s="21"/>
      <c r="B303" s="19"/>
      <c r="C303" s="19"/>
      <c r="D303" s="19"/>
      <c r="E303" s="19"/>
      <c r="F303" s="19"/>
      <c r="G303" s="21"/>
    </row>
    <row r="304" customFormat="false" ht="15" hidden="false" customHeight="false" outlineLevel="0" collapsed="false">
      <c r="A304" s="21"/>
      <c r="B304" s="19"/>
      <c r="C304" s="19"/>
      <c r="D304" s="19"/>
      <c r="E304" s="19"/>
      <c r="F304" s="19"/>
      <c r="G304" s="21"/>
    </row>
    <row r="305" customFormat="false" ht="15" hidden="false" customHeight="false" outlineLevel="0" collapsed="false">
      <c r="A305" s="21"/>
      <c r="B305" s="19"/>
      <c r="C305" s="19"/>
      <c r="D305" s="19"/>
      <c r="E305" s="19"/>
      <c r="F305" s="19"/>
      <c r="G305" s="21"/>
    </row>
    <row r="306" customFormat="false" ht="15" hidden="false" customHeight="false" outlineLevel="0" collapsed="false">
      <c r="A306" s="21"/>
      <c r="B306" s="19"/>
      <c r="C306" s="19"/>
      <c r="D306" s="19"/>
      <c r="E306" s="19"/>
      <c r="F306" s="19"/>
      <c r="G306" s="21"/>
    </row>
    <row r="307" customFormat="false" ht="15" hidden="false" customHeight="false" outlineLevel="0" collapsed="false">
      <c r="A307" s="21"/>
      <c r="B307" s="19"/>
      <c r="C307" s="19"/>
      <c r="D307" s="19"/>
      <c r="E307" s="19"/>
      <c r="F307" s="19"/>
      <c r="G307" s="21"/>
    </row>
    <row r="308" customFormat="false" ht="15" hidden="false" customHeight="false" outlineLevel="0" collapsed="false">
      <c r="A308" s="21"/>
      <c r="B308" s="19"/>
      <c r="C308" s="19"/>
      <c r="D308" s="19"/>
      <c r="E308" s="19"/>
      <c r="F308" s="19"/>
      <c r="G308" s="21"/>
    </row>
    <row r="309" customFormat="false" ht="15" hidden="false" customHeight="false" outlineLevel="0" collapsed="false">
      <c r="A309" s="21"/>
      <c r="B309" s="19"/>
      <c r="C309" s="19"/>
      <c r="D309" s="19"/>
      <c r="E309" s="19"/>
      <c r="F309" s="19"/>
      <c r="G309" s="21"/>
    </row>
    <row r="310" customFormat="false" ht="15" hidden="false" customHeight="false" outlineLevel="0" collapsed="false">
      <c r="A310" s="21"/>
      <c r="B310" s="19"/>
      <c r="C310" s="19"/>
      <c r="D310" s="19"/>
      <c r="E310" s="19"/>
      <c r="F310" s="19"/>
      <c r="G310" s="21"/>
    </row>
    <row r="311" customFormat="false" ht="15" hidden="false" customHeight="false" outlineLevel="0" collapsed="false">
      <c r="A311" s="21"/>
      <c r="B311" s="19"/>
      <c r="C311" s="19"/>
      <c r="D311" s="19"/>
      <c r="E311" s="19"/>
      <c r="F311" s="19"/>
      <c r="G311" s="21"/>
    </row>
    <row r="312" customFormat="false" ht="15" hidden="false" customHeight="false" outlineLevel="0" collapsed="false">
      <c r="A312" s="21"/>
      <c r="B312" s="19"/>
      <c r="C312" s="19"/>
      <c r="D312" s="19"/>
      <c r="E312" s="19"/>
      <c r="F312" s="19"/>
      <c r="G312" s="21"/>
    </row>
    <row r="313" customFormat="false" ht="15" hidden="false" customHeight="false" outlineLevel="0" collapsed="false">
      <c r="A313" s="21"/>
      <c r="B313" s="19"/>
      <c r="C313" s="19"/>
      <c r="D313" s="19"/>
      <c r="E313" s="19"/>
      <c r="F313" s="19"/>
      <c r="G313" s="21"/>
    </row>
    <row r="314" customFormat="false" ht="15" hidden="false" customHeight="false" outlineLevel="0" collapsed="false">
      <c r="A314" s="21"/>
      <c r="B314" s="19"/>
      <c r="C314" s="19"/>
      <c r="D314" s="19"/>
      <c r="E314" s="19"/>
      <c r="F314" s="19"/>
      <c r="G314" s="21"/>
    </row>
    <row r="315" customFormat="false" ht="15" hidden="false" customHeight="false" outlineLevel="0" collapsed="false">
      <c r="A315" s="21"/>
      <c r="B315" s="19"/>
      <c r="C315" s="19"/>
      <c r="D315" s="19"/>
      <c r="E315" s="19"/>
      <c r="F315" s="19"/>
      <c r="G315" s="21"/>
    </row>
    <row r="316" customFormat="false" ht="15" hidden="false" customHeight="false" outlineLevel="0" collapsed="false">
      <c r="A316" s="21"/>
      <c r="B316" s="19"/>
      <c r="C316" s="19"/>
      <c r="D316" s="19"/>
      <c r="E316" s="19"/>
      <c r="F316" s="19"/>
      <c r="G316" s="21"/>
    </row>
    <row r="317" customFormat="false" ht="15" hidden="false" customHeight="false" outlineLevel="0" collapsed="false">
      <c r="A317" s="21"/>
      <c r="B317" s="19"/>
      <c r="C317" s="19"/>
      <c r="D317" s="19"/>
      <c r="E317" s="19"/>
      <c r="F317" s="19"/>
      <c r="G317" s="21"/>
    </row>
    <row r="318" customFormat="false" ht="15" hidden="false" customHeight="false" outlineLevel="0" collapsed="false">
      <c r="A318" s="21"/>
      <c r="B318" s="19"/>
      <c r="C318" s="19"/>
      <c r="D318" s="19"/>
      <c r="E318" s="19"/>
      <c r="F318" s="19"/>
      <c r="G318" s="21"/>
    </row>
    <row r="319" customFormat="false" ht="15" hidden="false" customHeight="false" outlineLevel="0" collapsed="false">
      <c r="A319" s="21"/>
      <c r="B319" s="19"/>
      <c r="C319" s="19"/>
      <c r="D319" s="19"/>
      <c r="E319" s="19"/>
      <c r="F319" s="19"/>
      <c r="G319" s="21"/>
    </row>
    <row r="320" customFormat="false" ht="15" hidden="false" customHeight="false" outlineLevel="0" collapsed="false">
      <c r="A320" s="21"/>
      <c r="B320" s="19"/>
      <c r="C320" s="19"/>
      <c r="D320" s="19"/>
      <c r="E320" s="19"/>
      <c r="F320" s="19"/>
      <c r="G320" s="21"/>
    </row>
    <row r="321" customFormat="false" ht="15" hidden="false" customHeight="false" outlineLevel="0" collapsed="false">
      <c r="A321" s="21"/>
      <c r="B321" s="19"/>
      <c r="C321" s="19"/>
      <c r="D321" s="19"/>
      <c r="E321" s="19"/>
      <c r="F321" s="19"/>
      <c r="G321" s="21"/>
    </row>
    <row r="322" customFormat="false" ht="15" hidden="false" customHeight="false" outlineLevel="0" collapsed="false">
      <c r="A322" s="21"/>
      <c r="B322" s="19"/>
      <c r="C322" s="19"/>
      <c r="D322" s="19"/>
      <c r="E322" s="19"/>
      <c r="F322" s="19"/>
      <c r="G322" s="21"/>
    </row>
    <row r="323" customFormat="false" ht="15" hidden="false" customHeight="false" outlineLevel="0" collapsed="false">
      <c r="A323" s="21"/>
      <c r="B323" s="19"/>
      <c r="C323" s="19"/>
      <c r="D323" s="19"/>
      <c r="E323" s="19"/>
      <c r="F323" s="19"/>
      <c r="G323" s="21"/>
    </row>
    <row r="324" customFormat="false" ht="15" hidden="false" customHeight="false" outlineLevel="0" collapsed="false">
      <c r="A324" s="21"/>
      <c r="B324" s="19"/>
      <c r="C324" s="19"/>
      <c r="D324" s="19"/>
      <c r="E324" s="19"/>
      <c r="F324" s="19"/>
      <c r="G324" s="21"/>
    </row>
    <row r="325" customFormat="false" ht="15" hidden="false" customHeight="false" outlineLevel="0" collapsed="false">
      <c r="A325" s="21"/>
      <c r="B325" s="19"/>
      <c r="C325" s="19"/>
      <c r="D325" s="19"/>
      <c r="E325" s="19"/>
      <c r="F325" s="19"/>
      <c r="G325" s="21"/>
    </row>
    <row r="326" customFormat="false" ht="15" hidden="false" customHeight="false" outlineLevel="0" collapsed="false">
      <c r="A326" s="21"/>
      <c r="B326" s="19"/>
      <c r="C326" s="19"/>
      <c r="D326" s="19"/>
      <c r="E326" s="19"/>
      <c r="F326" s="19"/>
      <c r="G326" s="21"/>
    </row>
    <row r="327" customFormat="false" ht="15" hidden="false" customHeight="false" outlineLevel="0" collapsed="false">
      <c r="A327" s="21"/>
      <c r="B327" s="19"/>
      <c r="C327" s="19"/>
      <c r="D327" s="19"/>
      <c r="E327" s="19"/>
      <c r="F327" s="19"/>
      <c r="G327" s="21"/>
    </row>
    <row r="328" customFormat="false" ht="15" hidden="false" customHeight="false" outlineLevel="0" collapsed="false">
      <c r="A328" s="21"/>
      <c r="B328" s="19"/>
      <c r="C328" s="19"/>
      <c r="D328" s="19"/>
      <c r="E328" s="19"/>
      <c r="F328" s="19"/>
      <c r="G328" s="21"/>
    </row>
    <row r="329" customFormat="false" ht="15" hidden="false" customHeight="false" outlineLevel="0" collapsed="false">
      <c r="A329" s="21"/>
      <c r="B329" s="19"/>
      <c r="C329" s="19"/>
      <c r="D329" s="19"/>
      <c r="E329" s="19"/>
      <c r="F329" s="19"/>
      <c r="G329" s="21"/>
    </row>
    <row r="330" customFormat="false" ht="15" hidden="false" customHeight="false" outlineLevel="0" collapsed="false">
      <c r="A330" s="21"/>
      <c r="B330" s="19"/>
      <c r="C330" s="19"/>
      <c r="D330" s="19"/>
      <c r="E330" s="19"/>
      <c r="F330" s="19"/>
      <c r="G330" s="21"/>
    </row>
    <row r="331" customFormat="false" ht="15" hidden="false" customHeight="false" outlineLevel="0" collapsed="false">
      <c r="A331" s="21"/>
      <c r="B331" s="19"/>
      <c r="C331" s="19"/>
      <c r="D331" s="19"/>
      <c r="E331" s="19"/>
      <c r="F331" s="19"/>
      <c r="G331" s="21"/>
    </row>
    <row r="332" customFormat="false" ht="15" hidden="false" customHeight="false" outlineLevel="0" collapsed="false">
      <c r="A332" s="21"/>
      <c r="B332" s="19"/>
      <c r="C332" s="19"/>
      <c r="D332" s="19"/>
      <c r="E332" s="19"/>
      <c r="F332" s="19"/>
      <c r="G332" s="21"/>
    </row>
    <row r="333" customFormat="false" ht="15" hidden="false" customHeight="false" outlineLevel="0" collapsed="false">
      <c r="A333" s="21"/>
      <c r="B333" s="19"/>
      <c r="C333" s="19"/>
      <c r="D333" s="19"/>
      <c r="E333" s="19"/>
      <c r="F333" s="19"/>
      <c r="G333" s="21"/>
    </row>
    <row r="334" customFormat="false" ht="15" hidden="false" customHeight="false" outlineLevel="0" collapsed="false">
      <c r="A334" s="21"/>
      <c r="B334" s="19"/>
      <c r="C334" s="19"/>
      <c r="D334" s="19"/>
      <c r="E334" s="19"/>
      <c r="F334" s="19"/>
      <c r="G334" s="21"/>
    </row>
    <row r="335" customFormat="false" ht="15" hidden="false" customHeight="false" outlineLevel="0" collapsed="false">
      <c r="A335" s="21"/>
      <c r="B335" s="19"/>
      <c r="C335" s="19"/>
      <c r="D335" s="19"/>
      <c r="E335" s="19"/>
      <c r="F335" s="19"/>
      <c r="G335" s="21"/>
    </row>
    <row r="336" customFormat="false" ht="15" hidden="false" customHeight="false" outlineLevel="0" collapsed="false">
      <c r="A336" s="21"/>
      <c r="B336" s="19"/>
      <c r="C336" s="19"/>
      <c r="D336" s="19"/>
      <c r="E336" s="19"/>
      <c r="F336" s="19"/>
      <c r="G336" s="21"/>
    </row>
    <row r="337" customFormat="false" ht="15" hidden="false" customHeight="false" outlineLevel="0" collapsed="false">
      <c r="A337" s="21"/>
      <c r="B337" s="19"/>
      <c r="C337" s="19"/>
      <c r="D337" s="19"/>
      <c r="E337" s="19"/>
      <c r="F337" s="19"/>
      <c r="G337" s="21"/>
    </row>
    <row r="338" customFormat="false" ht="15" hidden="false" customHeight="false" outlineLevel="0" collapsed="false">
      <c r="A338" s="21"/>
      <c r="B338" s="19"/>
      <c r="C338" s="19"/>
      <c r="D338" s="19"/>
      <c r="E338" s="19"/>
      <c r="F338" s="19"/>
      <c r="G338" s="21"/>
    </row>
    <row r="339" customFormat="false" ht="15" hidden="false" customHeight="false" outlineLevel="0" collapsed="false">
      <c r="A339" s="21"/>
      <c r="B339" s="19"/>
      <c r="C339" s="19"/>
      <c r="D339" s="19"/>
      <c r="E339" s="19"/>
      <c r="F339" s="19"/>
      <c r="G339" s="21"/>
    </row>
    <row r="340" customFormat="false" ht="15" hidden="false" customHeight="false" outlineLevel="0" collapsed="false">
      <c r="A340" s="21"/>
      <c r="B340" s="19"/>
      <c r="C340" s="19"/>
      <c r="D340" s="19"/>
      <c r="E340" s="19"/>
      <c r="F340" s="19"/>
      <c r="G340" s="21"/>
    </row>
    <row r="341" customFormat="false" ht="15" hidden="false" customHeight="false" outlineLevel="0" collapsed="false">
      <c r="A341" s="21"/>
      <c r="B341" s="19"/>
      <c r="C341" s="19"/>
      <c r="D341" s="19"/>
      <c r="E341" s="19"/>
      <c r="F341" s="19"/>
      <c r="G341" s="21"/>
    </row>
    <row r="342" customFormat="false" ht="15" hidden="false" customHeight="false" outlineLevel="0" collapsed="false">
      <c r="A342" s="21"/>
      <c r="B342" s="19"/>
      <c r="C342" s="19"/>
      <c r="D342" s="19"/>
      <c r="E342" s="19"/>
      <c r="F342" s="19"/>
      <c r="G342" s="21"/>
    </row>
    <row r="343" customFormat="false" ht="15" hidden="false" customHeight="false" outlineLevel="0" collapsed="false">
      <c r="A343" s="21"/>
      <c r="B343" s="19"/>
      <c r="C343" s="19"/>
      <c r="D343" s="19"/>
      <c r="E343" s="19"/>
      <c r="F343" s="19"/>
      <c r="G343" s="21"/>
    </row>
    <row r="344" customFormat="false" ht="15" hidden="false" customHeight="false" outlineLevel="0" collapsed="false">
      <c r="A344" s="21"/>
      <c r="B344" s="19"/>
      <c r="C344" s="19"/>
      <c r="D344" s="19"/>
      <c r="E344" s="19"/>
      <c r="F344" s="19"/>
      <c r="G344" s="21"/>
    </row>
    <row r="345" customFormat="false" ht="15" hidden="false" customHeight="false" outlineLevel="0" collapsed="false">
      <c r="A345" s="21"/>
      <c r="B345" s="19"/>
      <c r="C345" s="19"/>
      <c r="D345" s="19"/>
      <c r="E345" s="19"/>
      <c r="F345" s="19"/>
      <c r="G345" s="21"/>
    </row>
    <row r="346" customFormat="false" ht="15" hidden="false" customHeight="false" outlineLevel="0" collapsed="false">
      <c r="A346" s="21"/>
      <c r="B346" s="19"/>
      <c r="C346" s="19"/>
      <c r="D346" s="19"/>
      <c r="E346" s="19"/>
      <c r="F346" s="19"/>
      <c r="G346" s="21"/>
    </row>
    <row r="347" customFormat="false" ht="15" hidden="false" customHeight="false" outlineLevel="0" collapsed="false">
      <c r="A347" s="21"/>
      <c r="B347" s="19"/>
      <c r="C347" s="19"/>
      <c r="D347" s="19"/>
      <c r="E347" s="19"/>
      <c r="F347" s="19"/>
      <c r="G347" s="21"/>
    </row>
    <row r="348" customFormat="false" ht="15" hidden="false" customHeight="false" outlineLevel="0" collapsed="false">
      <c r="A348" s="21"/>
      <c r="B348" s="19"/>
      <c r="C348" s="19"/>
      <c r="D348" s="19"/>
      <c r="E348" s="19"/>
      <c r="F348" s="19"/>
      <c r="G348" s="21"/>
    </row>
    <row r="349" customFormat="false" ht="15" hidden="false" customHeight="false" outlineLevel="0" collapsed="false">
      <c r="A349" s="21"/>
      <c r="B349" s="19"/>
      <c r="C349" s="19"/>
      <c r="D349" s="19"/>
      <c r="E349" s="19"/>
      <c r="F349" s="19"/>
      <c r="G349" s="21"/>
    </row>
    <row r="350" customFormat="false" ht="15" hidden="false" customHeight="false" outlineLevel="0" collapsed="false">
      <c r="A350" s="21"/>
      <c r="B350" s="19"/>
      <c r="C350" s="19"/>
      <c r="D350" s="19"/>
      <c r="E350" s="19"/>
      <c r="F350" s="19"/>
      <c r="G350" s="21"/>
    </row>
    <row r="351" customFormat="false" ht="15" hidden="false" customHeight="false" outlineLevel="0" collapsed="false">
      <c r="A351" s="21"/>
      <c r="B351" s="19"/>
      <c r="C351" s="19"/>
      <c r="D351" s="19"/>
      <c r="E351" s="19"/>
      <c r="F351" s="19"/>
      <c r="G351" s="21"/>
    </row>
    <row r="352" customFormat="false" ht="15" hidden="false" customHeight="false" outlineLevel="0" collapsed="false">
      <c r="A352" s="21"/>
      <c r="B352" s="19"/>
      <c r="C352" s="19"/>
      <c r="D352" s="19"/>
      <c r="E352" s="19"/>
      <c r="F352" s="19"/>
      <c r="G352" s="21"/>
    </row>
    <row r="353" customFormat="false" ht="15" hidden="false" customHeight="false" outlineLevel="0" collapsed="false">
      <c r="A353" s="21"/>
      <c r="B353" s="19"/>
      <c r="C353" s="19"/>
      <c r="D353" s="19"/>
      <c r="E353" s="19"/>
      <c r="F353" s="19"/>
      <c r="G353" s="21"/>
    </row>
    <row r="354" customFormat="false" ht="15" hidden="false" customHeight="false" outlineLevel="0" collapsed="false">
      <c r="A354" s="21"/>
      <c r="B354" s="19"/>
      <c r="C354" s="19"/>
      <c r="D354" s="19"/>
      <c r="E354" s="19"/>
      <c r="F354" s="19"/>
      <c r="G354" s="21"/>
    </row>
    <row r="355" customFormat="false" ht="15" hidden="false" customHeight="false" outlineLevel="0" collapsed="false">
      <c r="A355" s="21"/>
      <c r="B355" s="19"/>
      <c r="C355" s="19"/>
      <c r="D355" s="19"/>
      <c r="E355" s="19"/>
      <c r="F355" s="19"/>
      <c r="G355" s="21"/>
    </row>
    <row r="356" customFormat="false" ht="15" hidden="false" customHeight="false" outlineLevel="0" collapsed="false">
      <c r="A356" s="21"/>
      <c r="B356" s="19"/>
      <c r="C356" s="19"/>
      <c r="D356" s="19"/>
      <c r="E356" s="19"/>
      <c r="F356" s="19"/>
      <c r="G356" s="21"/>
    </row>
    <row r="357" customFormat="false" ht="15" hidden="false" customHeight="false" outlineLevel="0" collapsed="false">
      <c r="A357" s="21"/>
      <c r="B357" s="19"/>
      <c r="C357" s="19"/>
      <c r="D357" s="19"/>
      <c r="E357" s="19"/>
      <c r="F357" s="19"/>
      <c r="G357" s="21"/>
    </row>
    <row r="358" customFormat="false" ht="15" hidden="false" customHeight="false" outlineLevel="0" collapsed="false">
      <c r="A358" s="21"/>
      <c r="B358" s="19"/>
      <c r="C358" s="19"/>
      <c r="D358" s="19"/>
      <c r="E358" s="19"/>
      <c r="F358" s="19"/>
      <c r="G358" s="21"/>
    </row>
    <row r="359" customFormat="false" ht="15" hidden="false" customHeight="false" outlineLevel="0" collapsed="false">
      <c r="A359" s="21"/>
      <c r="B359" s="19"/>
      <c r="C359" s="19"/>
      <c r="D359" s="19"/>
      <c r="E359" s="19"/>
      <c r="F359" s="19"/>
      <c r="G359" s="21"/>
    </row>
    <row r="360" customFormat="false" ht="15" hidden="false" customHeight="false" outlineLevel="0" collapsed="false">
      <c r="A360" s="21"/>
      <c r="B360" s="19"/>
      <c r="C360" s="19"/>
      <c r="D360" s="19"/>
      <c r="E360" s="19"/>
      <c r="F360" s="19"/>
      <c r="G360" s="21"/>
    </row>
    <row r="361" customFormat="false" ht="15" hidden="false" customHeight="false" outlineLevel="0" collapsed="false">
      <c r="A361" s="21"/>
      <c r="B361" s="19"/>
      <c r="C361" s="19"/>
      <c r="D361" s="19"/>
      <c r="E361" s="19"/>
      <c r="F361" s="19"/>
      <c r="G361" s="21"/>
    </row>
    <row r="362" customFormat="false" ht="15" hidden="false" customHeight="false" outlineLevel="0" collapsed="false">
      <c r="A362" s="21"/>
      <c r="B362" s="19"/>
      <c r="C362" s="19"/>
      <c r="D362" s="19"/>
      <c r="E362" s="19"/>
      <c r="F362" s="19"/>
      <c r="G362" s="21"/>
    </row>
    <row r="363" customFormat="false" ht="15" hidden="false" customHeight="false" outlineLevel="0" collapsed="false">
      <c r="A363" s="21"/>
      <c r="B363" s="19"/>
      <c r="C363" s="19"/>
      <c r="D363" s="19"/>
      <c r="E363" s="19"/>
      <c r="F363" s="19"/>
      <c r="G363" s="21"/>
    </row>
    <row r="364" customFormat="false" ht="15" hidden="false" customHeight="false" outlineLevel="0" collapsed="false">
      <c r="A364" s="21"/>
      <c r="B364" s="19"/>
      <c r="C364" s="19"/>
      <c r="D364" s="19"/>
      <c r="E364" s="19"/>
      <c r="F364" s="19"/>
      <c r="G364" s="21"/>
    </row>
    <row r="365" customFormat="false" ht="15" hidden="false" customHeight="false" outlineLevel="0" collapsed="false">
      <c r="A365" s="21"/>
      <c r="B365" s="19"/>
      <c r="C365" s="19"/>
      <c r="D365" s="19"/>
      <c r="E365" s="19"/>
      <c r="F365" s="19"/>
      <c r="G365" s="21"/>
    </row>
    <row r="366" customFormat="false" ht="15" hidden="false" customHeight="false" outlineLevel="0" collapsed="false">
      <c r="A366" s="21"/>
      <c r="B366" s="19"/>
      <c r="C366" s="19"/>
      <c r="D366" s="19"/>
      <c r="E366" s="19"/>
      <c r="F366" s="19"/>
      <c r="G366" s="21"/>
    </row>
    <row r="367" customFormat="false" ht="15" hidden="false" customHeight="false" outlineLevel="0" collapsed="false">
      <c r="A367" s="21"/>
      <c r="B367" s="19"/>
      <c r="C367" s="19"/>
      <c r="D367" s="19"/>
      <c r="E367" s="19"/>
      <c r="F367" s="19"/>
      <c r="G367" s="21"/>
    </row>
    <row r="368" customFormat="false" ht="15" hidden="false" customHeight="false" outlineLevel="0" collapsed="false">
      <c r="A368" s="21"/>
      <c r="B368" s="19"/>
      <c r="C368" s="19"/>
      <c r="D368" s="19"/>
      <c r="E368" s="19"/>
      <c r="F368" s="19"/>
      <c r="G368" s="21"/>
    </row>
    <row r="369" customFormat="false" ht="15" hidden="false" customHeight="false" outlineLevel="0" collapsed="false">
      <c r="A369" s="21"/>
      <c r="B369" s="19"/>
      <c r="C369" s="19"/>
      <c r="D369" s="19"/>
      <c r="E369" s="19"/>
      <c r="F369" s="19"/>
      <c r="G369" s="21"/>
    </row>
    <row r="370" customFormat="false" ht="15" hidden="false" customHeight="false" outlineLevel="0" collapsed="false">
      <c r="A370" s="21"/>
      <c r="B370" s="19"/>
      <c r="C370" s="19"/>
      <c r="D370" s="19"/>
      <c r="E370" s="19"/>
      <c r="F370" s="19"/>
      <c r="G370" s="21"/>
    </row>
    <row r="371" customFormat="false" ht="15" hidden="false" customHeight="false" outlineLevel="0" collapsed="false">
      <c r="A371" s="21"/>
      <c r="B371" s="19"/>
      <c r="C371" s="19"/>
      <c r="D371" s="19"/>
      <c r="E371" s="19"/>
      <c r="F371" s="19"/>
      <c r="G371" s="21"/>
    </row>
    <row r="372" customFormat="false" ht="15" hidden="false" customHeight="false" outlineLevel="0" collapsed="false">
      <c r="A372" s="21"/>
      <c r="B372" s="19"/>
      <c r="C372" s="19"/>
      <c r="D372" s="19"/>
      <c r="E372" s="19"/>
      <c r="F372" s="19"/>
      <c r="G372" s="21"/>
    </row>
    <row r="373" customFormat="false" ht="15" hidden="false" customHeight="false" outlineLevel="0" collapsed="false">
      <c r="A373" s="21"/>
      <c r="B373" s="19"/>
      <c r="C373" s="19"/>
      <c r="D373" s="19"/>
      <c r="E373" s="19"/>
      <c r="F373" s="19"/>
      <c r="G373" s="21"/>
    </row>
    <row r="374" customFormat="false" ht="15" hidden="false" customHeight="false" outlineLevel="0" collapsed="false">
      <c r="A374" s="21"/>
      <c r="B374" s="19"/>
      <c r="C374" s="19"/>
      <c r="D374" s="19"/>
      <c r="E374" s="19"/>
      <c r="F374" s="19"/>
      <c r="G374" s="21"/>
    </row>
    <row r="375" customFormat="false" ht="15" hidden="false" customHeight="false" outlineLevel="0" collapsed="false">
      <c r="A375" s="21"/>
      <c r="B375" s="19"/>
      <c r="C375" s="19"/>
      <c r="D375" s="19"/>
      <c r="E375" s="19"/>
      <c r="F375" s="19"/>
      <c r="G375" s="21"/>
    </row>
    <row r="376" customFormat="false" ht="15" hidden="false" customHeight="false" outlineLevel="0" collapsed="false">
      <c r="A376" s="21"/>
      <c r="B376" s="19"/>
      <c r="C376" s="19"/>
      <c r="D376" s="19"/>
      <c r="E376" s="19"/>
      <c r="F376" s="19"/>
      <c r="G376" s="21"/>
    </row>
    <row r="377" customFormat="false" ht="15" hidden="false" customHeight="false" outlineLevel="0" collapsed="false">
      <c r="A377" s="21"/>
      <c r="B377" s="19"/>
      <c r="C377" s="19"/>
      <c r="D377" s="19"/>
      <c r="E377" s="19"/>
      <c r="F377" s="19"/>
      <c r="G377" s="21"/>
    </row>
    <row r="378" customFormat="false" ht="15" hidden="false" customHeight="false" outlineLevel="0" collapsed="false">
      <c r="A378" s="21"/>
      <c r="B378" s="19"/>
      <c r="C378" s="19"/>
      <c r="D378" s="19"/>
      <c r="E378" s="19"/>
      <c r="F378" s="19"/>
      <c r="G378" s="21"/>
    </row>
    <row r="379" customFormat="false" ht="15" hidden="false" customHeight="false" outlineLevel="0" collapsed="false">
      <c r="A379" s="21"/>
      <c r="B379" s="19"/>
      <c r="C379" s="19"/>
      <c r="D379" s="19"/>
      <c r="E379" s="19"/>
      <c r="F379" s="19"/>
      <c r="G379" s="21"/>
    </row>
    <row r="380" customFormat="false" ht="15" hidden="false" customHeight="false" outlineLevel="0" collapsed="false">
      <c r="A380" s="21"/>
      <c r="B380" s="19"/>
      <c r="C380" s="19"/>
      <c r="D380" s="19"/>
      <c r="E380" s="19"/>
      <c r="F380" s="19"/>
      <c r="G380" s="21"/>
    </row>
    <row r="381" customFormat="false" ht="15" hidden="false" customHeight="false" outlineLevel="0" collapsed="false">
      <c r="A381" s="21"/>
      <c r="B381" s="19"/>
      <c r="C381" s="19"/>
      <c r="D381" s="19"/>
      <c r="E381" s="19"/>
      <c r="F381" s="19"/>
      <c r="G381" s="21"/>
    </row>
    <row r="382" customFormat="false" ht="15" hidden="false" customHeight="false" outlineLevel="0" collapsed="false">
      <c r="A382" s="21"/>
      <c r="B382" s="19"/>
      <c r="C382" s="19"/>
      <c r="D382" s="19"/>
      <c r="E382" s="19"/>
      <c r="F382" s="19"/>
      <c r="G382" s="21"/>
    </row>
    <row r="383" customFormat="false" ht="15" hidden="false" customHeight="false" outlineLevel="0" collapsed="false">
      <c r="A383" s="21"/>
      <c r="B383" s="19"/>
      <c r="C383" s="19"/>
      <c r="D383" s="19"/>
      <c r="E383" s="19"/>
      <c r="F383" s="19"/>
      <c r="G383" s="21"/>
    </row>
    <row r="384" customFormat="false" ht="15" hidden="false" customHeight="false" outlineLevel="0" collapsed="false">
      <c r="A384" s="21"/>
      <c r="B384" s="19"/>
      <c r="C384" s="19"/>
      <c r="D384" s="19"/>
      <c r="E384" s="19"/>
      <c r="F384" s="19"/>
      <c r="G384" s="21"/>
    </row>
    <row r="385" customFormat="false" ht="15" hidden="false" customHeight="false" outlineLevel="0" collapsed="false">
      <c r="A385" s="21"/>
      <c r="B385" s="19"/>
      <c r="C385" s="19"/>
      <c r="D385" s="19"/>
      <c r="E385" s="19"/>
      <c r="F385" s="19"/>
      <c r="G385" s="21"/>
    </row>
    <row r="386" customFormat="false" ht="15" hidden="false" customHeight="false" outlineLevel="0" collapsed="false">
      <c r="A386" s="21"/>
      <c r="B386" s="19"/>
      <c r="C386" s="19"/>
      <c r="D386" s="19"/>
      <c r="E386" s="19"/>
      <c r="F386" s="19"/>
      <c r="G386" s="21"/>
    </row>
    <row r="387" customFormat="false" ht="15" hidden="false" customHeight="false" outlineLevel="0" collapsed="false">
      <c r="A387" s="21"/>
      <c r="B387" s="19"/>
      <c r="C387" s="19"/>
      <c r="D387" s="19"/>
      <c r="E387" s="19"/>
      <c r="F387" s="19"/>
      <c r="G387" s="21"/>
    </row>
    <row r="388" customFormat="false" ht="15" hidden="false" customHeight="false" outlineLevel="0" collapsed="false">
      <c r="A388" s="21"/>
      <c r="B388" s="19"/>
      <c r="C388" s="19"/>
      <c r="D388" s="19"/>
      <c r="E388" s="19"/>
      <c r="F388" s="19"/>
      <c r="G388" s="21"/>
    </row>
    <row r="389" customFormat="false" ht="15" hidden="false" customHeight="false" outlineLevel="0" collapsed="false">
      <c r="A389" s="21"/>
      <c r="B389" s="19"/>
      <c r="C389" s="19"/>
      <c r="D389" s="19"/>
      <c r="E389" s="19"/>
      <c r="F389" s="19"/>
      <c r="G389" s="21"/>
    </row>
    <row r="390" customFormat="false" ht="15" hidden="false" customHeight="false" outlineLevel="0" collapsed="false">
      <c r="A390" s="21"/>
      <c r="B390" s="19"/>
      <c r="C390" s="19"/>
      <c r="D390" s="19"/>
      <c r="E390" s="19"/>
      <c r="F390" s="19"/>
      <c r="G390" s="21"/>
    </row>
    <row r="391" customFormat="false" ht="15" hidden="false" customHeight="false" outlineLevel="0" collapsed="false">
      <c r="A391" s="21"/>
      <c r="B391" s="19"/>
      <c r="C391" s="19"/>
      <c r="D391" s="19"/>
      <c r="E391" s="19"/>
      <c r="F391" s="19"/>
      <c r="G391" s="21"/>
    </row>
    <row r="392" customFormat="false" ht="15" hidden="false" customHeight="false" outlineLevel="0" collapsed="false">
      <c r="A392" s="21"/>
      <c r="B392" s="19"/>
      <c r="C392" s="19"/>
      <c r="D392" s="19"/>
      <c r="E392" s="19"/>
      <c r="F392" s="19"/>
      <c r="G392" s="21"/>
    </row>
    <row r="393" customFormat="false" ht="15" hidden="false" customHeight="false" outlineLevel="0" collapsed="false">
      <c r="A393" s="21"/>
      <c r="B393" s="19"/>
      <c r="C393" s="19"/>
      <c r="D393" s="19"/>
      <c r="E393" s="19"/>
      <c r="F393" s="19"/>
      <c r="G393" s="21"/>
    </row>
    <row r="394" customFormat="false" ht="15" hidden="false" customHeight="false" outlineLevel="0" collapsed="false">
      <c r="A394" s="21"/>
      <c r="B394" s="19"/>
      <c r="C394" s="19"/>
      <c r="D394" s="19"/>
      <c r="E394" s="19"/>
      <c r="F394" s="19"/>
      <c r="G394" s="21"/>
    </row>
    <row r="395" customFormat="false" ht="15" hidden="false" customHeight="false" outlineLevel="0" collapsed="false">
      <c r="A395" s="21"/>
      <c r="B395" s="19"/>
      <c r="C395" s="19"/>
      <c r="D395" s="19"/>
      <c r="E395" s="19"/>
      <c r="F395" s="19"/>
      <c r="G395" s="21"/>
    </row>
    <row r="396" customFormat="false" ht="15" hidden="false" customHeight="false" outlineLevel="0" collapsed="false">
      <c r="A396" s="21"/>
      <c r="B396" s="19"/>
      <c r="C396" s="19"/>
      <c r="D396" s="19"/>
      <c r="E396" s="19"/>
      <c r="F396" s="19"/>
      <c r="G396" s="21"/>
    </row>
    <row r="397" customFormat="false" ht="15" hidden="false" customHeight="false" outlineLevel="0" collapsed="false">
      <c r="A397" s="21"/>
      <c r="B397" s="19"/>
      <c r="C397" s="19"/>
      <c r="D397" s="19"/>
      <c r="E397" s="19"/>
      <c r="F397" s="19"/>
      <c r="G397" s="21"/>
    </row>
    <row r="398" customFormat="false" ht="15" hidden="false" customHeight="false" outlineLevel="0" collapsed="false">
      <c r="A398" s="21"/>
      <c r="B398" s="19"/>
      <c r="C398" s="19"/>
      <c r="D398" s="19"/>
      <c r="E398" s="19"/>
      <c r="F398" s="19"/>
      <c r="G398" s="21"/>
    </row>
    <row r="399" customFormat="false" ht="15" hidden="false" customHeight="false" outlineLevel="0" collapsed="false">
      <c r="A399" s="21"/>
      <c r="B399" s="19"/>
      <c r="C399" s="19"/>
      <c r="D399" s="19"/>
      <c r="E399" s="19"/>
      <c r="F399" s="19"/>
      <c r="G399" s="21"/>
    </row>
    <row r="400" customFormat="false" ht="15" hidden="false" customHeight="false" outlineLevel="0" collapsed="false">
      <c r="A400" s="21"/>
      <c r="B400" s="19"/>
      <c r="C400" s="19"/>
      <c r="D400" s="19"/>
      <c r="E400" s="19"/>
      <c r="F400" s="19"/>
      <c r="G400" s="21"/>
    </row>
    <row r="401" customFormat="false" ht="15" hidden="false" customHeight="false" outlineLevel="0" collapsed="false">
      <c r="A401" s="21"/>
      <c r="B401" s="19"/>
      <c r="C401" s="19"/>
      <c r="D401" s="19"/>
      <c r="E401" s="19"/>
      <c r="F401" s="19"/>
      <c r="G401" s="21"/>
    </row>
    <row r="402" customFormat="false" ht="15" hidden="false" customHeight="false" outlineLevel="0" collapsed="false">
      <c r="A402" s="21"/>
      <c r="B402" s="19"/>
      <c r="C402" s="19"/>
      <c r="D402" s="19"/>
      <c r="E402" s="19"/>
      <c r="F402" s="19"/>
      <c r="G402" s="21"/>
    </row>
    <row r="403" customFormat="false" ht="15" hidden="false" customHeight="false" outlineLevel="0" collapsed="false">
      <c r="A403" s="21"/>
      <c r="B403" s="19"/>
      <c r="C403" s="19"/>
      <c r="D403" s="19"/>
      <c r="E403" s="19"/>
      <c r="F403" s="19"/>
      <c r="G403" s="21"/>
    </row>
    <row r="404" customFormat="false" ht="15" hidden="false" customHeight="false" outlineLevel="0" collapsed="false">
      <c r="A404" s="21"/>
      <c r="B404" s="19"/>
      <c r="C404" s="19"/>
      <c r="D404" s="19"/>
      <c r="E404" s="19"/>
      <c r="F404" s="19"/>
      <c r="G404" s="21"/>
    </row>
    <row r="405" customFormat="false" ht="15" hidden="false" customHeight="false" outlineLevel="0" collapsed="false">
      <c r="A405" s="21"/>
      <c r="B405" s="19"/>
      <c r="C405" s="19"/>
      <c r="D405" s="19"/>
      <c r="E405" s="19"/>
      <c r="F405" s="19"/>
      <c r="G405" s="21"/>
    </row>
    <row r="406" customFormat="false" ht="15" hidden="false" customHeight="false" outlineLevel="0" collapsed="false">
      <c r="A406" s="21"/>
      <c r="B406" s="19"/>
      <c r="C406" s="19"/>
      <c r="D406" s="19"/>
      <c r="E406" s="19"/>
      <c r="F406" s="19"/>
      <c r="G406" s="21"/>
    </row>
    <row r="407" customFormat="false" ht="15" hidden="false" customHeight="false" outlineLevel="0" collapsed="false">
      <c r="A407" s="21"/>
      <c r="B407" s="19"/>
      <c r="C407" s="19"/>
      <c r="D407" s="19"/>
      <c r="E407" s="19"/>
      <c r="F407" s="19"/>
      <c r="G407" s="21"/>
    </row>
    <row r="408" customFormat="false" ht="15" hidden="false" customHeight="false" outlineLevel="0" collapsed="false">
      <c r="A408" s="21"/>
      <c r="B408" s="19"/>
      <c r="C408" s="19"/>
      <c r="D408" s="19"/>
      <c r="E408" s="19"/>
      <c r="F408" s="19"/>
      <c r="G408" s="21"/>
    </row>
    <row r="409" customFormat="false" ht="15" hidden="false" customHeight="false" outlineLevel="0" collapsed="false">
      <c r="A409" s="21"/>
      <c r="B409" s="19"/>
      <c r="C409" s="19"/>
      <c r="D409" s="19"/>
      <c r="E409" s="19"/>
      <c r="F409" s="19"/>
      <c r="G409" s="21"/>
    </row>
    <row r="410" customFormat="false" ht="15" hidden="false" customHeight="false" outlineLevel="0" collapsed="false">
      <c r="A410" s="21"/>
      <c r="B410" s="19"/>
      <c r="C410" s="19"/>
      <c r="D410" s="19"/>
      <c r="E410" s="19"/>
      <c r="F410" s="19"/>
      <c r="G410" s="21"/>
    </row>
    <row r="411" customFormat="false" ht="15" hidden="false" customHeight="false" outlineLevel="0" collapsed="false">
      <c r="A411" s="21"/>
      <c r="B411" s="19"/>
      <c r="C411" s="19"/>
      <c r="D411" s="19"/>
      <c r="E411" s="19"/>
      <c r="F411" s="19"/>
      <c r="G411" s="21"/>
    </row>
    <row r="412" customFormat="false" ht="15" hidden="false" customHeight="false" outlineLevel="0" collapsed="false">
      <c r="A412" s="21"/>
      <c r="B412" s="19"/>
      <c r="C412" s="19"/>
      <c r="D412" s="19"/>
      <c r="E412" s="19"/>
      <c r="F412" s="19"/>
      <c r="G412" s="21"/>
    </row>
    <row r="413" customFormat="false" ht="15" hidden="false" customHeight="false" outlineLevel="0" collapsed="false">
      <c r="A413" s="21"/>
      <c r="B413" s="19"/>
      <c r="C413" s="19"/>
      <c r="D413" s="19"/>
      <c r="E413" s="19"/>
      <c r="F413" s="19"/>
      <c r="G413" s="21"/>
    </row>
    <row r="414" customFormat="false" ht="15" hidden="false" customHeight="false" outlineLevel="0" collapsed="false">
      <c r="A414" s="21"/>
      <c r="B414" s="19"/>
      <c r="C414" s="19"/>
      <c r="D414" s="19"/>
      <c r="E414" s="19"/>
      <c r="F414" s="19"/>
      <c r="G414" s="21"/>
    </row>
    <row r="415" customFormat="false" ht="15" hidden="false" customHeight="false" outlineLevel="0" collapsed="false">
      <c r="A415" s="21"/>
      <c r="B415" s="19"/>
      <c r="C415" s="19"/>
      <c r="D415" s="19"/>
      <c r="E415" s="19"/>
      <c r="F415" s="19"/>
      <c r="G415" s="21"/>
    </row>
    <row r="416" customFormat="false" ht="15" hidden="false" customHeight="false" outlineLevel="0" collapsed="false">
      <c r="A416" s="21"/>
      <c r="B416" s="19"/>
      <c r="C416" s="19"/>
      <c r="D416" s="19"/>
      <c r="E416" s="19"/>
      <c r="F416" s="19"/>
      <c r="G416" s="21"/>
    </row>
    <row r="417" customFormat="false" ht="15" hidden="false" customHeight="false" outlineLevel="0" collapsed="false">
      <c r="A417" s="21"/>
      <c r="B417" s="19"/>
      <c r="C417" s="19"/>
      <c r="D417" s="19"/>
      <c r="E417" s="19"/>
      <c r="F417" s="19"/>
      <c r="G417" s="21"/>
    </row>
    <row r="418" customFormat="false" ht="15" hidden="false" customHeight="false" outlineLevel="0" collapsed="false">
      <c r="A418" s="21"/>
      <c r="B418" s="19"/>
      <c r="C418" s="19"/>
      <c r="D418" s="19"/>
      <c r="E418" s="19"/>
      <c r="F418" s="19"/>
      <c r="G418" s="21"/>
    </row>
    <row r="419" customFormat="false" ht="15" hidden="false" customHeight="false" outlineLevel="0" collapsed="false">
      <c r="A419" s="21"/>
      <c r="B419" s="19"/>
      <c r="C419" s="19"/>
      <c r="D419" s="19"/>
      <c r="E419" s="19"/>
      <c r="F419" s="19"/>
      <c r="G419" s="21"/>
    </row>
    <row r="420" customFormat="false" ht="15" hidden="false" customHeight="false" outlineLevel="0" collapsed="false">
      <c r="A420" s="21"/>
      <c r="B420" s="19"/>
      <c r="C420" s="19"/>
      <c r="D420" s="19"/>
      <c r="E420" s="19"/>
      <c r="F420" s="19"/>
      <c r="G420" s="21"/>
    </row>
    <row r="421" customFormat="false" ht="15" hidden="false" customHeight="false" outlineLevel="0" collapsed="false">
      <c r="A421" s="21"/>
      <c r="B421" s="19"/>
      <c r="C421" s="19"/>
      <c r="D421" s="19"/>
      <c r="E421" s="19"/>
      <c r="F421" s="19"/>
      <c r="G421" s="21"/>
    </row>
    <row r="422" customFormat="false" ht="15" hidden="false" customHeight="false" outlineLevel="0" collapsed="false">
      <c r="A422" s="21"/>
      <c r="B422" s="19"/>
      <c r="C422" s="19"/>
      <c r="D422" s="19"/>
      <c r="E422" s="19"/>
      <c r="F422" s="19"/>
      <c r="G422" s="21"/>
    </row>
    <row r="423" customFormat="false" ht="15" hidden="false" customHeight="false" outlineLevel="0" collapsed="false">
      <c r="A423" s="21"/>
      <c r="B423" s="19"/>
      <c r="C423" s="19"/>
      <c r="D423" s="19"/>
      <c r="E423" s="19"/>
      <c r="F423" s="19"/>
      <c r="G423" s="21"/>
    </row>
    <row r="424" customFormat="false" ht="15" hidden="false" customHeight="false" outlineLevel="0" collapsed="false">
      <c r="A424" s="21"/>
      <c r="B424" s="19"/>
      <c r="C424" s="19"/>
      <c r="D424" s="19"/>
      <c r="E424" s="19"/>
      <c r="F424" s="19"/>
      <c r="G424" s="21"/>
    </row>
    <row r="425" customFormat="false" ht="15" hidden="false" customHeight="false" outlineLevel="0" collapsed="false">
      <c r="A425" s="21"/>
      <c r="B425" s="19"/>
      <c r="C425" s="19"/>
      <c r="D425" s="19"/>
      <c r="E425" s="19"/>
      <c r="F425" s="19"/>
      <c r="G425" s="21"/>
    </row>
    <row r="426" customFormat="false" ht="15" hidden="false" customHeight="false" outlineLevel="0" collapsed="false">
      <c r="A426" s="21"/>
      <c r="B426" s="19"/>
      <c r="C426" s="19"/>
      <c r="D426" s="19"/>
      <c r="E426" s="19"/>
      <c r="F426" s="19"/>
      <c r="G426" s="21"/>
    </row>
    <row r="427" customFormat="false" ht="15" hidden="false" customHeight="false" outlineLevel="0" collapsed="false">
      <c r="A427" s="21"/>
      <c r="B427" s="19"/>
      <c r="C427" s="19"/>
      <c r="D427" s="19"/>
      <c r="E427" s="19"/>
      <c r="F427" s="19"/>
      <c r="G427" s="21"/>
    </row>
    <row r="428" customFormat="false" ht="15" hidden="false" customHeight="false" outlineLevel="0" collapsed="false">
      <c r="A428" s="21"/>
      <c r="B428" s="19"/>
      <c r="C428" s="19"/>
      <c r="D428" s="19"/>
      <c r="E428" s="19"/>
      <c r="F428" s="19"/>
      <c r="G428" s="21"/>
    </row>
    <row r="429" customFormat="false" ht="15" hidden="false" customHeight="false" outlineLevel="0" collapsed="false">
      <c r="A429" s="21"/>
      <c r="B429" s="19"/>
      <c r="C429" s="19"/>
      <c r="D429" s="19"/>
      <c r="E429" s="19"/>
      <c r="F429" s="19"/>
      <c r="G429" s="21"/>
    </row>
    <row r="430" customFormat="false" ht="15" hidden="false" customHeight="false" outlineLevel="0" collapsed="false">
      <c r="A430" s="21"/>
      <c r="B430" s="19"/>
      <c r="C430" s="19"/>
      <c r="D430" s="19"/>
      <c r="E430" s="19"/>
      <c r="F430" s="19"/>
      <c r="G430" s="21"/>
    </row>
    <row r="431" customFormat="false" ht="15" hidden="false" customHeight="false" outlineLevel="0" collapsed="false">
      <c r="A431" s="21"/>
      <c r="B431" s="19"/>
      <c r="C431" s="19"/>
      <c r="D431" s="19"/>
      <c r="E431" s="19"/>
      <c r="F431" s="19"/>
      <c r="G431" s="21"/>
    </row>
    <row r="432" customFormat="false" ht="15" hidden="false" customHeight="false" outlineLevel="0" collapsed="false">
      <c r="A432" s="21"/>
      <c r="B432" s="19"/>
      <c r="C432" s="19"/>
      <c r="D432" s="19"/>
      <c r="E432" s="19"/>
      <c r="F432" s="19"/>
      <c r="G432" s="21"/>
    </row>
    <row r="433" customFormat="false" ht="15" hidden="false" customHeight="false" outlineLevel="0" collapsed="false">
      <c r="A433" s="21"/>
      <c r="B433" s="19"/>
      <c r="C433" s="19"/>
      <c r="D433" s="19"/>
      <c r="E433" s="19"/>
      <c r="F433" s="19"/>
      <c r="G433" s="21"/>
    </row>
    <row r="434" customFormat="false" ht="15" hidden="false" customHeight="false" outlineLevel="0" collapsed="false">
      <c r="A434" s="21"/>
      <c r="B434" s="19"/>
      <c r="C434" s="19"/>
      <c r="D434" s="19"/>
      <c r="E434" s="19"/>
      <c r="F434" s="19"/>
      <c r="G434" s="21"/>
    </row>
    <row r="435" customFormat="false" ht="15" hidden="false" customHeight="false" outlineLevel="0" collapsed="false">
      <c r="A435" s="21"/>
      <c r="B435" s="19"/>
      <c r="C435" s="19"/>
      <c r="D435" s="19"/>
      <c r="E435" s="19"/>
      <c r="F435" s="19"/>
      <c r="G435" s="21"/>
    </row>
    <row r="436" customFormat="false" ht="15" hidden="false" customHeight="false" outlineLevel="0" collapsed="false">
      <c r="A436" s="21"/>
      <c r="B436" s="19"/>
      <c r="C436" s="19"/>
      <c r="D436" s="19"/>
      <c r="E436" s="19"/>
      <c r="F436" s="19"/>
      <c r="G436" s="21"/>
    </row>
    <row r="437" customFormat="false" ht="15" hidden="false" customHeight="false" outlineLevel="0" collapsed="false">
      <c r="A437" s="21"/>
      <c r="B437" s="19"/>
      <c r="C437" s="19"/>
      <c r="D437" s="19"/>
      <c r="E437" s="19"/>
      <c r="F437" s="19"/>
      <c r="G437" s="21"/>
    </row>
    <row r="438" customFormat="false" ht="15" hidden="false" customHeight="false" outlineLevel="0" collapsed="false">
      <c r="A438" s="21"/>
      <c r="B438" s="19"/>
      <c r="C438" s="19"/>
      <c r="D438" s="19"/>
      <c r="E438" s="19"/>
      <c r="F438" s="19"/>
      <c r="G438" s="21"/>
    </row>
    <row r="439" customFormat="false" ht="15" hidden="false" customHeight="false" outlineLevel="0" collapsed="false">
      <c r="A439" s="21"/>
      <c r="B439" s="19"/>
      <c r="C439" s="19"/>
      <c r="D439" s="19"/>
      <c r="E439" s="19"/>
      <c r="F439" s="19"/>
      <c r="G439" s="21"/>
    </row>
    <row r="440" customFormat="false" ht="15" hidden="false" customHeight="false" outlineLevel="0" collapsed="false">
      <c r="A440" s="21"/>
      <c r="B440" s="19"/>
      <c r="C440" s="19"/>
      <c r="D440" s="19"/>
      <c r="E440" s="19"/>
      <c r="F440" s="19"/>
      <c r="G440" s="21"/>
    </row>
    <row r="441" customFormat="false" ht="15" hidden="false" customHeight="false" outlineLevel="0" collapsed="false">
      <c r="A441" s="21"/>
      <c r="B441" s="19"/>
      <c r="C441" s="19"/>
      <c r="D441" s="19"/>
      <c r="E441" s="19"/>
      <c r="F441" s="19"/>
      <c r="G441" s="21"/>
    </row>
    <row r="442" customFormat="false" ht="15" hidden="false" customHeight="false" outlineLevel="0" collapsed="false">
      <c r="A442" s="21"/>
      <c r="B442" s="19"/>
      <c r="C442" s="19"/>
      <c r="D442" s="19"/>
      <c r="E442" s="19"/>
      <c r="F442" s="19"/>
      <c r="G442" s="21"/>
    </row>
    <row r="443" customFormat="false" ht="15" hidden="false" customHeight="false" outlineLevel="0" collapsed="false">
      <c r="A443" s="21"/>
      <c r="B443" s="19"/>
      <c r="C443" s="19"/>
      <c r="D443" s="19"/>
      <c r="E443" s="19"/>
      <c r="F443" s="19"/>
      <c r="G443" s="21"/>
    </row>
    <row r="444" customFormat="false" ht="15" hidden="false" customHeight="false" outlineLevel="0" collapsed="false">
      <c r="A444" s="21"/>
      <c r="B444" s="19"/>
      <c r="C444" s="19"/>
      <c r="D444" s="19"/>
      <c r="E444" s="19"/>
      <c r="F444" s="19"/>
      <c r="G444" s="21"/>
    </row>
    <row r="445" customFormat="false" ht="15" hidden="false" customHeight="false" outlineLevel="0" collapsed="false">
      <c r="A445" s="21"/>
      <c r="B445" s="19"/>
      <c r="C445" s="19"/>
      <c r="D445" s="19"/>
      <c r="E445" s="19"/>
      <c r="F445" s="19"/>
      <c r="G445" s="21"/>
    </row>
    <row r="446" customFormat="false" ht="15" hidden="false" customHeight="false" outlineLevel="0" collapsed="false">
      <c r="A446" s="21"/>
      <c r="B446" s="19"/>
      <c r="C446" s="19"/>
      <c r="D446" s="19"/>
      <c r="E446" s="19"/>
      <c r="F446" s="19"/>
      <c r="G446" s="21"/>
    </row>
    <row r="447" customFormat="false" ht="15" hidden="false" customHeight="false" outlineLevel="0" collapsed="false">
      <c r="A447" s="21"/>
      <c r="B447" s="19"/>
      <c r="C447" s="19"/>
      <c r="D447" s="19"/>
      <c r="E447" s="19"/>
      <c r="F447" s="19"/>
      <c r="G447" s="21"/>
    </row>
    <row r="448" customFormat="false" ht="15" hidden="false" customHeight="false" outlineLevel="0" collapsed="false">
      <c r="A448" s="21"/>
      <c r="B448" s="19"/>
      <c r="C448" s="19"/>
      <c r="D448" s="19"/>
      <c r="E448" s="19"/>
      <c r="F448" s="19"/>
      <c r="G448" s="21"/>
    </row>
    <row r="449" customFormat="false" ht="15" hidden="false" customHeight="false" outlineLevel="0" collapsed="false">
      <c r="A449" s="21"/>
      <c r="B449" s="19"/>
      <c r="C449" s="19"/>
      <c r="D449" s="19"/>
      <c r="E449" s="19"/>
      <c r="F449" s="19"/>
      <c r="G449" s="21"/>
    </row>
    <row r="450" customFormat="false" ht="15" hidden="false" customHeight="false" outlineLevel="0" collapsed="false">
      <c r="A450" s="21"/>
      <c r="B450" s="19"/>
      <c r="C450" s="19"/>
      <c r="D450" s="19"/>
      <c r="E450" s="19"/>
      <c r="F450" s="19"/>
      <c r="G450" s="21"/>
    </row>
    <row r="451" customFormat="false" ht="15" hidden="false" customHeight="false" outlineLevel="0" collapsed="false">
      <c r="A451" s="21"/>
      <c r="B451" s="19"/>
      <c r="C451" s="19"/>
      <c r="D451" s="19"/>
      <c r="E451" s="19"/>
      <c r="F451" s="19"/>
      <c r="G451" s="21"/>
    </row>
    <row r="452" customFormat="false" ht="15" hidden="false" customHeight="false" outlineLevel="0" collapsed="false">
      <c r="A452" s="21"/>
      <c r="B452" s="19"/>
      <c r="C452" s="19"/>
      <c r="D452" s="19"/>
      <c r="E452" s="19"/>
      <c r="F452" s="19"/>
      <c r="G452" s="21"/>
    </row>
    <row r="453" customFormat="false" ht="15" hidden="false" customHeight="false" outlineLevel="0" collapsed="false">
      <c r="A453" s="21"/>
      <c r="B453" s="19"/>
      <c r="C453" s="19"/>
      <c r="D453" s="19"/>
      <c r="E453" s="19"/>
      <c r="F453" s="19"/>
      <c r="G453" s="21"/>
    </row>
    <row r="454" customFormat="false" ht="15" hidden="false" customHeight="false" outlineLevel="0" collapsed="false">
      <c r="A454" s="21"/>
      <c r="B454" s="19"/>
      <c r="C454" s="19"/>
      <c r="D454" s="19"/>
      <c r="E454" s="19"/>
      <c r="F454" s="19"/>
      <c r="G454" s="21"/>
    </row>
    <row r="455" customFormat="false" ht="15" hidden="false" customHeight="false" outlineLevel="0" collapsed="false">
      <c r="A455" s="21"/>
      <c r="B455" s="19"/>
      <c r="C455" s="19"/>
      <c r="D455" s="19"/>
      <c r="E455" s="19"/>
      <c r="F455" s="19"/>
      <c r="G455" s="21"/>
    </row>
    <row r="456" customFormat="false" ht="15" hidden="false" customHeight="false" outlineLevel="0" collapsed="false">
      <c r="A456" s="21"/>
      <c r="B456" s="19"/>
      <c r="C456" s="19"/>
      <c r="D456" s="19"/>
      <c r="E456" s="19"/>
      <c r="F456" s="19"/>
      <c r="G456" s="21"/>
    </row>
    <row r="457" customFormat="false" ht="15" hidden="false" customHeight="false" outlineLevel="0" collapsed="false">
      <c r="A457" s="21"/>
      <c r="B457" s="19"/>
      <c r="C457" s="19"/>
      <c r="D457" s="19"/>
      <c r="E457" s="19"/>
      <c r="F457" s="19"/>
      <c r="G457" s="21"/>
    </row>
    <row r="458" customFormat="false" ht="15" hidden="false" customHeight="false" outlineLevel="0" collapsed="false">
      <c r="A458" s="21"/>
      <c r="B458" s="19"/>
      <c r="C458" s="19"/>
      <c r="D458" s="19"/>
      <c r="E458" s="19"/>
      <c r="F458" s="19"/>
      <c r="G458" s="21"/>
    </row>
    <row r="459" customFormat="false" ht="15" hidden="false" customHeight="false" outlineLevel="0" collapsed="false">
      <c r="A459" s="21"/>
      <c r="B459" s="19"/>
      <c r="C459" s="19"/>
      <c r="D459" s="19"/>
      <c r="E459" s="19"/>
      <c r="F459" s="19"/>
      <c r="G459" s="21"/>
    </row>
    <row r="460" customFormat="false" ht="15" hidden="false" customHeight="false" outlineLevel="0" collapsed="false">
      <c r="A460" s="21"/>
      <c r="B460" s="19"/>
      <c r="C460" s="19"/>
      <c r="D460" s="19"/>
      <c r="E460" s="19"/>
      <c r="F460" s="19"/>
      <c r="G460" s="21"/>
    </row>
    <row r="461" customFormat="false" ht="15" hidden="false" customHeight="false" outlineLevel="0" collapsed="false">
      <c r="A461" s="21"/>
      <c r="B461" s="19"/>
      <c r="C461" s="19"/>
      <c r="D461" s="19"/>
      <c r="E461" s="19"/>
      <c r="F461" s="19"/>
      <c r="G461" s="21"/>
    </row>
    <row r="462" customFormat="false" ht="15" hidden="false" customHeight="false" outlineLevel="0" collapsed="false">
      <c r="A462" s="21"/>
      <c r="B462" s="19"/>
      <c r="C462" s="19"/>
      <c r="D462" s="19"/>
      <c r="E462" s="19"/>
      <c r="F462" s="19"/>
      <c r="G462" s="21"/>
    </row>
    <row r="463" customFormat="false" ht="15" hidden="false" customHeight="false" outlineLevel="0" collapsed="false">
      <c r="A463" s="21"/>
      <c r="B463" s="19"/>
      <c r="C463" s="19"/>
      <c r="D463" s="19"/>
      <c r="E463" s="19"/>
      <c r="F463" s="19"/>
      <c r="G463" s="21"/>
    </row>
    <row r="464" customFormat="false" ht="15" hidden="false" customHeight="false" outlineLevel="0" collapsed="false">
      <c r="A464" s="21"/>
      <c r="B464" s="19"/>
      <c r="C464" s="19"/>
      <c r="D464" s="19"/>
      <c r="E464" s="19"/>
      <c r="F464" s="19"/>
      <c r="G464" s="21"/>
    </row>
    <row r="465" customFormat="false" ht="15" hidden="false" customHeight="false" outlineLevel="0" collapsed="false">
      <c r="A465" s="21"/>
      <c r="B465" s="19"/>
      <c r="C465" s="19"/>
      <c r="D465" s="19"/>
      <c r="E465" s="19"/>
      <c r="F465" s="19"/>
      <c r="G465" s="21"/>
    </row>
    <row r="466" customFormat="false" ht="15" hidden="false" customHeight="false" outlineLevel="0" collapsed="false">
      <c r="A466" s="21"/>
      <c r="B466" s="19"/>
      <c r="C466" s="19"/>
      <c r="D466" s="19"/>
      <c r="E466" s="19"/>
      <c r="F466" s="19"/>
      <c r="G466" s="21"/>
    </row>
    <row r="467" customFormat="false" ht="15" hidden="false" customHeight="false" outlineLevel="0" collapsed="false">
      <c r="A467" s="21"/>
      <c r="B467" s="19"/>
      <c r="C467" s="19"/>
      <c r="D467" s="19"/>
      <c r="E467" s="19"/>
      <c r="F467" s="19"/>
      <c r="G467" s="21"/>
    </row>
    <row r="468" customFormat="false" ht="15" hidden="false" customHeight="false" outlineLevel="0" collapsed="false">
      <c r="A468" s="21"/>
      <c r="B468" s="19"/>
      <c r="C468" s="19"/>
      <c r="D468" s="19"/>
      <c r="E468" s="19"/>
      <c r="F468" s="19"/>
      <c r="G468" s="21"/>
    </row>
    <row r="469" customFormat="false" ht="15" hidden="false" customHeight="false" outlineLevel="0" collapsed="false">
      <c r="A469" s="21"/>
      <c r="B469" s="19"/>
      <c r="C469" s="19"/>
      <c r="D469" s="19"/>
      <c r="E469" s="19"/>
      <c r="F469" s="19"/>
      <c r="G469" s="21"/>
    </row>
    <row r="470" customFormat="false" ht="15" hidden="false" customHeight="false" outlineLevel="0" collapsed="false">
      <c r="A470" s="21"/>
      <c r="B470" s="19"/>
      <c r="C470" s="19"/>
      <c r="D470" s="19"/>
      <c r="E470" s="19"/>
      <c r="F470" s="19"/>
      <c r="G470" s="21"/>
    </row>
    <row r="471" customFormat="false" ht="15" hidden="false" customHeight="false" outlineLevel="0" collapsed="false">
      <c r="A471" s="21"/>
      <c r="B471" s="19"/>
      <c r="C471" s="19"/>
      <c r="D471" s="19"/>
      <c r="E471" s="19"/>
      <c r="F471" s="19"/>
      <c r="G471" s="21"/>
    </row>
    <row r="472" customFormat="false" ht="15" hidden="false" customHeight="false" outlineLevel="0" collapsed="false">
      <c r="A472" s="21"/>
      <c r="B472" s="19"/>
      <c r="C472" s="19"/>
      <c r="D472" s="19"/>
      <c r="E472" s="19"/>
      <c r="F472" s="19"/>
      <c r="G472" s="21"/>
    </row>
    <row r="473" customFormat="false" ht="15" hidden="false" customHeight="false" outlineLevel="0" collapsed="false">
      <c r="A473" s="21"/>
      <c r="B473" s="19"/>
      <c r="C473" s="19"/>
      <c r="D473" s="19"/>
      <c r="E473" s="19"/>
      <c r="F473" s="19"/>
      <c r="G473" s="21"/>
    </row>
    <row r="474" customFormat="false" ht="15" hidden="false" customHeight="false" outlineLevel="0" collapsed="false">
      <c r="A474" s="21"/>
      <c r="B474" s="19"/>
      <c r="C474" s="19"/>
      <c r="D474" s="19"/>
      <c r="E474" s="19"/>
      <c r="F474" s="19"/>
      <c r="G474" s="21"/>
    </row>
    <row r="475" customFormat="false" ht="15" hidden="false" customHeight="false" outlineLevel="0" collapsed="false">
      <c r="A475" s="21"/>
      <c r="B475" s="19"/>
      <c r="C475" s="19"/>
      <c r="D475" s="19"/>
      <c r="E475" s="19"/>
      <c r="F475" s="19"/>
      <c r="G475" s="21"/>
    </row>
    <row r="476" customFormat="false" ht="15" hidden="false" customHeight="false" outlineLevel="0" collapsed="false">
      <c r="A476" s="21"/>
      <c r="B476" s="19"/>
      <c r="C476" s="19"/>
      <c r="D476" s="19"/>
      <c r="E476" s="19"/>
      <c r="F476" s="19"/>
      <c r="G476" s="21"/>
    </row>
    <row r="477" customFormat="false" ht="15" hidden="false" customHeight="false" outlineLevel="0" collapsed="false">
      <c r="A477" s="21"/>
      <c r="B477" s="19"/>
      <c r="C477" s="19"/>
      <c r="D477" s="19"/>
      <c r="E477" s="19"/>
      <c r="F477" s="19"/>
      <c r="G477" s="21"/>
    </row>
    <row r="478" customFormat="false" ht="15" hidden="false" customHeight="false" outlineLevel="0" collapsed="false">
      <c r="A478" s="21"/>
      <c r="B478" s="19"/>
      <c r="C478" s="19"/>
      <c r="D478" s="19"/>
      <c r="E478" s="19"/>
      <c r="F478" s="19"/>
      <c r="G478" s="21"/>
    </row>
    <row r="479" customFormat="false" ht="15" hidden="false" customHeight="false" outlineLevel="0" collapsed="false">
      <c r="A479" s="21"/>
      <c r="B479" s="19"/>
      <c r="C479" s="19"/>
      <c r="D479" s="19"/>
      <c r="E479" s="19"/>
      <c r="F479" s="19"/>
      <c r="G479" s="21"/>
    </row>
    <row r="480" customFormat="false" ht="15" hidden="false" customHeight="false" outlineLevel="0" collapsed="false">
      <c r="A480" s="21"/>
      <c r="B480" s="19"/>
      <c r="C480" s="19"/>
      <c r="D480" s="19"/>
      <c r="E480" s="19"/>
      <c r="F480" s="19"/>
      <c r="G480" s="21"/>
    </row>
    <row r="481" customFormat="false" ht="15" hidden="false" customHeight="false" outlineLevel="0" collapsed="false">
      <c r="A481" s="21"/>
      <c r="B481" s="19"/>
      <c r="C481" s="19"/>
      <c r="D481" s="19"/>
      <c r="E481" s="19"/>
      <c r="F481" s="19"/>
      <c r="G481" s="21"/>
    </row>
    <row r="482" customFormat="false" ht="15" hidden="false" customHeight="false" outlineLevel="0" collapsed="false">
      <c r="A482" s="21"/>
      <c r="B482" s="19"/>
      <c r="C482" s="19"/>
      <c r="D482" s="19"/>
      <c r="E482" s="19"/>
      <c r="F482" s="19"/>
      <c r="G482" s="21"/>
    </row>
    <row r="483" customFormat="false" ht="15" hidden="false" customHeight="false" outlineLevel="0" collapsed="false">
      <c r="A483" s="21"/>
      <c r="B483" s="19"/>
      <c r="C483" s="19"/>
      <c r="D483" s="19"/>
      <c r="E483" s="19"/>
      <c r="F483" s="19"/>
      <c r="G483" s="21"/>
    </row>
    <row r="484" customFormat="false" ht="15" hidden="false" customHeight="false" outlineLevel="0" collapsed="false">
      <c r="A484" s="21"/>
      <c r="B484" s="19"/>
      <c r="C484" s="19"/>
      <c r="D484" s="19"/>
      <c r="E484" s="19"/>
      <c r="F484" s="19"/>
      <c r="G484" s="21"/>
    </row>
    <row r="485" customFormat="false" ht="15" hidden="false" customHeight="false" outlineLevel="0" collapsed="false">
      <c r="A485" s="21"/>
      <c r="B485" s="19"/>
      <c r="C485" s="19"/>
      <c r="D485" s="19"/>
      <c r="E485" s="19"/>
      <c r="F485" s="19"/>
      <c r="G485" s="21"/>
    </row>
    <row r="486" customFormat="false" ht="15" hidden="false" customHeight="false" outlineLevel="0" collapsed="false">
      <c r="A486" s="21"/>
      <c r="B486" s="19"/>
      <c r="C486" s="19"/>
      <c r="D486" s="19"/>
      <c r="E486" s="19"/>
      <c r="F486" s="19"/>
      <c r="G486" s="21"/>
    </row>
    <row r="487" customFormat="false" ht="15" hidden="false" customHeight="false" outlineLevel="0" collapsed="false">
      <c r="A487" s="21"/>
      <c r="B487" s="19"/>
      <c r="C487" s="19"/>
      <c r="D487" s="19"/>
      <c r="E487" s="19"/>
      <c r="F487" s="19"/>
      <c r="G487" s="21"/>
    </row>
    <row r="488" customFormat="false" ht="15" hidden="false" customHeight="false" outlineLevel="0" collapsed="false">
      <c r="A488" s="21"/>
      <c r="B488" s="19"/>
      <c r="C488" s="19"/>
      <c r="D488" s="19"/>
      <c r="E488" s="19"/>
      <c r="F488" s="19"/>
      <c r="G488" s="21"/>
    </row>
    <row r="489" customFormat="false" ht="15" hidden="false" customHeight="false" outlineLevel="0" collapsed="false">
      <c r="A489" s="21"/>
      <c r="B489" s="19"/>
      <c r="C489" s="19"/>
      <c r="D489" s="19"/>
      <c r="E489" s="19"/>
      <c r="F489" s="19"/>
      <c r="G489" s="21"/>
    </row>
    <row r="490" customFormat="false" ht="15" hidden="false" customHeight="false" outlineLevel="0" collapsed="false">
      <c r="A490" s="21"/>
      <c r="B490" s="19"/>
      <c r="C490" s="19"/>
      <c r="D490" s="19"/>
      <c r="E490" s="19"/>
      <c r="F490" s="19"/>
      <c r="G490" s="21"/>
    </row>
    <row r="491" customFormat="false" ht="15" hidden="false" customHeight="false" outlineLevel="0" collapsed="false">
      <c r="A491" s="21"/>
      <c r="B491" s="19"/>
      <c r="C491" s="19"/>
      <c r="D491" s="19"/>
      <c r="E491" s="19"/>
      <c r="F491" s="19"/>
      <c r="G491" s="21"/>
    </row>
    <row r="492" customFormat="false" ht="15" hidden="false" customHeight="false" outlineLevel="0" collapsed="false">
      <c r="A492" s="21"/>
      <c r="B492" s="19"/>
      <c r="C492" s="19"/>
      <c r="D492" s="19"/>
      <c r="E492" s="19"/>
      <c r="F492" s="19"/>
      <c r="G492" s="21"/>
    </row>
    <row r="493" customFormat="false" ht="15" hidden="false" customHeight="false" outlineLevel="0" collapsed="false">
      <c r="A493" s="21"/>
      <c r="B493" s="19"/>
      <c r="C493" s="19"/>
      <c r="D493" s="19"/>
      <c r="E493" s="19"/>
      <c r="F493" s="19"/>
      <c r="G493" s="21"/>
    </row>
    <row r="494" customFormat="false" ht="15" hidden="false" customHeight="false" outlineLevel="0" collapsed="false">
      <c r="A494" s="21"/>
      <c r="B494" s="19"/>
      <c r="C494" s="19"/>
      <c r="D494" s="19"/>
      <c r="E494" s="19"/>
      <c r="F494" s="19"/>
      <c r="G494" s="21"/>
    </row>
    <row r="495" customFormat="false" ht="15" hidden="false" customHeight="false" outlineLevel="0" collapsed="false">
      <c r="A495" s="21"/>
      <c r="B495" s="19"/>
      <c r="C495" s="19"/>
      <c r="D495" s="19"/>
      <c r="E495" s="19"/>
      <c r="F495" s="19"/>
      <c r="G495" s="21"/>
    </row>
    <row r="496" customFormat="false" ht="15" hidden="false" customHeight="false" outlineLevel="0" collapsed="false">
      <c r="A496" s="21"/>
      <c r="B496" s="19"/>
      <c r="C496" s="19"/>
      <c r="D496" s="19"/>
      <c r="E496" s="19"/>
      <c r="F496" s="19"/>
      <c r="G496" s="21"/>
    </row>
    <row r="497" customFormat="false" ht="15" hidden="false" customHeight="false" outlineLevel="0" collapsed="false">
      <c r="A497" s="21"/>
      <c r="B497" s="19"/>
      <c r="C497" s="19"/>
      <c r="D497" s="19"/>
      <c r="E497" s="19"/>
      <c r="F497" s="19"/>
      <c r="G497" s="21"/>
    </row>
    <row r="498" customFormat="false" ht="15" hidden="false" customHeight="false" outlineLevel="0" collapsed="false">
      <c r="A498" s="21"/>
      <c r="B498" s="19"/>
      <c r="C498" s="19"/>
      <c r="D498" s="19"/>
      <c r="E498" s="19"/>
      <c r="F498" s="19"/>
      <c r="G498" s="21"/>
    </row>
    <row r="499" customFormat="false" ht="15" hidden="false" customHeight="false" outlineLevel="0" collapsed="false">
      <c r="A499" s="21"/>
      <c r="B499" s="19"/>
      <c r="C499" s="19"/>
      <c r="D499" s="19"/>
      <c r="E499" s="19"/>
      <c r="F499" s="19"/>
      <c r="G499" s="21"/>
    </row>
    <row r="500" customFormat="false" ht="15" hidden="false" customHeight="false" outlineLevel="0" collapsed="false">
      <c r="A500" s="21"/>
      <c r="B500" s="19"/>
      <c r="C500" s="19"/>
      <c r="D500" s="19"/>
      <c r="E500" s="19"/>
      <c r="F500" s="19"/>
      <c r="G500" s="21"/>
    </row>
    <row r="501" customFormat="false" ht="15" hidden="false" customHeight="false" outlineLevel="0" collapsed="false">
      <c r="A501" s="21"/>
      <c r="B501" s="19"/>
      <c r="C501" s="19"/>
      <c r="D501" s="19"/>
      <c r="E501" s="19"/>
      <c r="F501" s="19"/>
      <c r="G501" s="21"/>
    </row>
    <row r="502" customFormat="false" ht="15" hidden="false" customHeight="false" outlineLevel="0" collapsed="false">
      <c r="A502" s="21"/>
      <c r="B502" s="19"/>
      <c r="C502" s="19"/>
      <c r="D502" s="19"/>
      <c r="E502" s="19"/>
      <c r="F502" s="19"/>
      <c r="G502" s="21"/>
    </row>
    <row r="503" customFormat="false" ht="15" hidden="false" customHeight="false" outlineLevel="0" collapsed="false">
      <c r="A503" s="21"/>
      <c r="B503" s="19"/>
      <c r="C503" s="19"/>
      <c r="D503" s="19"/>
      <c r="E503" s="19"/>
      <c r="F503" s="19"/>
      <c r="G503" s="21"/>
    </row>
    <row r="504" customFormat="false" ht="15" hidden="false" customHeight="false" outlineLevel="0" collapsed="false">
      <c r="A504" s="21"/>
      <c r="B504" s="19"/>
      <c r="C504" s="19"/>
      <c r="D504" s="19"/>
      <c r="E504" s="19"/>
      <c r="F504" s="19"/>
      <c r="G504" s="21"/>
    </row>
    <row r="505" customFormat="false" ht="15" hidden="false" customHeight="false" outlineLevel="0" collapsed="false">
      <c r="A505" s="21"/>
      <c r="B505" s="19"/>
      <c r="C505" s="19"/>
      <c r="D505" s="19"/>
      <c r="E505" s="19"/>
      <c r="F505" s="19"/>
      <c r="G505" s="21"/>
    </row>
    <row r="506" customFormat="false" ht="15" hidden="false" customHeight="false" outlineLevel="0" collapsed="false">
      <c r="A506" s="21"/>
      <c r="B506" s="19"/>
      <c r="C506" s="19"/>
      <c r="D506" s="19"/>
      <c r="E506" s="19"/>
      <c r="F506" s="19"/>
      <c r="G506" s="21"/>
    </row>
    <row r="507" customFormat="false" ht="15" hidden="false" customHeight="false" outlineLevel="0" collapsed="false">
      <c r="A507" s="21"/>
      <c r="B507" s="19"/>
      <c r="C507" s="19"/>
      <c r="D507" s="19"/>
      <c r="E507" s="19"/>
      <c r="F507" s="19"/>
      <c r="G507" s="21"/>
    </row>
    <row r="508" customFormat="false" ht="15" hidden="false" customHeight="false" outlineLevel="0" collapsed="false">
      <c r="A508" s="21"/>
      <c r="B508" s="19"/>
      <c r="C508" s="19"/>
      <c r="D508" s="19"/>
      <c r="E508" s="19"/>
      <c r="F508" s="19"/>
      <c r="G508" s="21"/>
    </row>
    <row r="509" customFormat="false" ht="15" hidden="false" customHeight="false" outlineLevel="0" collapsed="false">
      <c r="A509" s="21"/>
      <c r="B509" s="19"/>
      <c r="C509" s="19"/>
      <c r="D509" s="19"/>
      <c r="E509" s="19"/>
      <c r="F509" s="19"/>
      <c r="G509" s="21"/>
    </row>
    <row r="510" customFormat="false" ht="15" hidden="false" customHeight="false" outlineLevel="0" collapsed="false">
      <c r="A510" s="21"/>
      <c r="B510" s="19"/>
      <c r="C510" s="19"/>
      <c r="D510" s="19"/>
      <c r="E510" s="19"/>
      <c r="F510" s="19"/>
      <c r="G510" s="21"/>
    </row>
    <row r="511" customFormat="false" ht="15" hidden="false" customHeight="false" outlineLevel="0" collapsed="false">
      <c r="A511" s="21"/>
      <c r="B511" s="19"/>
      <c r="C511" s="19"/>
      <c r="D511" s="19"/>
      <c r="E511" s="19"/>
      <c r="F511" s="19"/>
      <c r="G511" s="21"/>
    </row>
    <row r="512" customFormat="false" ht="15" hidden="false" customHeight="false" outlineLevel="0" collapsed="false">
      <c r="A512" s="21"/>
      <c r="B512" s="19"/>
      <c r="C512" s="19"/>
      <c r="D512" s="19"/>
      <c r="E512" s="19"/>
      <c r="F512" s="19"/>
      <c r="G512" s="21"/>
    </row>
    <row r="513" customFormat="false" ht="15" hidden="false" customHeight="false" outlineLevel="0" collapsed="false">
      <c r="A513" s="21"/>
      <c r="B513" s="19"/>
      <c r="C513" s="19"/>
      <c r="D513" s="19"/>
      <c r="E513" s="19"/>
      <c r="F513" s="19"/>
      <c r="G513" s="21"/>
    </row>
    <row r="514" customFormat="false" ht="15" hidden="false" customHeight="false" outlineLevel="0" collapsed="false">
      <c r="A514" s="21"/>
      <c r="B514" s="19"/>
      <c r="C514" s="19"/>
      <c r="D514" s="19"/>
      <c r="E514" s="19"/>
      <c r="F514" s="19"/>
      <c r="G514" s="21"/>
    </row>
    <row r="515" customFormat="false" ht="15" hidden="false" customHeight="false" outlineLevel="0" collapsed="false">
      <c r="A515" s="21"/>
      <c r="B515" s="19"/>
      <c r="C515" s="19"/>
      <c r="D515" s="19"/>
      <c r="E515" s="19"/>
      <c r="F515" s="19"/>
      <c r="G515" s="21"/>
    </row>
    <row r="516" customFormat="false" ht="15" hidden="false" customHeight="false" outlineLevel="0" collapsed="false">
      <c r="A516" s="21"/>
      <c r="B516" s="19"/>
      <c r="C516" s="19"/>
      <c r="D516" s="19"/>
      <c r="E516" s="19"/>
      <c r="F516" s="19"/>
      <c r="G516" s="21"/>
    </row>
    <row r="517" customFormat="false" ht="15" hidden="false" customHeight="false" outlineLevel="0" collapsed="false">
      <c r="A517" s="21"/>
      <c r="B517" s="19"/>
      <c r="C517" s="19"/>
      <c r="D517" s="19"/>
      <c r="E517" s="19"/>
      <c r="F517" s="19"/>
      <c r="G517" s="21"/>
    </row>
    <row r="518" customFormat="false" ht="15" hidden="false" customHeight="false" outlineLevel="0" collapsed="false">
      <c r="A518" s="21"/>
      <c r="B518" s="19"/>
      <c r="C518" s="19"/>
      <c r="D518" s="19"/>
      <c r="E518" s="19"/>
      <c r="F518" s="19"/>
      <c r="G518" s="21"/>
    </row>
    <row r="519" customFormat="false" ht="15" hidden="false" customHeight="false" outlineLevel="0" collapsed="false">
      <c r="A519" s="21"/>
      <c r="B519" s="19"/>
      <c r="C519" s="19"/>
      <c r="D519" s="19"/>
      <c r="E519" s="19"/>
      <c r="F519" s="19"/>
      <c r="G519" s="21"/>
    </row>
    <row r="520" customFormat="false" ht="15" hidden="false" customHeight="false" outlineLevel="0" collapsed="false">
      <c r="A520" s="21"/>
      <c r="B520" s="19"/>
      <c r="C520" s="19"/>
      <c r="D520" s="19"/>
      <c r="E520" s="19"/>
      <c r="F520" s="19"/>
      <c r="G520" s="21"/>
    </row>
    <row r="521" customFormat="false" ht="15" hidden="false" customHeight="false" outlineLevel="0" collapsed="false">
      <c r="A521" s="21"/>
      <c r="B521" s="19"/>
      <c r="C521" s="19"/>
      <c r="D521" s="19"/>
      <c r="E521" s="19"/>
      <c r="F521" s="19"/>
      <c r="G521" s="21"/>
    </row>
    <row r="522" customFormat="false" ht="15" hidden="false" customHeight="false" outlineLevel="0" collapsed="false">
      <c r="A522" s="21"/>
      <c r="B522" s="19"/>
      <c r="C522" s="19"/>
      <c r="D522" s="19"/>
      <c r="E522" s="19"/>
      <c r="F522" s="19"/>
      <c r="G522" s="21"/>
    </row>
    <row r="523" customFormat="false" ht="15" hidden="false" customHeight="false" outlineLevel="0" collapsed="false">
      <c r="A523" s="21"/>
      <c r="B523" s="19"/>
      <c r="C523" s="19"/>
      <c r="D523" s="19"/>
      <c r="E523" s="19"/>
      <c r="F523" s="19"/>
      <c r="G523" s="21"/>
    </row>
    <row r="524" customFormat="false" ht="15" hidden="false" customHeight="false" outlineLevel="0" collapsed="false">
      <c r="A524" s="21"/>
      <c r="B524" s="19"/>
      <c r="C524" s="19"/>
      <c r="D524" s="19"/>
      <c r="E524" s="19"/>
      <c r="F524" s="19"/>
      <c r="G524" s="21"/>
    </row>
    <row r="525" customFormat="false" ht="15" hidden="false" customHeight="false" outlineLevel="0" collapsed="false">
      <c r="A525" s="21"/>
      <c r="B525" s="19"/>
      <c r="C525" s="19"/>
      <c r="D525" s="19"/>
      <c r="E525" s="19"/>
      <c r="F525" s="19"/>
      <c r="G525" s="21"/>
    </row>
    <row r="526" customFormat="false" ht="15" hidden="false" customHeight="false" outlineLevel="0" collapsed="false">
      <c r="A526" s="21"/>
      <c r="B526" s="19"/>
      <c r="C526" s="19"/>
      <c r="D526" s="19"/>
      <c r="E526" s="19"/>
      <c r="F526" s="19"/>
      <c r="G526" s="21"/>
    </row>
    <row r="527" customFormat="false" ht="15" hidden="false" customHeight="false" outlineLevel="0" collapsed="false">
      <c r="A527" s="21"/>
      <c r="B527" s="19"/>
      <c r="C527" s="19"/>
      <c r="D527" s="19"/>
      <c r="E527" s="19"/>
      <c r="F527" s="19"/>
      <c r="G527" s="21"/>
    </row>
    <row r="528" customFormat="false" ht="15" hidden="false" customHeight="false" outlineLevel="0" collapsed="false">
      <c r="A528" s="21"/>
      <c r="B528" s="19"/>
      <c r="C528" s="19"/>
      <c r="D528" s="19"/>
      <c r="E528" s="19"/>
      <c r="F528" s="19"/>
      <c r="G528" s="21"/>
    </row>
    <row r="529" customFormat="false" ht="15" hidden="false" customHeight="false" outlineLevel="0" collapsed="false">
      <c r="A529" s="21"/>
      <c r="B529" s="19"/>
      <c r="C529" s="19"/>
      <c r="D529" s="19"/>
      <c r="E529" s="19"/>
      <c r="F529" s="19"/>
      <c r="G529" s="21"/>
    </row>
    <row r="530" customFormat="false" ht="15" hidden="false" customHeight="false" outlineLevel="0" collapsed="false">
      <c r="A530" s="21"/>
      <c r="B530" s="19"/>
      <c r="C530" s="19"/>
      <c r="D530" s="19"/>
      <c r="E530" s="19"/>
      <c r="F530" s="19"/>
      <c r="G530" s="21"/>
    </row>
    <row r="531" customFormat="false" ht="15" hidden="false" customHeight="false" outlineLevel="0" collapsed="false">
      <c r="A531" s="21"/>
      <c r="B531" s="19"/>
      <c r="C531" s="19"/>
      <c r="D531" s="19"/>
      <c r="E531" s="19"/>
      <c r="F531" s="19"/>
      <c r="G531" s="21"/>
    </row>
    <row r="532" customFormat="false" ht="15" hidden="false" customHeight="false" outlineLevel="0" collapsed="false">
      <c r="A532" s="21"/>
      <c r="B532" s="19"/>
      <c r="C532" s="19"/>
      <c r="D532" s="19"/>
      <c r="E532" s="19"/>
      <c r="F532" s="19"/>
      <c r="G532" s="21"/>
    </row>
    <row r="533" customFormat="false" ht="15" hidden="false" customHeight="false" outlineLevel="0" collapsed="false">
      <c r="A533" s="21"/>
      <c r="B533" s="19"/>
      <c r="C533" s="19"/>
      <c r="D533" s="19"/>
      <c r="E533" s="19"/>
      <c r="F533" s="19"/>
      <c r="G533" s="21"/>
    </row>
    <row r="534" customFormat="false" ht="15" hidden="false" customHeight="false" outlineLevel="0" collapsed="false">
      <c r="A534" s="21"/>
      <c r="B534" s="19"/>
      <c r="C534" s="19"/>
      <c r="D534" s="19"/>
      <c r="E534" s="19"/>
      <c r="F534" s="19"/>
      <c r="G534" s="21"/>
    </row>
    <row r="535" customFormat="false" ht="15" hidden="false" customHeight="false" outlineLevel="0" collapsed="false">
      <c r="A535" s="21"/>
      <c r="B535" s="19"/>
      <c r="C535" s="19"/>
      <c r="D535" s="19"/>
      <c r="E535" s="19"/>
      <c r="F535" s="19"/>
      <c r="G535" s="21"/>
    </row>
    <row r="536" customFormat="false" ht="15" hidden="false" customHeight="false" outlineLevel="0" collapsed="false">
      <c r="A536" s="21"/>
      <c r="B536" s="19"/>
      <c r="C536" s="19"/>
      <c r="D536" s="19"/>
      <c r="E536" s="19"/>
      <c r="F536" s="19"/>
      <c r="G536" s="21"/>
    </row>
    <row r="537" customFormat="false" ht="15" hidden="false" customHeight="false" outlineLevel="0" collapsed="false">
      <c r="A537" s="21"/>
      <c r="B537" s="19"/>
      <c r="C537" s="19"/>
      <c r="D537" s="19"/>
      <c r="E537" s="19"/>
      <c r="F537" s="19"/>
      <c r="G537" s="21"/>
    </row>
    <row r="538" customFormat="false" ht="15" hidden="false" customHeight="false" outlineLevel="0" collapsed="false">
      <c r="A538" s="21"/>
      <c r="B538" s="19"/>
      <c r="C538" s="19"/>
      <c r="D538" s="19"/>
      <c r="E538" s="19"/>
      <c r="F538" s="19"/>
      <c r="G538" s="21"/>
    </row>
    <row r="539" customFormat="false" ht="15" hidden="false" customHeight="false" outlineLevel="0" collapsed="false">
      <c r="A539" s="21"/>
      <c r="B539" s="19"/>
      <c r="C539" s="19"/>
      <c r="D539" s="19"/>
      <c r="E539" s="19"/>
      <c r="F539" s="19"/>
      <c r="G539" s="21"/>
    </row>
    <row r="540" customFormat="false" ht="15" hidden="false" customHeight="false" outlineLevel="0" collapsed="false">
      <c r="A540" s="21"/>
      <c r="B540" s="19"/>
      <c r="C540" s="19"/>
      <c r="D540" s="19"/>
      <c r="E540" s="19"/>
      <c r="F540" s="19"/>
      <c r="G540" s="21"/>
    </row>
    <row r="541" customFormat="false" ht="15" hidden="false" customHeight="false" outlineLevel="0" collapsed="false">
      <c r="A541" s="21"/>
      <c r="B541" s="19"/>
      <c r="C541" s="19"/>
      <c r="D541" s="19"/>
      <c r="E541" s="19"/>
      <c r="F541" s="19"/>
      <c r="G541" s="21"/>
    </row>
    <row r="542" customFormat="false" ht="15" hidden="false" customHeight="false" outlineLevel="0" collapsed="false">
      <c r="A542" s="21"/>
      <c r="B542" s="19"/>
      <c r="C542" s="19"/>
      <c r="D542" s="19"/>
      <c r="E542" s="19"/>
      <c r="F542" s="19"/>
      <c r="G542" s="21"/>
    </row>
    <row r="543" customFormat="false" ht="15" hidden="false" customHeight="false" outlineLevel="0" collapsed="false">
      <c r="A543" s="21"/>
      <c r="B543" s="19"/>
      <c r="C543" s="19"/>
      <c r="D543" s="19"/>
      <c r="E543" s="19"/>
      <c r="F543" s="19"/>
      <c r="G543" s="21"/>
    </row>
    <row r="544" customFormat="false" ht="15" hidden="false" customHeight="false" outlineLevel="0" collapsed="false">
      <c r="A544" s="21"/>
      <c r="B544" s="19"/>
      <c r="C544" s="19"/>
      <c r="D544" s="19"/>
      <c r="E544" s="19"/>
      <c r="F544" s="19"/>
      <c r="G544" s="21"/>
    </row>
    <row r="545" customFormat="false" ht="15" hidden="false" customHeight="false" outlineLevel="0" collapsed="false">
      <c r="A545" s="21"/>
      <c r="B545" s="19"/>
      <c r="C545" s="19"/>
      <c r="D545" s="19"/>
      <c r="E545" s="19"/>
      <c r="F545" s="19"/>
      <c r="G545" s="21"/>
    </row>
    <row r="546" customFormat="false" ht="15" hidden="false" customHeight="false" outlineLevel="0" collapsed="false">
      <c r="A546" s="21"/>
      <c r="B546" s="19"/>
      <c r="C546" s="19"/>
      <c r="D546" s="19"/>
      <c r="E546" s="19"/>
      <c r="F546" s="19"/>
      <c r="G546" s="21"/>
    </row>
    <row r="547" customFormat="false" ht="15" hidden="false" customHeight="false" outlineLevel="0" collapsed="false">
      <c r="A547" s="21"/>
      <c r="B547" s="19"/>
      <c r="C547" s="19"/>
      <c r="D547" s="19"/>
      <c r="E547" s="19"/>
      <c r="F547" s="19"/>
      <c r="G547" s="21"/>
    </row>
    <row r="548" customFormat="false" ht="15" hidden="false" customHeight="false" outlineLevel="0" collapsed="false">
      <c r="A548" s="21"/>
      <c r="B548" s="19"/>
      <c r="C548" s="19"/>
      <c r="D548" s="19"/>
      <c r="E548" s="19"/>
      <c r="F548" s="19"/>
      <c r="G548" s="21"/>
    </row>
    <row r="549" customFormat="false" ht="15" hidden="false" customHeight="false" outlineLevel="0" collapsed="false">
      <c r="A549" s="21"/>
      <c r="B549" s="19"/>
      <c r="C549" s="19"/>
      <c r="D549" s="19"/>
      <c r="E549" s="19"/>
      <c r="F549" s="19"/>
      <c r="G549" s="21"/>
    </row>
    <row r="550" customFormat="false" ht="15" hidden="false" customHeight="false" outlineLevel="0" collapsed="false">
      <c r="A550" s="21"/>
      <c r="B550" s="19"/>
      <c r="C550" s="19"/>
      <c r="D550" s="19"/>
      <c r="E550" s="19"/>
      <c r="F550" s="19"/>
      <c r="G550" s="21"/>
    </row>
    <row r="551" customFormat="false" ht="15" hidden="false" customHeight="false" outlineLevel="0" collapsed="false">
      <c r="A551" s="21"/>
      <c r="B551" s="19"/>
      <c r="C551" s="19"/>
      <c r="D551" s="19"/>
      <c r="E551" s="19"/>
      <c r="F551" s="19"/>
      <c r="G551" s="21"/>
    </row>
    <row r="552" customFormat="false" ht="15" hidden="false" customHeight="false" outlineLevel="0" collapsed="false">
      <c r="A552" s="21"/>
      <c r="B552" s="19"/>
      <c r="C552" s="19"/>
      <c r="D552" s="19"/>
      <c r="E552" s="19"/>
      <c r="F552" s="19"/>
      <c r="G552" s="21"/>
    </row>
    <row r="553" customFormat="false" ht="15" hidden="false" customHeight="false" outlineLevel="0" collapsed="false">
      <c r="A553" s="21"/>
      <c r="B553" s="19"/>
      <c r="C553" s="19"/>
      <c r="D553" s="19"/>
      <c r="E553" s="19"/>
      <c r="F553" s="19"/>
      <c r="G553" s="21"/>
    </row>
    <row r="554" customFormat="false" ht="15" hidden="false" customHeight="false" outlineLevel="0" collapsed="false">
      <c r="A554" s="21"/>
      <c r="B554" s="19"/>
      <c r="C554" s="19"/>
      <c r="D554" s="19"/>
      <c r="E554" s="19"/>
      <c r="F554" s="19"/>
      <c r="G554" s="21"/>
    </row>
    <row r="555" customFormat="false" ht="15" hidden="false" customHeight="false" outlineLevel="0" collapsed="false">
      <c r="A555" s="21"/>
      <c r="B555" s="19"/>
      <c r="C555" s="19"/>
      <c r="D555" s="19"/>
      <c r="E555" s="19"/>
      <c r="F555" s="19"/>
      <c r="G555" s="21"/>
    </row>
    <row r="556" customFormat="false" ht="15" hidden="false" customHeight="false" outlineLevel="0" collapsed="false">
      <c r="A556" s="21"/>
      <c r="B556" s="19"/>
      <c r="C556" s="19"/>
      <c r="D556" s="19"/>
      <c r="E556" s="19"/>
      <c r="F556" s="19"/>
      <c r="G556" s="21"/>
    </row>
    <row r="557" customFormat="false" ht="15" hidden="false" customHeight="false" outlineLevel="0" collapsed="false">
      <c r="A557" s="21"/>
      <c r="B557" s="19"/>
      <c r="C557" s="19"/>
      <c r="D557" s="19"/>
      <c r="E557" s="19"/>
      <c r="F557" s="19"/>
      <c r="G557" s="21"/>
    </row>
    <row r="558" customFormat="false" ht="15" hidden="false" customHeight="false" outlineLevel="0" collapsed="false">
      <c r="A558" s="21"/>
      <c r="B558" s="19"/>
      <c r="C558" s="19"/>
      <c r="D558" s="19"/>
      <c r="E558" s="19"/>
      <c r="F558" s="19"/>
      <c r="G558" s="21"/>
    </row>
    <row r="559" customFormat="false" ht="15" hidden="false" customHeight="false" outlineLevel="0" collapsed="false">
      <c r="A559" s="21"/>
      <c r="B559" s="19"/>
      <c r="C559" s="19"/>
      <c r="D559" s="19"/>
      <c r="E559" s="19"/>
      <c r="F559" s="19"/>
      <c r="G559" s="21"/>
    </row>
    <row r="560" customFormat="false" ht="15" hidden="false" customHeight="false" outlineLevel="0" collapsed="false">
      <c r="A560" s="21"/>
      <c r="B560" s="19"/>
      <c r="C560" s="19"/>
      <c r="D560" s="19"/>
      <c r="E560" s="19"/>
      <c r="F560" s="19"/>
      <c r="G560" s="21"/>
    </row>
    <row r="561" customFormat="false" ht="15" hidden="false" customHeight="false" outlineLevel="0" collapsed="false">
      <c r="A561" s="21"/>
      <c r="B561" s="19"/>
      <c r="C561" s="19"/>
      <c r="D561" s="19"/>
      <c r="E561" s="19"/>
      <c r="F561" s="19"/>
      <c r="G561" s="21"/>
    </row>
    <row r="562" customFormat="false" ht="15" hidden="false" customHeight="false" outlineLevel="0" collapsed="false">
      <c r="A562" s="21"/>
      <c r="B562" s="19"/>
      <c r="C562" s="19"/>
      <c r="D562" s="19"/>
      <c r="E562" s="19"/>
      <c r="F562" s="19"/>
      <c r="G562" s="21"/>
    </row>
    <row r="563" customFormat="false" ht="15" hidden="false" customHeight="false" outlineLevel="0" collapsed="false">
      <c r="A563" s="21"/>
      <c r="B563" s="19"/>
      <c r="C563" s="19"/>
      <c r="D563" s="19"/>
      <c r="E563" s="19"/>
      <c r="F563" s="19"/>
      <c r="G563" s="21"/>
    </row>
    <row r="564" customFormat="false" ht="15" hidden="false" customHeight="false" outlineLevel="0" collapsed="false">
      <c r="A564" s="21"/>
      <c r="B564" s="19"/>
      <c r="C564" s="19"/>
      <c r="D564" s="19"/>
      <c r="E564" s="19"/>
      <c r="F564" s="19"/>
      <c r="G564" s="21"/>
    </row>
    <row r="565" customFormat="false" ht="15" hidden="false" customHeight="false" outlineLevel="0" collapsed="false">
      <c r="A565" s="21"/>
      <c r="B565" s="19"/>
      <c r="C565" s="19"/>
      <c r="D565" s="19"/>
      <c r="E565" s="19"/>
      <c r="F565" s="19"/>
      <c r="G565" s="21"/>
    </row>
    <row r="566" customFormat="false" ht="15" hidden="false" customHeight="false" outlineLevel="0" collapsed="false">
      <c r="A566" s="21"/>
      <c r="B566" s="19"/>
      <c r="C566" s="19"/>
      <c r="D566" s="19"/>
      <c r="E566" s="19"/>
      <c r="F566" s="19"/>
      <c r="G566" s="21"/>
    </row>
    <row r="567" customFormat="false" ht="15" hidden="false" customHeight="false" outlineLevel="0" collapsed="false">
      <c r="A567" s="21"/>
      <c r="B567" s="19"/>
      <c r="C567" s="19"/>
      <c r="D567" s="19"/>
      <c r="E567" s="19"/>
      <c r="F567" s="19"/>
      <c r="G567" s="21"/>
    </row>
    <row r="568" customFormat="false" ht="15" hidden="false" customHeight="false" outlineLevel="0" collapsed="false">
      <c r="A568" s="21"/>
      <c r="B568" s="19"/>
      <c r="C568" s="19"/>
      <c r="D568" s="19"/>
      <c r="E568" s="19"/>
      <c r="F568" s="19"/>
      <c r="G568" s="21"/>
    </row>
    <row r="569" customFormat="false" ht="15" hidden="false" customHeight="false" outlineLevel="0" collapsed="false">
      <c r="A569" s="21"/>
      <c r="B569" s="19"/>
      <c r="C569" s="19"/>
      <c r="D569" s="19"/>
      <c r="E569" s="19"/>
      <c r="F569" s="19"/>
      <c r="G569" s="21"/>
    </row>
    <row r="570" customFormat="false" ht="15" hidden="false" customHeight="false" outlineLevel="0" collapsed="false">
      <c r="A570" s="21"/>
      <c r="B570" s="19"/>
      <c r="C570" s="19"/>
      <c r="D570" s="19"/>
      <c r="E570" s="19"/>
      <c r="F570" s="19"/>
      <c r="G570" s="21"/>
    </row>
    <row r="571" customFormat="false" ht="15" hidden="false" customHeight="false" outlineLevel="0" collapsed="false">
      <c r="A571" s="21"/>
      <c r="B571" s="19"/>
      <c r="C571" s="19"/>
      <c r="D571" s="19"/>
      <c r="E571" s="19"/>
      <c r="F571" s="19"/>
      <c r="G571" s="21"/>
    </row>
    <row r="572" customFormat="false" ht="15" hidden="false" customHeight="false" outlineLevel="0" collapsed="false">
      <c r="A572" s="21"/>
      <c r="B572" s="19"/>
      <c r="C572" s="19"/>
      <c r="D572" s="19"/>
      <c r="E572" s="19"/>
      <c r="F572" s="19"/>
      <c r="G572" s="21"/>
    </row>
    <row r="573" customFormat="false" ht="15" hidden="false" customHeight="false" outlineLevel="0" collapsed="false">
      <c r="A573" s="21"/>
      <c r="B573" s="19"/>
      <c r="C573" s="19"/>
      <c r="D573" s="19"/>
      <c r="E573" s="19"/>
      <c r="F573" s="19"/>
      <c r="G573" s="21"/>
    </row>
    <row r="574" customFormat="false" ht="15" hidden="false" customHeight="false" outlineLevel="0" collapsed="false">
      <c r="A574" s="21"/>
      <c r="B574" s="19"/>
      <c r="C574" s="19"/>
      <c r="D574" s="19"/>
      <c r="E574" s="19"/>
      <c r="F574" s="19"/>
      <c r="G574" s="21"/>
    </row>
    <row r="575" customFormat="false" ht="15" hidden="false" customHeight="false" outlineLevel="0" collapsed="false">
      <c r="A575" s="21"/>
      <c r="B575" s="19"/>
      <c r="C575" s="19"/>
      <c r="D575" s="19"/>
      <c r="E575" s="19"/>
      <c r="F575" s="19"/>
      <c r="G575" s="21"/>
    </row>
    <row r="576" customFormat="false" ht="15" hidden="false" customHeight="false" outlineLevel="0" collapsed="false">
      <c r="A576" s="21"/>
      <c r="B576" s="19"/>
      <c r="C576" s="19"/>
      <c r="D576" s="19"/>
      <c r="E576" s="19"/>
      <c r="F576" s="19"/>
      <c r="G576" s="21"/>
    </row>
    <row r="577" customFormat="false" ht="15" hidden="false" customHeight="false" outlineLevel="0" collapsed="false">
      <c r="A577" s="21"/>
      <c r="B577" s="19"/>
      <c r="C577" s="19"/>
      <c r="D577" s="19"/>
      <c r="E577" s="19"/>
      <c r="F577" s="19"/>
      <c r="G577" s="21"/>
    </row>
    <row r="578" customFormat="false" ht="15" hidden="false" customHeight="false" outlineLevel="0" collapsed="false">
      <c r="A578" s="21"/>
      <c r="B578" s="19"/>
      <c r="C578" s="19"/>
      <c r="D578" s="19"/>
      <c r="E578" s="19"/>
      <c r="F578" s="19"/>
      <c r="G578" s="21"/>
    </row>
    <row r="579" customFormat="false" ht="15" hidden="false" customHeight="false" outlineLevel="0" collapsed="false">
      <c r="A579" s="21"/>
      <c r="B579" s="19"/>
      <c r="C579" s="19"/>
      <c r="D579" s="19"/>
      <c r="E579" s="19"/>
      <c r="F579" s="19"/>
      <c r="G579" s="21"/>
    </row>
    <row r="580" customFormat="false" ht="15" hidden="false" customHeight="false" outlineLevel="0" collapsed="false">
      <c r="A580" s="21"/>
      <c r="B580" s="19"/>
      <c r="C580" s="19"/>
      <c r="D580" s="19"/>
      <c r="E580" s="19"/>
      <c r="F580" s="19"/>
      <c r="G580" s="21"/>
    </row>
    <row r="581" customFormat="false" ht="15" hidden="false" customHeight="false" outlineLevel="0" collapsed="false">
      <c r="A581" s="21"/>
      <c r="B581" s="19"/>
      <c r="C581" s="19"/>
      <c r="D581" s="19"/>
      <c r="E581" s="19"/>
      <c r="F581" s="19"/>
      <c r="G581" s="21"/>
    </row>
    <row r="582" customFormat="false" ht="15" hidden="false" customHeight="false" outlineLevel="0" collapsed="false">
      <c r="A582" s="21"/>
      <c r="B582" s="19"/>
      <c r="C582" s="19"/>
      <c r="D582" s="19"/>
      <c r="E582" s="19"/>
      <c r="F582" s="19"/>
      <c r="G582" s="21"/>
    </row>
    <row r="583" customFormat="false" ht="15" hidden="false" customHeight="false" outlineLevel="0" collapsed="false">
      <c r="A583" s="21"/>
      <c r="B583" s="19"/>
      <c r="C583" s="19"/>
      <c r="D583" s="19"/>
      <c r="E583" s="19"/>
      <c r="F583" s="19"/>
      <c r="G583" s="21"/>
    </row>
    <row r="584" customFormat="false" ht="15" hidden="false" customHeight="false" outlineLevel="0" collapsed="false">
      <c r="A584" s="21"/>
      <c r="B584" s="19"/>
      <c r="C584" s="19"/>
      <c r="D584" s="19"/>
      <c r="E584" s="19"/>
      <c r="F584" s="19"/>
      <c r="G584" s="21"/>
    </row>
    <row r="585" customFormat="false" ht="15" hidden="false" customHeight="false" outlineLevel="0" collapsed="false">
      <c r="A585" s="21"/>
      <c r="B585" s="19"/>
      <c r="C585" s="19"/>
      <c r="D585" s="19"/>
      <c r="E585" s="19"/>
      <c r="F585" s="19"/>
      <c r="G585" s="21"/>
    </row>
    <row r="586" customFormat="false" ht="15" hidden="false" customHeight="false" outlineLevel="0" collapsed="false">
      <c r="A586" s="21"/>
      <c r="B586" s="19"/>
      <c r="C586" s="19"/>
      <c r="D586" s="19"/>
      <c r="E586" s="19"/>
      <c r="F586" s="19"/>
      <c r="G586" s="21"/>
    </row>
    <row r="587" customFormat="false" ht="15" hidden="false" customHeight="false" outlineLevel="0" collapsed="false">
      <c r="A587" s="21"/>
      <c r="B587" s="19"/>
      <c r="C587" s="19"/>
      <c r="D587" s="19"/>
      <c r="E587" s="19"/>
      <c r="F587" s="19"/>
      <c r="G587" s="21"/>
    </row>
    <row r="588" customFormat="false" ht="15" hidden="false" customHeight="false" outlineLevel="0" collapsed="false">
      <c r="A588" s="21"/>
      <c r="B588" s="19"/>
      <c r="C588" s="19"/>
      <c r="D588" s="19"/>
      <c r="E588" s="19"/>
      <c r="F588" s="19"/>
      <c r="G588" s="21"/>
    </row>
    <row r="589" customFormat="false" ht="15" hidden="false" customHeight="false" outlineLevel="0" collapsed="false">
      <c r="A589" s="21"/>
      <c r="B589" s="19"/>
      <c r="C589" s="19"/>
      <c r="D589" s="19"/>
      <c r="E589" s="19"/>
      <c r="F589" s="19"/>
      <c r="G589" s="21"/>
    </row>
    <row r="590" customFormat="false" ht="15" hidden="false" customHeight="false" outlineLevel="0" collapsed="false">
      <c r="A590" s="21"/>
      <c r="B590" s="19"/>
      <c r="C590" s="19"/>
      <c r="D590" s="19"/>
      <c r="E590" s="19"/>
      <c r="F590" s="19"/>
      <c r="G590" s="21"/>
    </row>
    <row r="591" customFormat="false" ht="15" hidden="false" customHeight="false" outlineLevel="0" collapsed="false">
      <c r="A591" s="21"/>
      <c r="B591" s="19"/>
      <c r="C591" s="19"/>
      <c r="D591" s="19"/>
      <c r="E591" s="19"/>
      <c r="F591" s="19"/>
      <c r="G591" s="21"/>
    </row>
    <row r="592" customFormat="false" ht="15" hidden="false" customHeight="false" outlineLevel="0" collapsed="false">
      <c r="A592" s="21"/>
      <c r="B592" s="19"/>
      <c r="C592" s="19"/>
      <c r="D592" s="19"/>
      <c r="E592" s="19"/>
      <c r="F592" s="19"/>
      <c r="G592" s="21"/>
    </row>
    <row r="593" customFormat="false" ht="15" hidden="false" customHeight="false" outlineLevel="0" collapsed="false">
      <c r="A593" s="21"/>
      <c r="B593" s="19"/>
      <c r="C593" s="19"/>
      <c r="D593" s="19"/>
      <c r="E593" s="19"/>
      <c r="F593" s="19"/>
      <c r="G593" s="21"/>
    </row>
    <row r="594" customFormat="false" ht="15" hidden="false" customHeight="false" outlineLevel="0" collapsed="false">
      <c r="A594" s="21"/>
      <c r="B594" s="19"/>
      <c r="C594" s="19"/>
      <c r="D594" s="19"/>
      <c r="E594" s="19"/>
      <c r="F594" s="19"/>
      <c r="G594" s="21"/>
    </row>
    <row r="595" customFormat="false" ht="15" hidden="false" customHeight="false" outlineLevel="0" collapsed="false">
      <c r="A595" s="21"/>
      <c r="B595" s="19"/>
      <c r="C595" s="19"/>
      <c r="D595" s="19"/>
      <c r="E595" s="19"/>
      <c r="F595" s="19"/>
      <c r="G595" s="21"/>
    </row>
    <row r="596" customFormat="false" ht="15" hidden="false" customHeight="false" outlineLevel="0" collapsed="false">
      <c r="A596" s="21"/>
      <c r="B596" s="19"/>
      <c r="C596" s="19"/>
      <c r="D596" s="19"/>
      <c r="E596" s="19"/>
      <c r="F596" s="19"/>
      <c r="G596" s="21"/>
    </row>
    <row r="597" customFormat="false" ht="15" hidden="false" customHeight="false" outlineLevel="0" collapsed="false">
      <c r="A597" s="21"/>
      <c r="B597" s="19"/>
      <c r="C597" s="19"/>
      <c r="D597" s="19"/>
      <c r="E597" s="19"/>
      <c r="F597" s="19"/>
      <c r="G597" s="21"/>
    </row>
    <row r="598" customFormat="false" ht="15" hidden="false" customHeight="false" outlineLevel="0" collapsed="false">
      <c r="A598" s="21"/>
      <c r="B598" s="19"/>
      <c r="C598" s="19"/>
      <c r="D598" s="19"/>
      <c r="E598" s="19"/>
      <c r="F598" s="19"/>
      <c r="G598" s="21"/>
    </row>
    <row r="599" customFormat="false" ht="15" hidden="false" customHeight="false" outlineLevel="0" collapsed="false">
      <c r="A599" s="21"/>
      <c r="B599" s="19"/>
      <c r="C599" s="19"/>
      <c r="D599" s="19"/>
      <c r="E599" s="19"/>
      <c r="F599" s="19"/>
      <c r="G599" s="21"/>
    </row>
    <row r="600" customFormat="false" ht="15" hidden="false" customHeight="false" outlineLevel="0" collapsed="false">
      <c r="A600" s="21"/>
      <c r="B600" s="19"/>
      <c r="C600" s="19"/>
      <c r="D600" s="19"/>
      <c r="E600" s="19"/>
      <c r="F600" s="19"/>
      <c r="G600" s="21"/>
    </row>
    <row r="601" customFormat="false" ht="15" hidden="false" customHeight="false" outlineLevel="0" collapsed="false">
      <c r="A601" s="21"/>
      <c r="B601" s="19"/>
      <c r="C601" s="19"/>
      <c r="D601" s="19"/>
      <c r="E601" s="19"/>
      <c r="F601" s="19"/>
      <c r="G601" s="21"/>
    </row>
    <row r="602" customFormat="false" ht="15" hidden="false" customHeight="false" outlineLevel="0" collapsed="false">
      <c r="A602" s="21"/>
      <c r="B602" s="19"/>
      <c r="C602" s="19"/>
      <c r="D602" s="19"/>
      <c r="E602" s="19"/>
      <c r="F602" s="19"/>
      <c r="G602" s="21"/>
    </row>
    <row r="603" customFormat="false" ht="15" hidden="false" customHeight="false" outlineLevel="0" collapsed="false">
      <c r="A603" s="21"/>
      <c r="B603" s="19"/>
      <c r="C603" s="19"/>
      <c r="D603" s="19"/>
      <c r="E603" s="19"/>
      <c r="F603" s="19"/>
      <c r="G603" s="21"/>
    </row>
    <row r="604" customFormat="false" ht="15" hidden="false" customHeight="false" outlineLevel="0" collapsed="false">
      <c r="A604" s="21"/>
      <c r="B604" s="19"/>
      <c r="C604" s="19"/>
      <c r="D604" s="19"/>
      <c r="E604" s="19"/>
      <c r="F604" s="19"/>
      <c r="G604" s="21"/>
    </row>
    <row r="605" customFormat="false" ht="15" hidden="false" customHeight="false" outlineLevel="0" collapsed="false">
      <c r="A605" s="21"/>
      <c r="B605" s="19"/>
      <c r="C605" s="19"/>
      <c r="D605" s="19"/>
      <c r="E605" s="19"/>
      <c r="F605" s="19"/>
      <c r="G605" s="21"/>
    </row>
    <row r="606" customFormat="false" ht="15" hidden="false" customHeight="false" outlineLevel="0" collapsed="false">
      <c r="A606" s="21"/>
      <c r="B606" s="19"/>
      <c r="C606" s="19"/>
      <c r="D606" s="19"/>
      <c r="E606" s="19"/>
      <c r="F606" s="19"/>
      <c r="G606" s="21"/>
    </row>
    <row r="607" customFormat="false" ht="15" hidden="false" customHeight="false" outlineLevel="0" collapsed="false">
      <c r="A607" s="21"/>
      <c r="B607" s="19"/>
      <c r="C607" s="19"/>
      <c r="D607" s="19"/>
      <c r="E607" s="19"/>
      <c r="F607" s="19"/>
      <c r="G607" s="21"/>
    </row>
    <row r="608" customFormat="false" ht="15" hidden="false" customHeight="false" outlineLevel="0" collapsed="false">
      <c r="A608" s="21"/>
      <c r="B608" s="19"/>
      <c r="C608" s="19"/>
      <c r="D608" s="19"/>
      <c r="E608" s="19"/>
      <c r="F608" s="19"/>
      <c r="G608" s="21"/>
    </row>
    <row r="609" customFormat="false" ht="15" hidden="false" customHeight="false" outlineLevel="0" collapsed="false">
      <c r="A609" s="21"/>
      <c r="B609" s="19"/>
      <c r="C609" s="19"/>
      <c r="D609" s="19"/>
      <c r="E609" s="19"/>
      <c r="F609" s="19"/>
      <c r="G609" s="21"/>
    </row>
    <row r="610" customFormat="false" ht="15" hidden="false" customHeight="false" outlineLevel="0" collapsed="false">
      <c r="A610" s="21"/>
      <c r="B610" s="19"/>
      <c r="C610" s="19"/>
      <c r="D610" s="19"/>
      <c r="E610" s="19"/>
      <c r="F610" s="19"/>
      <c r="G610" s="21"/>
    </row>
    <row r="611" customFormat="false" ht="15" hidden="false" customHeight="false" outlineLevel="0" collapsed="false">
      <c r="A611" s="21"/>
      <c r="B611" s="19"/>
      <c r="C611" s="19"/>
      <c r="D611" s="19"/>
      <c r="E611" s="19"/>
      <c r="F611" s="19"/>
      <c r="G611" s="21"/>
    </row>
    <row r="612" customFormat="false" ht="15" hidden="false" customHeight="false" outlineLevel="0" collapsed="false">
      <c r="A612" s="21"/>
      <c r="B612" s="19"/>
      <c r="C612" s="19"/>
      <c r="D612" s="19"/>
      <c r="E612" s="19"/>
      <c r="F612" s="19"/>
      <c r="G612" s="21"/>
    </row>
    <row r="613" customFormat="false" ht="15" hidden="false" customHeight="false" outlineLevel="0" collapsed="false">
      <c r="A613" s="21"/>
      <c r="B613" s="19"/>
      <c r="C613" s="19"/>
      <c r="D613" s="19"/>
      <c r="E613" s="19"/>
      <c r="F613" s="19"/>
      <c r="G613" s="21"/>
    </row>
    <row r="614" customFormat="false" ht="15" hidden="false" customHeight="false" outlineLevel="0" collapsed="false">
      <c r="A614" s="21"/>
      <c r="B614" s="19"/>
      <c r="C614" s="19"/>
      <c r="D614" s="19"/>
      <c r="E614" s="19"/>
      <c r="F614" s="19"/>
      <c r="G614" s="21"/>
    </row>
    <row r="615" customFormat="false" ht="15" hidden="false" customHeight="false" outlineLevel="0" collapsed="false">
      <c r="A615" s="21"/>
      <c r="B615" s="19"/>
      <c r="C615" s="19"/>
      <c r="D615" s="19"/>
      <c r="E615" s="19"/>
      <c r="F615" s="19"/>
      <c r="G615" s="21"/>
    </row>
    <row r="616" customFormat="false" ht="15" hidden="false" customHeight="false" outlineLevel="0" collapsed="false">
      <c r="A616" s="21"/>
      <c r="B616" s="19"/>
      <c r="C616" s="19"/>
      <c r="D616" s="19"/>
      <c r="E616" s="19"/>
      <c r="F616" s="19"/>
      <c r="G616" s="21"/>
    </row>
    <row r="617" customFormat="false" ht="15" hidden="false" customHeight="false" outlineLevel="0" collapsed="false">
      <c r="A617" s="21"/>
      <c r="B617" s="19"/>
      <c r="C617" s="19"/>
      <c r="D617" s="19"/>
      <c r="E617" s="19"/>
      <c r="F617" s="19"/>
      <c r="G617" s="21"/>
    </row>
    <row r="618" customFormat="false" ht="15" hidden="false" customHeight="false" outlineLevel="0" collapsed="false">
      <c r="A618" s="21"/>
      <c r="B618" s="19"/>
      <c r="C618" s="19"/>
      <c r="D618" s="19"/>
      <c r="E618" s="19"/>
      <c r="F618" s="19"/>
      <c r="G618" s="21"/>
    </row>
    <row r="619" customFormat="false" ht="15" hidden="false" customHeight="false" outlineLevel="0" collapsed="false">
      <c r="A619" s="21"/>
      <c r="B619" s="19"/>
      <c r="C619" s="19"/>
      <c r="D619" s="19"/>
      <c r="E619" s="19"/>
      <c r="F619" s="19"/>
      <c r="G619" s="21"/>
    </row>
    <row r="620" customFormat="false" ht="15" hidden="false" customHeight="false" outlineLevel="0" collapsed="false">
      <c r="A620" s="21"/>
      <c r="B620" s="19"/>
      <c r="C620" s="19"/>
      <c r="D620" s="19"/>
      <c r="E620" s="19"/>
      <c r="F620" s="19"/>
      <c r="G620" s="21"/>
    </row>
    <row r="621" customFormat="false" ht="15" hidden="false" customHeight="false" outlineLevel="0" collapsed="false">
      <c r="A621" s="21"/>
      <c r="B621" s="19"/>
      <c r="C621" s="19"/>
      <c r="D621" s="19"/>
      <c r="E621" s="19"/>
      <c r="F621" s="19"/>
      <c r="G621" s="21"/>
    </row>
    <row r="622" customFormat="false" ht="15" hidden="false" customHeight="false" outlineLevel="0" collapsed="false">
      <c r="A622" s="21"/>
      <c r="B622" s="19"/>
      <c r="C622" s="19"/>
      <c r="D622" s="19"/>
      <c r="E622" s="19"/>
      <c r="F622" s="19"/>
      <c r="G622" s="21"/>
    </row>
    <row r="623" customFormat="false" ht="15" hidden="false" customHeight="false" outlineLevel="0" collapsed="false">
      <c r="A623" s="21"/>
      <c r="B623" s="19"/>
      <c r="C623" s="19"/>
      <c r="D623" s="19"/>
      <c r="E623" s="19"/>
      <c r="F623" s="19"/>
      <c r="G623" s="21"/>
    </row>
    <row r="624" customFormat="false" ht="15" hidden="false" customHeight="false" outlineLevel="0" collapsed="false">
      <c r="A624" s="21"/>
      <c r="B624" s="19"/>
      <c r="C624" s="19"/>
      <c r="D624" s="19"/>
      <c r="E624" s="19"/>
      <c r="F624" s="19"/>
      <c r="G624" s="21"/>
    </row>
    <row r="625" customFormat="false" ht="15" hidden="false" customHeight="false" outlineLevel="0" collapsed="false">
      <c r="A625" s="21"/>
      <c r="B625" s="19"/>
      <c r="C625" s="19"/>
      <c r="D625" s="19"/>
      <c r="E625" s="19"/>
      <c r="F625" s="19"/>
      <c r="G625" s="21"/>
    </row>
    <row r="626" customFormat="false" ht="15" hidden="false" customHeight="false" outlineLevel="0" collapsed="false">
      <c r="A626" s="21"/>
      <c r="B626" s="19"/>
      <c r="C626" s="19"/>
      <c r="D626" s="19"/>
      <c r="E626" s="19"/>
      <c r="F626" s="19"/>
      <c r="G626" s="21"/>
    </row>
    <row r="627" customFormat="false" ht="15" hidden="false" customHeight="false" outlineLevel="0" collapsed="false">
      <c r="A627" s="21"/>
      <c r="B627" s="19"/>
      <c r="C627" s="19"/>
      <c r="D627" s="19"/>
      <c r="E627" s="19"/>
      <c r="F627" s="19"/>
      <c r="G627" s="21"/>
    </row>
    <row r="628" customFormat="false" ht="15" hidden="false" customHeight="false" outlineLevel="0" collapsed="false">
      <c r="A628" s="21"/>
      <c r="B628" s="19"/>
      <c r="C628" s="19"/>
      <c r="D628" s="19"/>
      <c r="E628" s="19"/>
      <c r="F628" s="19"/>
      <c r="G628" s="21"/>
    </row>
    <row r="629" customFormat="false" ht="15" hidden="false" customHeight="false" outlineLevel="0" collapsed="false">
      <c r="A629" s="21"/>
      <c r="B629" s="19"/>
      <c r="C629" s="19"/>
      <c r="D629" s="19"/>
      <c r="E629" s="19"/>
      <c r="F629" s="19"/>
      <c r="G629" s="21"/>
    </row>
    <row r="630" customFormat="false" ht="15" hidden="false" customHeight="false" outlineLevel="0" collapsed="false">
      <c r="A630" s="21"/>
      <c r="B630" s="19"/>
      <c r="C630" s="19"/>
      <c r="D630" s="19"/>
      <c r="E630" s="19"/>
      <c r="F630" s="19"/>
      <c r="G630" s="21"/>
    </row>
    <row r="631" customFormat="false" ht="15" hidden="false" customHeight="false" outlineLevel="0" collapsed="false">
      <c r="A631" s="21"/>
      <c r="B631" s="19"/>
      <c r="C631" s="19"/>
      <c r="D631" s="19"/>
      <c r="E631" s="19"/>
      <c r="F631" s="19"/>
      <c r="G631" s="21"/>
    </row>
    <row r="632" customFormat="false" ht="15" hidden="false" customHeight="false" outlineLevel="0" collapsed="false">
      <c r="A632" s="21"/>
      <c r="B632" s="19"/>
      <c r="C632" s="19"/>
      <c r="D632" s="19"/>
      <c r="E632" s="19"/>
      <c r="F632" s="19"/>
      <c r="G632" s="21"/>
    </row>
    <row r="633" customFormat="false" ht="15" hidden="false" customHeight="false" outlineLevel="0" collapsed="false">
      <c r="A633" s="21"/>
      <c r="B633" s="19"/>
      <c r="C633" s="19"/>
      <c r="D633" s="19"/>
      <c r="E633" s="19"/>
      <c r="F633" s="19"/>
      <c r="G633" s="21"/>
    </row>
    <row r="634" customFormat="false" ht="15" hidden="false" customHeight="false" outlineLevel="0" collapsed="false">
      <c r="A634" s="21"/>
      <c r="B634" s="19"/>
      <c r="C634" s="19"/>
      <c r="D634" s="19"/>
      <c r="E634" s="19"/>
      <c r="F634" s="19"/>
      <c r="G634" s="21"/>
    </row>
    <row r="635" customFormat="false" ht="15" hidden="false" customHeight="false" outlineLevel="0" collapsed="false">
      <c r="A635" s="21"/>
      <c r="B635" s="19"/>
      <c r="C635" s="19"/>
      <c r="D635" s="19"/>
      <c r="E635" s="19"/>
      <c r="F635" s="19"/>
      <c r="G635" s="21"/>
    </row>
    <row r="636" customFormat="false" ht="15" hidden="false" customHeight="false" outlineLevel="0" collapsed="false">
      <c r="A636" s="21"/>
      <c r="B636" s="19"/>
      <c r="C636" s="19"/>
      <c r="D636" s="19"/>
      <c r="E636" s="19"/>
      <c r="F636" s="19"/>
      <c r="G636" s="21"/>
    </row>
    <row r="637" customFormat="false" ht="15" hidden="false" customHeight="false" outlineLevel="0" collapsed="false">
      <c r="A637" s="21"/>
      <c r="B637" s="19"/>
      <c r="C637" s="19"/>
      <c r="D637" s="19"/>
      <c r="E637" s="19"/>
      <c r="F637" s="19"/>
      <c r="G637" s="21"/>
    </row>
    <row r="638" customFormat="false" ht="15" hidden="false" customHeight="false" outlineLevel="0" collapsed="false">
      <c r="A638" s="21"/>
      <c r="B638" s="19"/>
      <c r="C638" s="19"/>
      <c r="D638" s="19"/>
      <c r="E638" s="19"/>
      <c r="F638" s="19"/>
      <c r="G638" s="21"/>
    </row>
    <row r="639" customFormat="false" ht="15" hidden="false" customHeight="false" outlineLevel="0" collapsed="false">
      <c r="A639" s="21"/>
      <c r="B639" s="19"/>
      <c r="C639" s="19"/>
      <c r="D639" s="19"/>
      <c r="E639" s="19"/>
      <c r="F639" s="19"/>
      <c r="G639" s="21"/>
    </row>
    <row r="640" customFormat="false" ht="15" hidden="false" customHeight="false" outlineLevel="0" collapsed="false">
      <c r="A640" s="21"/>
      <c r="B640" s="19"/>
      <c r="C640" s="19"/>
      <c r="D640" s="19"/>
      <c r="E640" s="19"/>
      <c r="F640" s="19"/>
      <c r="G640" s="21"/>
    </row>
    <row r="641" customFormat="false" ht="15" hidden="false" customHeight="false" outlineLevel="0" collapsed="false">
      <c r="A641" s="21"/>
      <c r="B641" s="19"/>
      <c r="C641" s="19"/>
      <c r="D641" s="19"/>
      <c r="E641" s="19"/>
      <c r="F641" s="19"/>
      <c r="G641" s="21"/>
    </row>
    <row r="642" customFormat="false" ht="15" hidden="false" customHeight="false" outlineLevel="0" collapsed="false">
      <c r="A642" s="21"/>
      <c r="B642" s="19"/>
      <c r="C642" s="19"/>
      <c r="D642" s="19"/>
      <c r="E642" s="19"/>
      <c r="F642" s="19"/>
      <c r="G642" s="21"/>
    </row>
    <row r="643" customFormat="false" ht="15" hidden="false" customHeight="false" outlineLevel="0" collapsed="false">
      <c r="A643" s="21"/>
      <c r="B643" s="19"/>
      <c r="C643" s="19"/>
      <c r="D643" s="19"/>
      <c r="E643" s="19"/>
      <c r="F643" s="19"/>
      <c r="G643" s="21"/>
    </row>
    <row r="644" customFormat="false" ht="15" hidden="false" customHeight="false" outlineLevel="0" collapsed="false">
      <c r="A644" s="21"/>
      <c r="B644" s="19"/>
      <c r="C644" s="19"/>
      <c r="D644" s="19"/>
      <c r="E644" s="19"/>
      <c r="F644" s="19"/>
      <c r="G644" s="21"/>
    </row>
    <row r="645" customFormat="false" ht="15" hidden="false" customHeight="false" outlineLevel="0" collapsed="false">
      <c r="A645" s="21"/>
      <c r="B645" s="19"/>
      <c r="C645" s="19"/>
      <c r="D645" s="19"/>
      <c r="E645" s="19"/>
      <c r="F645" s="19"/>
      <c r="G645" s="21"/>
    </row>
    <row r="646" customFormat="false" ht="15" hidden="false" customHeight="false" outlineLevel="0" collapsed="false">
      <c r="A646" s="21"/>
      <c r="B646" s="19"/>
      <c r="C646" s="19"/>
      <c r="D646" s="19"/>
      <c r="E646" s="19"/>
      <c r="F646" s="19"/>
      <c r="G646" s="21"/>
    </row>
    <row r="647" customFormat="false" ht="15" hidden="false" customHeight="false" outlineLevel="0" collapsed="false">
      <c r="A647" s="21"/>
      <c r="B647" s="19"/>
      <c r="C647" s="19"/>
      <c r="D647" s="19"/>
      <c r="E647" s="19"/>
      <c r="F647" s="19"/>
      <c r="G647" s="21"/>
    </row>
    <row r="648" customFormat="false" ht="15" hidden="false" customHeight="false" outlineLevel="0" collapsed="false">
      <c r="A648" s="21"/>
      <c r="B648" s="19"/>
      <c r="C648" s="19"/>
      <c r="D648" s="19"/>
      <c r="E648" s="19"/>
      <c r="F648" s="19"/>
      <c r="G648" s="21"/>
    </row>
    <row r="649" customFormat="false" ht="15" hidden="false" customHeight="false" outlineLevel="0" collapsed="false">
      <c r="A649" s="21"/>
      <c r="B649" s="19"/>
      <c r="C649" s="19"/>
      <c r="D649" s="19"/>
      <c r="E649" s="19"/>
      <c r="F649" s="19"/>
      <c r="G649" s="21"/>
    </row>
    <row r="650" customFormat="false" ht="15" hidden="false" customHeight="false" outlineLevel="0" collapsed="false">
      <c r="A650" s="21"/>
      <c r="B650" s="19"/>
      <c r="C650" s="19"/>
      <c r="D650" s="19"/>
      <c r="E650" s="19"/>
      <c r="F650" s="19"/>
      <c r="G650" s="21"/>
    </row>
    <row r="651" customFormat="false" ht="15" hidden="false" customHeight="false" outlineLevel="0" collapsed="false">
      <c r="A651" s="21"/>
      <c r="B651" s="19"/>
      <c r="C651" s="19"/>
      <c r="D651" s="19"/>
      <c r="E651" s="19"/>
      <c r="F651" s="19"/>
      <c r="G651" s="21"/>
    </row>
    <row r="652" customFormat="false" ht="15" hidden="false" customHeight="false" outlineLevel="0" collapsed="false">
      <c r="A652" s="21"/>
      <c r="B652" s="19"/>
      <c r="C652" s="19"/>
      <c r="D652" s="19"/>
      <c r="E652" s="19"/>
      <c r="F652" s="19"/>
      <c r="G652" s="21"/>
    </row>
    <row r="653" customFormat="false" ht="15" hidden="false" customHeight="false" outlineLevel="0" collapsed="false">
      <c r="A653" s="21"/>
      <c r="B653" s="19"/>
      <c r="C653" s="19"/>
      <c r="D653" s="19"/>
      <c r="E653" s="19"/>
      <c r="F653" s="19"/>
      <c r="G653" s="21"/>
    </row>
    <row r="654" customFormat="false" ht="15" hidden="false" customHeight="false" outlineLevel="0" collapsed="false">
      <c r="A654" s="21"/>
      <c r="B654" s="19"/>
      <c r="C654" s="19"/>
      <c r="D654" s="19"/>
      <c r="E654" s="19"/>
      <c r="F654" s="19"/>
      <c r="G654" s="21"/>
    </row>
    <row r="655" customFormat="false" ht="15" hidden="false" customHeight="false" outlineLevel="0" collapsed="false">
      <c r="A655" s="21"/>
      <c r="B655" s="19"/>
      <c r="C655" s="19"/>
      <c r="D655" s="19"/>
      <c r="E655" s="19"/>
      <c r="F655" s="19"/>
      <c r="G655" s="21"/>
    </row>
    <row r="656" customFormat="false" ht="15" hidden="false" customHeight="false" outlineLevel="0" collapsed="false">
      <c r="A656" s="21"/>
      <c r="B656" s="19"/>
      <c r="C656" s="19"/>
      <c r="D656" s="19"/>
      <c r="E656" s="19"/>
      <c r="F656" s="19"/>
      <c r="G656" s="21"/>
    </row>
    <row r="657" customFormat="false" ht="15" hidden="false" customHeight="false" outlineLevel="0" collapsed="false">
      <c r="A657" s="21"/>
      <c r="B657" s="19"/>
      <c r="C657" s="19"/>
      <c r="D657" s="19"/>
      <c r="E657" s="19"/>
      <c r="F657" s="19"/>
      <c r="G657" s="21"/>
    </row>
    <row r="658" customFormat="false" ht="15" hidden="false" customHeight="false" outlineLevel="0" collapsed="false">
      <c r="A658" s="21"/>
      <c r="B658" s="19"/>
      <c r="C658" s="19"/>
      <c r="D658" s="19"/>
      <c r="E658" s="19"/>
      <c r="F658" s="19"/>
      <c r="G658" s="21"/>
    </row>
    <row r="659" customFormat="false" ht="15" hidden="false" customHeight="false" outlineLevel="0" collapsed="false">
      <c r="A659" s="21"/>
      <c r="B659" s="19"/>
      <c r="C659" s="19"/>
      <c r="D659" s="19"/>
      <c r="E659" s="19"/>
      <c r="F659" s="19"/>
      <c r="G659" s="21"/>
    </row>
    <row r="660" customFormat="false" ht="15" hidden="false" customHeight="false" outlineLevel="0" collapsed="false">
      <c r="A660" s="21"/>
      <c r="B660" s="19"/>
      <c r="C660" s="19"/>
      <c r="D660" s="19"/>
      <c r="E660" s="19"/>
      <c r="F660" s="19"/>
      <c r="G660" s="21"/>
    </row>
    <row r="661" customFormat="false" ht="15" hidden="false" customHeight="false" outlineLevel="0" collapsed="false">
      <c r="A661" s="21"/>
      <c r="B661" s="19"/>
      <c r="C661" s="19"/>
      <c r="D661" s="19"/>
      <c r="E661" s="19"/>
      <c r="F661" s="19"/>
      <c r="G661" s="21"/>
    </row>
    <row r="662" customFormat="false" ht="15" hidden="false" customHeight="false" outlineLevel="0" collapsed="false">
      <c r="A662" s="21"/>
      <c r="B662" s="19"/>
      <c r="C662" s="19"/>
      <c r="D662" s="19"/>
      <c r="E662" s="19"/>
      <c r="F662" s="19"/>
      <c r="G662" s="21"/>
    </row>
    <row r="663" customFormat="false" ht="15" hidden="false" customHeight="false" outlineLevel="0" collapsed="false">
      <c r="A663" s="21"/>
      <c r="B663" s="19"/>
      <c r="C663" s="19"/>
      <c r="D663" s="19"/>
      <c r="E663" s="19"/>
      <c r="F663" s="19"/>
      <c r="G663" s="21"/>
    </row>
    <row r="664" customFormat="false" ht="15" hidden="false" customHeight="false" outlineLevel="0" collapsed="false">
      <c r="A664" s="21"/>
      <c r="B664" s="19"/>
      <c r="C664" s="19"/>
      <c r="D664" s="19"/>
      <c r="E664" s="19"/>
      <c r="F664" s="19"/>
      <c r="G664" s="21"/>
    </row>
    <row r="665" customFormat="false" ht="15" hidden="false" customHeight="false" outlineLevel="0" collapsed="false">
      <c r="A665" s="21"/>
      <c r="B665" s="19"/>
      <c r="C665" s="19"/>
      <c r="D665" s="19"/>
      <c r="E665" s="19"/>
      <c r="F665" s="19"/>
      <c r="G665" s="21"/>
    </row>
    <row r="666" customFormat="false" ht="15" hidden="false" customHeight="false" outlineLevel="0" collapsed="false">
      <c r="A666" s="21"/>
      <c r="B666" s="19"/>
      <c r="C666" s="19"/>
      <c r="D666" s="19"/>
      <c r="E666" s="19"/>
      <c r="F666" s="19"/>
      <c r="G666" s="21"/>
    </row>
    <row r="667" customFormat="false" ht="15" hidden="false" customHeight="false" outlineLevel="0" collapsed="false">
      <c r="A667" s="21"/>
      <c r="B667" s="19"/>
      <c r="C667" s="19"/>
      <c r="D667" s="19"/>
      <c r="E667" s="19"/>
      <c r="F667" s="19"/>
      <c r="G667" s="21"/>
    </row>
    <row r="668" customFormat="false" ht="15" hidden="false" customHeight="false" outlineLevel="0" collapsed="false">
      <c r="A668" s="21"/>
      <c r="B668" s="19"/>
      <c r="C668" s="19"/>
      <c r="D668" s="19"/>
      <c r="E668" s="19"/>
      <c r="F668" s="19"/>
      <c r="G668" s="21"/>
    </row>
    <row r="669" customFormat="false" ht="15" hidden="false" customHeight="false" outlineLevel="0" collapsed="false">
      <c r="A669" s="21"/>
      <c r="B669" s="19"/>
      <c r="C669" s="19"/>
      <c r="D669" s="19"/>
      <c r="E669" s="19"/>
      <c r="F669" s="19"/>
      <c r="G669" s="21"/>
    </row>
    <row r="670" customFormat="false" ht="15" hidden="false" customHeight="false" outlineLevel="0" collapsed="false">
      <c r="A670" s="21"/>
      <c r="B670" s="19"/>
      <c r="C670" s="19"/>
      <c r="D670" s="19"/>
      <c r="E670" s="19"/>
      <c r="F670" s="19"/>
      <c r="G670" s="21"/>
    </row>
    <row r="671" customFormat="false" ht="15" hidden="false" customHeight="false" outlineLevel="0" collapsed="false">
      <c r="A671" s="21"/>
      <c r="B671" s="19"/>
      <c r="C671" s="19"/>
      <c r="D671" s="19"/>
      <c r="E671" s="19"/>
      <c r="F671" s="19"/>
      <c r="G671" s="21"/>
    </row>
    <row r="672" customFormat="false" ht="15" hidden="false" customHeight="false" outlineLevel="0" collapsed="false">
      <c r="A672" s="21"/>
      <c r="B672" s="19"/>
      <c r="C672" s="19"/>
      <c r="D672" s="19"/>
      <c r="E672" s="19"/>
      <c r="F672" s="19"/>
      <c r="G672" s="21"/>
    </row>
    <row r="673" customFormat="false" ht="15" hidden="false" customHeight="false" outlineLevel="0" collapsed="false">
      <c r="A673" s="21"/>
      <c r="B673" s="19"/>
      <c r="C673" s="19"/>
      <c r="D673" s="19"/>
      <c r="E673" s="19"/>
      <c r="F673" s="19"/>
      <c r="G673" s="21"/>
    </row>
    <row r="674" customFormat="false" ht="15" hidden="false" customHeight="false" outlineLevel="0" collapsed="false">
      <c r="A674" s="21"/>
      <c r="B674" s="19"/>
      <c r="C674" s="19"/>
      <c r="D674" s="19"/>
      <c r="E674" s="19"/>
      <c r="F674" s="19"/>
      <c r="G674" s="21"/>
    </row>
    <row r="675" customFormat="false" ht="15" hidden="false" customHeight="false" outlineLevel="0" collapsed="false">
      <c r="A675" s="21"/>
      <c r="B675" s="19"/>
      <c r="C675" s="19"/>
      <c r="D675" s="19"/>
      <c r="E675" s="19"/>
      <c r="F675" s="19"/>
      <c r="G675" s="21"/>
    </row>
    <row r="676" customFormat="false" ht="15" hidden="false" customHeight="false" outlineLevel="0" collapsed="false">
      <c r="A676" s="21"/>
      <c r="B676" s="19"/>
      <c r="C676" s="19"/>
      <c r="D676" s="19"/>
      <c r="E676" s="19"/>
      <c r="F676" s="19"/>
      <c r="G676" s="21"/>
    </row>
    <row r="677" customFormat="false" ht="15" hidden="false" customHeight="false" outlineLevel="0" collapsed="false">
      <c r="A677" s="21"/>
      <c r="B677" s="19"/>
      <c r="C677" s="19"/>
      <c r="D677" s="19"/>
      <c r="E677" s="19"/>
      <c r="F677" s="19"/>
      <c r="G677" s="21"/>
    </row>
    <row r="678" customFormat="false" ht="15" hidden="false" customHeight="false" outlineLevel="0" collapsed="false">
      <c r="A678" s="21"/>
      <c r="B678" s="19"/>
      <c r="C678" s="19"/>
      <c r="D678" s="19"/>
      <c r="E678" s="19"/>
      <c r="F678" s="19"/>
      <c r="G678" s="21"/>
    </row>
    <row r="679" customFormat="false" ht="15" hidden="false" customHeight="false" outlineLevel="0" collapsed="false">
      <c r="A679" s="21"/>
      <c r="B679" s="19"/>
      <c r="C679" s="19"/>
      <c r="D679" s="19"/>
      <c r="E679" s="19"/>
      <c r="F679" s="19"/>
      <c r="G679" s="21"/>
    </row>
    <row r="680" customFormat="false" ht="15" hidden="false" customHeight="false" outlineLevel="0" collapsed="false">
      <c r="A680" s="21"/>
      <c r="B680" s="19"/>
      <c r="C680" s="19"/>
      <c r="D680" s="19"/>
      <c r="E680" s="19"/>
      <c r="F680" s="19"/>
      <c r="G680" s="21"/>
    </row>
    <row r="681" customFormat="false" ht="15" hidden="false" customHeight="false" outlineLevel="0" collapsed="false">
      <c r="A681" s="21"/>
      <c r="B681" s="19"/>
      <c r="C681" s="19"/>
      <c r="D681" s="19"/>
      <c r="E681" s="19"/>
      <c r="F681" s="19"/>
      <c r="G681" s="21"/>
    </row>
    <row r="682" customFormat="false" ht="15" hidden="false" customHeight="false" outlineLevel="0" collapsed="false">
      <c r="A682" s="21"/>
      <c r="B682" s="19"/>
      <c r="C682" s="19"/>
      <c r="D682" s="19"/>
      <c r="E682" s="19"/>
      <c r="F682" s="19"/>
      <c r="G682" s="21"/>
    </row>
    <row r="683" customFormat="false" ht="15" hidden="false" customHeight="false" outlineLevel="0" collapsed="false">
      <c r="A683" s="21"/>
      <c r="B683" s="19"/>
      <c r="C683" s="19"/>
      <c r="D683" s="19"/>
      <c r="E683" s="19"/>
      <c r="F683" s="19"/>
      <c r="G683" s="21"/>
    </row>
    <row r="684" customFormat="false" ht="15" hidden="false" customHeight="false" outlineLevel="0" collapsed="false">
      <c r="A684" s="21"/>
      <c r="B684" s="19"/>
      <c r="C684" s="19"/>
      <c r="D684" s="19"/>
      <c r="E684" s="19"/>
      <c r="F684" s="19"/>
      <c r="G684" s="21"/>
    </row>
    <row r="685" customFormat="false" ht="15" hidden="false" customHeight="false" outlineLevel="0" collapsed="false">
      <c r="A685" s="21"/>
      <c r="B685" s="19"/>
      <c r="C685" s="19"/>
      <c r="D685" s="19"/>
      <c r="E685" s="19"/>
      <c r="F685" s="19"/>
      <c r="G685" s="21"/>
    </row>
    <row r="686" customFormat="false" ht="15" hidden="false" customHeight="false" outlineLevel="0" collapsed="false">
      <c r="A686" s="21"/>
      <c r="B686" s="19"/>
      <c r="C686" s="19"/>
      <c r="D686" s="19"/>
      <c r="E686" s="19"/>
      <c r="F686" s="19"/>
      <c r="G686" s="21"/>
    </row>
    <row r="687" customFormat="false" ht="15" hidden="false" customHeight="false" outlineLevel="0" collapsed="false">
      <c r="A687" s="21"/>
      <c r="B687" s="19"/>
      <c r="C687" s="19"/>
      <c r="D687" s="19"/>
      <c r="E687" s="19"/>
      <c r="F687" s="19"/>
      <c r="G687" s="21"/>
    </row>
    <row r="688" customFormat="false" ht="15" hidden="false" customHeight="false" outlineLevel="0" collapsed="false">
      <c r="A688" s="21"/>
      <c r="B688" s="19"/>
      <c r="C688" s="19"/>
      <c r="D688" s="19"/>
      <c r="E688" s="19"/>
      <c r="F688" s="19"/>
      <c r="G688" s="21"/>
    </row>
    <row r="689" customFormat="false" ht="15" hidden="false" customHeight="false" outlineLevel="0" collapsed="false">
      <c r="A689" s="21"/>
      <c r="B689" s="19"/>
      <c r="C689" s="19"/>
      <c r="D689" s="19"/>
      <c r="E689" s="19"/>
      <c r="F689" s="19"/>
      <c r="G689" s="21"/>
    </row>
    <row r="690" customFormat="false" ht="15" hidden="false" customHeight="false" outlineLevel="0" collapsed="false">
      <c r="A690" s="21"/>
      <c r="B690" s="19"/>
      <c r="C690" s="19"/>
      <c r="D690" s="19"/>
      <c r="E690" s="19"/>
      <c r="F690" s="19"/>
      <c r="G690" s="21"/>
    </row>
    <row r="691" customFormat="false" ht="15" hidden="false" customHeight="false" outlineLevel="0" collapsed="false">
      <c r="A691" s="21"/>
      <c r="B691" s="19"/>
      <c r="C691" s="19"/>
      <c r="D691" s="19"/>
      <c r="E691" s="19"/>
      <c r="F691" s="19"/>
      <c r="G691" s="21"/>
    </row>
    <row r="692" customFormat="false" ht="15" hidden="false" customHeight="false" outlineLevel="0" collapsed="false">
      <c r="A692" s="21"/>
      <c r="B692" s="19"/>
      <c r="C692" s="19"/>
      <c r="D692" s="19"/>
      <c r="E692" s="19"/>
      <c r="F692" s="19"/>
      <c r="G692" s="21"/>
    </row>
    <row r="693" customFormat="false" ht="15" hidden="false" customHeight="false" outlineLevel="0" collapsed="false">
      <c r="A693" s="21"/>
      <c r="B693" s="19"/>
      <c r="C693" s="19"/>
      <c r="D693" s="19"/>
      <c r="E693" s="19"/>
      <c r="F693" s="19"/>
      <c r="G693" s="21"/>
    </row>
    <row r="694" customFormat="false" ht="15" hidden="false" customHeight="false" outlineLevel="0" collapsed="false">
      <c r="A694" s="21"/>
      <c r="B694" s="19"/>
      <c r="C694" s="19"/>
      <c r="D694" s="19"/>
      <c r="E694" s="19"/>
      <c r="F694" s="19"/>
      <c r="G694" s="21"/>
    </row>
    <row r="695" customFormat="false" ht="15" hidden="false" customHeight="false" outlineLevel="0" collapsed="false">
      <c r="A695" s="21"/>
      <c r="B695" s="19"/>
      <c r="C695" s="19"/>
      <c r="D695" s="19"/>
      <c r="E695" s="19"/>
      <c r="F695" s="19"/>
      <c r="G695" s="21"/>
    </row>
    <row r="696" customFormat="false" ht="15" hidden="false" customHeight="false" outlineLevel="0" collapsed="false">
      <c r="A696" s="21"/>
      <c r="B696" s="19"/>
      <c r="C696" s="19"/>
      <c r="D696" s="19"/>
      <c r="E696" s="19"/>
      <c r="F696" s="19"/>
      <c r="G696" s="21"/>
    </row>
    <row r="697" customFormat="false" ht="15" hidden="false" customHeight="false" outlineLevel="0" collapsed="false">
      <c r="A697" s="21"/>
      <c r="B697" s="19"/>
      <c r="C697" s="19"/>
      <c r="D697" s="19"/>
      <c r="E697" s="19"/>
      <c r="F697" s="19"/>
      <c r="G697" s="21"/>
    </row>
    <row r="698" customFormat="false" ht="15" hidden="false" customHeight="false" outlineLevel="0" collapsed="false">
      <c r="A698" s="21"/>
      <c r="B698" s="19"/>
      <c r="C698" s="19"/>
      <c r="D698" s="19"/>
      <c r="E698" s="19"/>
      <c r="F698" s="19"/>
      <c r="G698" s="21"/>
    </row>
    <row r="699" customFormat="false" ht="15" hidden="false" customHeight="false" outlineLevel="0" collapsed="false">
      <c r="A699" s="21"/>
      <c r="B699" s="19"/>
      <c r="C699" s="19"/>
      <c r="D699" s="19"/>
      <c r="E699" s="19"/>
      <c r="F699" s="19"/>
      <c r="G699" s="21"/>
    </row>
    <row r="700" customFormat="false" ht="15" hidden="false" customHeight="false" outlineLevel="0" collapsed="false">
      <c r="A700" s="21"/>
      <c r="B700" s="19"/>
      <c r="C700" s="19"/>
      <c r="D700" s="19"/>
      <c r="E700" s="19"/>
      <c r="F700" s="19"/>
      <c r="G700" s="21"/>
    </row>
    <row r="701" customFormat="false" ht="15" hidden="false" customHeight="false" outlineLevel="0" collapsed="false">
      <c r="A701" s="21"/>
      <c r="B701" s="19"/>
      <c r="C701" s="19"/>
      <c r="D701" s="19"/>
      <c r="E701" s="19"/>
      <c r="F701" s="19"/>
      <c r="G701" s="21"/>
    </row>
    <row r="702" customFormat="false" ht="15" hidden="false" customHeight="false" outlineLevel="0" collapsed="false">
      <c r="A702" s="21"/>
      <c r="B702" s="19"/>
      <c r="C702" s="19"/>
      <c r="D702" s="19"/>
      <c r="E702" s="19"/>
      <c r="F702" s="19"/>
      <c r="G702" s="21"/>
    </row>
    <row r="703" customFormat="false" ht="15" hidden="false" customHeight="false" outlineLevel="0" collapsed="false">
      <c r="A703" s="21"/>
      <c r="B703" s="19"/>
      <c r="C703" s="19"/>
      <c r="D703" s="19"/>
      <c r="E703" s="19"/>
      <c r="F703" s="19"/>
      <c r="G703" s="21"/>
    </row>
    <row r="704" customFormat="false" ht="15" hidden="false" customHeight="false" outlineLevel="0" collapsed="false">
      <c r="A704" s="21"/>
      <c r="B704" s="19"/>
      <c r="C704" s="19"/>
      <c r="D704" s="19"/>
      <c r="E704" s="19"/>
      <c r="F704" s="19"/>
      <c r="G704" s="21"/>
    </row>
    <row r="705" customFormat="false" ht="15" hidden="false" customHeight="false" outlineLevel="0" collapsed="false">
      <c r="A705" s="21"/>
      <c r="B705" s="19"/>
      <c r="C705" s="19"/>
      <c r="D705" s="19"/>
      <c r="E705" s="19"/>
      <c r="F705" s="19"/>
      <c r="G705" s="21"/>
    </row>
    <row r="706" customFormat="false" ht="15" hidden="false" customHeight="false" outlineLevel="0" collapsed="false">
      <c r="A706" s="21"/>
      <c r="B706" s="19"/>
      <c r="C706" s="19"/>
      <c r="D706" s="19"/>
      <c r="E706" s="19"/>
      <c r="F706" s="19"/>
      <c r="G706" s="21"/>
    </row>
    <row r="707" customFormat="false" ht="15" hidden="false" customHeight="false" outlineLevel="0" collapsed="false">
      <c r="A707" s="21"/>
      <c r="B707" s="19"/>
      <c r="C707" s="19"/>
      <c r="D707" s="19"/>
      <c r="E707" s="19"/>
      <c r="F707" s="19"/>
      <c r="G707" s="21"/>
    </row>
    <row r="708" customFormat="false" ht="15" hidden="false" customHeight="false" outlineLevel="0" collapsed="false">
      <c r="A708" s="21"/>
      <c r="B708" s="19"/>
      <c r="C708" s="19"/>
      <c r="D708" s="19"/>
      <c r="E708" s="19"/>
      <c r="F708" s="19"/>
      <c r="G708" s="21"/>
    </row>
    <row r="709" customFormat="false" ht="15" hidden="false" customHeight="false" outlineLevel="0" collapsed="false">
      <c r="A709" s="21"/>
      <c r="B709" s="19"/>
      <c r="C709" s="19"/>
      <c r="D709" s="19"/>
      <c r="E709" s="19"/>
      <c r="F709" s="19"/>
      <c r="G709" s="21"/>
    </row>
    <row r="710" customFormat="false" ht="15" hidden="false" customHeight="false" outlineLevel="0" collapsed="false">
      <c r="A710" s="21"/>
      <c r="B710" s="19"/>
      <c r="C710" s="19"/>
      <c r="D710" s="19"/>
      <c r="E710" s="19"/>
      <c r="F710" s="19"/>
      <c r="G710" s="21"/>
    </row>
    <row r="711" customFormat="false" ht="15" hidden="false" customHeight="false" outlineLevel="0" collapsed="false">
      <c r="A711" s="21"/>
      <c r="B711" s="19"/>
      <c r="C711" s="19"/>
      <c r="D711" s="19"/>
      <c r="E711" s="19"/>
      <c r="F711" s="19"/>
      <c r="G711" s="21"/>
    </row>
    <row r="712" customFormat="false" ht="15" hidden="false" customHeight="false" outlineLevel="0" collapsed="false">
      <c r="A712" s="21"/>
      <c r="B712" s="19"/>
      <c r="C712" s="19"/>
      <c r="D712" s="19"/>
      <c r="E712" s="19"/>
      <c r="F712" s="19"/>
      <c r="G712" s="21"/>
    </row>
    <row r="713" customFormat="false" ht="15" hidden="false" customHeight="false" outlineLevel="0" collapsed="false">
      <c r="A713" s="21"/>
      <c r="B713" s="19"/>
      <c r="C713" s="19"/>
      <c r="D713" s="19"/>
      <c r="E713" s="19"/>
      <c r="F713" s="19"/>
      <c r="G713" s="21"/>
    </row>
    <row r="714" customFormat="false" ht="15" hidden="false" customHeight="false" outlineLevel="0" collapsed="false">
      <c r="A714" s="21"/>
      <c r="B714" s="19"/>
      <c r="C714" s="19"/>
      <c r="D714" s="19"/>
      <c r="E714" s="19"/>
      <c r="F714" s="19"/>
      <c r="G714" s="21"/>
    </row>
    <row r="715" customFormat="false" ht="15" hidden="false" customHeight="false" outlineLevel="0" collapsed="false">
      <c r="A715" s="21"/>
      <c r="B715" s="19"/>
      <c r="C715" s="19"/>
      <c r="D715" s="19"/>
      <c r="E715" s="19"/>
      <c r="F715" s="19"/>
      <c r="G715" s="21"/>
    </row>
    <row r="716" customFormat="false" ht="15" hidden="false" customHeight="false" outlineLevel="0" collapsed="false">
      <c r="A716" s="21"/>
      <c r="B716" s="19"/>
      <c r="C716" s="19"/>
      <c r="D716" s="19"/>
      <c r="E716" s="19"/>
      <c r="F716" s="19"/>
      <c r="G716" s="21"/>
    </row>
    <row r="717" customFormat="false" ht="15" hidden="false" customHeight="false" outlineLevel="0" collapsed="false">
      <c r="A717" s="21"/>
      <c r="B717" s="19"/>
      <c r="C717" s="19"/>
      <c r="D717" s="19"/>
      <c r="E717" s="19"/>
      <c r="F717" s="19"/>
      <c r="G717" s="21"/>
    </row>
    <row r="718" customFormat="false" ht="15" hidden="false" customHeight="false" outlineLevel="0" collapsed="false">
      <c r="A718" s="21"/>
      <c r="B718" s="19"/>
      <c r="C718" s="19"/>
      <c r="D718" s="19"/>
      <c r="E718" s="19"/>
      <c r="F718" s="19"/>
      <c r="G718" s="21"/>
    </row>
    <row r="719" customFormat="false" ht="15" hidden="false" customHeight="false" outlineLevel="0" collapsed="false">
      <c r="A719" s="21"/>
      <c r="B719" s="19"/>
      <c r="C719" s="19"/>
      <c r="D719" s="19"/>
      <c r="E719" s="19"/>
      <c r="F719" s="19"/>
      <c r="G719" s="21"/>
    </row>
    <row r="720" customFormat="false" ht="15" hidden="false" customHeight="false" outlineLevel="0" collapsed="false">
      <c r="A720" s="21"/>
      <c r="B720" s="19"/>
      <c r="C720" s="19"/>
      <c r="D720" s="19"/>
      <c r="E720" s="19"/>
      <c r="F720" s="19"/>
      <c r="G720" s="21"/>
    </row>
    <row r="721" customFormat="false" ht="15" hidden="false" customHeight="false" outlineLevel="0" collapsed="false">
      <c r="A721" s="21"/>
      <c r="B721" s="19"/>
      <c r="C721" s="19"/>
      <c r="D721" s="19"/>
      <c r="E721" s="19"/>
      <c r="F721" s="19"/>
      <c r="G721" s="21"/>
    </row>
    <row r="722" customFormat="false" ht="15" hidden="false" customHeight="false" outlineLevel="0" collapsed="false">
      <c r="A722" s="21"/>
      <c r="B722" s="19"/>
      <c r="C722" s="19"/>
      <c r="D722" s="19"/>
      <c r="E722" s="19"/>
      <c r="F722" s="19"/>
      <c r="G722" s="21"/>
    </row>
    <row r="723" customFormat="false" ht="15" hidden="false" customHeight="false" outlineLevel="0" collapsed="false">
      <c r="A723" s="21"/>
      <c r="B723" s="19"/>
      <c r="C723" s="19"/>
      <c r="D723" s="19"/>
      <c r="E723" s="19"/>
      <c r="F723" s="19"/>
      <c r="G723" s="21"/>
    </row>
    <row r="724" customFormat="false" ht="15" hidden="false" customHeight="false" outlineLevel="0" collapsed="false">
      <c r="A724" s="21"/>
      <c r="B724" s="19"/>
      <c r="C724" s="19"/>
      <c r="D724" s="19"/>
      <c r="E724" s="19"/>
      <c r="F724" s="19"/>
      <c r="G724" s="21"/>
    </row>
    <row r="725" customFormat="false" ht="15" hidden="false" customHeight="false" outlineLevel="0" collapsed="false">
      <c r="A725" s="21"/>
      <c r="B725" s="19"/>
      <c r="C725" s="19"/>
      <c r="D725" s="19"/>
      <c r="E725" s="19"/>
      <c r="F725" s="19"/>
      <c r="G725" s="21"/>
    </row>
    <row r="726" customFormat="false" ht="15" hidden="false" customHeight="false" outlineLevel="0" collapsed="false">
      <c r="A726" s="21"/>
      <c r="B726" s="19"/>
      <c r="C726" s="19"/>
      <c r="D726" s="19"/>
      <c r="E726" s="19"/>
      <c r="F726" s="19"/>
      <c r="G726" s="21"/>
    </row>
    <row r="727" customFormat="false" ht="15" hidden="false" customHeight="false" outlineLevel="0" collapsed="false">
      <c r="A727" s="21"/>
      <c r="B727" s="19"/>
      <c r="C727" s="19"/>
      <c r="D727" s="19"/>
      <c r="E727" s="19"/>
      <c r="F727" s="19"/>
      <c r="G727" s="21"/>
    </row>
    <row r="728" customFormat="false" ht="15" hidden="false" customHeight="false" outlineLevel="0" collapsed="false">
      <c r="A728" s="21"/>
      <c r="B728" s="19"/>
      <c r="C728" s="19"/>
      <c r="D728" s="19"/>
      <c r="E728" s="19"/>
      <c r="F728" s="19"/>
      <c r="G728" s="21"/>
    </row>
    <row r="729" customFormat="false" ht="15" hidden="false" customHeight="false" outlineLevel="0" collapsed="false">
      <c r="A729" s="21"/>
      <c r="B729" s="19"/>
      <c r="C729" s="19"/>
      <c r="D729" s="19"/>
      <c r="E729" s="19"/>
      <c r="F729" s="19"/>
      <c r="G729" s="21"/>
    </row>
    <row r="730" customFormat="false" ht="15" hidden="false" customHeight="false" outlineLevel="0" collapsed="false">
      <c r="A730" s="21"/>
      <c r="B730" s="19"/>
      <c r="C730" s="19"/>
      <c r="D730" s="19"/>
      <c r="E730" s="19"/>
      <c r="F730" s="19"/>
      <c r="G730" s="21"/>
    </row>
    <row r="731" customFormat="false" ht="15" hidden="false" customHeight="false" outlineLevel="0" collapsed="false">
      <c r="A731" s="21"/>
      <c r="B731" s="19"/>
      <c r="C731" s="19"/>
      <c r="D731" s="19"/>
      <c r="E731" s="19"/>
      <c r="F731" s="19"/>
      <c r="G731" s="21"/>
    </row>
    <row r="732" customFormat="false" ht="15" hidden="false" customHeight="false" outlineLevel="0" collapsed="false">
      <c r="A732" s="21"/>
      <c r="B732" s="19"/>
      <c r="C732" s="19"/>
      <c r="D732" s="19"/>
      <c r="E732" s="19"/>
      <c r="F732" s="19"/>
      <c r="G732" s="21"/>
    </row>
    <row r="733" customFormat="false" ht="15" hidden="false" customHeight="false" outlineLevel="0" collapsed="false">
      <c r="A733" s="21"/>
      <c r="B733" s="19"/>
      <c r="C733" s="19"/>
      <c r="D733" s="19"/>
      <c r="E733" s="19"/>
      <c r="F733" s="19"/>
      <c r="G733" s="21"/>
    </row>
    <row r="734" customFormat="false" ht="15" hidden="false" customHeight="false" outlineLevel="0" collapsed="false">
      <c r="A734" s="21"/>
      <c r="B734" s="19"/>
      <c r="C734" s="19"/>
      <c r="D734" s="19"/>
      <c r="E734" s="19"/>
      <c r="F734" s="19"/>
      <c r="G734" s="21"/>
    </row>
    <row r="735" customFormat="false" ht="15" hidden="false" customHeight="false" outlineLevel="0" collapsed="false">
      <c r="A735" s="21"/>
      <c r="B735" s="19"/>
      <c r="C735" s="19"/>
      <c r="D735" s="19"/>
      <c r="E735" s="19"/>
      <c r="F735" s="19"/>
      <c r="G735" s="21"/>
    </row>
    <row r="736" customFormat="false" ht="15" hidden="false" customHeight="false" outlineLevel="0" collapsed="false">
      <c r="A736" s="21"/>
      <c r="B736" s="19"/>
      <c r="C736" s="19"/>
      <c r="D736" s="19"/>
      <c r="E736" s="19"/>
      <c r="F736" s="19"/>
      <c r="G736" s="21"/>
    </row>
    <row r="737" customFormat="false" ht="15" hidden="false" customHeight="false" outlineLevel="0" collapsed="false">
      <c r="A737" s="21"/>
      <c r="B737" s="19"/>
      <c r="C737" s="19"/>
      <c r="D737" s="19"/>
      <c r="E737" s="19"/>
      <c r="F737" s="19"/>
      <c r="G737" s="21"/>
    </row>
    <row r="738" customFormat="false" ht="15" hidden="false" customHeight="false" outlineLevel="0" collapsed="false">
      <c r="A738" s="21"/>
      <c r="B738" s="19"/>
      <c r="C738" s="19"/>
      <c r="D738" s="19"/>
      <c r="E738" s="19"/>
      <c r="F738" s="19"/>
      <c r="G738" s="21"/>
    </row>
    <row r="739" customFormat="false" ht="15" hidden="false" customHeight="false" outlineLevel="0" collapsed="false">
      <c r="A739" s="21"/>
      <c r="B739" s="19"/>
      <c r="C739" s="19"/>
      <c r="D739" s="19"/>
      <c r="E739" s="19"/>
      <c r="F739" s="19"/>
      <c r="G739" s="21"/>
    </row>
    <row r="740" customFormat="false" ht="15" hidden="false" customHeight="false" outlineLevel="0" collapsed="false">
      <c r="A740" s="21"/>
      <c r="B740" s="19"/>
      <c r="C740" s="19"/>
      <c r="D740" s="19"/>
      <c r="E740" s="19"/>
      <c r="F740" s="19"/>
      <c r="G740" s="21"/>
    </row>
    <row r="741" customFormat="false" ht="15" hidden="false" customHeight="false" outlineLevel="0" collapsed="false">
      <c r="A741" s="21"/>
      <c r="B741" s="19"/>
      <c r="C741" s="19"/>
      <c r="D741" s="19"/>
      <c r="E741" s="19"/>
      <c r="F741" s="19"/>
      <c r="G741" s="21"/>
    </row>
    <row r="742" customFormat="false" ht="15" hidden="false" customHeight="false" outlineLevel="0" collapsed="false">
      <c r="A742" s="21"/>
      <c r="B742" s="19"/>
      <c r="C742" s="19"/>
      <c r="D742" s="19"/>
      <c r="E742" s="19"/>
      <c r="F742" s="19"/>
      <c r="G742" s="21"/>
    </row>
    <row r="743" customFormat="false" ht="15" hidden="false" customHeight="false" outlineLevel="0" collapsed="false">
      <c r="A743" s="21"/>
      <c r="B743" s="19"/>
      <c r="C743" s="19"/>
      <c r="D743" s="19"/>
      <c r="E743" s="19"/>
      <c r="F743" s="19"/>
      <c r="G743" s="21"/>
    </row>
    <row r="744" customFormat="false" ht="15" hidden="false" customHeight="false" outlineLevel="0" collapsed="false">
      <c r="A744" s="21"/>
      <c r="B744" s="19"/>
      <c r="C744" s="19"/>
      <c r="D744" s="19"/>
      <c r="E744" s="19"/>
      <c r="F744" s="19"/>
      <c r="G744" s="21"/>
    </row>
    <row r="745" customFormat="false" ht="15" hidden="false" customHeight="false" outlineLevel="0" collapsed="false">
      <c r="A745" s="21"/>
      <c r="B745" s="19"/>
      <c r="C745" s="19"/>
      <c r="D745" s="19"/>
      <c r="E745" s="19"/>
      <c r="F745" s="19"/>
      <c r="G745" s="21"/>
    </row>
    <row r="746" customFormat="false" ht="15" hidden="false" customHeight="false" outlineLevel="0" collapsed="false">
      <c r="A746" s="21"/>
      <c r="B746" s="19"/>
      <c r="C746" s="19"/>
      <c r="D746" s="19"/>
      <c r="E746" s="19"/>
      <c r="F746" s="19"/>
      <c r="G746" s="21"/>
    </row>
    <row r="747" customFormat="false" ht="15" hidden="false" customHeight="false" outlineLevel="0" collapsed="false">
      <c r="A747" s="21"/>
      <c r="B747" s="19"/>
      <c r="C747" s="19"/>
      <c r="D747" s="19"/>
      <c r="E747" s="19"/>
      <c r="F747" s="19"/>
      <c r="G747" s="21"/>
    </row>
    <row r="748" customFormat="false" ht="15" hidden="false" customHeight="false" outlineLevel="0" collapsed="false">
      <c r="A748" s="21"/>
      <c r="B748" s="19"/>
      <c r="C748" s="19"/>
      <c r="D748" s="19"/>
      <c r="E748" s="19"/>
      <c r="F748" s="19"/>
      <c r="G748" s="21"/>
    </row>
    <row r="749" customFormat="false" ht="15" hidden="false" customHeight="false" outlineLevel="0" collapsed="false">
      <c r="A749" s="21"/>
      <c r="B749" s="19"/>
      <c r="C749" s="19"/>
      <c r="D749" s="19"/>
      <c r="E749" s="19"/>
      <c r="F749" s="19"/>
      <c r="G749" s="21"/>
    </row>
    <row r="750" customFormat="false" ht="15" hidden="false" customHeight="false" outlineLevel="0" collapsed="false">
      <c r="A750" s="21"/>
      <c r="B750" s="19"/>
      <c r="C750" s="19"/>
      <c r="D750" s="19"/>
      <c r="E750" s="19"/>
      <c r="F750" s="19"/>
      <c r="G750" s="21"/>
    </row>
    <row r="751" customFormat="false" ht="15" hidden="false" customHeight="false" outlineLevel="0" collapsed="false">
      <c r="A751" s="21"/>
      <c r="B751" s="19"/>
      <c r="C751" s="19"/>
      <c r="D751" s="19"/>
      <c r="E751" s="19"/>
      <c r="F751" s="19"/>
      <c r="G751" s="21"/>
    </row>
    <row r="752" customFormat="false" ht="15" hidden="false" customHeight="false" outlineLevel="0" collapsed="false">
      <c r="A752" s="21"/>
      <c r="B752" s="19"/>
      <c r="C752" s="19"/>
      <c r="D752" s="19"/>
      <c r="E752" s="19"/>
      <c r="F752" s="19"/>
      <c r="G752" s="21"/>
    </row>
    <row r="753" customFormat="false" ht="15" hidden="false" customHeight="false" outlineLevel="0" collapsed="false">
      <c r="A753" s="21"/>
      <c r="B753" s="19"/>
      <c r="C753" s="19"/>
      <c r="D753" s="19"/>
      <c r="E753" s="19"/>
      <c r="F753" s="19"/>
      <c r="G753" s="21"/>
    </row>
    <row r="754" customFormat="false" ht="15" hidden="false" customHeight="false" outlineLevel="0" collapsed="false">
      <c r="A754" s="21"/>
      <c r="B754" s="19"/>
      <c r="C754" s="19"/>
      <c r="D754" s="19"/>
      <c r="E754" s="19"/>
      <c r="F754" s="19"/>
      <c r="G754" s="21"/>
    </row>
    <row r="755" customFormat="false" ht="15" hidden="false" customHeight="false" outlineLevel="0" collapsed="false">
      <c r="A755" s="21"/>
      <c r="B755" s="19"/>
      <c r="C755" s="19"/>
      <c r="D755" s="19"/>
      <c r="E755" s="19"/>
      <c r="F755" s="19"/>
      <c r="G755" s="21"/>
    </row>
    <row r="756" customFormat="false" ht="15" hidden="false" customHeight="false" outlineLevel="0" collapsed="false">
      <c r="A756" s="21"/>
      <c r="B756" s="19"/>
      <c r="C756" s="19"/>
      <c r="D756" s="19"/>
      <c r="E756" s="19"/>
      <c r="F756" s="19"/>
      <c r="G756" s="21"/>
    </row>
    <row r="757" customFormat="false" ht="15" hidden="false" customHeight="false" outlineLevel="0" collapsed="false">
      <c r="A757" s="21"/>
      <c r="B757" s="19"/>
      <c r="C757" s="19"/>
      <c r="D757" s="19"/>
      <c r="E757" s="19"/>
      <c r="F757" s="19"/>
      <c r="G757" s="21"/>
    </row>
    <row r="758" customFormat="false" ht="15" hidden="false" customHeight="false" outlineLevel="0" collapsed="false">
      <c r="A758" s="21"/>
      <c r="B758" s="19"/>
      <c r="C758" s="19"/>
      <c r="D758" s="19"/>
      <c r="E758" s="19"/>
      <c r="F758" s="19"/>
      <c r="G758" s="21"/>
    </row>
    <row r="759" customFormat="false" ht="15" hidden="false" customHeight="false" outlineLevel="0" collapsed="false">
      <c r="A759" s="21"/>
      <c r="B759" s="19"/>
      <c r="C759" s="19"/>
      <c r="D759" s="19"/>
      <c r="E759" s="19"/>
      <c r="F759" s="19"/>
      <c r="G759" s="21"/>
    </row>
    <row r="760" customFormat="false" ht="15" hidden="false" customHeight="false" outlineLevel="0" collapsed="false">
      <c r="A760" s="21"/>
      <c r="B760" s="19"/>
      <c r="C760" s="19"/>
      <c r="D760" s="19"/>
      <c r="E760" s="19"/>
      <c r="F760" s="19"/>
      <c r="G760" s="21"/>
    </row>
    <row r="761" customFormat="false" ht="15" hidden="false" customHeight="false" outlineLevel="0" collapsed="false">
      <c r="A761" s="21"/>
      <c r="B761" s="19"/>
      <c r="C761" s="19"/>
      <c r="D761" s="19"/>
      <c r="E761" s="19"/>
      <c r="F761" s="19"/>
      <c r="G761" s="21"/>
    </row>
    <row r="762" customFormat="false" ht="15" hidden="false" customHeight="false" outlineLevel="0" collapsed="false">
      <c r="A762" s="21"/>
      <c r="B762" s="19"/>
      <c r="C762" s="19"/>
      <c r="D762" s="19"/>
      <c r="E762" s="19"/>
      <c r="F762" s="19"/>
      <c r="G762" s="21"/>
    </row>
    <row r="763" customFormat="false" ht="15" hidden="false" customHeight="false" outlineLevel="0" collapsed="false">
      <c r="A763" s="21"/>
      <c r="B763" s="19"/>
      <c r="C763" s="19"/>
      <c r="D763" s="19"/>
      <c r="E763" s="19"/>
      <c r="F763" s="19"/>
      <c r="G763" s="21"/>
    </row>
    <row r="764" customFormat="false" ht="15" hidden="false" customHeight="false" outlineLevel="0" collapsed="false">
      <c r="A764" s="21"/>
      <c r="B764" s="19"/>
      <c r="C764" s="19"/>
      <c r="D764" s="19"/>
      <c r="E764" s="19"/>
      <c r="F764" s="19"/>
      <c r="G764" s="21"/>
    </row>
    <row r="765" customFormat="false" ht="15" hidden="false" customHeight="false" outlineLevel="0" collapsed="false">
      <c r="A765" s="21"/>
      <c r="B765" s="19"/>
      <c r="C765" s="19"/>
      <c r="D765" s="19"/>
      <c r="E765" s="19"/>
      <c r="F765" s="19"/>
      <c r="G765" s="21"/>
    </row>
    <row r="766" customFormat="false" ht="15" hidden="false" customHeight="false" outlineLevel="0" collapsed="false">
      <c r="A766" s="21"/>
      <c r="B766" s="19"/>
      <c r="C766" s="19"/>
      <c r="D766" s="19"/>
      <c r="E766" s="19"/>
      <c r="F766" s="19"/>
      <c r="G766" s="21"/>
    </row>
    <row r="767" customFormat="false" ht="15" hidden="false" customHeight="false" outlineLevel="0" collapsed="false">
      <c r="A767" s="21"/>
      <c r="B767" s="19"/>
      <c r="C767" s="19"/>
      <c r="D767" s="19"/>
      <c r="E767" s="19"/>
      <c r="F767" s="19"/>
      <c r="G767" s="21"/>
    </row>
    <row r="768" customFormat="false" ht="15" hidden="false" customHeight="false" outlineLevel="0" collapsed="false">
      <c r="A768" s="21"/>
      <c r="B768" s="19"/>
      <c r="C768" s="19"/>
      <c r="D768" s="19"/>
      <c r="E768" s="19"/>
      <c r="F768" s="19"/>
      <c r="G768" s="21"/>
    </row>
    <row r="769" customFormat="false" ht="15" hidden="false" customHeight="false" outlineLevel="0" collapsed="false">
      <c r="A769" s="21"/>
      <c r="B769" s="19"/>
      <c r="C769" s="19"/>
      <c r="D769" s="19"/>
      <c r="E769" s="19"/>
      <c r="F769" s="19"/>
      <c r="G769" s="21"/>
    </row>
    <row r="770" customFormat="false" ht="15" hidden="false" customHeight="false" outlineLevel="0" collapsed="false">
      <c r="A770" s="21"/>
      <c r="B770" s="19"/>
      <c r="C770" s="19"/>
      <c r="D770" s="19"/>
      <c r="E770" s="19"/>
      <c r="F770" s="19"/>
      <c r="G770" s="21"/>
    </row>
    <row r="771" customFormat="false" ht="15" hidden="false" customHeight="false" outlineLevel="0" collapsed="false">
      <c r="A771" s="21"/>
      <c r="B771" s="19"/>
      <c r="C771" s="19"/>
      <c r="D771" s="19"/>
      <c r="E771" s="19"/>
      <c r="F771" s="19"/>
      <c r="G771" s="21"/>
    </row>
    <row r="772" customFormat="false" ht="15" hidden="false" customHeight="false" outlineLevel="0" collapsed="false">
      <c r="A772" s="21"/>
      <c r="B772" s="19"/>
      <c r="C772" s="19"/>
      <c r="D772" s="19"/>
      <c r="E772" s="19"/>
      <c r="F772" s="19"/>
      <c r="G772" s="21"/>
    </row>
    <row r="773" customFormat="false" ht="15" hidden="false" customHeight="false" outlineLevel="0" collapsed="false">
      <c r="A773" s="21"/>
      <c r="B773" s="19"/>
      <c r="C773" s="19"/>
      <c r="D773" s="19"/>
      <c r="E773" s="19"/>
      <c r="F773" s="19"/>
      <c r="G773" s="21"/>
    </row>
    <row r="774" customFormat="false" ht="15" hidden="false" customHeight="false" outlineLevel="0" collapsed="false">
      <c r="A774" s="21"/>
      <c r="B774" s="19"/>
      <c r="C774" s="19"/>
      <c r="D774" s="19"/>
      <c r="E774" s="19"/>
      <c r="F774" s="19"/>
      <c r="G774" s="21"/>
    </row>
    <row r="775" customFormat="false" ht="15" hidden="false" customHeight="false" outlineLevel="0" collapsed="false">
      <c r="A775" s="21"/>
      <c r="B775" s="19"/>
      <c r="C775" s="19"/>
      <c r="D775" s="19"/>
      <c r="E775" s="19"/>
      <c r="F775" s="19"/>
      <c r="G775" s="21"/>
    </row>
    <row r="776" customFormat="false" ht="15" hidden="false" customHeight="false" outlineLevel="0" collapsed="false">
      <c r="A776" s="21"/>
      <c r="B776" s="19"/>
      <c r="C776" s="19"/>
      <c r="D776" s="19"/>
      <c r="E776" s="19"/>
      <c r="F776" s="19"/>
      <c r="G776" s="21"/>
    </row>
    <row r="777" customFormat="false" ht="15" hidden="false" customHeight="false" outlineLevel="0" collapsed="false">
      <c r="A777" s="21"/>
      <c r="B777" s="19"/>
      <c r="C777" s="19"/>
      <c r="D777" s="19"/>
      <c r="E777" s="19"/>
      <c r="F777" s="19"/>
      <c r="G777" s="21"/>
    </row>
    <row r="778" customFormat="false" ht="15" hidden="false" customHeight="false" outlineLevel="0" collapsed="false">
      <c r="A778" s="21"/>
      <c r="B778" s="19"/>
      <c r="C778" s="19"/>
      <c r="D778" s="19"/>
      <c r="E778" s="19"/>
      <c r="F778" s="19"/>
      <c r="G778" s="21"/>
    </row>
    <row r="779" customFormat="false" ht="15" hidden="false" customHeight="false" outlineLevel="0" collapsed="false">
      <c r="A779" s="21"/>
      <c r="B779" s="19"/>
      <c r="C779" s="19"/>
      <c r="D779" s="19"/>
      <c r="E779" s="19"/>
      <c r="F779" s="19"/>
      <c r="G779" s="21"/>
    </row>
    <row r="780" customFormat="false" ht="15" hidden="false" customHeight="false" outlineLevel="0" collapsed="false">
      <c r="A780" s="21"/>
      <c r="B780" s="19"/>
      <c r="C780" s="19"/>
      <c r="D780" s="19"/>
      <c r="E780" s="19"/>
      <c r="F780" s="19"/>
      <c r="G780" s="21"/>
    </row>
    <row r="781" customFormat="false" ht="15" hidden="false" customHeight="false" outlineLevel="0" collapsed="false">
      <c r="A781" s="21"/>
      <c r="B781" s="19"/>
      <c r="C781" s="19"/>
      <c r="D781" s="19"/>
      <c r="E781" s="19"/>
      <c r="F781" s="19"/>
      <c r="G781" s="21"/>
    </row>
    <row r="782" customFormat="false" ht="15" hidden="false" customHeight="false" outlineLevel="0" collapsed="false">
      <c r="A782" s="21"/>
      <c r="B782" s="19"/>
      <c r="C782" s="19"/>
      <c r="D782" s="19"/>
      <c r="E782" s="19"/>
      <c r="F782" s="19"/>
      <c r="G782" s="21"/>
    </row>
    <row r="783" customFormat="false" ht="15" hidden="false" customHeight="false" outlineLevel="0" collapsed="false">
      <c r="A783" s="21"/>
      <c r="B783" s="19"/>
      <c r="C783" s="19"/>
      <c r="D783" s="19"/>
      <c r="E783" s="19"/>
      <c r="F783" s="19"/>
      <c r="G783" s="21"/>
    </row>
    <row r="784" customFormat="false" ht="15" hidden="false" customHeight="false" outlineLevel="0" collapsed="false">
      <c r="A784" s="21"/>
      <c r="B784" s="19"/>
      <c r="C784" s="19"/>
      <c r="D784" s="19"/>
      <c r="E784" s="19"/>
      <c r="F784" s="19"/>
      <c r="G784" s="21"/>
    </row>
    <row r="785" customFormat="false" ht="15" hidden="false" customHeight="false" outlineLevel="0" collapsed="false">
      <c r="A785" s="21"/>
      <c r="B785" s="19"/>
      <c r="C785" s="19"/>
      <c r="D785" s="19"/>
      <c r="E785" s="19"/>
      <c r="F785" s="19"/>
      <c r="G785" s="21"/>
    </row>
    <row r="786" customFormat="false" ht="15" hidden="false" customHeight="false" outlineLevel="0" collapsed="false">
      <c r="A786" s="21"/>
      <c r="B786" s="19"/>
      <c r="C786" s="19"/>
      <c r="D786" s="19"/>
      <c r="E786" s="19"/>
      <c r="F786" s="19"/>
      <c r="G786" s="21"/>
    </row>
    <row r="787" customFormat="false" ht="15" hidden="false" customHeight="false" outlineLevel="0" collapsed="false">
      <c r="A787" s="21"/>
      <c r="B787" s="19"/>
      <c r="C787" s="19"/>
      <c r="D787" s="19"/>
      <c r="E787" s="19"/>
      <c r="F787" s="19"/>
      <c r="G787" s="21"/>
    </row>
    <row r="788" customFormat="false" ht="15" hidden="false" customHeight="false" outlineLevel="0" collapsed="false">
      <c r="A788" s="21"/>
      <c r="B788" s="19"/>
      <c r="C788" s="19"/>
      <c r="D788" s="19"/>
      <c r="E788" s="19"/>
      <c r="F788" s="19"/>
      <c r="G788" s="21"/>
    </row>
    <row r="789" customFormat="false" ht="15" hidden="false" customHeight="false" outlineLevel="0" collapsed="false">
      <c r="A789" s="21"/>
      <c r="B789" s="19"/>
      <c r="C789" s="19"/>
      <c r="D789" s="19"/>
      <c r="E789" s="19"/>
      <c r="F789" s="19"/>
      <c r="G789" s="21"/>
    </row>
    <row r="790" customFormat="false" ht="15" hidden="false" customHeight="false" outlineLevel="0" collapsed="false">
      <c r="A790" s="21"/>
      <c r="B790" s="19"/>
      <c r="C790" s="19"/>
      <c r="D790" s="19"/>
      <c r="E790" s="19"/>
      <c r="F790" s="19"/>
      <c r="G790" s="21"/>
    </row>
    <row r="791" customFormat="false" ht="15" hidden="false" customHeight="false" outlineLevel="0" collapsed="false">
      <c r="A791" s="21"/>
      <c r="B791" s="19"/>
      <c r="C791" s="19"/>
      <c r="D791" s="19"/>
      <c r="E791" s="19"/>
      <c r="F791" s="19"/>
      <c r="G791" s="21"/>
    </row>
    <row r="792" customFormat="false" ht="15" hidden="false" customHeight="false" outlineLevel="0" collapsed="false">
      <c r="A792" s="21"/>
      <c r="B792" s="19"/>
      <c r="C792" s="19"/>
      <c r="D792" s="19"/>
      <c r="E792" s="19"/>
      <c r="F792" s="19"/>
      <c r="G792" s="21"/>
    </row>
    <row r="793" customFormat="false" ht="15" hidden="false" customHeight="false" outlineLevel="0" collapsed="false">
      <c r="A793" s="21"/>
      <c r="B793" s="19"/>
      <c r="C793" s="19"/>
      <c r="D793" s="19"/>
      <c r="E793" s="19"/>
      <c r="F793" s="19"/>
      <c r="G793" s="21"/>
    </row>
    <row r="794" customFormat="false" ht="15" hidden="false" customHeight="false" outlineLevel="0" collapsed="false">
      <c r="A794" s="21"/>
      <c r="B794" s="19"/>
      <c r="C794" s="19"/>
      <c r="D794" s="19"/>
      <c r="E794" s="19"/>
      <c r="F794" s="19"/>
      <c r="G794" s="21"/>
    </row>
    <row r="795" customFormat="false" ht="15" hidden="false" customHeight="false" outlineLevel="0" collapsed="false">
      <c r="A795" s="21"/>
      <c r="B795" s="19"/>
      <c r="C795" s="19"/>
      <c r="D795" s="19"/>
      <c r="E795" s="19"/>
      <c r="F795" s="19"/>
      <c r="G795" s="21"/>
    </row>
    <row r="796" customFormat="false" ht="15" hidden="false" customHeight="false" outlineLevel="0" collapsed="false">
      <c r="A796" s="21"/>
      <c r="B796" s="19"/>
      <c r="C796" s="19"/>
      <c r="D796" s="19"/>
      <c r="E796" s="19"/>
      <c r="F796" s="19"/>
      <c r="G796" s="21"/>
    </row>
    <row r="797" customFormat="false" ht="15" hidden="false" customHeight="false" outlineLevel="0" collapsed="false">
      <c r="A797" s="21"/>
      <c r="B797" s="19"/>
      <c r="C797" s="19"/>
      <c r="D797" s="19"/>
      <c r="E797" s="19"/>
      <c r="F797" s="19"/>
      <c r="G797" s="21"/>
    </row>
    <row r="798" customFormat="false" ht="15" hidden="false" customHeight="false" outlineLevel="0" collapsed="false">
      <c r="A798" s="21"/>
      <c r="B798" s="19"/>
      <c r="C798" s="19"/>
      <c r="D798" s="19"/>
      <c r="E798" s="19"/>
      <c r="F798" s="19"/>
      <c r="G798" s="21"/>
    </row>
    <row r="799" customFormat="false" ht="15" hidden="false" customHeight="false" outlineLevel="0" collapsed="false">
      <c r="A799" s="21"/>
      <c r="B799" s="19"/>
      <c r="C799" s="19"/>
      <c r="D799" s="19"/>
      <c r="E799" s="19"/>
      <c r="F799" s="19"/>
      <c r="G799" s="21"/>
    </row>
    <row r="800" customFormat="false" ht="15" hidden="false" customHeight="false" outlineLevel="0" collapsed="false">
      <c r="A800" s="21"/>
      <c r="B800" s="19"/>
      <c r="C800" s="19"/>
      <c r="D800" s="19"/>
      <c r="E800" s="19"/>
      <c r="F800" s="19"/>
      <c r="G800" s="21"/>
    </row>
    <row r="801" customFormat="false" ht="15" hidden="false" customHeight="false" outlineLevel="0" collapsed="false">
      <c r="A801" s="21"/>
      <c r="B801" s="19"/>
      <c r="C801" s="19"/>
      <c r="D801" s="19"/>
      <c r="E801" s="19"/>
      <c r="F801" s="19"/>
      <c r="G801" s="21"/>
    </row>
    <row r="802" customFormat="false" ht="15" hidden="false" customHeight="false" outlineLevel="0" collapsed="false">
      <c r="A802" s="21"/>
      <c r="B802" s="19"/>
      <c r="C802" s="19"/>
      <c r="D802" s="19"/>
      <c r="E802" s="19"/>
      <c r="F802" s="19"/>
      <c r="G802" s="21"/>
    </row>
    <row r="803" customFormat="false" ht="15" hidden="false" customHeight="false" outlineLevel="0" collapsed="false">
      <c r="A803" s="21"/>
      <c r="B803" s="19"/>
      <c r="C803" s="19"/>
      <c r="D803" s="19"/>
      <c r="E803" s="19"/>
      <c r="F803" s="19"/>
      <c r="G803" s="21"/>
    </row>
    <row r="804" customFormat="false" ht="15" hidden="false" customHeight="false" outlineLevel="0" collapsed="false">
      <c r="A804" s="21"/>
      <c r="B804" s="19"/>
      <c r="C804" s="19"/>
      <c r="D804" s="19"/>
      <c r="E804" s="19"/>
      <c r="F804" s="19"/>
      <c r="G804" s="21"/>
    </row>
    <row r="805" customFormat="false" ht="15" hidden="false" customHeight="false" outlineLevel="0" collapsed="false">
      <c r="A805" s="21"/>
      <c r="B805" s="19"/>
      <c r="C805" s="19"/>
      <c r="D805" s="19"/>
      <c r="E805" s="19"/>
      <c r="F805" s="19"/>
      <c r="G805" s="21"/>
    </row>
    <row r="806" customFormat="false" ht="15" hidden="false" customHeight="false" outlineLevel="0" collapsed="false">
      <c r="A806" s="21"/>
      <c r="B806" s="19"/>
      <c r="C806" s="19"/>
      <c r="D806" s="19"/>
      <c r="E806" s="19"/>
      <c r="F806" s="19"/>
      <c r="G806" s="21"/>
    </row>
    <row r="807" customFormat="false" ht="15" hidden="false" customHeight="false" outlineLevel="0" collapsed="false">
      <c r="A807" s="21"/>
      <c r="B807" s="19"/>
      <c r="C807" s="19"/>
      <c r="D807" s="19"/>
      <c r="E807" s="19"/>
      <c r="F807" s="19"/>
      <c r="G807" s="21"/>
    </row>
    <row r="808" customFormat="false" ht="15" hidden="false" customHeight="false" outlineLevel="0" collapsed="false">
      <c r="A808" s="21"/>
      <c r="B808" s="19"/>
      <c r="C808" s="19"/>
      <c r="D808" s="19"/>
      <c r="E808" s="19"/>
      <c r="F808" s="19"/>
      <c r="G808" s="21"/>
    </row>
    <row r="809" customFormat="false" ht="15" hidden="false" customHeight="false" outlineLevel="0" collapsed="false">
      <c r="A809" s="21"/>
      <c r="B809" s="19"/>
      <c r="C809" s="19"/>
      <c r="D809" s="19"/>
      <c r="E809" s="19"/>
      <c r="F809" s="19"/>
      <c r="G809" s="21"/>
    </row>
    <row r="810" customFormat="false" ht="15" hidden="false" customHeight="false" outlineLevel="0" collapsed="false">
      <c r="A810" s="21"/>
      <c r="B810" s="19"/>
      <c r="C810" s="19"/>
      <c r="D810" s="19"/>
      <c r="E810" s="19"/>
      <c r="F810" s="19"/>
      <c r="G810" s="21"/>
    </row>
    <row r="811" customFormat="false" ht="15" hidden="false" customHeight="false" outlineLevel="0" collapsed="false">
      <c r="A811" s="21"/>
      <c r="B811" s="19"/>
      <c r="C811" s="19"/>
      <c r="D811" s="19"/>
      <c r="E811" s="19"/>
      <c r="F811" s="19"/>
      <c r="G811" s="21"/>
    </row>
    <row r="812" customFormat="false" ht="15" hidden="false" customHeight="false" outlineLevel="0" collapsed="false">
      <c r="A812" s="21"/>
      <c r="B812" s="19"/>
      <c r="C812" s="19"/>
      <c r="D812" s="19"/>
      <c r="E812" s="19"/>
      <c r="F812" s="19"/>
      <c r="G812" s="21"/>
    </row>
    <row r="813" customFormat="false" ht="15" hidden="false" customHeight="false" outlineLevel="0" collapsed="false">
      <c r="A813" s="21"/>
      <c r="B813" s="19"/>
      <c r="C813" s="19"/>
      <c r="D813" s="19"/>
      <c r="E813" s="19"/>
      <c r="F813" s="19"/>
      <c r="G813" s="21"/>
    </row>
    <row r="814" customFormat="false" ht="15" hidden="false" customHeight="false" outlineLevel="0" collapsed="false">
      <c r="A814" s="21"/>
      <c r="B814" s="19"/>
      <c r="C814" s="19"/>
      <c r="D814" s="19"/>
      <c r="E814" s="19"/>
      <c r="F814" s="19"/>
      <c r="G814" s="21"/>
    </row>
    <row r="815" customFormat="false" ht="15" hidden="false" customHeight="false" outlineLevel="0" collapsed="false">
      <c r="A815" s="21"/>
      <c r="B815" s="19"/>
      <c r="C815" s="19"/>
      <c r="D815" s="19"/>
      <c r="E815" s="19"/>
      <c r="F815" s="19"/>
      <c r="G815" s="21"/>
    </row>
    <row r="816" customFormat="false" ht="15" hidden="false" customHeight="false" outlineLevel="0" collapsed="false">
      <c r="A816" s="21"/>
      <c r="B816" s="19"/>
      <c r="C816" s="19"/>
      <c r="D816" s="19"/>
      <c r="E816" s="19"/>
      <c r="F816" s="19"/>
      <c r="G816" s="21"/>
    </row>
    <row r="817" customFormat="false" ht="15" hidden="false" customHeight="false" outlineLevel="0" collapsed="false">
      <c r="A817" s="21"/>
      <c r="B817" s="19"/>
      <c r="C817" s="19"/>
      <c r="D817" s="19"/>
      <c r="E817" s="19"/>
      <c r="F817" s="19"/>
      <c r="G817" s="21"/>
    </row>
    <row r="818" customFormat="false" ht="15" hidden="false" customHeight="false" outlineLevel="0" collapsed="false">
      <c r="A818" s="21"/>
      <c r="B818" s="19"/>
      <c r="C818" s="19"/>
      <c r="D818" s="19"/>
      <c r="E818" s="19"/>
      <c r="F818" s="19"/>
      <c r="G818" s="21"/>
    </row>
    <row r="819" customFormat="false" ht="15" hidden="false" customHeight="false" outlineLevel="0" collapsed="false">
      <c r="A819" s="21"/>
      <c r="B819" s="19"/>
      <c r="C819" s="19"/>
      <c r="D819" s="19"/>
      <c r="E819" s="19"/>
      <c r="F819" s="19"/>
      <c r="G819" s="21"/>
    </row>
    <row r="820" customFormat="false" ht="15" hidden="false" customHeight="false" outlineLevel="0" collapsed="false">
      <c r="A820" s="21"/>
      <c r="B820" s="19"/>
      <c r="C820" s="19"/>
      <c r="D820" s="19"/>
      <c r="E820" s="19"/>
      <c r="F820" s="19"/>
      <c r="G820" s="21"/>
    </row>
    <row r="821" customFormat="false" ht="15" hidden="false" customHeight="false" outlineLevel="0" collapsed="false">
      <c r="A821" s="21"/>
      <c r="B821" s="19"/>
      <c r="C821" s="19"/>
      <c r="D821" s="19"/>
      <c r="E821" s="19"/>
      <c r="F821" s="19"/>
      <c r="G821" s="21"/>
    </row>
    <row r="822" customFormat="false" ht="15" hidden="false" customHeight="false" outlineLevel="0" collapsed="false">
      <c r="A822" s="21"/>
      <c r="B822" s="19"/>
      <c r="C822" s="19"/>
      <c r="D822" s="19"/>
      <c r="E822" s="19"/>
      <c r="F822" s="19"/>
      <c r="G822" s="21"/>
    </row>
    <row r="823" customFormat="false" ht="15" hidden="false" customHeight="false" outlineLevel="0" collapsed="false">
      <c r="A823" s="21"/>
      <c r="B823" s="19"/>
      <c r="C823" s="19"/>
      <c r="D823" s="19"/>
      <c r="E823" s="19"/>
      <c r="F823" s="19"/>
      <c r="G823" s="21"/>
    </row>
    <row r="824" customFormat="false" ht="15" hidden="false" customHeight="false" outlineLevel="0" collapsed="false">
      <c r="A824" s="21"/>
      <c r="B824" s="19"/>
      <c r="C824" s="19"/>
      <c r="D824" s="19"/>
      <c r="E824" s="19"/>
      <c r="F824" s="19"/>
      <c r="G824" s="21"/>
    </row>
    <row r="825" customFormat="false" ht="15" hidden="false" customHeight="false" outlineLevel="0" collapsed="false">
      <c r="A825" s="21"/>
      <c r="B825" s="19"/>
      <c r="C825" s="19"/>
      <c r="D825" s="19"/>
      <c r="E825" s="19"/>
      <c r="F825" s="19"/>
      <c r="G825" s="21"/>
    </row>
    <row r="826" customFormat="false" ht="15" hidden="false" customHeight="false" outlineLevel="0" collapsed="false">
      <c r="A826" s="21"/>
      <c r="B826" s="19"/>
      <c r="C826" s="19"/>
      <c r="D826" s="19"/>
      <c r="E826" s="19"/>
      <c r="F826" s="19"/>
      <c r="G826" s="21"/>
    </row>
    <row r="827" customFormat="false" ht="15" hidden="false" customHeight="false" outlineLevel="0" collapsed="false">
      <c r="A827" s="21"/>
      <c r="B827" s="19"/>
      <c r="C827" s="19"/>
      <c r="D827" s="19"/>
      <c r="E827" s="19"/>
      <c r="F827" s="19"/>
      <c r="G827" s="21"/>
    </row>
    <row r="828" customFormat="false" ht="15" hidden="false" customHeight="false" outlineLevel="0" collapsed="false">
      <c r="A828" s="21"/>
      <c r="B828" s="19"/>
      <c r="C828" s="19"/>
      <c r="D828" s="19"/>
      <c r="E828" s="19"/>
      <c r="F828" s="19"/>
      <c r="G828" s="21"/>
    </row>
    <row r="829" customFormat="false" ht="15" hidden="false" customHeight="false" outlineLevel="0" collapsed="false">
      <c r="A829" s="21"/>
      <c r="B829" s="19"/>
      <c r="C829" s="19"/>
      <c r="D829" s="19"/>
      <c r="E829" s="19"/>
      <c r="F829" s="19"/>
      <c r="G829" s="21"/>
    </row>
    <row r="830" customFormat="false" ht="15" hidden="false" customHeight="false" outlineLevel="0" collapsed="false">
      <c r="A830" s="21"/>
      <c r="B830" s="19"/>
      <c r="C830" s="19"/>
      <c r="D830" s="19"/>
      <c r="E830" s="19"/>
      <c r="F830" s="19"/>
      <c r="G830" s="21"/>
    </row>
    <row r="831" customFormat="false" ht="15" hidden="false" customHeight="false" outlineLevel="0" collapsed="false">
      <c r="A831" s="21"/>
      <c r="B831" s="19"/>
      <c r="C831" s="19"/>
      <c r="D831" s="19"/>
      <c r="E831" s="19"/>
      <c r="F831" s="19"/>
      <c r="G831" s="21"/>
    </row>
    <row r="832" customFormat="false" ht="15" hidden="false" customHeight="false" outlineLevel="0" collapsed="false">
      <c r="A832" s="21"/>
      <c r="B832" s="19"/>
      <c r="C832" s="19"/>
      <c r="D832" s="19"/>
      <c r="E832" s="19"/>
      <c r="F832" s="19"/>
      <c r="G832" s="21"/>
    </row>
    <row r="833" customFormat="false" ht="15" hidden="false" customHeight="false" outlineLevel="0" collapsed="false">
      <c r="A833" s="21"/>
      <c r="B833" s="19"/>
      <c r="C833" s="19"/>
      <c r="D833" s="19"/>
      <c r="E833" s="19"/>
      <c r="F833" s="19"/>
      <c r="G833" s="21"/>
    </row>
    <row r="834" customFormat="false" ht="15" hidden="false" customHeight="false" outlineLevel="0" collapsed="false">
      <c r="A834" s="21"/>
      <c r="B834" s="19"/>
      <c r="C834" s="19"/>
      <c r="D834" s="19"/>
      <c r="E834" s="19"/>
      <c r="F834" s="19"/>
      <c r="G834" s="21"/>
    </row>
    <row r="835" customFormat="false" ht="15" hidden="false" customHeight="false" outlineLevel="0" collapsed="false">
      <c r="A835" s="21"/>
      <c r="B835" s="19"/>
      <c r="C835" s="19"/>
      <c r="D835" s="19"/>
      <c r="E835" s="19"/>
      <c r="F835" s="19"/>
      <c r="G835" s="21"/>
    </row>
    <row r="836" customFormat="false" ht="15" hidden="false" customHeight="false" outlineLevel="0" collapsed="false">
      <c r="A836" s="21"/>
      <c r="B836" s="19"/>
      <c r="C836" s="19"/>
      <c r="D836" s="19"/>
      <c r="E836" s="19"/>
      <c r="F836" s="19"/>
      <c r="G836" s="21"/>
    </row>
    <row r="837" customFormat="false" ht="15" hidden="false" customHeight="false" outlineLevel="0" collapsed="false">
      <c r="A837" s="21"/>
      <c r="B837" s="19"/>
      <c r="C837" s="19"/>
      <c r="D837" s="19"/>
      <c r="E837" s="19"/>
      <c r="F837" s="19"/>
      <c r="G837" s="21"/>
    </row>
    <row r="838" customFormat="false" ht="15" hidden="false" customHeight="false" outlineLevel="0" collapsed="false">
      <c r="A838" s="21"/>
      <c r="B838" s="19"/>
      <c r="C838" s="19"/>
      <c r="D838" s="19"/>
      <c r="E838" s="19"/>
      <c r="F838" s="19"/>
      <c r="G838" s="21"/>
    </row>
    <row r="839" customFormat="false" ht="15" hidden="false" customHeight="false" outlineLevel="0" collapsed="false">
      <c r="A839" s="21"/>
      <c r="B839" s="19"/>
      <c r="C839" s="19"/>
      <c r="D839" s="19"/>
      <c r="E839" s="19"/>
      <c r="F839" s="19"/>
      <c r="G839" s="21"/>
    </row>
    <row r="840" customFormat="false" ht="15" hidden="false" customHeight="false" outlineLevel="0" collapsed="false">
      <c r="A840" s="21"/>
      <c r="B840" s="19"/>
      <c r="C840" s="19"/>
      <c r="D840" s="19"/>
      <c r="E840" s="19"/>
      <c r="F840" s="19"/>
      <c r="G840" s="21"/>
    </row>
    <row r="841" customFormat="false" ht="15" hidden="false" customHeight="false" outlineLevel="0" collapsed="false">
      <c r="A841" s="21"/>
      <c r="B841" s="19"/>
      <c r="C841" s="19"/>
      <c r="D841" s="19"/>
      <c r="E841" s="19"/>
      <c r="F841" s="19"/>
      <c r="G841" s="21"/>
    </row>
    <row r="842" customFormat="false" ht="15" hidden="false" customHeight="false" outlineLevel="0" collapsed="false">
      <c r="A842" s="21"/>
      <c r="B842" s="19"/>
      <c r="C842" s="19"/>
      <c r="D842" s="19"/>
      <c r="E842" s="19"/>
      <c r="F842" s="19"/>
      <c r="G842" s="21"/>
    </row>
    <row r="843" customFormat="false" ht="15" hidden="false" customHeight="false" outlineLevel="0" collapsed="false">
      <c r="A843" s="21"/>
      <c r="B843" s="19"/>
      <c r="C843" s="19"/>
      <c r="D843" s="19"/>
      <c r="E843" s="19"/>
      <c r="F843" s="19"/>
      <c r="G843" s="21"/>
    </row>
    <row r="844" customFormat="false" ht="15" hidden="false" customHeight="false" outlineLevel="0" collapsed="false">
      <c r="A844" s="21"/>
      <c r="B844" s="19"/>
      <c r="C844" s="19"/>
      <c r="D844" s="19"/>
      <c r="E844" s="19"/>
      <c r="F844" s="19"/>
      <c r="G844" s="21"/>
    </row>
    <row r="845" customFormat="false" ht="15" hidden="false" customHeight="false" outlineLevel="0" collapsed="false">
      <c r="A845" s="21"/>
      <c r="B845" s="19"/>
      <c r="C845" s="19"/>
      <c r="D845" s="19"/>
      <c r="E845" s="19"/>
      <c r="F845" s="19"/>
      <c r="G845" s="21"/>
    </row>
    <row r="846" customFormat="false" ht="15" hidden="false" customHeight="false" outlineLevel="0" collapsed="false">
      <c r="A846" s="21"/>
      <c r="B846" s="19"/>
      <c r="C846" s="19"/>
      <c r="D846" s="19"/>
      <c r="E846" s="19"/>
      <c r="F846" s="19"/>
      <c r="G846" s="21"/>
    </row>
    <row r="847" customFormat="false" ht="15" hidden="false" customHeight="false" outlineLevel="0" collapsed="false">
      <c r="A847" s="21"/>
      <c r="B847" s="19"/>
      <c r="C847" s="19"/>
      <c r="D847" s="19"/>
      <c r="E847" s="19"/>
      <c r="F847" s="19"/>
      <c r="G847" s="21"/>
    </row>
    <row r="848" customFormat="false" ht="15" hidden="false" customHeight="false" outlineLevel="0" collapsed="false">
      <c r="A848" s="21"/>
      <c r="B848" s="19"/>
      <c r="C848" s="19"/>
      <c r="D848" s="19"/>
      <c r="E848" s="19"/>
      <c r="F848" s="19"/>
      <c r="G848" s="21"/>
    </row>
    <row r="849" customFormat="false" ht="15" hidden="false" customHeight="false" outlineLevel="0" collapsed="false">
      <c r="A849" s="21"/>
      <c r="B849" s="19"/>
      <c r="C849" s="19"/>
      <c r="D849" s="19"/>
      <c r="E849" s="19"/>
      <c r="F849" s="19"/>
      <c r="G849" s="21"/>
    </row>
    <row r="850" customFormat="false" ht="15" hidden="false" customHeight="false" outlineLevel="0" collapsed="false">
      <c r="A850" s="21"/>
      <c r="B850" s="19"/>
      <c r="C850" s="19"/>
      <c r="D850" s="19"/>
      <c r="E850" s="19"/>
      <c r="F850" s="19"/>
      <c r="G850" s="21"/>
    </row>
    <row r="851" customFormat="false" ht="15" hidden="false" customHeight="false" outlineLevel="0" collapsed="false">
      <c r="A851" s="21"/>
      <c r="B851" s="19"/>
      <c r="C851" s="19"/>
      <c r="D851" s="19"/>
      <c r="E851" s="19"/>
      <c r="F851" s="19"/>
      <c r="G851" s="21"/>
    </row>
    <row r="852" customFormat="false" ht="15" hidden="false" customHeight="false" outlineLevel="0" collapsed="false">
      <c r="A852" s="21"/>
      <c r="B852" s="19"/>
      <c r="C852" s="19"/>
      <c r="D852" s="19"/>
      <c r="E852" s="19"/>
      <c r="F852" s="19"/>
      <c r="G852" s="21"/>
    </row>
    <row r="853" customFormat="false" ht="15" hidden="false" customHeight="false" outlineLevel="0" collapsed="false">
      <c r="A853" s="21"/>
      <c r="B853" s="19"/>
      <c r="C853" s="19"/>
      <c r="D853" s="19"/>
      <c r="E853" s="19"/>
      <c r="F853" s="19"/>
      <c r="G853" s="21"/>
    </row>
    <row r="854" customFormat="false" ht="15" hidden="false" customHeight="false" outlineLevel="0" collapsed="false">
      <c r="A854" s="21"/>
      <c r="B854" s="19"/>
      <c r="C854" s="19"/>
      <c r="D854" s="19"/>
      <c r="E854" s="19"/>
      <c r="F854" s="19"/>
      <c r="G854" s="21"/>
    </row>
    <row r="855" customFormat="false" ht="15" hidden="false" customHeight="false" outlineLevel="0" collapsed="false">
      <c r="A855" s="21"/>
      <c r="B855" s="19"/>
      <c r="C855" s="19"/>
      <c r="D855" s="19"/>
      <c r="E855" s="19"/>
      <c r="F855" s="19"/>
      <c r="G855" s="21"/>
    </row>
    <row r="856" customFormat="false" ht="15" hidden="false" customHeight="false" outlineLevel="0" collapsed="false">
      <c r="A856" s="21"/>
      <c r="B856" s="19"/>
      <c r="C856" s="19"/>
      <c r="D856" s="19"/>
      <c r="E856" s="19"/>
      <c r="F856" s="19"/>
      <c r="G856" s="21"/>
    </row>
    <row r="857" customFormat="false" ht="15" hidden="false" customHeight="false" outlineLevel="0" collapsed="false">
      <c r="A857" s="21"/>
      <c r="B857" s="19"/>
      <c r="C857" s="19"/>
      <c r="D857" s="19"/>
      <c r="E857" s="19"/>
      <c r="F857" s="19"/>
      <c r="G857" s="21"/>
    </row>
    <row r="858" customFormat="false" ht="15" hidden="false" customHeight="false" outlineLevel="0" collapsed="false">
      <c r="A858" s="21"/>
      <c r="B858" s="19"/>
      <c r="C858" s="19"/>
      <c r="D858" s="19"/>
      <c r="E858" s="19"/>
      <c r="F858" s="19"/>
      <c r="G858" s="21"/>
    </row>
    <row r="859" customFormat="false" ht="15" hidden="false" customHeight="false" outlineLevel="0" collapsed="false">
      <c r="A859" s="21"/>
      <c r="B859" s="19"/>
      <c r="C859" s="19"/>
      <c r="D859" s="19"/>
      <c r="E859" s="19"/>
      <c r="F859" s="19"/>
      <c r="G859" s="21"/>
    </row>
    <row r="860" customFormat="false" ht="15" hidden="false" customHeight="false" outlineLevel="0" collapsed="false">
      <c r="A860" s="21"/>
      <c r="B860" s="19"/>
      <c r="C860" s="19"/>
      <c r="D860" s="19"/>
      <c r="E860" s="19"/>
      <c r="F860" s="19"/>
      <c r="G860" s="21"/>
    </row>
    <row r="861" customFormat="false" ht="15" hidden="false" customHeight="false" outlineLevel="0" collapsed="false">
      <c r="A861" s="21"/>
      <c r="B861" s="19"/>
      <c r="C861" s="19"/>
      <c r="D861" s="19"/>
      <c r="E861" s="19"/>
      <c r="F861" s="19"/>
      <c r="G861" s="21"/>
    </row>
    <row r="862" customFormat="false" ht="15" hidden="false" customHeight="false" outlineLevel="0" collapsed="false">
      <c r="A862" s="21"/>
      <c r="B862" s="19"/>
      <c r="C862" s="19"/>
      <c r="D862" s="19"/>
      <c r="E862" s="19"/>
      <c r="F862" s="19"/>
      <c r="G862" s="21"/>
    </row>
    <row r="863" customFormat="false" ht="15" hidden="false" customHeight="false" outlineLevel="0" collapsed="false">
      <c r="A863" s="21"/>
      <c r="B863" s="19"/>
      <c r="C863" s="19"/>
      <c r="D863" s="19"/>
      <c r="E863" s="19"/>
      <c r="F863" s="19"/>
      <c r="G863" s="21"/>
    </row>
    <row r="864" customFormat="false" ht="15" hidden="false" customHeight="false" outlineLevel="0" collapsed="false">
      <c r="A864" s="21"/>
      <c r="B864" s="19"/>
      <c r="C864" s="19"/>
      <c r="D864" s="19"/>
      <c r="E864" s="19"/>
      <c r="F864" s="19"/>
      <c r="G864" s="21"/>
    </row>
    <row r="865" customFormat="false" ht="15" hidden="false" customHeight="false" outlineLevel="0" collapsed="false">
      <c r="A865" s="21"/>
      <c r="B865" s="19"/>
      <c r="C865" s="19"/>
      <c r="D865" s="19"/>
      <c r="E865" s="19"/>
      <c r="F865" s="19"/>
      <c r="G865" s="21"/>
    </row>
    <row r="866" customFormat="false" ht="15" hidden="false" customHeight="false" outlineLevel="0" collapsed="false">
      <c r="A866" s="21"/>
      <c r="B866" s="19"/>
      <c r="C866" s="19"/>
      <c r="D866" s="19"/>
      <c r="E866" s="19"/>
      <c r="F866" s="19"/>
      <c r="G866" s="21"/>
    </row>
    <row r="867" customFormat="false" ht="15" hidden="false" customHeight="false" outlineLevel="0" collapsed="false">
      <c r="A867" s="21"/>
      <c r="B867" s="19"/>
      <c r="C867" s="19"/>
      <c r="D867" s="19"/>
      <c r="E867" s="19"/>
      <c r="F867" s="19"/>
      <c r="G867" s="21"/>
    </row>
    <row r="868" customFormat="false" ht="15" hidden="false" customHeight="false" outlineLevel="0" collapsed="false">
      <c r="A868" s="21"/>
      <c r="B868" s="19"/>
      <c r="C868" s="19"/>
      <c r="D868" s="19"/>
      <c r="E868" s="19"/>
      <c r="F868" s="19"/>
      <c r="G868" s="21"/>
    </row>
    <row r="869" customFormat="false" ht="15" hidden="false" customHeight="false" outlineLevel="0" collapsed="false">
      <c r="A869" s="21"/>
      <c r="B869" s="19"/>
      <c r="C869" s="19"/>
      <c r="D869" s="19"/>
      <c r="E869" s="19"/>
      <c r="F869" s="19"/>
      <c r="G869" s="21"/>
    </row>
    <row r="870" customFormat="false" ht="15" hidden="false" customHeight="false" outlineLevel="0" collapsed="false">
      <c r="A870" s="21"/>
      <c r="B870" s="19"/>
      <c r="C870" s="19"/>
      <c r="D870" s="19"/>
      <c r="E870" s="19"/>
      <c r="F870" s="19"/>
      <c r="G870" s="21"/>
    </row>
    <row r="871" customFormat="false" ht="15" hidden="false" customHeight="false" outlineLevel="0" collapsed="false">
      <c r="A871" s="21"/>
      <c r="B871" s="19"/>
      <c r="C871" s="19"/>
      <c r="D871" s="19"/>
      <c r="E871" s="19"/>
      <c r="F871" s="19"/>
      <c r="G871" s="21"/>
    </row>
    <row r="872" customFormat="false" ht="15" hidden="false" customHeight="false" outlineLevel="0" collapsed="false">
      <c r="A872" s="21"/>
      <c r="B872" s="19"/>
      <c r="C872" s="19"/>
      <c r="D872" s="19"/>
      <c r="E872" s="19"/>
      <c r="F872" s="19"/>
      <c r="G872" s="21"/>
    </row>
    <row r="873" customFormat="false" ht="15" hidden="false" customHeight="false" outlineLevel="0" collapsed="false">
      <c r="A873" s="21"/>
      <c r="B873" s="19"/>
      <c r="C873" s="19"/>
      <c r="D873" s="19"/>
      <c r="E873" s="19"/>
      <c r="F873" s="19"/>
      <c r="G873" s="21"/>
    </row>
    <row r="874" customFormat="false" ht="15" hidden="false" customHeight="false" outlineLevel="0" collapsed="false">
      <c r="A874" s="21"/>
      <c r="B874" s="19"/>
      <c r="C874" s="19"/>
      <c r="D874" s="19"/>
      <c r="E874" s="19"/>
      <c r="F874" s="19"/>
      <c r="G874" s="21"/>
    </row>
    <row r="875" customFormat="false" ht="15" hidden="false" customHeight="false" outlineLevel="0" collapsed="false">
      <c r="A875" s="21"/>
      <c r="B875" s="19"/>
      <c r="C875" s="19"/>
      <c r="D875" s="19"/>
      <c r="E875" s="19"/>
      <c r="F875" s="19"/>
      <c r="G875" s="21"/>
    </row>
    <row r="876" customFormat="false" ht="15" hidden="false" customHeight="false" outlineLevel="0" collapsed="false">
      <c r="A876" s="21"/>
      <c r="B876" s="19"/>
      <c r="C876" s="19"/>
      <c r="D876" s="19"/>
      <c r="E876" s="19"/>
      <c r="F876" s="19"/>
      <c r="G876" s="21"/>
    </row>
    <row r="877" customFormat="false" ht="15" hidden="false" customHeight="false" outlineLevel="0" collapsed="false">
      <c r="A877" s="21"/>
      <c r="B877" s="19"/>
      <c r="C877" s="19"/>
      <c r="D877" s="19"/>
      <c r="E877" s="19"/>
      <c r="F877" s="19"/>
      <c r="G877" s="21"/>
    </row>
    <row r="878" customFormat="false" ht="15" hidden="false" customHeight="false" outlineLevel="0" collapsed="false">
      <c r="A878" s="21"/>
      <c r="B878" s="19"/>
      <c r="C878" s="19"/>
      <c r="D878" s="19"/>
      <c r="E878" s="19"/>
      <c r="F878" s="19"/>
      <c r="G878" s="21"/>
    </row>
    <row r="879" customFormat="false" ht="15" hidden="false" customHeight="false" outlineLevel="0" collapsed="false">
      <c r="A879" s="21"/>
      <c r="B879" s="19"/>
      <c r="C879" s="19"/>
      <c r="D879" s="19"/>
      <c r="E879" s="19"/>
      <c r="F879" s="19"/>
      <c r="G879" s="21"/>
    </row>
    <row r="880" customFormat="false" ht="15" hidden="false" customHeight="false" outlineLevel="0" collapsed="false">
      <c r="A880" s="21"/>
      <c r="B880" s="19"/>
      <c r="C880" s="19"/>
      <c r="D880" s="19"/>
      <c r="E880" s="19"/>
      <c r="F880" s="19"/>
      <c r="G880" s="21"/>
    </row>
    <row r="881" customFormat="false" ht="15" hidden="false" customHeight="false" outlineLevel="0" collapsed="false">
      <c r="A881" s="21"/>
      <c r="B881" s="19"/>
      <c r="C881" s="19"/>
      <c r="D881" s="19"/>
      <c r="E881" s="19"/>
      <c r="F881" s="19"/>
      <c r="G881" s="21"/>
    </row>
    <row r="882" customFormat="false" ht="15" hidden="false" customHeight="false" outlineLevel="0" collapsed="false">
      <c r="A882" s="21"/>
      <c r="B882" s="19"/>
      <c r="C882" s="19"/>
      <c r="D882" s="19"/>
      <c r="E882" s="19"/>
      <c r="F882" s="19"/>
      <c r="G882" s="21"/>
    </row>
    <row r="883" customFormat="false" ht="15" hidden="false" customHeight="false" outlineLevel="0" collapsed="false">
      <c r="A883" s="21"/>
      <c r="B883" s="19"/>
      <c r="C883" s="19"/>
      <c r="D883" s="19"/>
      <c r="E883" s="19"/>
      <c r="F883" s="19"/>
      <c r="G883" s="21"/>
    </row>
    <row r="884" customFormat="false" ht="15" hidden="false" customHeight="false" outlineLevel="0" collapsed="false">
      <c r="A884" s="21"/>
      <c r="B884" s="19"/>
      <c r="C884" s="19"/>
      <c r="D884" s="19"/>
      <c r="E884" s="19"/>
      <c r="F884" s="19"/>
      <c r="G884" s="21"/>
    </row>
    <row r="885" customFormat="false" ht="15" hidden="false" customHeight="false" outlineLevel="0" collapsed="false">
      <c r="A885" s="21"/>
      <c r="B885" s="19"/>
      <c r="C885" s="19"/>
      <c r="D885" s="19"/>
      <c r="E885" s="19"/>
      <c r="F885" s="19"/>
      <c r="G885" s="21"/>
    </row>
    <row r="886" customFormat="false" ht="15" hidden="false" customHeight="false" outlineLevel="0" collapsed="false">
      <c r="A886" s="21"/>
      <c r="B886" s="19"/>
      <c r="C886" s="19"/>
      <c r="D886" s="19"/>
      <c r="E886" s="19"/>
      <c r="F886" s="19"/>
      <c r="G886" s="21"/>
    </row>
    <row r="887" customFormat="false" ht="15" hidden="false" customHeight="false" outlineLevel="0" collapsed="false">
      <c r="A887" s="21"/>
      <c r="B887" s="19"/>
      <c r="C887" s="19"/>
      <c r="D887" s="19"/>
      <c r="E887" s="19"/>
      <c r="F887" s="19"/>
      <c r="G887" s="21"/>
    </row>
    <row r="888" customFormat="false" ht="15" hidden="false" customHeight="false" outlineLevel="0" collapsed="false">
      <c r="A888" s="21"/>
      <c r="B888" s="19"/>
      <c r="C888" s="19"/>
      <c r="D888" s="19"/>
      <c r="E888" s="19"/>
      <c r="F888" s="19"/>
      <c r="G888" s="21"/>
    </row>
    <row r="889" customFormat="false" ht="15" hidden="false" customHeight="false" outlineLevel="0" collapsed="false">
      <c r="A889" s="21"/>
      <c r="B889" s="19"/>
      <c r="C889" s="19"/>
      <c r="D889" s="19"/>
      <c r="E889" s="19"/>
      <c r="F889" s="19"/>
      <c r="G889" s="21"/>
    </row>
    <row r="890" customFormat="false" ht="15" hidden="false" customHeight="false" outlineLevel="0" collapsed="false">
      <c r="A890" s="21"/>
      <c r="B890" s="19"/>
      <c r="C890" s="19"/>
      <c r="D890" s="19"/>
      <c r="E890" s="19"/>
      <c r="F890" s="19"/>
      <c r="G890" s="21"/>
    </row>
    <row r="891" customFormat="false" ht="15" hidden="false" customHeight="false" outlineLevel="0" collapsed="false">
      <c r="A891" s="21"/>
      <c r="B891" s="19"/>
      <c r="C891" s="19"/>
      <c r="D891" s="19"/>
      <c r="E891" s="19"/>
      <c r="F891" s="19"/>
      <c r="G891" s="21"/>
    </row>
    <row r="892" customFormat="false" ht="15" hidden="false" customHeight="false" outlineLevel="0" collapsed="false">
      <c r="A892" s="21"/>
      <c r="B892" s="19"/>
      <c r="C892" s="19"/>
      <c r="D892" s="19"/>
      <c r="E892" s="19"/>
      <c r="F892" s="19"/>
      <c r="G892" s="21"/>
    </row>
    <row r="893" customFormat="false" ht="15" hidden="false" customHeight="false" outlineLevel="0" collapsed="false">
      <c r="A893" s="21"/>
      <c r="B893" s="19"/>
      <c r="C893" s="19"/>
      <c r="D893" s="19"/>
      <c r="E893" s="19"/>
      <c r="F893" s="19"/>
      <c r="G893" s="21"/>
    </row>
    <row r="894" customFormat="false" ht="15" hidden="false" customHeight="false" outlineLevel="0" collapsed="false">
      <c r="A894" s="21"/>
      <c r="B894" s="19"/>
      <c r="C894" s="19"/>
      <c r="D894" s="19"/>
      <c r="E894" s="19"/>
      <c r="F894" s="19"/>
      <c r="G894" s="21"/>
    </row>
    <row r="895" customFormat="false" ht="15" hidden="false" customHeight="false" outlineLevel="0" collapsed="false">
      <c r="A895" s="21"/>
      <c r="B895" s="19"/>
      <c r="C895" s="19"/>
      <c r="D895" s="19"/>
      <c r="E895" s="19"/>
      <c r="F895" s="19"/>
      <c r="G895" s="21"/>
    </row>
    <row r="896" customFormat="false" ht="15" hidden="false" customHeight="false" outlineLevel="0" collapsed="false">
      <c r="A896" s="21"/>
      <c r="B896" s="19"/>
      <c r="C896" s="19"/>
      <c r="D896" s="19"/>
      <c r="E896" s="19"/>
      <c r="F896" s="19"/>
      <c r="G896" s="21"/>
    </row>
    <row r="897" customFormat="false" ht="15" hidden="false" customHeight="false" outlineLevel="0" collapsed="false">
      <c r="A897" s="21"/>
      <c r="B897" s="19"/>
      <c r="C897" s="19"/>
      <c r="D897" s="19"/>
      <c r="E897" s="19"/>
      <c r="F897" s="19"/>
      <c r="G897" s="21"/>
    </row>
    <row r="898" customFormat="false" ht="15" hidden="false" customHeight="false" outlineLevel="0" collapsed="false">
      <c r="A898" s="21"/>
      <c r="B898" s="19"/>
      <c r="C898" s="19"/>
      <c r="D898" s="19"/>
      <c r="E898" s="19"/>
      <c r="F898" s="19"/>
      <c r="G898" s="21"/>
    </row>
    <row r="899" customFormat="false" ht="15" hidden="false" customHeight="false" outlineLevel="0" collapsed="false">
      <c r="A899" s="21"/>
      <c r="B899" s="19"/>
      <c r="C899" s="19"/>
      <c r="D899" s="19"/>
      <c r="E899" s="19"/>
      <c r="F899" s="19"/>
      <c r="G899" s="21"/>
    </row>
    <row r="900" customFormat="false" ht="15" hidden="false" customHeight="false" outlineLevel="0" collapsed="false">
      <c r="A900" s="21"/>
      <c r="B900" s="19"/>
      <c r="C900" s="19"/>
      <c r="D900" s="19"/>
      <c r="E900" s="19"/>
      <c r="F900" s="19"/>
      <c r="G900" s="21"/>
    </row>
    <row r="901" customFormat="false" ht="15" hidden="false" customHeight="false" outlineLevel="0" collapsed="false">
      <c r="A901" s="21"/>
      <c r="B901" s="19"/>
      <c r="C901" s="19"/>
      <c r="D901" s="19"/>
      <c r="E901" s="19"/>
      <c r="F901" s="19"/>
      <c r="G901" s="21"/>
    </row>
    <row r="902" customFormat="false" ht="15" hidden="false" customHeight="false" outlineLevel="0" collapsed="false">
      <c r="A902" s="21"/>
      <c r="B902" s="19"/>
      <c r="C902" s="19"/>
      <c r="D902" s="19"/>
      <c r="E902" s="19"/>
      <c r="F902" s="19"/>
      <c r="G902" s="21"/>
    </row>
    <row r="903" customFormat="false" ht="15" hidden="false" customHeight="false" outlineLevel="0" collapsed="false">
      <c r="A903" s="21"/>
      <c r="B903" s="19"/>
      <c r="C903" s="19"/>
      <c r="D903" s="19"/>
      <c r="E903" s="19"/>
      <c r="F903" s="19"/>
      <c r="G903" s="21"/>
    </row>
    <row r="904" customFormat="false" ht="15" hidden="false" customHeight="false" outlineLevel="0" collapsed="false">
      <c r="A904" s="21"/>
      <c r="B904" s="19"/>
      <c r="C904" s="19"/>
      <c r="D904" s="19"/>
      <c r="E904" s="19"/>
      <c r="F904" s="19"/>
      <c r="G904" s="21"/>
    </row>
    <row r="905" customFormat="false" ht="15" hidden="false" customHeight="false" outlineLevel="0" collapsed="false">
      <c r="A905" s="21"/>
      <c r="B905" s="19"/>
      <c r="C905" s="19"/>
      <c r="D905" s="19"/>
      <c r="E905" s="19"/>
      <c r="F905" s="19"/>
      <c r="G905" s="21"/>
    </row>
    <row r="906" customFormat="false" ht="15" hidden="false" customHeight="false" outlineLevel="0" collapsed="false">
      <c r="A906" s="21"/>
      <c r="B906" s="19"/>
      <c r="C906" s="19"/>
      <c r="D906" s="19"/>
      <c r="E906" s="19"/>
      <c r="F906" s="19"/>
      <c r="G906" s="21"/>
    </row>
    <row r="907" customFormat="false" ht="15" hidden="false" customHeight="false" outlineLevel="0" collapsed="false">
      <c r="A907" s="21"/>
      <c r="B907" s="19"/>
      <c r="C907" s="19"/>
      <c r="D907" s="19"/>
      <c r="E907" s="19"/>
      <c r="F907" s="19"/>
      <c r="G907" s="21"/>
    </row>
    <row r="908" customFormat="false" ht="15" hidden="false" customHeight="false" outlineLevel="0" collapsed="false">
      <c r="A908" s="21"/>
      <c r="B908" s="19"/>
      <c r="C908" s="19"/>
      <c r="D908" s="19"/>
      <c r="E908" s="19"/>
      <c r="F908" s="19"/>
      <c r="G908" s="21"/>
    </row>
    <row r="909" customFormat="false" ht="15" hidden="false" customHeight="false" outlineLevel="0" collapsed="false">
      <c r="A909" s="21"/>
      <c r="B909" s="19"/>
      <c r="C909" s="19"/>
      <c r="D909" s="19"/>
      <c r="E909" s="19"/>
      <c r="F909" s="19"/>
      <c r="G909" s="21"/>
    </row>
    <row r="910" customFormat="false" ht="15" hidden="false" customHeight="false" outlineLevel="0" collapsed="false">
      <c r="A910" s="21"/>
      <c r="B910" s="19"/>
      <c r="C910" s="19"/>
      <c r="D910" s="19"/>
      <c r="E910" s="19"/>
      <c r="F910" s="19"/>
      <c r="G910" s="21"/>
    </row>
    <row r="911" customFormat="false" ht="15" hidden="false" customHeight="false" outlineLevel="0" collapsed="false">
      <c r="A911" s="21"/>
      <c r="B911" s="19"/>
      <c r="C911" s="19"/>
      <c r="D911" s="19"/>
      <c r="E911" s="19"/>
      <c r="F911" s="19"/>
      <c r="G911" s="21"/>
    </row>
    <row r="912" customFormat="false" ht="15" hidden="false" customHeight="false" outlineLevel="0" collapsed="false">
      <c r="A912" s="21"/>
      <c r="B912" s="19"/>
      <c r="C912" s="19"/>
      <c r="D912" s="19"/>
      <c r="E912" s="19"/>
      <c r="F912" s="19"/>
      <c r="G912" s="21"/>
    </row>
    <row r="913" customFormat="false" ht="15" hidden="false" customHeight="false" outlineLevel="0" collapsed="false">
      <c r="A913" s="21"/>
      <c r="B913" s="19"/>
      <c r="C913" s="19"/>
      <c r="D913" s="19"/>
      <c r="E913" s="19"/>
      <c r="F913" s="19"/>
      <c r="G913" s="21"/>
    </row>
    <row r="914" customFormat="false" ht="15" hidden="false" customHeight="false" outlineLevel="0" collapsed="false">
      <c r="A914" s="21"/>
      <c r="B914" s="19"/>
      <c r="C914" s="19"/>
      <c r="D914" s="19"/>
      <c r="E914" s="19"/>
      <c r="F914" s="19"/>
      <c r="G914" s="21"/>
    </row>
    <row r="915" customFormat="false" ht="15" hidden="false" customHeight="false" outlineLevel="0" collapsed="false">
      <c r="A915" s="21"/>
      <c r="B915" s="19"/>
      <c r="C915" s="19"/>
      <c r="D915" s="19"/>
      <c r="E915" s="19"/>
      <c r="F915" s="19"/>
      <c r="G915" s="21"/>
    </row>
    <row r="916" customFormat="false" ht="15" hidden="false" customHeight="false" outlineLevel="0" collapsed="false">
      <c r="A916" s="21"/>
      <c r="B916" s="19"/>
      <c r="C916" s="19"/>
      <c r="D916" s="19"/>
      <c r="E916" s="19"/>
      <c r="F916" s="19"/>
      <c r="G916" s="21"/>
    </row>
    <row r="917" customFormat="false" ht="15" hidden="false" customHeight="false" outlineLevel="0" collapsed="false">
      <c r="A917" s="21"/>
      <c r="B917" s="19"/>
      <c r="C917" s="19"/>
      <c r="D917" s="19"/>
      <c r="E917" s="19"/>
      <c r="F917" s="19"/>
      <c r="G917" s="21"/>
    </row>
    <row r="918" customFormat="false" ht="15" hidden="false" customHeight="false" outlineLevel="0" collapsed="false">
      <c r="A918" s="21"/>
      <c r="B918" s="19"/>
      <c r="C918" s="19"/>
      <c r="D918" s="19"/>
      <c r="E918" s="19"/>
      <c r="F918" s="19"/>
      <c r="G918" s="21"/>
    </row>
    <row r="919" customFormat="false" ht="15" hidden="false" customHeight="false" outlineLevel="0" collapsed="false">
      <c r="A919" s="21"/>
      <c r="B919" s="19"/>
      <c r="C919" s="19"/>
      <c r="D919" s="19"/>
      <c r="E919" s="19"/>
      <c r="F919" s="19"/>
      <c r="G919" s="21"/>
    </row>
    <row r="920" customFormat="false" ht="15" hidden="false" customHeight="false" outlineLevel="0" collapsed="false">
      <c r="A920" s="21"/>
      <c r="B920" s="19"/>
      <c r="C920" s="19"/>
      <c r="D920" s="19"/>
      <c r="E920" s="19"/>
      <c r="F920" s="19"/>
      <c r="G920" s="21"/>
    </row>
    <row r="921" customFormat="false" ht="15" hidden="false" customHeight="false" outlineLevel="0" collapsed="false">
      <c r="A921" s="21"/>
      <c r="B921" s="19"/>
      <c r="C921" s="19"/>
      <c r="D921" s="19"/>
      <c r="E921" s="19"/>
      <c r="F921" s="19"/>
      <c r="G921" s="21"/>
    </row>
    <row r="922" customFormat="false" ht="15" hidden="false" customHeight="false" outlineLevel="0" collapsed="false">
      <c r="A922" s="21"/>
      <c r="B922" s="19"/>
      <c r="C922" s="19"/>
      <c r="D922" s="19"/>
      <c r="E922" s="19"/>
      <c r="F922" s="19"/>
      <c r="G922" s="21"/>
    </row>
    <row r="923" customFormat="false" ht="15" hidden="false" customHeight="false" outlineLevel="0" collapsed="false">
      <c r="A923" s="21"/>
      <c r="B923" s="19"/>
      <c r="C923" s="19"/>
      <c r="D923" s="19"/>
      <c r="E923" s="19"/>
      <c r="F923" s="19"/>
      <c r="G923" s="21"/>
    </row>
    <row r="924" customFormat="false" ht="15" hidden="false" customHeight="false" outlineLevel="0" collapsed="false">
      <c r="A924" s="21"/>
      <c r="B924" s="19"/>
      <c r="C924" s="19"/>
      <c r="D924" s="19"/>
      <c r="E924" s="19"/>
      <c r="F924" s="19"/>
      <c r="G924" s="21"/>
    </row>
    <row r="925" customFormat="false" ht="15" hidden="false" customHeight="false" outlineLevel="0" collapsed="false">
      <c r="A925" s="21"/>
      <c r="B925" s="19"/>
      <c r="C925" s="19"/>
      <c r="D925" s="19"/>
      <c r="E925" s="19"/>
      <c r="F925" s="19"/>
      <c r="G925" s="21"/>
    </row>
    <row r="926" customFormat="false" ht="15" hidden="false" customHeight="false" outlineLevel="0" collapsed="false">
      <c r="A926" s="21"/>
      <c r="B926" s="19"/>
      <c r="C926" s="19"/>
      <c r="D926" s="19"/>
      <c r="E926" s="19"/>
      <c r="F926" s="19"/>
      <c r="G926" s="21"/>
    </row>
    <row r="927" customFormat="false" ht="15" hidden="false" customHeight="false" outlineLevel="0" collapsed="false">
      <c r="A927" s="21"/>
      <c r="B927" s="19"/>
      <c r="C927" s="19"/>
      <c r="D927" s="19"/>
      <c r="E927" s="19"/>
      <c r="F927" s="19"/>
      <c r="G927" s="21"/>
    </row>
    <row r="928" customFormat="false" ht="15" hidden="false" customHeight="false" outlineLevel="0" collapsed="false">
      <c r="A928" s="21"/>
      <c r="B928" s="19"/>
      <c r="C928" s="19"/>
      <c r="D928" s="19"/>
      <c r="E928" s="19"/>
      <c r="F928" s="19"/>
      <c r="G928" s="21"/>
    </row>
    <row r="929" customFormat="false" ht="15" hidden="false" customHeight="false" outlineLevel="0" collapsed="false">
      <c r="A929" s="21"/>
      <c r="B929" s="19"/>
      <c r="C929" s="19"/>
      <c r="D929" s="19"/>
      <c r="E929" s="19"/>
      <c r="F929" s="19"/>
      <c r="G929" s="21"/>
    </row>
    <row r="930" customFormat="false" ht="15" hidden="false" customHeight="false" outlineLevel="0" collapsed="false">
      <c r="A930" s="21"/>
      <c r="B930" s="19"/>
      <c r="C930" s="19"/>
      <c r="D930" s="19"/>
      <c r="E930" s="19"/>
      <c r="F930" s="19"/>
      <c r="G930" s="21"/>
    </row>
    <row r="931" customFormat="false" ht="15" hidden="false" customHeight="false" outlineLevel="0" collapsed="false">
      <c r="A931" s="21"/>
      <c r="B931" s="19"/>
      <c r="C931" s="19"/>
      <c r="D931" s="19"/>
      <c r="E931" s="19"/>
      <c r="F931" s="19"/>
      <c r="G931" s="21"/>
    </row>
    <row r="932" customFormat="false" ht="15" hidden="false" customHeight="false" outlineLevel="0" collapsed="false">
      <c r="A932" s="21"/>
      <c r="B932" s="19"/>
      <c r="C932" s="19"/>
      <c r="D932" s="19"/>
      <c r="E932" s="19"/>
      <c r="F932" s="19"/>
      <c r="G932" s="21"/>
    </row>
    <row r="933" customFormat="false" ht="15" hidden="false" customHeight="false" outlineLevel="0" collapsed="false">
      <c r="A933" s="21"/>
      <c r="B933" s="19"/>
      <c r="C933" s="19"/>
      <c r="D933" s="19"/>
      <c r="E933" s="19"/>
      <c r="F933" s="19"/>
      <c r="G933" s="21"/>
    </row>
    <row r="934" customFormat="false" ht="15" hidden="false" customHeight="false" outlineLevel="0" collapsed="false">
      <c r="A934" s="21"/>
      <c r="B934" s="19"/>
      <c r="C934" s="19"/>
      <c r="D934" s="19"/>
      <c r="E934" s="19"/>
      <c r="F934" s="19"/>
      <c r="G934" s="21"/>
    </row>
    <row r="935" customFormat="false" ht="15" hidden="false" customHeight="false" outlineLevel="0" collapsed="false">
      <c r="A935" s="21"/>
      <c r="B935" s="19"/>
      <c r="C935" s="19"/>
      <c r="D935" s="19"/>
      <c r="E935" s="19"/>
      <c r="F935" s="19"/>
      <c r="G935" s="21"/>
    </row>
    <row r="936" customFormat="false" ht="15" hidden="false" customHeight="false" outlineLevel="0" collapsed="false">
      <c r="A936" s="21"/>
      <c r="B936" s="19"/>
      <c r="C936" s="19"/>
      <c r="D936" s="19"/>
      <c r="E936" s="19"/>
      <c r="F936" s="19"/>
      <c r="G936" s="21"/>
    </row>
    <row r="937" customFormat="false" ht="15" hidden="false" customHeight="false" outlineLevel="0" collapsed="false">
      <c r="A937" s="21"/>
      <c r="B937" s="19"/>
      <c r="C937" s="19"/>
      <c r="D937" s="19"/>
      <c r="E937" s="19"/>
      <c r="F937" s="19"/>
      <c r="G937" s="21"/>
    </row>
    <row r="938" customFormat="false" ht="15" hidden="false" customHeight="false" outlineLevel="0" collapsed="false">
      <c r="A938" s="21"/>
      <c r="B938" s="19"/>
      <c r="C938" s="19"/>
      <c r="D938" s="19"/>
      <c r="E938" s="19"/>
      <c r="F938" s="19"/>
      <c r="G938" s="21"/>
    </row>
    <row r="939" customFormat="false" ht="15" hidden="false" customHeight="false" outlineLevel="0" collapsed="false">
      <c r="A939" s="21"/>
      <c r="B939" s="19"/>
      <c r="C939" s="19"/>
      <c r="D939" s="19"/>
      <c r="E939" s="19"/>
      <c r="F939" s="19"/>
      <c r="G939" s="21"/>
    </row>
    <row r="940" customFormat="false" ht="15" hidden="false" customHeight="false" outlineLevel="0" collapsed="false">
      <c r="A940" s="21"/>
      <c r="B940" s="19"/>
      <c r="C940" s="19"/>
      <c r="D940" s="19"/>
      <c r="E940" s="19"/>
      <c r="F940" s="19"/>
      <c r="G940" s="21"/>
    </row>
    <row r="941" customFormat="false" ht="15" hidden="false" customHeight="false" outlineLevel="0" collapsed="false">
      <c r="A941" s="21"/>
      <c r="B941" s="19"/>
      <c r="C941" s="19"/>
      <c r="D941" s="19"/>
      <c r="E941" s="19"/>
      <c r="F941" s="19"/>
      <c r="G941" s="21"/>
    </row>
    <row r="942" customFormat="false" ht="15" hidden="false" customHeight="false" outlineLevel="0" collapsed="false">
      <c r="A942" s="21"/>
      <c r="B942" s="19"/>
      <c r="C942" s="19"/>
      <c r="D942" s="19"/>
      <c r="E942" s="19"/>
      <c r="F942" s="19"/>
      <c r="G942" s="21"/>
    </row>
    <row r="943" customFormat="false" ht="15" hidden="false" customHeight="false" outlineLevel="0" collapsed="false">
      <c r="A943" s="21"/>
      <c r="B943" s="19"/>
      <c r="C943" s="19"/>
      <c r="D943" s="19"/>
      <c r="E943" s="19"/>
      <c r="F943" s="19"/>
      <c r="G943" s="21"/>
    </row>
    <row r="944" customFormat="false" ht="15" hidden="false" customHeight="false" outlineLevel="0" collapsed="false">
      <c r="A944" s="21"/>
      <c r="B944" s="19"/>
      <c r="C944" s="19"/>
      <c r="D944" s="19"/>
      <c r="E944" s="19"/>
      <c r="F944" s="19"/>
      <c r="G944" s="21"/>
    </row>
    <row r="945" customFormat="false" ht="15" hidden="false" customHeight="false" outlineLevel="0" collapsed="false">
      <c r="A945" s="21"/>
      <c r="B945" s="19"/>
      <c r="C945" s="19"/>
      <c r="D945" s="19"/>
      <c r="E945" s="19"/>
      <c r="F945" s="19"/>
      <c r="G945" s="21"/>
    </row>
    <row r="946" customFormat="false" ht="15" hidden="false" customHeight="false" outlineLevel="0" collapsed="false">
      <c r="A946" s="21"/>
      <c r="B946" s="19"/>
      <c r="C946" s="19"/>
      <c r="D946" s="19"/>
      <c r="E946" s="19"/>
      <c r="F946" s="19"/>
      <c r="G946" s="21"/>
    </row>
    <row r="947" customFormat="false" ht="15" hidden="false" customHeight="false" outlineLevel="0" collapsed="false">
      <c r="A947" s="21"/>
      <c r="B947" s="19"/>
      <c r="C947" s="19"/>
      <c r="D947" s="19"/>
      <c r="E947" s="19"/>
      <c r="F947" s="19"/>
      <c r="G947" s="21"/>
    </row>
    <row r="948" customFormat="false" ht="15" hidden="false" customHeight="false" outlineLevel="0" collapsed="false">
      <c r="A948" s="21"/>
      <c r="B948" s="19"/>
      <c r="C948" s="19"/>
      <c r="D948" s="19"/>
      <c r="E948" s="19"/>
      <c r="F948" s="19"/>
      <c r="G948" s="21"/>
    </row>
    <row r="949" customFormat="false" ht="15" hidden="false" customHeight="false" outlineLevel="0" collapsed="false">
      <c r="A949" s="21"/>
      <c r="B949" s="19"/>
      <c r="C949" s="19"/>
      <c r="D949" s="19"/>
      <c r="E949" s="19"/>
      <c r="F949" s="19"/>
      <c r="G949" s="21"/>
    </row>
    <row r="950" customFormat="false" ht="15" hidden="false" customHeight="false" outlineLevel="0" collapsed="false">
      <c r="A950" s="21"/>
      <c r="B950" s="19"/>
      <c r="C950" s="19"/>
      <c r="D950" s="19"/>
      <c r="E950" s="19"/>
      <c r="F950" s="19"/>
      <c r="G950" s="21"/>
    </row>
    <row r="951" customFormat="false" ht="15" hidden="false" customHeight="false" outlineLevel="0" collapsed="false">
      <c r="A951" s="21"/>
      <c r="B951" s="19"/>
      <c r="C951" s="19"/>
      <c r="D951" s="19"/>
      <c r="E951" s="19"/>
      <c r="F951" s="19"/>
      <c r="G951" s="21"/>
    </row>
    <row r="952" customFormat="false" ht="15" hidden="false" customHeight="false" outlineLevel="0" collapsed="false">
      <c r="A952" s="21"/>
      <c r="B952" s="19"/>
      <c r="C952" s="19"/>
      <c r="D952" s="19"/>
      <c r="E952" s="19"/>
      <c r="F952" s="19"/>
      <c r="G952" s="21"/>
    </row>
    <row r="953" customFormat="false" ht="15" hidden="false" customHeight="false" outlineLevel="0" collapsed="false">
      <c r="A953" s="21"/>
      <c r="B953" s="19"/>
      <c r="C953" s="19"/>
      <c r="D953" s="19"/>
      <c r="E953" s="19"/>
      <c r="F953" s="19"/>
      <c r="G953" s="21"/>
    </row>
    <row r="954" customFormat="false" ht="15" hidden="false" customHeight="false" outlineLevel="0" collapsed="false">
      <c r="A954" s="21"/>
      <c r="B954" s="19"/>
      <c r="C954" s="19"/>
      <c r="D954" s="19"/>
      <c r="E954" s="19"/>
      <c r="F954" s="19"/>
      <c r="G954" s="21"/>
    </row>
    <row r="955" customFormat="false" ht="15" hidden="false" customHeight="false" outlineLevel="0" collapsed="false">
      <c r="A955" s="21"/>
      <c r="B955" s="19"/>
      <c r="C955" s="19"/>
      <c r="D955" s="19"/>
      <c r="E955" s="19"/>
      <c r="F955" s="19"/>
      <c r="G955" s="21"/>
    </row>
    <row r="956" customFormat="false" ht="15" hidden="false" customHeight="false" outlineLevel="0" collapsed="false">
      <c r="A956" s="21"/>
      <c r="B956" s="19"/>
      <c r="C956" s="19"/>
      <c r="D956" s="19"/>
      <c r="E956" s="19"/>
      <c r="F956" s="19"/>
      <c r="G956" s="21"/>
    </row>
    <row r="957" customFormat="false" ht="15" hidden="false" customHeight="false" outlineLevel="0" collapsed="false">
      <c r="A957" s="21"/>
      <c r="B957" s="19"/>
      <c r="C957" s="19"/>
      <c r="D957" s="19"/>
      <c r="E957" s="19"/>
      <c r="F957" s="19"/>
      <c r="G957" s="21"/>
    </row>
    <row r="958" customFormat="false" ht="15" hidden="false" customHeight="false" outlineLevel="0" collapsed="false">
      <c r="A958" s="21"/>
      <c r="B958" s="19"/>
      <c r="C958" s="19"/>
      <c r="D958" s="19"/>
      <c r="E958" s="19"/>
      <c r="F958" s="19"/>
      <c r="G958" s="21"/>
    </row>
    <row r="959" customFormat="false" ht="15" hidden="false" customHeight="false" outlineLevel="0" collapsed="false">
      <c r="A959" s="21"/>
      <c r="B959" s="19"/>
      <c r="C959" s="19"/>
      <c r="D959" s="19"/>
      <c r="E959" s="19"/>
      <c r="F959" s="19"/>
      <c r="G959" s="21"/>
    </row>
    <row r="960" customFormat="false" ht="15" hidden="false" customHeight="false" outlineLevel="0" collapsed="false">
      <c r="A960" s="21"/>
      <c r="B960" s="19"/>
      <c r="C960" s="19"/>
      <c r="D960" s="19"/>
      <c r="E960" s="19"/>
      <c r="F960" s="19"/>
      <c r="G960" s="21"/>
    </row>
    <row r="961" customFormat="false" ht="15" hidden="false" customHeight="false" outlineLevel="0" collapsed="false">
      <c r="A961" s="21"/>
      <c r="B961" s="19"/>
      <c r="C961" s="19"/>
      <c r="D961" s="19"/>
      <c r="E961" s="19"/>
      <c r="F961" s="19"/>
      <c r="G961" s="21"/>
    </row>
    <row r="962" customFormat="false" ht="15" hidden="false" customHeight="false" outlineLevel="0" collapsed="false">
      <c r="A962" s="21"/>
      <c r="B962" s="19"/>
      <c r="C962" s="19"/>
      <c r="D962" s="19"/>
      <c r="E962" s="19"/>
      <c r="F962" s="19"/>
      <c r="G962" s="21"/>
    </row>
    <row r="963" customFormat="false" ht="15" hidden="false" customHeight="false" outlineLevel="0" collapsed="false">
      <c r="A963" s="21"/>
      <c r="B963" s="19"/>
      <c r="C963" s="19"/>
      <c r="D963" s="19"/>
      <c r="E963" s="19"/>
      <c r="F963" s="19"/>
      <c r="G963" s="21"/>
    </row>
    <row r="964" customFormat="false" ht="15" hidden="false" customHeight="false" outlineLevel="0" collapsed="false">
      <c r="A964" s="21"/>
      <c r="B964" s="19"/>
      <c r="C964" s="19"/>
      <c r="D964" s="19"/>
      <c r="E964" s="19"/>
      <c r="F964" s="19"/>
      <c r="G964" s="21"/>
    </row>
    <row r="965" customFormat="false" ht="15" hidden="false" customHeight="false" outlineLevel="0" collapsed="false">
      <c r="A965" s="21"/>
      <c r="B965" s="19"/>
      <c r="C965" s="19"/>
      <c r="D965" s="19"/>
      <c r="E965" s="19"/>
      <c r="F965" s="19"/>
      <c r="G965" s="21"/>
    </row>
    <row r="966" customFormat="false" ht="15" hidden="false" customHeight="false" outlineLevel="0" collapsed="false">
      <c r="A966" s="21"/>
      <c r="B966" s="19"/>
      <c r="C966" s="19"/>
      <c r="D966" s="19"/>
      <c r="E966" s="19"/>
      <c r="F966" s="19"/>
      <c r="G966" s="21"/>
    </row>
    <row r="967" customFormat="false" ht="15" hidden="false" customHeight="false" outlineLevel="0" collapsed="false">
      <c r="A967" s="21"/>
      <c r="B967" s="19"/>
      <c r="C967" s="19"/>
      <c r="D967" s="19"/>
      <c r="E967" s="19"/>
      <c r="F967" s="19"/>
      <c r="G967" s="21"/>
    </row>
    <row r="968" customFormat="false" ht="15" hidden="false" customHeight="false" outlineLevel="0" collapsed="false">
      <c r="A968" s="21"/>
      <c r="B968" s="19"/>
      <c r="C968" s="19"/>
      <c r="D968" s="19"/>
      <c r="E968" s="19"/>
      <c r="F968" s="19"/>
      <c r="G968" s="21"/>
    </row>
    <row r="969" customFormat="false" ht="15" hidden="false" customHeight="false" outlineLevel="0" collapsed="false">
      <c r="A969" s="21"/>
      <c r="B969" s="19"/>
      <c r="C969" s="19"/>
      <c r="D969" s="19"/>
      <c r="E969" s="19"/>
      <c r="F969" s="19"/>
      <c r="G969" s="21"/>
    </row>
    <row r="970" customFormat="false" ht="15" hidden="false" customHeight="false" outlineLevel="0" collapsed="false">
      <c r="A970" s="21"/>
      <c r="B970" s="19"/>
      <c r="C970" s="19"/>
      <c r="D970" s="19"/>
      <c r="E970" s="19"/>
      <c r="F970" s="19"/>
      <c r="G970" s="21"/>
    </row>
    <row r="971" customFormat="false" ht="15" hidden="false" customHeight="false" outlineLevel="0" collapsed="false">
      <c r="A971" s="21"/>
      <c r="B971" s="19"/>
      <c r="C971" s="19"/>
      <c r="D971" s="19"/>
      <c r="E971" s="19"/>
      <c r="F971" s="19"/>
      <c r="G971" s="21"/>
    </row>
    <row r="972" customFormat="false" ht="15" hidden="false" customHeight="false" outlineLevel="0" collapsed="false">
      <c r="A972" s="21"/>
      <c r="B972" s="19"/>
      <c r="C972" s="19"/>
      <c r="D972" s="19"/>
      <c r="E972" s="19"/>
      <c r="F972" s="19"/>
      <c r="G972" s="21"/>
    </row>
    <row r="973" customFormat="false" ht="15" hidden="false" customHeight="false" outlineLevel="0" collapsed="false">
      <c r="A973" s="21"/>
      <c r="B973" s="19"/>
      <c r="C973" s="19"/>
      <c r="D973" s="19"/>
      <c r="E973" s="19"/>
      <c r="F973" s="19"/>
      <c r="G973" s="21"/>
    </row>
    <row r="974" customFormat="false" ht="15" hidden="false" customHeight="false" outlineLevel="0" collapsed="false">
      <c r="A974" s="21"/>
      <c r="B974" s="19"/>
      <c r="C974" s="19"/>
      <c r="D974" s="19"/>
      <c r="E974" s="19"/>
      <c r="F974" s="19"/>
      <c r="G974" s="21"/>
    </row>
    <row r="975" customFormat="false" ht="15" hidden="false" customHeight="false" outlineLevel="0" collapsed="false">
      <c r="A975" s="21"/>
      <c r="B975" s="19"/>
      <c r="C975" s="19"/>
      <c r="D975" s="19"/>
      <c r="E975" s="19"/>
      <c r="F975" s="19"/>
      <c r="G975" s="21"/>
    </row>
    <row r="976" customFormat="false" ht="15" hidden="false" customHeight="false" outlineLevel="0" collapsed="false">
      <c r="A976" s="21"/>
      <c r="B976" s="19"/>
      <c r="C976" s="19"/>
      <c r="D976" s="19"/>
      <c r="E976" s="19"/>
      <c r="F976" s="19"/>
      <c r="G976" s="21"/>
    </row>
    <row r="977" customFormat="false" ht="15" hidden="false" customHeight="false" outlineLevel="0" collapsed="false">
      <c r="A977" s="21"/>
      <c r="B977" s="19"/>
      <c r="C977" s="19"/>
      <c r="D977" s="19"/>
      <c r="E977" s="19"/>
      <c r="F977" s="19"/>
      <c r="G977" s="21"/>
    </row>
    <row r="978" customFormat="false" ht="15" hidden="false" customHeight="false" outlineLevel="0" collapsed="false">
      <c r="A978" s="21"/>
      <c r="B978" s="19"/>
      <c r="C978" s="19"/>
      <c r="D978" s="19"/>
      <c r="E978" s="19"/>
      <c r="F978" s="19"/>
      <c r="G978" s="21"/>
    </row>
    <row r="979" customFormat="false" ht="15" hidden="false" customHeight="false" outlineLevel="0" collapsed="false">
      <c r="A979" s="21"/>
      <c r="B979" s="19"/>
      <c r="C979" s="19"/>
      <c r="D979" s="19"/>
      <c r="E979" s="19"/>
      <c r="F979" s="19"/>
      <c r="G979" s="21"/>
    </row>
    <row r="980" customFormat="false" ht="15" hidden="false" customHeight="false" outlineLevel="0" collapsed="false">
      <c r="A980" s="21"/>
      <c r="B980" s="19"/>
      <c r="C980" s="19"/>
      <c r="D980" s="19"/>
      <c r="E980" s="19"/>
      <c r="F980" s="19"/>
      <c r="G980" s="21"/>
    </row>
    <row r="981" customFormat="false" ht="15" hidden="false" customHeight="false" outlineLevel="0" collapsed="false">
      <c r="A981" s="21"/>
      <c r="B981" s="19"/>
      <c r="C981" s="19"/>
      <c r="D981" s="19"/>
      <c r="E981" s="19"/>
      <c r="F981" s="19"/>
      <c r="G981" s="21"/>
    </row>
    <row r="982" customFormat="false" ht="15" hidden="false" customHeight="false" outlineLevel="0" collapsed="false">
      <c r="A982" s="21"/>
      <c r="B982" s="19"/>
      <c r="C982" s="19"/>
      <c r="D982" s="19"/>
      <c r="E982" s="19"/>
      <c r="F982" s="19"/>
      <c r="G982" s="21"/>
    </row>
    <row r="983" customFormat="false" ht="15" hidden="false" customHeight="false" outlineLevel="0" collapsed="false">
      <c r="A983" s="21"/>
      <c r="B983" s="19"/>
      <c r="C983" s="19"/>
      <c r="D983" s="19"/>
      <c r="E983" s="19"/>
      <c r="F983" s="19"/>
      <c r="G983" s="21"/>
    </row>
    <row r="984" customFormat="false" ht="15" hidden="false" customHeight="false" outlineLevel="0" collapsed="false">
      <c r="A984" s="21"/>
      <c r="B984" s="19"/>
      <c r="C984" s="19"/>
      <c r="D984" s="19"/>
      <c r="E984" s="19"/>
      <c r="F984" s="19"/>
      <c r="G984" s="21"/>
    </row>
    <row r="985" customFormat="false" ht="15" hidden="false" customHeight="false" outlineLevel="0" collapsed="false">
      <c r="A985" s="21"/>
      <c r="B985" s="19"/>
      <c r="C985" s="19"/>
      <c r="D985" s="19"/>
      <c r="E985" s="19"/>
      <c r="F985" s="19"/>
      <c r="G985" s="21"/>
    </row>
    <row r="986" customFormat="false" ht="15" hidden="false" customHeight="false" outlineLevel="0" collapsed="false">
      <c r="A986" s="21"/>
      <c r="B986" s="19"/>
      <c r="C986" s="19"/>
      <c r="D986" s="19"/>
      <c r="E986" s="19"/>
      <c r="F986" s="19"/>
      <c r="G986" s="21"/>
    </row>
    <row r="987" customFormat="false" ht="15" hidden="false" customHeight="false" outlineLevel="0" collapsed="false">
      <c r="A987" s="21"/>
      <c r="B987" s="19"/>
      <c r="C987" s="19"/>
      <c r="D987" s="19"/>
      <c r="E987" s="19"/>
      <c r="F987" s="19"/>
      <c r="G987" s="21"/>
    </row>
    <row r="988" customFormat="false" ht="15" hidden="false" customHeight="false" outlineLevel="0" collapsed="false">
      <c r="A988" s="21"/>
      <c r="B988" s="19"/>
      <c r="C988" s="19"/>
      <c r="D988" s="19"/>
      <c r="E988" s="19"/>
      <c r="F988" s="19"/>
      <c r="G988" s="21"/>
    </row>
    <row r="989" customFormat="false" ht="15" hidden="false" customHeight="false" outlineLevel="0" collapsed="false">
      <c r="A989" s="21"/>
      <c r="B989" s="19"/>
      <c r="C989" s="19"/>
      <c r="D989" s="19"/>
      <c r="E989" s="19"/>
      <c r="F989" s="19"/>
      <c r="G989" s="21"/>
    </row>
    <row r="990" customFormat="false" ht="15" hidden="false" customHeight="false" outlineLevel="0" collapsed="false">
      <c r="A990" s="21"/>
      <c r="B990" s="19"/>
      <c r="C990" s="19"/>
      <c r="D990" s="19"/>
      <c r="E990" s="19"/>
      <c r="F990" s="19"/>
      <c r="G990" s="21"/>
    </row>
    <row r="991" customFormat="false" ht="15" hidden="false" customHeight="false" outlineLevel="0" collapsed="false">
      <c r="A991" s="21"/>
      <c r="B991" s="19"/>
      <c r="C991" s="19"/>
      <c r="D991" s="19"/>
      <c r="E991" s="19"/>
      <c r="F991" s="19"/>
      <c r="G991" s="21"/>
    </row>
    <row r="992" customFormat="false" ht="15" hidden="false" customHeight="false" outlineLevel="0" collapsed="false">
      <c r="A992" s="21"/>
      <c r="B992" s="19"/>
      <c r="C992" s="19"/>
      <c r="D992" s="19"/>
      <c r="E992" s="19"/>
      <c r="F992" s="19"/>
      <c r="G992" s="21"/>
    </row>
    <row r="993" customFormat="false" ht="15" hidden="false" customHeight="false" outlineLevel="0" collapsed="false">
      <c r="A993" s="21"/>
      <c r="B993" s="19"/>
      <c r="C993" s="19"/>
      <c r="D993" s="19"/>
      <c r="E993" s="19"/>
      <c r="F993" s="19"/>
      <c r="G993" s="21"/>
    </row>
    <row r="994" customFormat="false" ht="15" hidden="false" customHeight="false" outlineLevel="0" collapsed="false">
      <c r="A994" s="21"/>
      <c r="B994" s="19"/>
      <c r="C994" s="19"/>
      <c r="D994" s="19"/>
      <c r="E994" s="19"/>
      <c r="F994" s="19"/>
      <c r="G994" s="21"/>
    </row>
    <row r="995" customFormat="false" ht="15" hidden="false" customHeight="false" outlineLevel="0" collapsed="false">
      <c r="A995" s="21"/>
      <c r="B995" s="19"/>
      <c r="C995" s="19"/>
      <c r="D995" s="19"/>
      <c r="E995" s="19"/>
      <c r="F995" s="19"/>
      <c r="G995" s="21"/>
    </row>
    <row r="996" customFormat="false" ht="15" hidden="false" customHeight="false" outlineLevel="0" collapsed="false">
      <c r="A996" s="21"/>
      <c r="B996" s="19"/>
      <c r="C996" s="19"/>
      <c r="D996" s="19"/>
      <c r="E996" s="19"/>
      <c r="F996" s="19"/>
      <c r="G996" s="21"/>
    </row>
    <row r="997" customFormat="false" ht="15" hidden="false" customHeight="false" outlineLevel="0" collapsed="false">
      <c r="A997" s="21"/>
      <c r="B997" s="19"/>
      <c r="C997" s="19"/>
      <c r="D997" s="19"/>
      <c r="E997" s="19"/>
      <c r="F997" s="19"/>
      <c r="G997" s="21"/>
    </row>
    <row r="998" customFormat="false" ht="15" hidden="false" customHeight="false" outlineLevel="0" collapsed="false">
      <c r="A998" s="21"/>
      <c r="B998" s="19"/>
      <c r="C998" s="19"/>
      <c r="D998" s="19"/>
      <c r="E998" s="19"/>
      <c r="F998" s="19"/>
      <c r="G998" s="21"/>
    </row>
    <row r="999" customFormat="false" ht="15" hidden="false" customHeight="false" outlineLevel="0" collapsed="false">
      <c r="A999" s="21"/>
      <c r="B999" s="19"/>
      <c r="C999" s="19"/>
      <c r="D999" s="19"/>
      <c r="E999" s="19"/>
      <c r="F999" s="19"/>
      <c r="G999" s="21"/>
    </row>
    <row r="1000" customFormat="false" ht="15" hidden="false" customHeight="false" outlineLevel="0" collapsed="false">
      <c r="A1000" s="21"/>
      <c r="B1000" s="19"/>
      <c r="C1000" s="19"/>
      <c r="D1000" s="19"/>
      <c r="E1000" s="19"/>
      <c r="F1000" s="19"/>
      <c r="G1000" s="21"/>
    </row>
    <row r="1001" customFormat="false" ht="15" hidden="false" customHeight="false" outlineLevel="0" collapsed="false">
      <c r="A1001" s="21"/>
      <c r="B1001" s="19"/>
      <c r="C1001" s="19"/>
      <c r="D1001" s="19"/>
      <c r="E1001" s="19"/>
      <c r="F1001" s="19"/>
      <c r="G1001" s="21"/>
    </row>
    <row r="1002" customFormat="false" ht="15" hidden="false" customHeight="false" outlineLevel="0" collapsed="false">
      <c r="A1002" s="21"/>
      <c r="B1002" s="19"/>
      <c r="C1002" s="19"/>
      <c r="D1002" s="19"/>
      <c r="E1002" s="19"/>
      <c r="F1002" s="19"/>
      <c r="G1002" s="21"/>
    </row>
    <row r="1003" customFormat="false" ht="15" hidden="false" customHeight="false" outlineLevel="0" collapsed="false">
      <c r="A1003" s="21"/>
      <c r="B1003" s="19"/>
      <c r="C1003" s="19"/>
      <c r="D1003" s="19"/>
      <c r="E1003" s="19"/>
      <c r="F1003" s="19"/>
      <c r="G1003" s="21"/>
    </row>
    <row r="1004" customFormat="false" ht="15" hidden="false" customHeight="false" outlineLevel="0" collapsed="false">
      <c r="A1004" s="21"/>
      <c r="B1004" s="19"/>
      <c r="C1004" s="19"/>
      <c r="D1004" s="19"/>
      <c r="E1004" s="19"/>
      <c r="F1004" s="19"/>
      <c r="G1004" s="21"/>
    </row>
  </sheetData>
  <mergeCells count="2">
    <mergeCell ref="A1:G1"/>
    <mergeCell ref="A2:G2"/>
  </mergeCells>
  <dataValidations count="4">
    <dataValidation allowBlank="true" errorStyle="stop" operator="between" showDropDown="false" showErrorMessage="false" showInputMessage="false" sqref="A5:A1004 G5:G1004" type="date">
      <formula1>0</formula1>
      <formula2>0</formula2>
    </dataValidation>
    <dataValidation allowBlank="true" errorStyle="stop" operator="between" showDropDown="false" showErrorMessage="false" showInputMessage="false" sqref="B5:B1004" type="list">
      <formula1>Contacts!$A$5:$A$264</formula1>
      <formula2>0</formula2>
    </dataValidation>
    <dataValidation allowBlank="true" errorStyle="stop" operator="between" showDropDown="false" showErrorMessage="false" showInputMessage="false" sqref="C5:C1004" type="list">
      <formula1>"Cody,Kyle,Sean,Jordan,Front desk"</formula1>
      <formula2>0</formula2>
    </dataValidation>
    <dataValidation allowBlank="true" errorStyle="stop" operator="between" showDropDown="false" showErrorMessage="false" showInputMessage="false" sqref="D5:D1004" type="list">
      <formula1>"Email,Phone,Text,In person,Facebook,Instagram,Other"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2026-10-21T03:23:47Z</dcterms:created>
  <dc:creator>openpyxl</dc:creator>
  <dc:description/>
  <dc:language>en-US</dc:language>
  <cp:lastModifiedBy/>
  <dcterms:modified xsi:type="dcterms:W3CDTF">2026-10-21T03:23:47Z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