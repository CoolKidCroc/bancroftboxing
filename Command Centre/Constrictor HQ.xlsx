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tart Here" sheetId="1" state="visible" r:id="rId3"/>
    <sheet name="Dashboard" sheetId="2" state="visible" r:id="rId4"/>
    <sheet name="Tasks" sheetId="3" state="visible" r:id="rId5"/>
    <sheet name="Approvals" sheetId="4" state="visible" r:id="rId6"/>
    <sheet name="Content Calendar" sheetId="5" state="visible" r:id="rId7"/>
    <sheet name="Links" sheetId="6" state="visible" r:id="rId8"/>
  </sheets>
  <definedNames>
    <definedName function="false" hidden="true" localSheetId="2" name="_xlnm._FilterDatabase" vbProcedure="false">Tasks!$A$4:$J$404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<sst xmlns="http://schemas.openxmlformats.org/spreadsheetml/2006/main" count="429" uniqueCount="228">
  <si>
    <t xml:space="preserve">CONSTRICTOR HQ: START HERE</t>
  </si>
  <si>
    <t xml:space="preserve">Cody's command centre for BBG and CCCL. Built by Kyle. Opens in Google Sheets or Excel.</t>
  </si>
  <si>
    <t xml:space="preserve">Dashboard</t>
  </si>
  <si>
    <t xml:space="preserve">The one screen: approvals waiting, overdue tasks, this week's posts, the weekly numbers.</t>
  </si>
  <si>
    <t xml:space="preserve">Tasks</t>
  </si>
  <si>
    <t xml:space="preserve">Every job for the team. Owner, due date, status. Overdue ones turn red on the Dashboard.</t>
  </si>
  <si>
    <t xml:space="preserve">Approvals</t>
  </si>
  <si>
    <t xml:space="preserve">Everything waiting for a yes before it goes out: sponsor pitches, posts, member messages, money.</t>
  </si>
  <si>
    <t xml:space="preserve">Content Calendar</t>
  </si>
  <si>
    <t xml:space="preserve">Planned posts. The first four weeks are drafted. Check class times before posting.</t>
  </si>
  <si>
    <t xml:space="preserve">Links</t>
  </si>
  <si>
    <t xml:space="preserve">Paste the Google Drive link of each other sheet here.</t>
  </si>
  <si>
    <t xml:space="preserve">Every morning</t>
  </si>
  <si>
    <t xml:space="preserve">Claude's morning report reads this sheet plus Gmail, Calendar, the Sponsorship Pipeline and the Leads sheet, and tells Cody what matters today.</t>
  </si>
  <si>
    <t xml:space="preserve">Colour key</t>
  </si>
  <si>
    <t xml:space="preserve">Yellow cells with blue text are for typing. Red text and black text are calculated. Rows marked (Example) show the format; delete them.</t>
  </si>
  <si>
    <t xml:space="preserve">Handoff date</t>
  </si>
  <si>
    <t xml:space="preserve">Kyle types the sit-down date here before upload. The starter tasks' due dates count from it, and the first four weeks of posts start the Monday after.</t>
  </si>
  <si>
    <t xml:space="preserve">THE CONSTRICTOR HQ</t>
  </si>
  <si>
    <t xml:space="preserve">Cody's one screen. Open it every morning (it works on a phone). Tasks, approvals and posts update by themselves; the weekly numbers are filled in from Monday's report.</t>
  </si>
  <si>
    <t xml:space="preserve">Today</t>
  </si>
  <si>
    <t xml:space="preserve">NEEDS CODY NOW</t>
  </si>
  <si>
    <t xml:space="preserve">Approvals waiting</t>
  </si>
  <si>
    <t xml:space="preserve">Oldest approval waiting (days)</t>
  </si>
  <si>
    <t xml:space="preserve">Tasks overdue</t>
  </si>
  <si>
    <t xml:space="preserve">Tasks due today</t>
  </si>
  <si>
    <t xml:space="preserve">TEAM TASKS</t>
  </si>
  <si>
    <t xml:space="preserve">Open tasks</t>
  </si>
  <si>
    <t xml:space="preserve">Due in the next 7 days</t>
  </si>
  <si>
    <t xml:space="preserve">Done in the last 7 days</t>
  </si>
  <si>
    <t xml:space="preserve">   Open for Cody</t>
  </si>
  <si>
    <t xml:space="preserve">   Open for Kyle</t>
  </si>
  <si>
    <t xml:space="preserve">   Open for Sean</t>
  </si>
  <si>
    <t xml:space="preserve">   Open for Jordan</t>
  </si>
  <si>
    <t xml:space="preserve">   Open for Front desk</t>
  </si>
  <si>
    <t xml:space="preserve">   Open for Volunteer</t>
  </si>
  <si>
    <t xml:space="preserve">POSTS THIS WEEK (MON-SUN)</t>
  </si>
  <si>
    <t xml:space="preserve">   Idea</t>
  </si>
  <si>
    <t xml:space="preserve">   Drafted</t>
  </si>
  <si>
    <t xml:space="preserve">   Approved</t>
  </si>
  <si>
    <t xml:space="preserve">   Posted</t>
  </si>
  <si>
    <t xml:space="preserve">WEEKLY NUMBERS (from Monday's report)</t>
  </si>
  <si>
    <t xml:space="preserve">Week of</t>
  </si>
  <si>
    <t xml:space="preserve">Claude's Monday report lists these. Type them in, or have Claude update this sheet if the Google Sheets connector is on.</t>
  </si>
  <si>
    <t xml:space="preserve">Sponsorship paid so far ($)</t>
  </si>
  <si>
    <t xml:space="preserve">Sponsorship signed, not paid ($)</t>
  </si>
  <si>
    <t xml:space="preserve">Sponsor follow-ups due</t>
  </si>
  <si>
    <t xml:space="preserve">Gym inquiries last week</t>
  </si>
  <si>
    <t xml:space="preserve">Free trials last week</t>
  </si>
  <si>
    <t xml:space="preserve">New members last week</t>
  </si>
  <si>
    <t xml:space="preserve">Tickets sold for next show</t>
  </si>
  <si>
    <t xml:space="preserve">Tickets needed to break even</t>
  </si>
  <si>
    <t xml:space="preserve">TASKS</t>
  </si>
  <si>
    <t xml:space="preserve">Everything the team has to do, one row each. Claude's morning report reads this. Mark Done and the date when it's finished.</t>
  </si>
  <si>
    <t xml:space="preserve">Task</t>
  </si>
  <si>
    <t xml:space="preserve">Business</t>
  </si>
  <si>
    <t xml:space="preserve">Owner</t>
  </si>
  <si>
    <t xml:space="preserve">Due</t>
  </si>
  <si>
    <t xml:space="preserve">Priority</t>
  </si>
  <si>
    <t xml:space="preserve">Status</t>
  </si>
  <si>
    <t xml:space="preserve">Overdue?</t>
  </si>
  <si>
    <t xml:space="preserve">Added</t>
  </si>
  <si>
    <t xml:space="preserve">Done on</t>
  </si>
  <si>
    <t xml:space="preserve">Notes</t>
  </si>
  <si>
    <t xml:space="preserve">Open BBG's CRA payroll account (RP) if it isn't done yet: the Canada Summer Jobs form asks for the payroll number</t>
  </si>
  <si>
    <t xml:space="preserve">BBG</t>
  </si>
  <si>
    <t xml:space="preserve">Cody</t>
  </si>
  <si>
    <t xml:space="preserve">High</t>
  </si>
  <si>
    <t xml:space="preserve">To do</t>
  </si>
  <si>
    <t xml:space="preserve">Set up GCOS and submit Canada Summer Jobs 2027 from the draft (Command Centre &gt; CSJ 2027 Application Draft). It opened Oct 27; the close date isn't published (the 2026 call closed Dec 11), so submit early</t>
  </si>
  <si>
    <t xml:space="preserve">Change the CCCL Google password now that Kyle's setup is done, and check 2-Step Verification is on</t>
  </si>
  <si>
    <t xml:space="preserve">Office</t>
  </si>
  <si>
    <t xml:space="preserve">Check the morning report arrived in Gmail drafts with the laptop shut overnight</t>
  </si>
  <si>
    <t xml:space="preserve">Second Chance: make its own Gmail, upload the four Second Chance files to its Drive, share the folder with the board and with ontario.cccl@gmail.com (Handoff Guide, section 4)</t>
  </si>
  <si>
    <t xml:space="preserve">Second Chance</t>
  </si>
  <si>
    <t xml:space="preserve">Second Chance: check where the incorporation filing stands and confirm the board (Second Chance Tracker, Setup and Board tabs)</t>
  </si>
  <si>
    <t xml:space="preserve">Second Chance: ask a partner charity about leading a United Way application (due Dec 11)</t>
  </si>
  <si>
    <t xml:space="preserve">Normal</t>
  </si>
  <si>
    <t xml:space="preserve">Add a free first class option to the Gymdesk signup page: one class of any kind (boxing, kickboxing, jiu-jitsu, wrestling, MMA)</t>
  </si>
  <si>
    <t xml:space="preserve">Thank the 2026 sponsors and gym-wall supporters, and give them first pick for 2027</t>
  </si>
  <si>
    <t xml:space="preserve">CCCL</t>
  </si>
  <si>
    <t xml:space="preserve">Call the top venues on the Compare tab for capacity, full event price, 2027 dates and bar terms</t>
  </si>
  <si>
    <t xml:space="preserve">Decide if a 2027 show is adults-only (19+): the 19+ Show Check tab shows what CCCL needs from the bar</t>
  </si>
  <si>
    <t xml:space="preserve">Ask the Ontario Athletics Commission whether CCCL needs a single-event permit ($600) or a tournament permit ($1,600) for an 8-12 bout card with youth grappling</t>
  </si>
  <si>
    <t xml:space="preserve">Make the fighter sign-up Google Form (template 3 in the Fight Night Templates)</t>
  </si>
  <si>
    <t xml:space="preserve">Import the 16 CCCL starter designs into Canva and save them as CCCL templates</t>
  </si>
  <si>
    <t xml:space="preserve">Kyle</t>
  </si>
  <si>
    <t xml:space="preserve">Sign and date the health and safety policy and the violence and harassment policy (BBG First Employee Basics)</t>
  </si>
  <si>
    <t xml:space="preserve">Before the summer student starts: WSIB or insurance, posters, awareness training, first aid kit (BBG First Employee Basics checklist)</t>
  </si>
  <si>
    <t xml:space="preserve">Check whether BBG is registered on Transfer Payment Ontario (most Ontario grants need it)</t>
  </si>
  <si>
    <t xml:space="preserve">Paste last month's bank export into the Money Summary (delete the account-number column first) and sort the Check lines</t>
  </si>
  <si>
    <t xml:space="preserve">Monthly backup: download the Bancroft Boxing folder from Drive to the USB drive (Workstation Plan, section 7)</t>
  </si>
  <si>
    <t xml:space="preserve">Decide whether to register BBG with Boxing Ontario (needed for KidSport to cover kids' fees, and sets coach and insurance rules)</t>
  </si>
  <si>
    <t xml:space="preserve">NCCP training for the coaches who don't have it yet (the Community Coaching Grant can help)</t>
  </si>
  <si>
    <t xml:space="preserve">Add the kids and youth to the Skills Passport roster (first names only) and start logging skills</t>
  </si>
  <si>
    <t xml:space="preserve">Athlete brand: make the Facebook athlete page, switch Instagram to a Creator account, and film the first four Constrictor Tips</t>
  </si>
  <si>
    <t xml:space="preserve">Athlete brand</t>
  </si>
  <si>
    <t xml:space="preserve">30-day check-in with Kyle: what's used, what isn't, what's annoying</t>
  </si>
  <si>
    <t xml:space="preserve">APPROVAL QUEUE</t>
  </si>
  <si>
    <t xml:space="preserve">Anything going out to the public, sponsors, venues or money waits here for a yes. Claude drafts; Cody (or staff, for routine gym replies) approves.</t>
  </si>
  <si>
    <t xml:space="preserve">What needs approving</t>
  </si>
  <si>
    <t xml:space="preserve">Type</t>
  </si>
  <si>
    <t xml:space="preserve">Prepared by</t>
  </si>
  <si>
    <t xml:space="preserve">Where it is</t>
  </si>
  <si>
    <t xml:space="preserve">Decision</t>
  </si>
  <si>
    <t xml:space="preserve">Decided on</t>
  </si>
  <si>
    <t xml:space="preserve">Days waiting</t>
  </si>
  <si>
    <t xml:space="preserve">(Example) First 5 sponsor pitch drafts: gym-wall sponsors</t>
  </si>
  <si>
    <t xml:space="preserve">Sponsor pitch</t>
  </si>
  <si>
    <t xml:space="preserve">Claude</t>
  </si>
  <si>
    <t xml:space="preserve">Gmail drafts folder</t>
  </si>
  <si>
    <t xml:space="preserve">Waiting</t>
  </si>
  <si>
    <t xml:space="preserve">Example row showing the format. Replace or delete it.</t>
  </si>
  <si>
    <t xml:space="preserve">CONTENT CALENDAR</t>
  </si>
  <si>
    <t xml:space="preserve">Planned posts for BBG and CCCL. Claude's social skill drafts them; someone approves; then post and mark Posted. No photos of kids without a parent's OK. First names only.</t>
  </si>
  <si>
    <t xml:space="preserve">Date</t>
  </si>
  <si>
    <t xml:space="preserve">Platform</t>
  </si>
  <si>
    <t xml:space="preserve">Post type</t>
  </si>
  <si>
    <t xml:space="preserve">Draft</t>
  </si>
  <si>
    <t xml:space="preserve">Photo / video needed</t>
  </si>
  <si>
    <t xml:space="preserve">Approved by</t>
  </si>
  <si>
    <t xml:space="preserve">Facebook + Instagram</t>
  </si>
  <si>
    <t xml:space="preserve">Class of the week</t>
  </si>
  <si>
    <t xml:space="preserve">Never boxed before? Our Monday boxing class (4-5pm) starts with the basics: stance, jab, footwork. Your first class is free. Sign up at bancroft-boxing-grappling.gymdesk.com/signup or message us. 🥊</t>
  </si>
  <si>
    <t xml:space="preserve">Clip of the 4pm class warming up (adults only, or kids with parent OK)</t>
  </si>
  <si>
    <t xml:space="preserve">Drafted</t>
  </si>
  <si>
    <t xml:space="preserve">Starter draft from Kyle. Check times against Gymdesk before posting.</t>
  </si>
  <si>
    <t xml:space="preserve">Constrictor Tip</t>
  </si>
  <si>
    <t xml:space="preserve">"My first pro win came by rear naked choke in Edmonton, 2016. Here's the grip detail that made it work." Then: "Want to learn it properly? First class at BBG is free."</t>
  </si>
  <si>
    <t xml:space="preserve">45-sec RNC grip demo on an adult partner, slow, from the side</t>
  </si>
  <si>
    <t xml:space="preserve">Free trial</t>
  </si>
  <si>
    <t xml:space="preserve">Your first class at Bancroft Boxing &amp; Grappling is FREE. Boxing, wrestling, jiu-jitsu, kickboxing and MMA, with boxing for kids from about 4. After that it's $20 a drop-in or $25 for the week. Sign up: bancroft-boxing-grappling.gymdesk.com/signup</t>
  </si>
  <si>
    <t xml:space="preserve">Wide shot of the gym</t>
  </si>
  <si>
    <t xml:space="preserve">Behind the scenes</t>
  </si>
  <si>
    <t xml:space="preserve">"Wednesdays: boxing at 4, kids at 5:15, women's boxing at 7. In between, I'm answering messages about the next show."</t>
  </si>
  <si>
    <t xml:space="preserve">Clips from the day with no kids' faces unless a parent's said yes</t>
  </si>
  <si>
    <t xml:space="preserve">Coach spotlight</t>
  </si>
  <si>
    <t xml:space="preserve">Meet [coach first name, e.g. Sean or Jordan, who help coach wrestling]. [One line on what they coach and their background]. Catch them on [day] at [time].</t>
  </si>
  <si>
    <t xml:space="preserve">Photo of the coach (ask them first)</t>
  </si>
  <si>
    <t xml:space="preserve">Get back up</t>
  </si>
  <si>
    <t xml:space="preserve">"In 2016 I left Bancroft to fight pro in Alberta. Here's what those fights taught me: [Cody: one lesson in your words]."</t>
  </si>
  <si>
    <t xml:space="preserve">A photo from the Alberta fights</t>
  </si>
  <si>
    <t xml:space="preserve">Kids Boxing, Wednesdays 5:15-6:15pm. Fitness, focus and confidence, coached by people who care. First class free for new kids. Parents: sign up and do the waiver at bancroft-boxing-grappling.gymdesk.com/signup</t>
  </si>
  <si>
    <t xml:space="preserve">Kids class photo ONLY with parents' OK, or the empty mats and bags</t>
  </si>
  <si>
    <t xml:space="preserve">"The sprawl: the first move I learned on the North Hastings wrestling mats. It still saves me every week."</t>
  </si>
  <si>
    <t xml:space="preserve">Sprawl from a shot, three angles</t>
  </si>
  <si>
    <t xml:space="preserve">Announcement</t>
  </si>
  <si>
    <t xml:space="preserve">400 tickets and 15 local sponsors at our first show. The Cottage Country Combat League is coming back in 2027, and sponsor spots are open now. Message Cody to put your name cage-side.</t>
  </si>
  <si>
    <t xml:space="preserve">Best photo from CCCL 1 in Haliburton</t>
  </si>
  <si>
    <t xml:space="preserve">"We're calling 8 to 10 venues to book CCCL's 2027 shows. Where should we fight next? Tell me your town."</t>
  </si>
  <si>
    <t xml:space="preserve">Short clip at the desk on a call, or the venue list</t>
  </si>
  <si>
    <t xml:space="preserve">Training clip</t>
  </si>
  <si>
    <t xml:space="preserve">Friday pad work. [One line about the drill]. Come try it: first class free.</t>
  </si>
  <si>
    <t xml:space="preserve">15-30 sec pad-work clip</t>
  </si>
  <si>
    <t xml:space="preserve">"Why I opened a gym in Bancroft: we're not just running a gym, we're building a platform for local talent. [Cody: the moment you decided]."</t>
  </si>
  <si>
    <t xml:space="preserve">The gym, empty, before a class</t>
  </si>
  <si>
    <t xml:space="preserve">Women's Boxing: Wednesdays 7pm and Thursdays 6pm. A women-only class for women and girls 16+, all levels welcome. First class is on us.</t>
  </si>
  <si>
    <t xml:space="preserve">Photo from the women's class (ask everyone in it)</t>
  </si>
  <si>
    <t xml:space="preserve">"Every beginner's first question: how do I throw a jab? Three things to fix today."</t>
  </si>
  <si>
    <t xml:space="preserve">Jab from stance, front and side</t>
  </si>
  <si>
    <t xml:space="preserve">Member win</t>
  </si>
  <si>
    <t xml:space="preserve">[First name] [what they achieved: first month, first competition, a goal]. Proud of you! 👊</t>
  </si>
  <si>
    <t xml:space="preserve">Photo with permission</t>
  </si>
  <si>
    <t xml:space="preserve">"Friday competition class: this is what fight prep looks like."</t>
  </si>
  <si>
    <t xml:space="preserve">Adults in the competition class, with their OK</t>
  </si>
  <si>
    <t xml:space="preserve">Planning CCCL 2027. Which town should we hit next: Haliburton, Bancroft, Peterborough, Lindsay or somewhere new? Drop it in the comments.</t>
  </si>
  <si>
    <t xml:space="preserve">None needed</t>
  </si>
  <si>
    <t xml:space="preserve">"May 2, 2026: 400 tickets sold for the first Cottage Country Combat League show in Haliburton. Thank you. Next one's being booked now."</t>
  </si>
  <si>
    <t xml:space="preserve">Best photos from May 2 (official results only, fighters' OK)</t>
  </si>
  <si>
    <t xml:space="preserve">No-gi Jiu-Jitsu, Tuesdays 4-6pm. Learn to control, escape and submit. Great for self-defence. First class free.</t>
  </si>
  <si>
    <t xml:space="preserve">Grappling clip (adults)</t>
  </si>
  <si>
    <t xml:space="preserve">"Breakfalls: the first thing everyone learns at BBG, kids and adults. Here's why."</t>
  </si>
  <si>
    <t xml:space="preserve">Cody demonstrating alone on the mats</t>
  </si>
  <si>
    <t xml:space="preserve">Thinking about it? Just come try one class, free. Message us or drop by 17 Snow Road.</t>
  </si>
  <si>
    <t xml:space="preserve">Gym photo</t>
  </si>
  <si>
    <t xml:space="preserve">"Ask me anything about starting to train. I'll answer in my stories this week."</t>
  </si>
  <si>
    <t xml:space="preserve">Instagram question sticker; answer with quick selfie clips</t>
  </si>
  <si>
    <t xml:space="preserve">Wrestling, Mondays 3:20pm. Where it all starts. [one line].</t>
  </si>
  <si>
    <t xml:space="preserve">Wrestling clip (kids only with parents' OK)</t>
  </si>
  <si>
    <t xml:space="preserve">"If this year knocked you down, come get back up. Your first class is free." Link: the Gymdesk signup.</t>
  </si>
  <si>
    <t xml:space="preserve">Cody hitting pads, then looking at the camera</t>
  </si>
  <si>
    <t xml:space="preserve">THE OTHER SHEETS</t>
  </si>
  <si>
    <t xml:space="preserve">Once each file is in Google Drive, paste its link here so everyone can find it from one place.</t>
  </si>
  <si>
    <t xml:space="preserve">File</t>
  </si>
  <si>
    <t xml:space="preserve">Google Drive link (paste it here)</t>
  </si>
  <si>
    <t xml:space="preserve">What it's for</t>
  </si>
  <si>
    <t xml:space="preserve">CCCL Event Profit Predictor</t>
  </si>
  <si>
    <t xml:space="preserve">Compare towns and venues, break-even, stress test, 25-town scout, ticket tracker</t>
  </si>
  <si>
    <t xml:space="preserve">CCCL Sponsorship Pipeline</t>
  </si>
  <si>
    <t xml:space="preserve">2026 sponsors, 70 local prospects, national brands, stages, follow-ups, delivery checklist</t>
  </si>
  <si>
    <t xml:space="preserve">BBG Leads &amp; Trials</t>
  </si>
  <si>
    <t xml:space="preserve">Gym inquiries to free trial to member</t>
  </si>
  <si>
    <t xml:space="preserve">CCCL Fight Night Kit</t>
  </si>
  <si>
    <t xml:space="preserve">Fighters, bout card, countdown, volunteers, production, run of show, press list, results</t>
  </si>
  <si>
    <t xml:space="preserve">CCCL Fight Night Templates</t>
  </si>
  <si>
    <t xml:space="preserve">Gym outreach, fighter sign-up form, info sheet, announcer script, press releases, promo copy</t>
  </si>
  <si>
    <t xml:space="preserve">CCCL Fighter Package</t>
  </si>
  <si>
    <t xml:space="preserve">The 4-page packet each confirmed fighter gets through their coach (fill the yellow fields)</t>
  </si>
  <si>
    <t xml:space="preserve">CCCL Marketing Kit</t>
  </si>
  <si>
    <t xml:space="preserve">Show campaign, ticket sources and tracking links, ad tests, poster drop, shot list, Canva kit</t>
  </si>
  <si>
    <t xml:space="preserve">CCCL 2027 Sponsor Packages (PDF)</t>
  </si>
  <si>
    <t xml:space="preserve">Attach to sponsor pitches</t>
  </si>
  <si>
    <t xml:space="preserve">CCCL Sponsor Pitch Templates</t>
  </si>
  <si>
    <t xml:space="preserve">Email and message templates</t>
  </si>
  <si>
    <t xml:space="preserve">Staff Playbook</t>
  </si>
  <si>
    <t xml:space="preserve">How the team uses all of this</t>
  </si>
  <si>
    <t xml:space="preserve">The Constrictor AI Blueprint</t>
  </si>
  <si>
    <t xml:space="preserve">The big plan: all 60 jobs and the build order</t>
  </si>
  <si>
    <t xml:space="preserve">CCCL Brand Kit + Canva starter designs</t>
  </si>
  <si>
    <t xml:space="preserve">Colours, fonts, logo rules and the 16 designs to import into Canva</t>
  </si>
  <si>
    <t xml:space="preserve">Handoff folder</t>
  </si>
  <si>
    <t xml:space="preserve">Cody's phone cheat sheet, the Handoff Guide and the skill tests</t>
  </si>
  <si>
    <t xml:space="preserve">CSJ 2027 Application Draft</t>
  </si>
  <si>
    <t xml:space="preserve">A funded summer student: steps before applying, answers to paste in, the job posting</t>
  </si>
  <si>
    <t xml:space="preserve">BBG First Employee Basics</t>
  </si>
  <si>
    <t xml:space="preserve">Safety plan, harassment policy, posters, payroll and WSIB before the first hire</t>
  </si>
  <si>
    <t xml:space="preserve">The Constrictor Athlete Brand Plan</t>
  </si>
  <si>
    <t xml:space="preserve">Cody's own Facebook and Instagram: post types, weekly routine, first four weeks, bios</t>
  </si>
  <si>
    <t xml:space="preserve">BBG &amp; CCCL Contacts</t>
  </si>
  <si>
    <t xml:space="preserve">Every venue, gym, media outlet, supplier and official, with the contact log</t>
  </si>
  <si>
    <t xml:space="preserve">BBG Coaching Library</t>
  </si>
  <si>
    <t xml:space="preserve">Class profiles, drills, 4-week lesson plans and the safety rules</t>
  </si>
  <si>
    <t xml:space="preserve">BBG Skills Passport</t>
  </si>
  <si>
    <t xml:space="preserve">Kids' and youth levels, the roster, progress log and parent cards</t>
  </si>
  <si>
    <t xml:space="preserve">BBG &amp; CCCL Money Summary</t>
  </si>
  <si>
    <t xml:space="preserve">Bank, Eventbrite and Gymdesk exports sorted by business; monthly totals</t>
  </si>
  <si>
    <t xml:space="preserve">The Constrictor Funding Tracker</t>
  </si>
  <si>
    <t xml:space="preserve">Grants and programs, eligibility, deadlines and applications</t>
  </si>
</sst>
</file>

<file path=xl/styles.xml><?xml version="1.0" encoding="utf-8"?>
<styleSheet xmlns="http://schemas.openxmlformats.org/spreadsheetml/2006/main">
  <numFmts count="6">
    <numFmt numFmtId="164" formatCode="General"/>
    <numFmt numFmtId="165" formatCode="ddd\ mmm\ d&quot;, &quot;yyyy"/>
    <numFmt numFmtId="166" formatCode="0"/>
    <numFmt numFmtId="167" formatCode="mmm\ d"/>
    <numFmt numFmtId="168" formatCode="\$#,##0"/>
    <numFmt numFmtId="169" formatCode="ddd\ mmm\ d"/>
  </numFmts>
  <fonts count="15">
    <font>
      <sz val="11"/>
      <color theme="1"/>
      <name val="Calibri"/>
      <family val="2"/>
      <charset val="1"/>
    </font>
    <font>
      <sz val="10"/>
      <name val="Arial"/>
      <family val="0"/>
    </font>
    <font>
      <sz val="10"/>
      <name val="Arial"/>
      <family val="0"/>
    </font>
    <font>
      <sz val="10"/>
      <name val="Arial"/>
      <family val="0"/>
    </font>
    <font>
      <b val="true"/>
      <sz val="16"/>
      <color rgb="FFEAA959"/>
      <name val="Arial"/>
      <family val="0"/>
      <charset val="1"/>
    </font>
    <font>
      <sz val="10"/>
      <color rgb="FFFFFFFF"/>
      <name val="Arial"/>
      <family val="0"/>
      <charset val="1"/>
    </font>
    <font>
      <b val="true"/>
      <sz val="10"/>
      <name val="Arial"/>
      <family val="0"/>
      <charset val="1"/>
    </font>
    <font>
      <sz val="10"/>
      <name val="Arial"/>
      <family val="0"/>
      <charset val="1"/>
    </font>
    <font>
      <b val="true"/>
      <sz val="12"/>
      <color rgb="FF0000FF"/>
      <name val="Arial"/>
      <family val="0"/>
      <charset val="1"/>
    </font>
    <font>
      <b val="true"/>
      <sz val="11"/>
      <color rgb="FF081C2B"/>
      <name val="Arial"/>
      <family val="0"/>
      <charset val="1"/>
    </font>
    <font>
      <b val="true"/>
      <sz val="12"/>
      <name val="Arial"/>
      <family val="0"/>
      <charset val="1"/>
    </font>
    <font>
      <i val="true"/>
      <sz val="9"/>
      <color rgb="FF555555"/>
      <name val="Arial"/>
      <family val="0"/>
      <charset val="1"/>
    </font>
    <font>
      <b val="true"/>
      <sz val="10"/>
      <color rgb="FFFFFFFF"/>
      <name val="Arial"/>
      <family val="0"/>
      <charset val="1"/>
    </font>
    <font>
      <sz val="10"/>
      <color rgb="FF0000FF"/>
      <name val="Arial"/>
      <family val="0"/>
      <charset val="1"/>
    </font>
    <font>
      <b val="true"/>
      <sz val="10"/>
      <color rgb="FFC00000"/>
      <name val="Arial"/>
      <family val="0"/>
      <charset val="1"/>
    </font>
  </fonts>
  <fills count="4">
    <fill>
      <patternFill patternType="none"/>
    </fill>
    <fill>
      <patternFill patternType="gray125"/>
    </fill>
    <fill>
      <patternFill patternType="solid">
        <fgColor rgb="FF081C2B"/>
        <bgColor rgb="FF0000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7" fontId="8" fillId="3"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8" fontId="8" fillId="3" borderId="1" xfId="0" applyFont="true" applyBorder="true" applyAlignment="true" applyProtection="false">
      <alignment horizontal="center" vertical="bottom" textRotation="0" wrapText="false" indent="0" shrinkToFit="false"/>
      <protection locked="true" hidden="false"/>
    </xf>
    <xf numFmtId="166" fontId="8" fillId="3" borderId="1" xfId="0" applyFont="true" applyBorder="true" applyAlignment="true" applyProtection="false">
      <alignment horizontal="center" vertical="bottom" textRotation="0" wrapText="fals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9" fontId="13" fillId="3"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6" fontId="14" fillId="0"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bgColor rgb="FFF8CBAD"/>
        </patternFill>
      </fill>
    </dxf>
    <dxf>
      <fill>
        <patternFill patternType="solid">
          <fgColor rgb="FF081C2B"/>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C00000"/>
          <bgColor rgb="FF000000"/>
        </patternFill>
      </fill>
    </dxf>
    <dxf>
      <fill>
        <patternFill>
          <bgColor rgb="FFC6EFCE"/>
        </patternFill>
      </fill>
    </dxf>
    <dxf>
      <fill>
        <patternFill>
          <bgColor rgb="FFFFF2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EAA959"/>
      <rgbColor rgb="FFFF6600"/>
      <rgbColor rgb="FF555555"/>
      <rgbColor rgb="FF969696"/>
      <rgbColor rgb="FF003366"/>
      <rgbColor rgb="FF339966"/>
      <rgbColor rgb="FF081C2B"/>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A959"/>
    <pageSetUpPr fitToPage="tru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92"/>
  </cols>
  <sheetData>
    <row r="1" customFormat="false" ht="30" hidden="false" customHeight="true" outlineLevel="0" collapsed="false">
      <c r="A1" s="1" t="s">
        <v>0</v>
      </c>
      <c r="B1" s="1"/>
      <c r="C1" s="1"/>
    </row>
    <row r="2" customFormat="false" ht="30" hidden="false" customHeight="true" outlineLevel="0" collapsed="false">
      <c r="A2" s="2" t="s">
        <v>1</v>
      </c>
      <c r="B2" s="2"/>
      <c r="C2" s="2"/>
    </row>
    <row r="4" customFormat="false" ht="15" hidden="false" customHeight="false" outlineLevel="0" collapsed="false">
      <c r="B4" s="3" t="s">
        <v>2</v>
      </c>
      <c r="C4" s="4" t="s">
        <v>3</v>
      </c>
    </row>
    <row r="5" customFormat="false" ht="15" hidden="false" customHeight="false" outlineLevel="0" collapsed="false">
      <c r="B5" s="3" t="s">
        <v>4</v>
      </c>
      <c r="C5" s="4" t="s">
        <v>5</v>
      </c>
    </row>
    <row r="6" customFormat="false" ht="15" hidden="false" customHeight="false" outlineLevel="0" collapsed="false">
      <c r="B6" s="3" t="s">
        <v>6</v>
      </c>
      <c r="C6" s="4" t="s">
        <v>7</v>
      </c>
    </row>
    <row r="7" customFormat="false" ht="15" hidden="false" customHeight="false" outlineLevel="0" collapsed="false">
      <c r="B7" s="3" t="s">
        <v>8</v>
      </c>
      <c r="C7" s="4" t="s">
        <v>9</v>
      </c>
    </row>
    <row r="8" customFormat="false" ht="15" hidden="false" customHeight="false" outlineLevel="0" collapsed="false">
      <c r="B8" s="3" t="s">
        <v>10</v>
      </c>
      <c r="C8" s="4" t="s">
        <v>11</v>
      </c>
    </row>
    <row r="9" customFormat="false" ht="23.85" hidden="false" customHeight="false" outlineLevel="0" collapsed="false">
      <c r="B9" s="3" t="s">
        <v>12</v>
      </c>
      <c r="C9" s="4" t="s">
        <v>13</v>
      </c>
    </row>
    <row r="10" customFormat="false" ht="23.85" hidden="false" customHeight="false" outlineLevel="0" collapsed="false">
      <c r="B10" s="3" t="s">
        <v>14</v>
      </c>
      <c r="C10" s="4" t="s">
        <v>15</v>
      </c>
    </row>
    <row r="12" customFormat="false" ht="15" hidden="false" customHeight="false" outlineLevel="0" collapsed="false">
      <c r="B12" s="5" t="s">
        <v>16</v>
      </c>
      <c r="C12" s="6"/>
    </row>
    <row r="13" customFormat="false" ht="23.85" hidden="false" customHeight="false" outlineLevel="0" collapsed="false">
      <c r="C13" s="4" t="s">
        <v>17</v>
      </c>
    </row>
  </sheetData>
  <mergeCells count="2">
    <mergeCell ref="A1:C1"/>
    <mergeCell ref="A2:C2"/>
  </mergeCells>
  <dataValidations count="1">
    <dataValidation allowBlank="true" errorStyle="stop" operator="between" showDropDown="false" showErrorMessage="false" showInputMessage="false" sqref="C12" type="dat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A959"/>
    <pageSetUpPr fitToPage="true"/>
  </sheetPr>
  <dimension ref="A1:D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4"/>
    <col collapsed="false" customWidth="true" hidden="false" outlineLevel="0" max="4" min="4" style="0" width="48"/>
  </cols>
  <sheetData>
    <row r="1" customFormat="false" ht="30" hidden="false" customHeight="true" outlineLevel="0" collapsed="false">
      <c r="A1" s="1" t="s">
        <v>18</v>
      </c>
      <c r="B1" s="1"/>
      <c r="C1" s="1"/>
      <c r="D1" s="1"/>
    </row>
    <row r="2" customFormat="false" ht="30" hidden="false" customHeight="true" outlineLevel="0" collapsed="false">
      <c r="A2" s="2" t="s">
        <v>19</v>
      </c>
      <c r="B2" s="2"/>
      <c r="C2" s="2"/>
      <c r="D2" s="2"/>
    </row>
    <row r="4" customFormat="false" ht="15" hidden="false" customHeight="false" outlineLevel="0" collapsed="false">
      <c r="A4" s="7" t="s">
        <v>20</v>
      </c>
      <c r="B4" s="8" t="n">
        <f aca="true">TODAY()</f>
        <v>46322</v>
      </c>
    </row>
    <row r="6" customFormat="false" ht="15" hidden="false" customHeight="false" outlineLevel="0" collapsed="false">
      <c r="A6" s="9" t="s">
        <v>21</v>
      </c>
    </row>
    <row r="7" customFormat="false" ht="15" hidden="false" customHeight="false" outlineLevel="0" collapsed="false">
      <c r="A7" s="10" t="s">
        <v>22</v>
      </c>
      <c r="B7" s="11" t="n">
        <f aca="false">COUNTIFS(Approvals!$G$5:$G$304,"Waiting",Approvals!$B$5:$B$304,"&lt;&gt;")</f>
        <v>1</v>
      </c>
    </row>
    <row r="8" customFormat="false" ht="15" hidden="false" customHeight="false" outlineLevel="0" collapsed="false">
      <c r="A8" s="10" t="s">
        <v>23</v>
      </c>
      <c r="B8" s="11" t="n">
        <f aca="false">IFERROR(_xlfn.MAXIFS(Approvals!$I$5:$I$304,Approvals!$G$5:$G$304,"Waiting"),0)</f>
        <v>7</v>
      </c>
    </row>
    <row r="9" customFormat="false" ht="15" hidden="false" customHeight="false" outlineLevel="0" collapsed="false">
      <c r="A9" s="10" t="s">
        <v>24</v>
      </c>
      <c r="B9" s="11" t="n">
        <f aca="false">COUNTIF(Tasks!$G$5:$G$404,"OVERDUE")</f>
        <v>0</v>
      </c>
    </row>
    <row r="10" customFormat="false" ht="15" hidden="false" customHeight="false" outlineLevel="0" collapsed="false">
      <c r="A10" s="10" t="s">
        <v>25</v>
      </c>
      <c r="B10" s="11" t="n">
        <f aca="false">COUNTIF(Tasks!$G$5:$G$404,"TODAY")</f>
        <v>0</v>
      </c>
    </row>
    <row r="12" customFormat="false" ht="15" hidden="false" customHeight="false" outlineLevel="0" collapsed="false">
      <c r="A12" s="9" t="s">
        <v>26</v>
      </c>
    </row>
    <row r="13" customFormat="false" ht="15" hidden="false" customHeight="false" outlineLevel="0" collapsed="false">
      <c r="A13" s="10" t="s">
        <v>27</v>
      </c>
      <c r="B13" s="11" t="n">
        <f aca="false">COUNTIFS(Tasks!$A$5:$A$404,"&lt;&gt;",Tasks!$F$5:$F$404,"&lt;&gt;Done")</f>
        <v>24</v>
      </c>
    </row>
    <row r="14" customFormat="false" ht="15" hidden="false" customHeight="false" outlineLevel="0" collapsed="false">
      <c r="A14" s="10" t="s">
        <v>28</v>
      </c>
      <c r="B14" s="11" t="n">
        <f aca="true">COUNTIFS(Tasks!$F$5:$F$404,"&lt;&gt;Done",Tasks!$D$5:$D$404,"&gt;="&amp;TODAY(),Tasks!$D$5:$D$404,"&lt;="&amp;(TODAY()+7))</f>
        <v>0</v>
      </c>
    </row>
    <row r="15" customFormat="false" ht="15" hidden="false" customHeight="false" outlineLevel="0" collapsed="false">
      <c r="A15" s="10" t="s">
        <v>29</v>
      </c>
      <c r="B15" s="11" t="n">
        <f aca="true">COUNTIFS(Tasks!$F$5:$F$404,"Done",Tasks!$I$5:$I$404,"&gt;="&amp;(TODAY()-7))</f>
        <v>0</v>
      </c>
    </row>
    <row r="16" customFormat="false" ht="15" hidden="false" customHeight="false" outlineLevel="0" collapsed="false">
      <c r="A16" s="10" t="s">
        <v>30</v>
      </c>
      <c r="B16" s="11" t="n">
        <f aca="false">COUNTIFS(Tasks!$C$5:$C$404,"Cody",Tasks!$F$5:$F$404,"&lt;&gt;Done",Tasks!$A$5:$A$404,"&lt;&gt;")</f>
        <v>22</v>
      </c>
    </row>
    <row r="17" customFormat="false" ht="15" hidden="false" customHeight="false" outlineLevel="0" collapsed="false">
      <c r="A17" s="10" t="s">
        <v>31</v>
      </c>
      <c r="B17" s="11" t="n">
        <f aca="false">COUNTIFS(Tasks!$C$5:$C$404,"Kyle",Tasks!$F$5:$F$404,"&lt;&gt;Done",Tasks!$A$5:$A$404,"&lt;&gt;")</f>
        <v>2</v>
      </c>
    </row>
    <row r="18" customFormat="false" ht="15" hidden="false" customHeight="false" outlineLevel="0" collapsed="false">
      <c r="A18" s="10" t="s">
        <v>32</v>
      </c>
      <c r="B18" s="11" t="n">
        <f aca="false">COUNTIFS(Tasks!$C$5:$C$404,"Sean",Tasks!$F$5:$F$404,"&lt;&gt;Done",Tasks!$A$5:$A$404,"&lt;&gt;")</f>
        <v>0</v>
      </c>
    </row>
    <row r="19" customFormat="false" ht="15" hidden="false" customHeight="false" outlineLevel="0" collapsed="false">
      <c r="A19" s="10" t="s">
        <v>33</v>
      </c>
      <c r="B19" s="11" t="n">
        <f aca="false">COUNTIFS(Tasks!$C$5:$C$404,"Jordan",Tasks!$F$5:$F$404,"&lt;&gt;Done",Tasks!$A$5:$A$404,"&lt;&gt;")</f>
        <v>0</v>
      </c>
    </row>
    <row r="20" customFormat="false" ht="15" hidden="false" customHeight="false" outlineLevel="0" collapsed="false">
      <c r="A20" s="10" t="s">
        <v>34</v>
      </c>
      <c r="B20" s="11" t="n">
        <f aca="false">COUNTIFS(Tasks!$C$5:$C$404,"Front desk",Tasks!$F$5:$F$404,"&lt;&gt;Done",Tasks!$A$5:$A$404,"&lt;&gt;")</f>
        <v>0</v>
      </c>
    </row>
    <row r="21" customFormat="false" ht="15" hidden="false" customHeight="false" outlineLevel="0" collapsed="false">
      <c r="A21" s="10" t="s">
        <v>35</v>
      </c>
      <c r="B21" s="11" t="n">
        <f aca="false">COUNTIFS(Tasks!$C$5:$C$404,"Volunteer",Tasks!$F$5:$F$404,"&lt;&gt;Done",Tasks!$A$5:$A$404,"&lt;&gt;")</f>
        <v>0</v>
      </c>
    </row>
    <row r="23" customFormat="false" ht="15" hidden="false" customHeight="false" outlineLevel="0" collapsed="false">
      <c r="A23" s="9" t="s">
        <v>36</v>
      </c>
    </row>
    <row r="24" customFormat="false" ht="15" hidden="false" customHeight="false" outlineLevel="0" collapsed="false">
      <c r="A24" s="10" t="s">
        <v>37</v>
      </c>
      <c r="B24" s="11" t="n">
        <f aca="true">COUNTIFS('Content Calendar'!$A$5:$A$304,"&gt;="&amp;(TODAY()-WEEKDAY(TODAY(),3)),'Content Calendar'!$A$5:$A$304,"&lt;="&amp;((TODAY()-WEEKDAY(TODAY(),3))+6),'Content Calendar'!$G$5:$G$304,"Idea")</f>
        <v>0</v>
      </c>
    </row>
    <row r="25" customFormat="false" ht="15" hidden="false" customHeight="false" outlineLevel="0" collapsed="false">
      <c r="A25" s="10" t="s">
        <v>38</v>
      </c>
      <c r="B25" s="11" t="n">
        <f aca="true">COUNTIFS('Content Calendar'!$A$5:$A$304,"&gt;="&amp;(TODAY()-WEEKDAY(TODAY(),3)),'Content Calendar'!$A$5:$A$304,"&lt;="&amp;((TODAY()-WEEKDAY(TODAY(),3))+6),'Content Calendar'!$G$5:$G$304,"Drafted")</f>
        <v>0</v>
      </c>
    </row>
    <row r="26" customFormat="false" ht="15" hidden="false" customHeight="false" outlineLevel="0" collapsed="false">
      <c r="A26" s="10" t="s">
        <v>39</v>
      </c>
      <c r="B26" s="11" t="n">
        <f aca="true">COUNTIFS('Content Calendar'!$A$5:$A$304,"&gt;="&amp;(TODAY()-WEEKDAY(TODAY(),3)),'Content Calendar'!$A$5:$A$304,"&lt;="&amp;((TODAY()-WEEKDAY(TODAY(),3))+6),'Content Calendar'!$G$5:$G$304,"Approved")</f>
        <v>0</v>
      </c>
    </row>
    <row r="27" customFormat="false" ht="15" hidden="false" customHeight="false" outlineLevel="0" collapsed="false">
      <c r="A27" s="10" t="s">
        <v>40</v>
      </c>
      <c r="B27" s="11" t="n">
        <f aca="true">COUNTIFS('Content Calendar'!$A$5:$A$304,"&gt;="&amp;(TODAY()-WEEKDAY(TODAY(),3)),'Content Calendar'!$A$5:$A$304,"&lt;="&amp;((TODAY()-WEEKDAY(TODAY(),3))+6),'Content Calendar'!$G$5:$G$304,"Posted")</f>
        <v>0</v>
      </c>
    </row>
    <row r="29" customFormat="false" ht="15" hidden="false" customHeight="false" outlineLevel="0" collapsed="false">
      <c r="A29" s="9" t="s">
        <v>41</v>
      </c>
    </row>
    <row r="30" customFormat="false" ht="25.5" hidden="false" customHeight="true" outlineLevel="0" collapsed="false">
      <c r="A30" s="10" t="s">
        <v>42</v>
      </c>
      <c r="B30" s="12"/>
      <c r="D30" s="13" t="s">
        <v>43</v>
      </c>
    </row>
    <row r="31" customFormat="false" ht="15" hidden="false" customHeight="false" outlineLevel="0" collapsed="false">
      <c r="A31" s="10" t="s">
        <v>44</v>
      </c>
      <c r="B31" s="14"/>
    </row>
    <row r="32" customFormat="false" ht="15" hidden="false" customHeight="false" outlineLevel="0" collapsed="false">
      <c r="A32" s="10" t="s">
        <v>45</v>
      </c>
      <c r="B32" s="14"/>
    </row>
    <row r="33" customFormat="false" ht="15" hidden="false" customHeight="false" outlineLevel="0" collapsed="false">
      <c r="A33" s="10" t="s">
        <v>46</v>
      </c>
      <c r="B33" s="15"/>
    </row>
    <row r="34" customFormat="false" ht="15" hidden="false" customHeight="false" outlineLevel="0" collapsed="false">
      <c r="A34" s="10" t="s">
        <v>47</v>
      </c>
      <c r="B34" s="15"/>
    </row>
    <row r="35" customFormat="false" ht="15" hidden="false" customHeight="false" outlineLevel="0" collapsed="false">
      <c r="A35" s="10" t="s">
        <v>48</v>
      </c>
      <c r="B35" s="15"/>
    </row>
    <row r="36" customFormat="false" ht="15" hidden="false" customHeight="false" outlineLevel="0" collapsed="false">
      <c r="A36" s="10" t="s">
        <v>49</v>
      </c>
      <c r="B36" s="15"/>
    </row>
    <row r="37" customFormat="false" ht="15" hidden="false" customHeight="false" outlineLevel="0" collapsed="false">
      <c r="A37" s="10" t="s">
        <v>50</v>
      </c>
      <c r="B37" s="15"/>
    </row>
    <row r="38" customFormat="false" ht="15" hidden="false" customHeight="false" outlineLevel="0" collapsed="false">
      <c r="A38" s="10" t="s">
        <v>51</v>
      </c>
      <c r="B38" s="15"/>
    </row>
  </sheetData>
  <mergeCells count="2">
    <mergeCell ref="A1:D1"/>
    <mergeCell ref="A2:D2"/>
  </mergeCells>
  <conditionalFormatting sqref="B7">
    <cfRule type="cellIs" priority="2" operator="greaterThan" aboveAverage="0" equalAverage="0" bottom="0" percent="0" rank="0" text="" dxfId="0">
      <formula>0</formula>
    </cfRule>
  </conditionalFormatting>
  <conditionalFormatting sqref="B8">
    <cfRule type="cellIs" priority="3" operator="greaterThan" aboveAverage="0" equalAverage="0" bottom="0" percent="0" rank="0" text="" dxfId="0">
      <formula>0</formula>
    </cfRule>
  </conditionalFormatting>
  <conditionalFormatting sqref="B9">
    <cfRule type="cellIs" priority="4"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true"/>
  </sheetPr>
  <dimension ref="A1:J4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3"/>
    <col collapsed="false" customWidth="true" hidden="false" outlineLevel="0" max="3" min="3" style="0" width="11"/>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10"/>
    <col collapsed="false" customWidth="true" hidden="false" outlineLevel="0" max="9" min="8" style="0" width="12"/>
    <col collapsed="false" customWidth="true" hidden="false" outlineLevel="0" max="10" min="10" style="0" width="40"/>
  </cols>
  <sheetData>
    <row r="1" customFormat="false" ht="30" hidden="false" customHeight="true" outlineLevel="0" collapsed="false">
      <c r="A1" s="1" t="s">
        <v>52</v>
      </c>
      <c r="B1" s="1"/>
      <c r="C1" s="1"/>
      <c r="D1" s="1"/>
      <c r="E1" s="1"/>
      <c r="F1" s="1"/>
      <c r="G1" s="1"/>
      <c r="H1" s="1"/>
      <c r="I1" s="1"/>
      <c r="J1" s="1"/>
    </row>
    <row r="2" customFormat="false" ht="30" hidden="false" customHeight="true" outlineLevel="0" collapsed="false">
      <c r="A2" s="2" t="s">
        <v>53</v>
      </c>
      <c r="B2" s="2"/>
      <c r="C2" s="2"/>
      <c r="D2" s="2"/>
      <c r="E2" s="2"/>
      <c r="F2" s="2"/>
      <c r="G2" s="2"/>
      <c r="H2" s="2"/>
      <c r="I2" s="2"/>
      <c r="J2" s="2"/>
    </row>
    <row r="4" customFormat="false" ht="31.5" hidden="false" customHeight="true" outlineLevel="0" collapsed="false">
      <c r="A4" s="16" t="s">
        <v>54</v>
      </c>
      <c r="B4" s="16" t="s">
        <v>55</v>
      </c>
      <c r="C4" s="16" t="s">
        <v>56</v>
      </c>
      <c r="D4" s="16" t="s">
        <v>57</v>
      </c>
      <c r="E4" s="16" t="s">
        <v>58</v>
      </c>
      <c r="F4" s="16" t="s">
        <v>59</v>
      </c>
      <c r="G4" s="16" t="s">
        <v>60</v>
      </c>
      <c r="H4" s="16" t="s">
        <v>61</v>
      </c>
      <c r="I4" s="16" t="s">
        <v>62</v>
      </c>
      <c r="J4" s="16" t="s">
        <v>63</v>
      </c>
    </row>
    <row r="5" customFormat="false" ht="35.05" hidden="false" customHeight="false" outlineLevel="0" collapsed="false">
      <c r="A5" s="17" t="s">
        <v>64</v>
      </c>
      <c r="B5" s="17" t="s">
        <v>65</v>
      </c>
      <c r="C5" s="17" t="s">
        <v>66</v>
      </c>
      <c r="D5" s="18" t="str">
        <f aca="false">IF('Start Here'!$C$12="","",'Start Here'!$C$12+2)</f>
        <v/>
      </c>
      <c r="E5" s="17" t="s">
        <v>67</v>
      </c>
      <c r="F5" s="17" t="s">
        <v>68</v>
      </c>
      <c r="G5" s="19" t="str">
        <f aca="true">IF(OR(A5="",F5="Done",D5=""),"",IF(D5&lt;TODAY(),"OVERDUE",IF(D5=TODAY(),"TODAY","")))</f>
        <v/>
      </c>
      <c r="H5" s="18" t="str">
        <f aca="false">IF('Start Here'!$C$12="","",'Start Here'!$C$12)</f>
        <v/>
      </c>
      <c r="I5" s="18"/>
      <c r="J5" s="17"/>
    </row>
    <row r="6" customFormat="false" ht="57.45" hidden="false" customHeight="false" outlineLevel="0" collapsed="false">
      <c r="A6" s="17" t="s">
        <v>69</v>
      </c>
      <c r="B6" s="17" t="s">
        <v>65</v>
      </c>
      <c r="C6" s="17" t="s">
        <v>66</v>
      </c>
      <c r="D6" s="18" t="str">
        <f aca="false">IF('Start Here'!$C$12="","",'Start Here'!$C$12+14)</f>
        <v/>
      </c>
      <c r="E6" s="17" t="s">
        <v>67</v>
      </c>
      <c r="F6" s="17" t="s">
        <v>68</v>
      </c>
      <c r="G6" s="19" t="str">
        <f aca="true">IF(OR(A6="",F6="Done",D6=""),"",IF(D6&lt;TODAY(),"OVERDUE",IF(D6=TODAY(),"TODAY","")))</f>
        <v/>
      </c>
      <c r="H6" s="18" t="str">
        <f aca="false">IF('Start Here'!$C$12="","",'Start Here'!$C$12)</f>
        <v/>
      </c>
      <c r="I6" s="18"/>
      <c r="J6" s="17"/>
    </row>
    <row r="7" customFormat="false" ht="23.85" hidden="false" customHeight="false" outlineLevel="0" collapsed="false">
      <c r="A7" s="17" t="s">
        <v>70</v>
      </c>
      <c r="B7" s="17" t="s">
        <v>71</v>
      </c>
      <c r="C7" s="17" t="s">
        <v>66</v>
      </c>
      <c r="D7" s="18" t="str">
        <f aca="false">IF('Start Here'!$C$12="","",'Start Here'!$C$12+1)</f>
        <v/>
      </c>
      <c r="E7" s="17" t="s">
        <v>67</v>
      </c>
      <c r="F7" s="17" t="s">
        <v>68</v>
      </c>
      <c r="G7" s="19" t="str">
        <f aca="true">IF(OR(A7="",F7="Done",D7=""),"",IF(D7&lt;TODAY(),"OVERDUE",IF(D7=TODAY(),"TODAY","")))</f>
        <v/>
      </c>
      <c r="H7" s="18" t="str">
        <f aca="false">IF('Start Here'!$C$12="","",'Start Here'!$C$12)</f>
        <v/>
      </c>
      <c r="I7" s="18"/>
      <c r="J7" s="17"/>
    </row>
    <row r="8" customFormat="false" ht="23.85" hidden="false" customHeight="false" outlineLevel="0" collapsed="false">
      <c r="A8" s="17" t="s">
        <v>72</v>
      </c>
      <c r="B8" s="17" t="s">
        <v>71</v>
      </c>
      <c r="C8" s="17" t="s">
        <v>66</v>
      </c>
      <c r="D8" s="18" t="str">
        <f aca="false">IF('Start Here'!$C$12="","",'Start Here'!$C$12+1)</f>
        <v/>
      </c>
      <c r="E8" s="17" t="s">
        <v>67</v>
      </c>
      <c r="F8" s="17" t="s">
        <v>68</v>
      </c>
      <c r="G8" s="19" t="str">
        <f aca="true">IF(OR(A8="",F8="Done",D8=""),"",IF(D8&lt;TODAY(),"OVERDUE",IF(D8=TODAY(),"TODAY","")))</f>
        <v/>
      </c>
      <c r="H8" s="18" t="str">
        <f aca="false">IF('Start Here'!$C$12="","",'Start Here'!$C$12)</f>
        <v/>
      </c>
      <c r="I8" s="18"/>
      <c r="J8" s="17"/>
    </row>
    <row r="9" customFormat="false" ht="46.25" hidden="false" customHeight="false" outlineLevel="0" collapsed="false">
      <c r="A9" s="17" t="s">
        <v>73</v>
      </c>
      <c r="B9" s="17" t="s">
        <v>74</v>
      </c>
      <c r="C9" s="17" t="s">
        <v>66</v>
      </c>
      <c r="D9" s="18" t="str">
        <f aca="false">IF('Start Here'!$C$12="","",'Start Here'!$C$12+7)</f>
        <v/>
      </c>
      <c r="E9" s="17" t="s">
        <v>67</v>
      </c>
      <c r="F9" s="17" t="s">
        <v>68</v>
      </c>
      <c r="G9" s="19" t="str">
        <f aca="true">IF(OR(A9="",F9="Done",D9=""),"",IF(D9&lt;TODAY(),"OVERDUE",IF(D9=TODAY(),"TODAY","")))</f>
        <v/>
      </c>
      <c r="H9" s="18" t="str">
        <f aca="false">IF('Start Here'!$C$12="","",'Start Here'!$C$12)</f>
        <v/>
      </c>
      <c r="I9" s="18"/>
      <c r="J9" s="17"/>
    </row>
    <row r="10" customFormat="false" ht="35.05" hidden="false" customHeight="false" outlineLevel="0" collapsed="false">
      <c r="A10" s="17" t="s">
        <v>75</v>
      </c>
      <c r="B10" s="17" t="s">
        <v>74</v>
      </c>
      <c r="C10" s="17" t="s">
        <v>66</v>
      </c>
      <c r="D10" s="18" t="str">
        <f aca="false">IF('Start Here'!$C$12="","",'Start Here'!$C$12+7)</f>
        <v/>
      </c>
      <c r="E10" s="17" t="s">
        <v>67</v>
      </c>
      <c r="F10" s="17" t="s">
        <v>68</v>
      </c>
      <c r="G10" s="19" t="str">
        <f aca="true">IF(OR(A10="",F10="Done",D10=""),"",IF(D10&lt;TODAY(),"OVERDUE",IF(D10=TODAY(),"TODAY","")))</f>
        <v/>
      </c>
      <c r="H10" s="18" t="str">
        <f aca="false">IF('Start Here'!$C$12="","",'Start Here'!$C$12)</f>
        <v/>
      </c>
      <c r="I10" s="18"/>
      <c r="J10" s="17"/>
    </row>
    <row r="11" customFormat="false" ht="23.85" hidden="false" customHeight="false" outlineLevel="0" collapsed="false">
      <c r="A11" s="17" t="s">
        <v>76</v>
      </c>
      <c r="B11" s="17" t="s">
        <v>74</v>
      </c>
      <c r="C11" s="17" t="s">
        <v>66</v>
      </c>
      <c r="D11" s="18" t="n">
        <v>46357</v>
      </c>
      <c r="E11" s="17" t="s">
        <v>77</v>
      </c>
      <c r="F11" s="17" t="s">
        <v>68</v>
      </c>
      <c r="G11" s="19" t="str">
        <f aca="true">IF(OR(A11="",F11="Done",D11=""),"",IF(D11&lt;TODAY(),"OVERDUE",IF(D11=TODAY(),"TODAY","")))</f>
        <v/>
      </c>
      <c r="H11" s="18" t="str">
        <f aca="false">IF('Start Here'!$C$12="","",'Start Here'!$C$12)</f>
        <v/>
      </c>
      <c r="I11" s="18"/>
      <c r="J11" s="17"/>
    </row>
    <row r="12" customFormat="false" ht="35.05" hidden="false" customHeight="false" outlineLevel="0" collapsed="false">
      <c r="A12" s="17" t="s">
        <v>78</v>
      </c>
      <c r="B12" s="17" t="s">
        <v>65</v>
      </c>
      <c r="C12" s="17" t="s">
        <v>66</v>
      </c>
      <c r="D12" s="18" t="str">
        <f aca="false">IF('Start Here'!$C$12="","",'Start Here'!$C$12+7)</f>
        <v/>
      </c>
      <c r="E12" s="17" t="s">
        <v>67</v>
      </c>
      <c r="F12" s="17" t="s">
        <v>68</v>
      </c>
      <c r="G12" s="19" t="str">
        <f aca="true">IF(OR(A12="",F12="Done",D12=""),"",IF(D12&lt;TODAY(),"OVERDUE",IF(D12=TODAY(),"TODAY","")))</f>
        <v/>
      </c>
      <c r="H12" s="18" t="str">
        <f aca="false">IF('Start Here'!$C$12="","",'Start Here'!$C$12)</f>
        <v/>
      </c>
      <c r="I12" s="18"/>
      <c r="J12" s="17"/>
    </row>
    <row r="13" customFormat="false" ht="23.85" hidden="false" customHeight="false" outlineLevel="0" collapsed="false">
      <c r="A13" s="17" t="s">
        <v>79</v>
      </c>
      <c r="B13" s="17" t="s">
        <v>80</v>
      </c>
      <c r="C13" s="17" t="s">
        <v>66</v>
      </c>
      <c r="D13" s="18" t="str">
        <f aca="false">IF('Start Here'!$C$12="","",'Start Here'!$C$12+10)</f>
        <v/>
      </c>
      <c r="E13" s="17" t="s">
        <v>77</v>
      </c>
      <c r="F13" s="17" t="s">
        <v>68</v>
      </c>
      <c r="G13" s="19" t="str">
        <f aca="true">IF(OR(A13="",F13="Done",D13=""),"",IF(D13&lt;TODAY(),"OVERDUE",IF(D13=TODAY(),"TODAY","")))</f>
        <v/>
      </c>
      <c r="H13" s="18" t="str">
        <f aca="false">IF('Start Here'!$C$12="","",'Start Here'!$C$12)</f>
        <v/>
      </c>
      <c r="I13" s="18"/>
      <c r="J13" s="17"/>
    </row>
    <row r="14" customFormat="false" ht="23.85" hidden="false" customHeight="false" outlineLevel="0" collapsed="false">
      <c r="A14" s="17" t="s">
        <v>81</v>
      </c>
      <c r="B14" s="17" t="s">
        <v>80</v>
      </c>
      <c r="C14" s="17" t="s">
        <v>66</v>
      </c>
      <c r="D14" s="18" t="str">
        <f aca="false">IF('Start Here'!$C$12="","",'Start Here'!$C$12+14)</f>
        <v/>
      </c>
      <c r="E14" s="17" t="s">
        <v>67</v>
      </c>
      <c r="F14" s="17" t="s">
        <v>68</v>
      </c>
      <c r="G14" s="19" t="str">
        <f aca="true">IF(OR(A14="",F14="Done",D14=""),"",IF(D14&lt;TODAY(),"OVERDUE",IF(D14=TODAY(),"TODAY","")))</f>
        <v/>
      </c>
      <c r="H14" s="18" t="str">
        <f aca="false">IF('Start Here'!$C$12="","",'Start Here'!$C$12)</f>
        <v/>
      </c>
      <c r="I14" s="18"/>
      <c r="J14" s="17"/>
    </row>
    <row r="15" customFormat="false" ht="35.05" hidden="false" customHeight="false" outlineLevel="0" collapsed="false">
      <c r="A15" s="17" t="s">
        <v>82</v>
      </c>
      <c r="B15" s="17" t="s">
        <v>80</v>
      </c>
      <c r="C15" s="17" t="s">
        <v>66</v>
      </c>
      <c r="D15" s="18" t="str">
        <f aca="false">IF('Start Here'!$C$12="","",'Start Here'!$C$12+21)</f>
        <v/>
      </c>
      <c r="E15" s="17" t="s">
        <v>67</v>
      </c>
      <c r="F15" s="17" t="s">
        <v>68</v>
      </c>
      <c r="G15" s="19" t="str">
        <f aca="true">IF(OR(A15="",F15="Done",D15=""),"",IF(D15&lt;TODAY(),"OVERDUE",IF(D15=TODAY(),"TODAY","")))</f>
        <v/>
      </c>
      <c r="H15" s="18" t="str">
        <f aca="false">IF('Start Here'!$C$12="","",'Start Here'!$C$12)</f>
        <v/>
      </c>
      <c r="I15" s="18"/>
      <c r="J15" s="17"/>
    </row>
    <row r="16" customFormat="false" ht="46.25" hidden="false" customHeight="false" outlineLevel="0" collapsed="false">
      <c r="A16" s="17" t="s">
        <v>83</v>
      </c>
      <c r="B16" s="17" t="s">
        <v>80</v>
      </c>
      <c r="C16" s="17" t="s">
        <v>66</v>
      </c>
      <c r="D16" s="18" t="str">
        <f aca="false">IF('Start Here'!$C$12="","",'Start Here'!$C$12+14)</f>
        <v/>
      </c>
      <c r="E16" s="17" t="s">
        <v>77</v>
      </c>
      <c r="F16" s="17" t="s">
        <v>68</v>
      </c>
      <c r="G16" s="19" t="str">
        <f aca="true">IF(OR(A16="",F16="Done",D16=""),"",IF(D16&lt;TODAY(),"OVERDUE",IF(D16=TODAY(),"TODAY","")))</f>
        <v/>
      </c>
      <c r="H16" s="18" t="str">
        <f aca="false">IF('Start Here'!$C$12="","",'Start Here'!$C$12)</f>
        <v/>
      </c>
      <c r="I16" s="18"/>
      <c r="J16" s="17"/>
    </row>
    <row r="17" customFormat="false" ht="23.85" hidden="false" customHeight="false" outlineLevel="0" collapsed="false">
      <c r="A17" s="17" t="s">
        <v>84</v>
      </c>
      <c r="B17" s="17" t="s">
        <v>80</v>
      </c>
      <c r="C17" s="17" t="s">
        <v>66</v>
      </c>
      <c r="D17" s="18" t="str">
        <f aca="false">IF('Start Here'!$C$12="","",'Start Here'!$C$12+21)</f>
        <v/>
      </c>
      <c r="E17" s="17" t="s">
        <v>77</v>
      </c>
      <c r="F17" s="17" t="s">
        <v>68</v>
      </c>
      <c r="G17" s="19" t="str">
        <f aca="true">IF(OR(A17="",F17="Done",D17=""),"",IF(D17&lt;TODAY(),"OVERDUE",IF(D17=TODAY(),"TODAY","")))</f>
        <v/>
      </c>
      <c r="H17" s="18" t="str">
        <f aca="false">IF('Start Here'!$C$12="","",'Start Here'!$C$12)</f>
        <v/>
      </c>
      <c r="I17" s="18"/>
      <c r="J17" s="17"/>
    </row>
    <row r="18" customFormat="false" ht="23.85" hidden="false" customHeight="false" outlineLevel="0" collapsed="false">
      <c r="A18" s="17" t="s">
        <v>85</v>
      </c>
      <c r="B18" s="17" t="s">
        <v>80</v>
      </c>
      <c r="C18" s="17" t="s">
        <v>86</v>
      </c>
      <c r="D18" s="18" t="str">
        <f aca="false">IF('Start Here'!$C$12="","",'Start Here'!$C$12+14)</f>
        <v/>
      </c>
      <c r="E18" s="17" t="s">
        <v>77</v>
      </c>
      <c r="F18" s="17" t="s">
        <v>68</v>
      </c>
      <c r="G18" s="19" t="str">
        <f aca="true">IF(OR(A18="",F18="Done",D18=""),"",IF(D18&lt;TODAY(),"OVERDUE",IF(D18=TODAY(),"TODAY","")))</f>
        <v/>
      </c>
      <c r="H18" s="18" t="str">
        <f aca="false">IF('Start Here'!$C$12="","",'Start Here'!$C$12)</f>
        <v/>
      </c>
      <c r="I18" s="18"/>
      <c r="J18" s="17"/>
    </row>
    <row r="19" customFormat="false" ht="35.05" hidden="false" customHeight="false" outlineLevel="0" collapsed="false">
      <c r="A19" s="17" t="s">
        <v>87</v>
      </c>
      <c r="B19" s="17" t="s">
        <v>65</v>
      </c>
      <c r="C19" s="17" t="s">
        <v>66</v>
      </c>
      <c r="D19" s="18" t="str">
        <f aca="false">IF('Start Here'!$C$12="","",'Start Here'!$C$12+30)</f>
        <v/>
      </c>
      <c r="E19" s="17" t="s">
        <v>77</v>
      </c>
      <c r="F19" s="17" t="s">
        <v>68</v>
      </c>
      <c r="G19" s="19" t="str">
        <f aca="true">IF(OR(A19="",F19="Done",D19=""),"",IF(D19&lt;TODAY(),"OVERDUE",IF(D19=TODAY(),"TODAY","")))</f>
        <v/>
      </c>
      <c r="H19" s="18" t="str">
        <f aca="false">IF('Start Here'!$C$12="","",'Start Here'!$C$12)</f>
        <v/>
      </c>
      <c r="I19" s="18"/>
      <c r="J19" s="17"/>
    </row>
    <row r="20" customFormat="false" ht="35.05" hidden="false" customHeight="false" outlineLevel="0" collapsed="false">
      <c r="A20" s="17" t="s">
        <v>88</v>
      </c>
      <c r="B20" s="17" t="s">
        <v>65</v>
      </c>
      <c r="C20" s="17" t="s">
        <v>66</v>
      </c>
      <c r="D20" s="18" t="str">
        <f aca="false">IF('Start Here'!$C$12="","",'Start Here'!$C$12+180)</f>
        <v/>
      </c>
      <c r="E20" s="17" t="s">
        <v>77</v>
      </c>
      <c r="F20" s="17" t="s">
        <v>68</v>
      </c>
      <c r="G20" s="19" t="str">
        <f aca="true">IF(OR(A20="",F20="Done",D20=""),"",IF(D20&lt;TODAY(),"OVERDUE",IF(D20=TODAY(),"TODAY","")))</f>
        <v/>
      </c>
      <c r="H20" s="18" t="str">
        <f aca="false">IF('Start Here'!$C$12="","",'Start Here'!$C$12)</f>
        <v/>
      </c>
      <c r="I20" s="18"/>
      <c r="J20" s="17"/>
    </row>
    <row r="21" customFormat="false" ht="23.85" hidden="false" customHeight="false" outlineLevel="0" collapsed="false">
      <c r="A21" s="17" t="s">
        <v>89</v>
      </c>
      <c r="B21" s="17" t="s">
        <v>71</v>
      </c>
      <c r="C21" s="17" t="s">
        <v>66</v>
      </c>
      <c r="D21" s="18" t="str">
        <f aca="false">IF('Start Here'!$C$12="","",'Start Here'!$C$12+14)</f>
        <v/>
      </c>
      <c r="E21" s="17" t="s">
        <v>77</v>
      </c>
      <c r="F21" s="17" t="s">
        <v>68</v>
      </c>
      <c r="G21" s="19" t="str">
        <f aca="true">IF(OR(A21="",F21="Done",D21=""),"",IF(D21&lt;TODAY(),"OVERDUE",IF(D21=TODAY(),"TODAY","")))</f>
        <v/>
      </c>
      <c r="H21" s="18" t="str">
        <f aca="false">IF('Start Here'!$C$12="","",'Start Here'!$C$12)</f>
        <v/>
      </c>
      <c r="I21" s="18"/>
      <c r="J21" s="17"/>
    </row>
    <row r="22" customFormat="false" ht="35.05" hidden="false" customHeight="false" outlineLevel="0" collapsed="false">
      <c r="A22" s="17" t="s">
        <v>90</v>
      </c>
      <c r="B22" s="17" t="s">
        <v>71</v>
      </c>
      <c r="C22" s="17" t="s">
        <v>66</v>
      </c>
      <c r="D22" s="18" t="str">
        <f aca="false">IF('Start Here'!$C$12="","",'Start Here'!$C$12+14)</f>
        <v/>
      </c>
      <c r="E22" s="17" t="s">
        <v>77</v>
      </c>
      <c r="F22" s="17" t="s">
        <v>68</v>
      </c>
      <c r="G22" s="19" t="str">
        <f aca="true">IF(OR(A22="",F22="Done",D22=""),"",IF(D22&lt;TODAY(),"OVERDUE",IF(D22=TODAY(),"TODAY","")))</f>
        <v/>
      </c>
      <c r="H22" s="18" t="str">
        <f aca="false">IF('Start Here'!$C$12="","",'Start Here'!$C$12)</f>
        <v/>
      </c>
      <c r="I22" s="18"/>
      <c r="J22" s="17"/>
    </row>
    <row r="23" customFormat="false" ht="35.05" hidden="false" customHeight="false" outlineLevel="0" collapsed="false">
      <c r="A23" s="17" t="s">
        <v>91</v>
      </c>
      <c r="B23" s="17" t="s">
        <v>71</v>
      </c>
      <c r="C23" s="17" t="s">
        <v>66</v>
      </c>
      <c r="D23" s="18" t="str">
        <f aca="false">IF('Start Here'!$C$12="","",'Start Here'!$C$12+30)</f>
        <v/>
      </c>
      <c r="E23" s="17" t="s">
        <v>77</v>
      </c>
      <c r="F23" s="17" t="s">
        <v>68</v>
      </c>
      <c r="G23" s="19" t="str">
        <f aca="true">IF(OR(A23="",F23="Done",D23=""),"",IF(D23&lt;TODAY(),"OVERDUE",IF(D23=TODAY(),"TODAY","")))</f>
        <v/>
      </c>
      <c r="H23" s="18" t="str">
        <f aca="false">IF('Start Here'!$C$12="","",'Start Here'!$C$12)</f>
        <v/>
      </c>
      <c r="I23" s="18"/>
      <c r="J23" s="17"/>
    </row>
    <row r="24" customFormat="false" ht="35.05" hidden="false" customHeight="false" outlineLevel="0" collapsed="false">
      <c r="A24" s="17" t="s">
        <v>92</v>
      </c>
      <c r="B24" s="17" t="s">
        <v>65</v>
      </c>
      <c r="C24" s="17" t="s">
        <v>66</v>
      </c>
      <c r="D24" s="18" t="str">
        <f aca="false">IF('Start Here'!$C$12="","",'Start Here'!$C$12+30)</f>
        <v/>
      </c>
      <c r="E24" s="17" t="s">
        <v>77</v>
      </c>
      <c r="F24" s="17" t="s">
        <v>68</v>
      </c>
      <c r="G24" s="19" t="str">
        <f aca="true">IF(OR(A24="",F24="Done",D24=""),"",IF(D24&lt;TODAY(),"OVERDUE",IF(D24=TODAY(),"TODAY","")))</f>
        <v/>
      </c>
      <c r="H24" s="18" t="str">
        <f aca="false">IF('Start Here'!$C$12="","",'Start Here'!$C$12)</f>
        <v/>
      </c>
      <c r="I24" s="18"/>
      <c r="J24" s="17"/>
    </row>
    <row r="25" customFormat="false" ht="23.85" hidden="false" customHeight="false" outlineLevel="0" collapsed="false">
      <c r="A25" s="17" t="s">
        <v>93</v>
      </c>
      <c r="B25" s="17" t="s">
        <v>65</v>
      </c>
      <c r="C25" s="17" t="s">
        <v>66</v>
      </c>
      <c r="D25" s="18" t="str">
        <f aca="false">IF('Start Here'!$C$12="","",'Start Here'!$C$12+45)</f>
        <v/>
      </c>
      <c r="E25" s="17" t="s">
        <v>77</v>
      </c>
      <c r="F25" s="17" t="s">
        <v>68</v>
      </c>
      <c r="G25" s="19" t="str">
        <f aca="true">IF(OR(A25="",F25="Done",D25=""),"",IF(D25&lt;TODAY(),"OVERDUE",IF(D25=TODAY(),"TODAY","")))</f>
        <v/>
      </c>
      <c r="H25" s="18" t="str">
        <f aca="false">IF('Start Here'!$C$12="","",'Start Here'!$C$12)</f>
        <v/>
      </c>
      <c r="I25" s="18"/>
      <c r="J25" s="17"/>
    </row>
    <row r="26" customFormat="false" ht="23.85" hidden="false" customHeight="false" outlineLevel="0" collapsed="false">
      <c r="A26" s="17" t="s">
        <v>94</v>
      </c>
      <c r="B26" s="17" t="s">
        <v>65</v>
      </c>
      <c r="C26" s="17" t="s">
        <v>66</v>
      </c>
      <c r="D26" s="18" t="str">
        <f aca="false">IF('Start Here'!$C$12="","",'Start Here'!$C$12+21)</f>
        <v/>
      </c>
      <c r="E26" s="17" t="s">
        <v>77</v>
      </c>
      <c r="F26" s="17" t="s">
        <v>68</v>
      </c>
      <c r="G26" s="19" t="str">
        <f aca="true">IF(OR(A26="",F26="Done",D26=""),"",IF(D26&lt;TODAY(),"OVERDUE",IF(D26=TODAY(),"TODAY","")))</f>
        <v/>
      </c>
      <c r="H26" s="18" t="str">
        <f aca="false">IF('Start Here'!$C$12="","",'Start Here'!$C$12)</f>
        <v/>
      </c>
      <c r="I26" s="18"/>
      <c r="J26" s="17"/>
    </row>
    <row r="27" customFormat="false" ht="35.05" hidden="false" customHeight="false" outlineLevel="0" collapsed="false">
      <c r="A27" s="17" t="s">
        <v>95</v>
      </c>
      <c r="B27" s="17" t="s">
        <v>96</v>
      </c>
      <c r="C27" s="17" t="s">
        <v>66</v>
      </c>
      <c r="D27" s="18" t="str">
        <f aca="false">IF('Start Here'!$C$12="","",'Start Here'!$C$12+7)</f>
        <v/>
      </c>
      <c r="E27" s="17" t="s">
        <v>77</v>
      </c>
      <c r="F27" s="17" t="s">
        <v>68</v>
      </c>
      <c r="G27" s="19" t="str">
        <f aca="true">IF(OR(A27="",F27="Done",D27=""),"",IF(D27&lt;TODAY(),"OVERDUE",IF(D27=TODAY(),"TODAY","")))</f>
        <v/>
      </c>
      <c r="H27" s="18" t="str">
        <f aca="false">IF('Start Here'!$C$12="","",'Start Here'!$C$12)</f>
        <v/>
      </c>
      <c r="I27" s="18"/>
      <c r="J27" s="17"/>
    </row>
    <row r="28" customFormat="false" ht="23.85" hidden="false" customHeight="false" outlineLevel="0" collapsed="false">
      <c r="A28" s="17" t="s">
        <v>97</v>
      </c>
      <c r="B28" s="17" t="s">
        <v>71</v>
      </c>
      <c r="C28" s="17" t="s">
        <v>86</v>
      </c>
      <c r="D28" s="18" t="str">
        <f aca="false">IF('Start Here'!$C$12="","",'Start Here'!$C$12+30)</f>
        <v/>
      </c>
      <c r="E28" s="17" t="s">
        <v>77</v>
      </c>
      <c r="F28" s="17" t="s">
        <v>68</v>
      </c>
      <c r="G28" s="19" t="str">
        <f aca="true">IF(OR(A28="",F28="Done",D28=""),"",IF(D28&lt;TODAY(),"OVERDUE",IF(D28=TODAY(),"TODAY","")))</f>
        <v/>
      </c>
      <c r="H28" s="18" t="str">
        <f aca="false">IF('Start Here'!$C$12="","",'Start Here'!$C$12)</f>
        <v/>
      </c>
      <c r="I28" s="18"/>
      <c r="J28" s="17"/>
    </row>
    <row r="29" customFormat="false" ht="15" hidden="false" customHeight="false" outlineLevel="0" collapsed="false">
      <c r="A29" s="17"/>
      <c r="B29" s="17"/>
      <c r="C29" s="17"/>
      <c r="D29" s="18"/>
      <c r="E29" s="17"/>
      <c r="F29" s="17"/>
      <c r="G29" s="19" t="str">
        <f aca="true">IF(OR(A29="",F29="Done",D29=""),"",IF(D29&lt;TODAY(),"OVERDUE",IF(D29=TODAY(),"TODAY","")))</f>
        <v/>
      </c>
      <c r="H29" s="18"/>
      <c r="I29" s="18"/>
      <c r="J29" s="17"/>
    </row>
    <row r="30" customFormat="false" ht="15" hidden="false" customHeight="false" outlineLevel="0" collapsed="false">
      <c r="A30" s="17"/>
      <c r="B30" s="17"/>
      <c r="C30" s="17"/>
      <c r="D30" s="18"/>
      <c r="E30" s="17"/>
      <c r="F30" s="17"/>
      <c r="G30" s="19" t="str">
        <f aca="true">IF(OR(A30="",F30="Done",D30=""),"",IF(D30&lt;TODAY(),"OVERDUE",IF(D30=TODAY(),"TODAY","")))</f>
        <v/>
      </c>
      <c r="H30" s="18"/>
      <c r="I30" s="18"/>
      <c r="J30" s="17"/>
    </row>
    <row r="31" customFormat="false" ht="15" hidden="false" customHeight="false" outlineLevel="0" collapsed="false">
      <c r="A31" s="17"/>
      <c r="B31" s="17"/>
      <c r="C31" s="17"/>
      <c r="D31" s="18"/>
      <c r="E31" s="17"/>
      <c r="F31" s="17"/>
      <c r="G31" s="19" t="str">
        <f aca="true">IF(OR(A31="",F31="Done",D31=""),"",IF(D31&lt;TODAY(),"OVERDUE",IF(D31=TODAY(),"TODAY","")))</f>
        <v/>
      </c>
      <c r="H31" s="18"/>
      <c r="I31" s="18"/>
      <c r="J31" s="17"/>
    </row>
    <row r="32" customFormat="false" ht="15" hidden="false" customHeight="false" outlineLevel="0" collapsed="false">
      <c r="A32" s="17"/>
      <c r="B32" s="17"/>
      <c r="C32" s="17"/>
      <c r="D32" s="18"/>
      <c r="E32" s="17"/>
      <c r="F32" s="17"/>
      <c r="G32" s="19" t="str">
        <f aca="true">IF(OR(A32="",F32="Done",D32=""),"",IF(D32&lt;TODAY(),"OVERDUE",IF(D32=TODAY(),"TODAY","")))</f>
        <v/>
      </c>
      <c r="H32" s="18"/>
      <c r="I32" s="18"/>
      <c r="J32" s="17"/>
    </row>
    <row r="33" customFormat="false" ht="15" hidden="false" customHeight="false" outlineLevel="0" collapsed="false">
      <c r="A33" s="17"/>
      <c r="B33" s="17"/>
      <c r="C33" s="17"/>
      <c r="D33" s="18"/>
      <c r="E33" s="17"/>
      <c r="F33" s="17"/>
      <c r="G33" s="19" t="str">
        <f aca="true">IF(OR(A33="",F33="Done",D33=""),"",IF(D33&lt;TODAY(),"OVERDUE",IF(D33=TODAY(),"TODAY","")))</f>
        <v/>
      </c>
      <c r="H33" s="18"/>
      <c r="I33" s="18"/>
      <c r="J33" s="17"/>
    </row>
    <row r="34" customFormat="false" ht="15" hidden="false" customHeight="false" outlineLevel="0" collapsed="false">
      <c r="A34" s="17"/>
      <c r="B34" s="17"/>
      <c r="C34" s="17"/>
      <c r="D34" s="18"/>
      <c r="E34" s="17"/>
      <c r="F34" s="17"/>
      <c r="G34" s="19" t="str">
        <f aca="true">IF(OR(A34="",F34="Done",D34=""),"",IF(D34&lt;TODAY(),"OVERDUE",IF(D34=TODAY(),"TODAY","")))</f>
        <v/>
      </c>
      <c r="H34" s="18"/>
      <c r="I34" s="18"/>
      <c r="J34" s="17"/>
    </row>
    <row r="35" customFormat="false" ht="15" hidden="false" customHeight="false" outlineLevel="0" collapsed="false">
      <c r="A35" s="17"/>
      <c r="B35" s="17"/>
      <c r="C35" s="17"/>
      <c r="D35" s="18"/>
      <c r="E35" s="17"/>
      <c r="F35" s="17"/>
      <c r="G35" s="19" t="str">
        <f aca="true">IF(OR(A35="",F35="Done",D35=""),"",IF(D35&lt;TODAY(),"OVERDUE",IF(D35=TODAY(),"TODAY","")))</f>
        <v/>
      </c>
      <c r="H35" s="18"/>
      <c r="I35" s="18"/>
      <c r="J35" s="17"/>
    </row>
    <row r="36" customFormat="false" ht="15" hidden="false" customHeight="false" outlineLevel="0" collapsed="false">
      <c r="A36" s="17"/>
      <c r="B36" s="17"/>
      <c r="C36" s="17"/>
      <c r="D36" s="18"/>
      <c r="E36" s="17"/>
      <c r="F36" s="17"/>
      <c r="G36" s="19" t="str">
        <f aca="true">IF(OR(A36="",F36="Done",D36=""),"",IF(D36&lt;TODAY(),"OVERDUE",IF(D36=TODAY(),"TODAY","")))</f>
        <v/>
      </c>
      <c r="H36" s="18"/>
      <c r="I36" s="18"/>
      <c r="J36" s="17"/>
    </row>
    <row r="37" customFormat="false" ht="15" hidden="false" customHeight="false" outlineLevel="0" collapsed="false">
      <c r="A37" s="17"/>
      <c r="B37" s="17"/>
      <c r="C37" s="17"/>
      <c r="D37" s="18"/>
      <c r="E37" s="17"/>
      <c r="F37" s="17"/>
      <c r="G37" s="19" t="str">
        <f aca="true">IF(OR(A37="",F37="Done",D37=""),"",IF(D37&lt;TODAY(),"OVERDUE",IF(D37=TODAY(),"TODAY","")))</f>
        <v/>
      </c>
      <c r="H37" s="18"/>
      <c r="I37" s="18"/>
      <c r="J37" s="17"/>
    </row>
    <row r="38" customFormat="false" ht="15" hidden="false" customHeight="false" outlineLevel="0" collapsed="false">
      <c r="A38" s="17"/>
      <c r="B38" s="17"/>
      <c r="C38" s="17"/>
      <c r="D38" s="18"/>
      <c r="E38" s="17"/>
      <c r="F38" s="17"/>
      <c r="G38" s="19" t="str">
        <f aca="true">IF(OR(A38="",F38="Done",D38=""),"",IF(D38&lt;TODAY(),"OVERDUE",IF(D38=TODAY(),"TODAY","")))</f>
        <v/>
      </c>
      <c r="H38" s="18"/>
      <c r="I38" s="18"/>
      <c r="J38" s="17"/>
    </row>
    <row r="39" customFormat="false" ht="15" hidden="false" customHeight="false" outlineLevel="0" collapsed="false">
      <c r="A39" s="17"/>
      <c r="B39" s="17"/>
      <c r="C39" s="17"/>
      <c r="D39" s="18"/>
      <c r="E39" s="17"/>
      <c r="F39" s="17"/>
      <c r="G39" s="19" t="str">
        <f aca="true">IF(OR(A39="",F39="Done",D39=""),"",IF(D39&lt;TODAY(),"OVERDUE",IF(D39=TODAY(),"TODAY","")))</f>
        <v/>
      </c>
      <c r="H39" s="18"/>
      <c r="I39" s="18"/>
      <c r="J39" s="17"/>
    </row>
    <row r="40" customFormat="false" ht="15" hidden="false" customHeight="false" outlineLevel="0" collapsed="false">
      <c r="A40" s="17"/>
      <c r="B40" s="17"/>
      <c r="C40" s="17"/>
      <c r="D40" s="18"/>
      <c r="E40" s="17"/>
      <c r="F40" s="17"/>
      <c r="G40" s="19" t="str">
        <f aca="true">IF(OR(A40="",F40="Done",D40=""),"",IF(D40&lt;TODAY(),"OVERDUE",IF(D40=TODAY(),"TODAY","")))</f>
        <v/>
      </c>
      <c r="H40" s="18"/>
      <c r="I40" s="18"/>
      <c r="J40" s="17"/>
    </row>
    <row r="41" customFormat="false" ht="15" hidden="false" customHeight="false" outlineLevel="0" collapsed="false">
      <c r="A41" s="17"/>
      <c r="B41" s="17"/>
      <c r="C41" s="17"/>
      <c r="D41" s="18"/>
      <c r="E41" s="17"/>
      <c r="F41" s="17"/>
      <c r="G41" s="19" t="str">
        <f aca="true">IF(OR(A41="",F41="Done",D41=""),"",IF(D41&lt;TODAY(),"OVERDUE",IF(D41=TODAY(),"TODAY","")))</f>
        <v/>
      </c>
      <c r="H41" s="18"/>
      <c r="I41" s="18"/>
      <c r="J41" s="17"/>
    </row>
    <row r="42" customFormat="false" ht="15" hidden="false" customHeight="false" outlineLevel="0" collapsed="false">
      <c r="A42" s="17"/>
      <c r="B42" s="17"/>
      <c r="C42" s="17"/>
      <c r="D42" s="18"/>
      <c r="E42" s="17"/>
      <c r="F42" s="17"/>
      <c r="G42" s="19" t="str">
        <f aca="true">IF(OR(A42="",F42="Done",D42=""),"",IF(D42&lt;TODAY(),"OVERDUE",IF(D42=TODAY(),"TODAY","")))</f>
        <v/>
      </c>
      <c r="H42" s="18"/>
      <c r="I42" s="18"/>
      <c r="J42" s="17"/>
    </row>
    <row r="43" customFormat="false" ht="15" hidden="false" customHeight="false" outlineLevel="0" collapsed="false">
      <c r="A43" s="17"/>
      <c r="B43" s="17"/>
      <c r="C43" s="17"/>
      <c r="D43" s="18"/>
      <c r="E43" s="17"/>
      <c r="F43" s="17"/>
      <c r="G43" s="19" t="str">
        <f aca="true">IF(OR(A43="",F43="Done",D43=""),"",IF(D43&lt;TODAY(),"OVERDUE",IF(D43=TODAY(),"TODAY","")))</f>
        <v/>
      </c>
      <c r="H43" s="18"/>
      <c r="I43" s="18"/>
      <c r="J43" s="17"/>
    </row>
    <row r="44" customFormat="false" ht="15" hidden="false" customHeight="false" outlineLevel="0" collapsed="false">
      <c r="A44" s="17"/>
      <c r="B44" s="17"/>
      <c r="C44" s="17"/>
      <c r="D44" s="18"/>
      <c r="E44" s="17"/>
      <c r="F44" s="17"/>
      <c r="G44" s="19" t="str">
        <f aca="true">IF(OR(A44="",F44="Done",D44=""),"",IF(D44&lt;TODAY(),"OVERDUE",IF(D44=TODAY(),"TODAY","")))</f>
        <v/>
      </c>
      <c r="H44" s="18"/>
      <c r="I44" s="18"/>
      <c r="J44" s="17"/>
    </row>
    <row r="45" customFormat="false" ht="15" hidden="false" customHeight="false" outlineLevel="0" collapsed="false">
      <c r="A45" s="17"/>
      <c r="B45" s="17"/>
      <c r="C45" s="17"/>
      <c r="D45" s="18"/>
      <c r="E45" s="17"/>
      <c r="F45" s="17"/>
      <c r="G45" s="19" t="str">
        <f aca="true">IF(OR(A45="",F45="Done",D45=""),"",IF(D45&lt;TODAY(),"OVERDUE",IF(D45=TODAY(),"TODAY","")))</f>
        <v/>
      </c>
      <c r="H45" s="18"/>
      <c r="I45" s="18"/>
      <c r="J45" s="17"/>
    </row>
    <row r="46" customFormat="false" ht="15" hidden="false" customHeight="false" outlineLevel="0" collapsed="false">
      <c r="A46" s="17"/>
      <c r="B46" s="17"/>
      <c r="C46" s="17"/>
      <c r="D46" s="18"/>
      <c r="E46" s="17"/>
      <c r="F46" s="17"/>
      <c r="G46" s="19" t="str">
        <f aca="true">IF(OR(A46="",F46="Done",D46=""),"",IF(D46&lt;TODAY(),"OVERDUE",IF(D46=TODAY(),"TODAY","")))</f>
        <v/>
      </c>
      <c r="H46" s="18"/>
      <c r="I46" s="18"/>
      <c r="J46" s="17"/>
    </row>
    <row r="47" customFormat="false" ht="15" hidden="false" customHeight="false" outlineLevel="0" collapsed="false">
      <c r="A47" s="17"/>
      <c r="B47" s="17"/>
      <c r="C47" s="17"/>
      <c r="D47" s="18"/>
      <c r="E47" s="17"/>
      <c r="F47" s="17"/>
      <c r="G47" s="19" t="str">
        <f aca="true">IF(OR(A47="",F47="Done",D47=""),"",IF(D47&lt;TODAY(),"OVERDUE",IF(D47=TODAY(),"TODAY","")))</f>
        <v/>
      </c>
      <c r="H47" s="18"/>
      <c r="I47" s="18"/>
      <c r="J47" s="17"/>
    </row>
    <row r="48" customFormat="false" ht="15" hidden="false" customHeight="false" outlineLevel="0" collapsed="false">
      <c r="A48" s="17"/>
      <c r="B48" s="17"/>
      <c r="C48" s="17"/>
      <c r="D48" s="18"/>
      <c r="E48" s="17"/>
      <c r="F48" s="17"/>
      <c r="G48" s="19" t="str">
        <f aca="true">IF(OR(A48="",F48="Done",D48=""),"",IF(D48&lt;TODAY(),"OVERDUE",IF(D48=TODAY(),"TODAY","")))</f>
        <v/>
      </c>
      <c r="H48" s="18"/>
      <c r="I48" s="18"/>
      <c r="J48" s="17"/>
    </row>
    <row r="49" customFormat="false" ht="15" hidden="false" customHeight="false" outlineLevel="0" collapsed="false">
      <c r="A49" s="17"/>
      <c r="B49" s="17"/>
      <c r="C49" s="17"/>
      <c r="D49" s="18"/>
      <c r="E49" s="17"/>
      <c r="F49" s="17"/>
      <c r="G49" s="19" t="str">
        <f aca="true">IF(OR(A49="",F49="Done",D49=""),"",IF(D49&lt;TODAY(),"OVERDUE",IF(D49=TODAY(),"TODAY","")))</f>
        <v/>
      </c>
      <c r="H49" s="18"/>
      <c r="I49" s="18"/>
      <c r="J49" s="17"/>
    </row>
    <row r="50" customFormat="false" ht="15" hidden="false" customHeight="false" outlineLevel="0" collapsed="false">
      <c r="A50" s="17"/>
      <c r="B50" s="17"/>
      <c r="C50" s="17"/>
      <c r="D50" s="18"/>
      <c r="E50" s="17"/>
      <c r="F50" s="17"/>
      <c r="G50" s="19" t="str">
        <f aca="true">IF(OR(A50="",F50="Done",D50=""),"",IF(D50&lt;TODAY(),"OVERDUE",IF(D50=TODAY(),"TODAY","")))</f>
        <v/>
      </c>
      <c r="H50" s="18"/>
      <c r="I50" s="18"/>
      <c r="J50" s="17"/>
    </row>
    <row r="51" customFormat="false" ht="15" hidden="false" customHeight="false" outlineLevel="0" collapsed="false">
      <c r="A51" s="17"/>
      <c r="B51" s="17"/>
      <c r="C51" s="17"/>
      <c r="D51" s="18"/>
      <c r="E51" s="17"/>
      <c r="F51" s="17"/>
      <c r="G51" s="19" t="str">
        <f aca="true">IF(OR(A51="",F51="Done",D51=""),"",IF(D51&lt;TODAY(),"OVERDUE",IF(D51=TODAY(),"TODAY","")))</f>
        <v/>
      </c>
      <c r="H51" s="18"/>
      <c r="I51" s="18"/>
      <c r="J51" s="17"/>
    </row>
    <row r="52" customFormat="false" ht="15" hidden="false" customHeight="false" outlineLevel="0" collapsed="false">
      <c r="A52" s="17"/>
      <c r="B52" s="17"/>
      <c r="C52" s="17"/>
      <c r="D52" s="18"/>
      <c r="E52" s="17"/>
      <c r="F52" s="17"/>
      <c r="G52" s="19" t="str">
        <f aca="true">IF(OR(A52="",F52="Done",D52=""),"",IF(D52&lt;TODAY(),"OVERDUE",IF(D52=TODAY(),"TODAY","")))</f>
        <v/>
      </c>
      <c r="H52" s="18"/>
      <c r="I52" s="18"/>
      <c r="J52" s="17"/>
    </row>
    <row r="53" customFormat="false" ht="15" hidden="false" customHeight="false" outlineLevel="0" collapsed="false">
      <c r="A53" s="17"/>
      <c r="B53" s="17"/>
      <c r="C53" s="17"/>
      <c r="D53" s="18"/>
      <c r="E53" s="17"/>
      <c r="F53" s="17"/>
      <c r="G53" s="19" t="str">
        <f aca="true">IF(OR(A53="",F53="Done",D53=""),"",IF(D53&lt;TODAY(),"OVERDUE",IF(D53=TODAY(),"TODAY","")))</f>
        <v/>
      </c>
      <c r="H53" s="18"/>
      <c r="I53" s="18"/>
      <c r="J53" s="17"/>
    </row>
    <row r="54" customFormat="false" ht="15" hidden="false" customHeight="false" outlineLevel="0" collapsed="false">
      <c r="A54" s="17"/>
      <c r="B54" s="17"/>
      <c r="C54" s="17"/>
      <c r="D54" s="18"/>
      <c r="E54" s="17"/>
      <c r="F54" s="17"/>
      <c r="G54" s="19" t="str">
        <f aca="true">IF(OR(A54="",F54="Done",D54=""),"",IF(D54&lt;TODAY(),"OVERDUE",IF(D54=TODAY(),"TODAY","")))</f>
        <v/>
      </c>
      <c r="H54" s="18"/>
      <c r="I54" s="18"/>
      <c r="J54" s="17"/>
    </row>
    <row r="55" customFormat="false" ht="15" hidden="false" customHeight="false" outlineLevel="0" collapsed="false">
      <c r="A55" s="17"/>
      <c r="B55" s="17"/>
      <c r="C55" s="17"/>
      <c r="D55" s="18"/>
      <c r="E55" s="17"/>
      <c r="F55" s="17"/>
      <c r="G55" s="19" t="str">
        <f aca="true">IF(OR(A55="",F55="Done",D55=""),"",IF(D55&lt;TODAY(),"OVERDUE",IF(D55=TODAY(),"TODAY","")))</f>
        <v/>
      </c>
      <c r="H55" s="18"/>
      <c r="I55" s="18"/>
      <c r="J55" s="17"/>
    </row>
    <row r="56" customFormat="false" ht="15" hidden="false" customHeight="false" outlineLevel="0" collapsed="false">
      <c r="A56" s="17"/>
      <c r="B56" s="17"/>
      <c r="C56" s="17"/>
      <c r="D56" s="18"/>
      <c r="E56" s="17"/>
      <c r="F56" s="17"/>
      <c r="G56" s="19" t="str">
        <f aca="true">IF(OR(A56="",F56="Done",D56=""),"",IF(D56&lt;TODAY(),"OVERDUE",IF(D56=TODAY(),"TODAY","")))</f>
        <v/>
      </c>
      <c r="H56" s="18"/>
      <c r="I56" s="18"/>
      <c r="J56" s="17"/>
    </row>
    <row r="57" customFormat="false" ht="15" hidden="false" customHeight="false" outlineLevel="0" collapsed="false">
      <c r="A57" s="17"/>
      <c r="B57" s="17"/>
      <c r="C57" s="17"/>
      <c r="D57" s="18"/>
      <c r="E57" s="17"/>
      <c r="F57" s="17"/>
      <c r="G57" s="19" t="str">
        <f aca="true">IF(OR(A57="",F57="Done",D57=""),"",IF(D57&lt;TODAY(),"OVERDUE",IF(D57=TODAY(),"TODAY","")))</f>
        <v/>
      </c>
      <c r="H57" s="18"/>
      <c r="I57" s="18"/>
      <c r="J57" s="17"/>
    </row>
    <row r="58" customFormat="false" ht="15" hidden="false" customHeight="false" outlineLevel="0" collapsed="false">
      <c r="A58" s="17"/>
      <c r="B58" s="17"/>
      <c r="C58" s="17"/>
      <c r="D58" s="18"/>
      <c r="E58" s="17"/>
      <c r="F58" s="17"/>
      <c r="G58" s="19" t="str">
        <f aca="true">IF(OR(A58="",F58="Done",D58=""),"",IF(D58&lt;TODAY(),"OVERDUE",IF(D58=TODAY(),"TODAY","")))</f>
        <v/>
      </c>
      <c r="H58" s="18"/>
      <c r="I58" s="18"/>
      <c r="J58" s="17"/>
    </row>
    <row r="59" customFormat="false" ht="15" hidden="false" customHeight="false" outlineLevel="0" collapsed="false">
      <c r="A59" s="17"/>
      <c r="B59" s="17"/>
      <c r="C59" s="17"/>
      <c r="D59" s="18"/>
      <c r="E59" s="17"/>
      <c r="F59" s="17"/>
      <c r="G59" s="19" t="str">
        <f aca="true">IF(OR(A59="",F59="Done",D59=""),"",IF(D59&lt;TODAY(),"OVERDUE",IF(D59=TODAY(),"TODAY","")))</f>
        <v/>
      </c>
      <c r="H59" s="18"/>
      <c r="I59" s="18"/>
      <c r="J59" s="17"/>
    </row>
    <row r="60" customFormat="false" ht="15" hidden="false" customHeight="false" outlineLevel="0" collapsed="false">
      <c r="A60" s="17"/>
      <c r="B60" s="17"/>
      <c r="C60" s="17"/>
      <c r="D60" s="18"/>
      <c r="E60" s="17"/>
      <c r="F60" s="17"/>
      <c r="G60" s="19" t="str">
        <f aca="true">IF(OR(A60="",F60="Done",D60=""),"",IF(D60&lt;TODAY(),"OVERDUE",IF(D60=TODAY(),"TODAY","")))</f>
        <v/>
      </c>
      <c r="H60" s="18"/>
      <c r="I60" s="18"/>
      <c r="J60" s="17"/>
    </row>
    <row r="61" customFormat="false" ht="15" hidden="false" customHeight="false" outlineLevel="0" collapsed="false">
      <c r="A61" s="17"/>
      <c r="B61" s="17"/>
      <c r="C61" s="17"/>
      <c r="D61" s="18"/>
      <c r="E61" s="17"/>
      <c r="F61" s="17"/>
      <c r="G61" s="19" t="str">
        <f aca="true">IF(OR(A61="",F61="Done",D61=""),"",IF(D61&lt;TODAY(),"OVERDUE",IF(D61=TODAY(),"TODAY","")))</f>
        <v/>
      </c>
      <c r="H61" s="18"/>
      <c r="I61" s="18"/>
      <c r="J61" s="17"/>
    </row>
    <row r="62" customFormat="false" ht="15" hidden="false" customHeight="false" outlineLevel="0" collapsed="false">
      <c r="A62" s="17"/>
      <c r="B62" s="17"/>
      <c r="C62" s="17"/>
      <c r="D62" s="18"/>
      <c r="E62" s="17"/>
      <c r="F62" s="17"/>
      <c r="G62" s="19" t="str">
        <f aca="true">IF(OR(A62="",F62="Done",D62=""),"",IF(D62&lt;TODAY(),"OVERDUE",IF(D62=TODAY(),"TODAY","")))</f>
        <v/>
      </c>
      <c r="H62" s="18"/>
      <c r="I62" s="18"/>
      <c r="J62" s="17"/>
    </row>
    <row r="63" customFormat="false" ht="15" hidden="false" customHeight="false" outlineLevel="0" collapsed="false">
      <c r="A63" s="17"/>
      <c r="B63" s="17"/>
      <c r="C63" s="17"/>
      <c r="D63" s="18"/>
      <c r="E63" s="17"/>
      <c r="F63" s="17"/>
      <c r="G63" s="19" t="str">
        <f aca="true">IF(OR(A63="",F63="Done",D63=""),"",IF(D63&lt;TODAY(),"OVERDUE",IF(D63=TODAY(),"TODAY","")))</f>
        <v/>
      </c>
      <c r="H63" s="18"/>
      <c r="I63" s="18"/>
      <c r="J63" s="17"/>
    </row>
    <row r="64" customFormat="false" ht="15" hidden="false" customHeight="false" outlineLevel="0" collapsed="false">
      <c r="A64" s="17"/>
      <c r="B64" s="17"/>
      <c r="C64" s="17"/>
      <c r="D64" s="18"/>
      <c r="E64" s="17"/>
      <c r="F64" s="17"/>
      <c r="G64" s="19" t="str">
        <f aca="true">IF(OR(A64="",F64="Done",D64=""),"",IF(D64&lt;TODAY(),"OVERDUE",IF(D64=TODAY(),"TODAY","")))</f>
        <v/>
      </c>
      <c r="H64" s="18"/>
      <c r="I64" s="18"/>
      <c r="J64" s="17"/>
    </row>
    <row r="65" customFormat="false" ht="15" hidden="false" customHeight="false" outlineLevel="0" collapsed="false">
      <c r="A65" s="17"/>
      <c r="B65" s="17"/>
      <c r="C65" s="17"/>
      <c r="D65" s="18"/>
      <c r="E65" s="17"/>
      <c r="F65" s="17"/>
      <c r="G65" s="19" t="str">
        <f aca="true">IF(OR(A65="",F65="Done",D65=""),"",IF(D65&lt;TODAY(),"OVERDUE",IF(D65=TODAY(),"TODAY","")))</f>
        <v/>
      </c>
      <c r="H65" s="18"/>
      <c r="I65" s="18"/>
      <c r="J65" s="17"/>
    </row>
    <row r="66" customFormat="false" ht="15" hidden="false" customHeight="false" outlineLevel="0" collapsed="false">
      <c r="A66" s="17"/>
      <c r="B66" s="17"/>
      <c r="C66" s="17"/>
      <c r="D66" s="18"/>
      <c r="E66" s="17"/>
      <c r="F66" s="17"/>
      <c r="G66" s="19" t="str">
        <f aca="true">IF(OR(A66="",F66="Done",D66=""),"",IF(D66&lt;TODAY(),"OVERDUE",IF(D66=TODAY(),"TODAY","")))</f>
        <v/>
      </c>
      <c r="H66" s="18"/>
      <c r="I66" s="18"/>
      <c r="J66" s="17"/>
    </row>
    <row r="67" customFormat="false" ht="15" hidden="false" customHeight="false" outlineLevel="0" collapsed="false">
      <c r="A67" s="17"/>
      <c r="B67" s="17"/>
      <c r="C67" s="17"/>
      <c r="D67" s="18"/>
      <c r="E67" s="17"/>
      <c r="F67" s="17"/>
      <c r="G67" s="19" t="str">
        <f aca="true">IF(OR(A67="",F67="Done",D67=""),"",IF(D67&lt;TODAY(),"OVERDUE",IF(D67=TODAY(),"TODAY","")))</f>
        <v/>
      </c>
      <c r="H67" s="18"/>
      <c r="I67" s="18"/>
      <c r="J67" s="17"/>
    </row>
    <row r="68" customFormat="false" ht="15" hidden="false" customHeight="false" outlineLevel="0" collapsed="false">
      <c r="A68" s="17"/>
      <c r="B68" s="17"/>
      <c r="C68" s="17"/>
      <c r="D68" s="18"/>
      <c r="E68" s="17"/>
      <c r="F68" s="17"/>
      <c r="G68" s="19" t="str">
        <f aca="true">IF(OR(A68="",F68="Done",D68=""),"",IF(D68&lt;TODAY(),"OVERDUE",IF(D68=TODAY(),"TODAY","")))</f>
        <v/>
      </c>
      <c r="H68" s="18"/>
      <c r="I68" s="18"/>
      <c r="J68" s="17"/>
    </row>
    <row r="69" customFormat="false" ht="15" hidden="false" customHeight="false" outlineLevel="0" collapsed="false">
      <c r="A69" s="17"/>
      <c r="B69" s="17"/>
      <c r="C69" s="17"/>
      <c r="D69" s="18"/>
      <c r="E69" s="17"/>
      <c r="F69" s="17"/>
      <c r="G69" s="19" t="str">
        <f aca="true">IF(OR(A69="",F69="Done",D69=""),"",IF(D69&lt;TODAY(),"OVERDUE",IF(D69=TODAY(),"TODAY","")))</f>
        <v/>
      </c>
      <c r="H69" s="18"/>
      <c r="I69" s="18"/>
      <c r="J69" s="17"/>
    </row>
    <row r="70" customFormat="false" ht="15" hidden="false" customHeight="false" outlineLevel="0" collapsed="false">
      <c r="A70" s="17"/>
      <c r="B70" s="17"/>
      <c r="C70" s="17"/>
      <c r="D70" s="18"/>
      <c r="E70" s="17"/>
      <c r="F70" s="17"/>
      <c r="G70" s="19" t="str">
        <f aca="true">IF(OR(A70="",F70="Done",D70=""),"",IF(D70&lt;TODAY(),"OVERDUE",IF(D70=TODAY(),"TODAY","")))</f>
        <v/>
      </c>
      <c r="H70" s="18"/>
      <c r="I70" s="18"/>
      <c r="J70" s="17"/>
    </row>
    <row r="71" customFormat="false" ht="15" hidden="false" customHeight="false" outlineLevel="0" collapsed="false">
      <c r="A71" s="17"/>
      <c r="B71" s="17"/>
      <c r="C71" s="17"/>
      <c r="D71" s="18"/>
      <c r="E71" s="17"/>
      <c r="F71" s="17"/>
      <c r="G71" s="19" t="str">
        <f aca="true">IF(OR(A71="",F71="Done",D71=""),"",IF(D71&lt;TODAY(),"OVERDUE",IF(D71=TODAY(),"TODAY","")))</f>
        <v/>
      </c>
      <c r="H71" s="18"/>
      <c r="I71" s="18"/>
      <c r="J71" s="17"/>
    </row>
    <row r="72" customFormat="false" ht="15" hidden="false" customHeight="false" outlineLevel="0" collapsed="false">
      <c r="A72" s="17"/>
      <c r="B72" s="17"/>
      <c r="C72" s="17"/>
      <c r="D72" s="18"/>
      <c r="E72" s="17"/>
      <c r="F72" s="17"/>
      <c r="G72" s="19" t="str">
        <f aca="true">IF(OR(A72="",F72="Done",D72=""),"",IF(D72&lt;TODAY(),"OVERDUE",IF(D72=TODAY(),"TODAY","")))</f>
        <v/>
      </c>
      <c r="H72" s="18"/>
      <c r="I72" s="18"/>
      <c r="J72" s="17"/>
    </row>
    <row r="73" customFormat="false" ht="15" hidden="false" customHeight="false" outlineLevel="0" collapsed="false">
      <c r="A73" s="17"/>
      <c r="B73" s="17"/>
      <c r="C73" s="17"/>
      <c r="D73" s="18"/>
      <c r="E73" s="17"/>
      <c r="F73" s="17"/>
      <c r="G73" s="19" t="str">
        <f aca="true">IF(OR(A73="",F73="Done",D73=""),"",IF(D73&lt;TODAY(),"OVERDUE",IF(D73=TODAY(),"TODAY","")))</f>
        <v/>
      </c>
      <c r="H73" s="18"/>
      <c r="I73" s="18"/>
      <c r="J73" s="17"/>
    </row>
    <row r="74" customFormat="false" ht="15" hidden="false" customHeight="false" outlineLevel="0" collapsed="false">
      <c r="A74" s="17"/>
      <c r="B74" s="17"/>
      <c r="C74" s="17"/>
      <c r="D74" s="18"/>
      <c r="E74" s="17"/>
      <c r="F74" s="17"/>
      <c r="G74" s="19" t="str">
        <f aca="true">IF(OR(A74="",F74="Done",D74=""),"",IF(D74&lt;TODAY(),"OVERDUE",IF(D74=TODAY(),"TODAY","")))</f>
        <v/>
      </c>
      <c r="H74" s="18"/>
      <c r="I74" s="18"/>
      <c r="J74" s="17"/>
    </row>
    <row r="75" customFormat="false" ht="15" hidden="false" customHeight="false" outlineLevel="0" collapsed="false">
      <c r="A75" s="17"/>
      <c r="B75" s="17"/>
      <c r="C75" s="17"/>
      <c r="D75" s="18"/>
      <c r="E75" s="17"/>
      <c r="F75" s="17"/>
      <c r="G75" s="19" t="str">
        <f aca="true">IF(OR(A75="",F75="Done",D75=""),"",IF(D75&lt;TODAY(),"OVERDUE",IF(D75=TODAY(),"TODAY","")))</f>
        <v/>
      </c>
      <c r="H75" s="18"/>
      <c r="I75" s="18"/>
      <c r="J75" s="17"/>
    </row>
    <row r="76" customFormat="false" ht="15" hidden="false" customHeight="false" outlineLevel="0" collapsed="false">
      <c r="A76" s="17"/>
      <c r="B76" s="17"/>
      <c r="C76" s="17"/>
      <c r="D76" s="18"/>
      <c r="E76" s="17"/>
      <c r="F76" s="17"/>
      <c r="G76" s="19" t="str">
        <f aca="true">IF(OR(A76="",F76="Done",D76=""),"",IF(D76&lt;TODAY(),"OVERDUE",IF(D76=TODAY(),"TODAY","")))</f>
        <v/>
      </c>
      <c r="H76" s="18"/>
      <c r="I76" s="18"/>
      <c r="J76" s="17"/>
    </row>
    <row r="77" customFormat="false" ht="15" hidden="false" customHeight="false" outlineLevel="0" collapsed="false">
      <c r="A77" s="17"/>
      <c r="B77" s="17"/>
      <c r="C77" s="17"/>
      <c r="D77" s="18"/>
      <c r="E77" s="17"/>
      <c r="F77" s="17"/>
      <c r="G77" s="19" t="str">
        <f aca="true">IF(OR(A77="",F77="Done",D77=""),"",IF(D77&lt;TODAY(),"OVERDUE",IF(D77=TODAY(),"TODAY","")))</f>
        <v/>
      </c>
      <c r="H77" s="18"/>
      <c r="I77" s="18"/>
      <c r="J77" s="17"/>
    </row>
    <row r="78" customFormat="false" ht="15" hidden="false" customHeight="false" outlineLevel="0" collapsed="false">
      <c r="A78" s="17"/>
      <c r="B78" s="17"/>
      <c r="C78" s="17"/>
      <c r="D78" s="18"/>
      <c r="E78" s="17"/>
      <c r="F78" s="17"/>
      <c r="G78" s="19" t="str">
        <f aca="true">IF(OR(A78="",F78="Done",D78=""),"",IF(D78&lt;TODAY(),"OVERDUE",IF(D78=TODAY(),"TODAY","")))</f>
        <v/>
      </c>
      <c r="H78" s="18"/>
      <c r="I78" s="18"/>
      <c r="J78" s="17"/>
    </row>
    <row r="79" customFormat="false" ht="15" hidden="false" customHeight="false" outlineLevel="0" collapsed="false">
      <c r="A79" s="17"/>
      <c r="B79" s="17"/>
      <c r="C79" s="17"/>
      <c r="D79" s="18"/>
      <c r="E79" s="17"/>
      <c r="F79" s="17"/>
      <c r="G79" s="19" t="str">
        <f aca="true">IF(OR(A79="",F79="Done",D79=""),"",IF(D79&lt;TODAY(),"OVERDUE",IF(D79=TODAY(),"TODAY","")))</f>
        <v/>
      </c>
      <c r="H79" s="18"/>
      <c r="I79" s="18"/>
      <c r="J79" s="17"/>
    </row>
    <row r="80" customFormat="false" ht="15" hidden="false" customHeight="false" outlineLevel="0" collapsed="false">
      <c r="A80" s="17"/>
      <c r="B80" s="17"/>
      <c r="C80" s="17"/>
      <c r="D80" s="18"/>
      <c r="E80" s="17"/>
      <c r="F80" s="17"/>
      <c r="G80" s="19" t="str">
        <f aca="true">IF(OR(A80="",F80="Done",D80=""),"",IF(D80&lt;TODAY(),"OVERDUE",IF(D80=TODAY(),"TODAY","")))</f>
        <v/>
      </c>
      <c r="H80" s="18"/>
      <c r="I80" s="18"/>
      <c r="J80" s="17"/>
    </row>
    <row r="81" customFormat="false" ht="15" hidden="false" customHeight="false" outlineLevel="0" collapsed="false">
      <c r="A81" s="17"/>
      <c r="B81" s="17"/>
      <c r="C81" s="17"/>
      <c r="D81" s="18"/>
      <c r="E81" s="17"/>
      <c r="F81" s="17"/>
      <c r="G81" s="19" t="str">
        <f aca="true">IF(OR(A81="",F81="Done",D81=""),"",IF(D81&lt;TODAY(),"OVERDUE",IF(D81=TODAY(),"TODAY","")))</f>
        <v/>
      </c>
      <c r="H81" s="18"/>
      <c r="I81" s="18"/>
      <c r="J81" s="17"/>
    </row>
    <row r="82" customFormat="false" ht="15" hidden="false" customHeight="false" outlineLevel="0" collapsed="false">
      <c r="A82" s="17"/>
      <c r="B82" s="17"/>
      <c r="C82" s="17"/>
      <c r="D82" s="18"/>
      <c r="E82" s="17"/>
      <c r="F82" s="17"/>
      <c r="G82" s="19" t="str">
        <f aca="true">IF(OR(A82="",F82="Done",D82=""),"",IF(D82&lt;TODAY(),"OVERDUE",IF(D82=TODAY(),"TODAY","")))</f>
        <v/>
      </c>
      <c r="H82" s="18"/>
      <c r="I82" s="18"/>
      <c r="J82" s="17"/>
    </row>
    <row r="83" customFormat="false" ht="15" hidden="false" customHeight="false" outlineLevel="0" collapsed="false">
      <c r="A83" s="17"/>
      <c r="B83" s="17"/>
      <c r="C83" s="17"/>
      <c r="D83" s="18"/>
      <c r="E83" s="17"/>
      <c r="F83" s="17"/>
      <c r="G83" s="19" t="str">
        <f aca="true">IF(OR(A83="",F83="Done",D83=""),"",IF(D83&lt;TODAY(),"OVERDUE",IF(D83=TODAY(),"TODAY","")))</f>
        <v/>
      </c>
      <c r="H83" s="18"/>
      <c r="I83" s="18"/>
      <c r="J83" s="17"/>
    </row>
    <row r="84" customFormat="false" ht="15" hidden="false" customHeight="false" outlineLevel="0" collapsed="false">
      <c r="A84" s="17"/>
      <c r="B84" s="17"/>
      <c r="C84" s="17"/>
      <c r="D84" s="18"/>
      <c r="E84" s="17"/>
      <c r="F84" s="17"/>
      <c r="G84" s="19" t="str">
        <f aca="true">IF(OR(A84="",F84="Done",D84=""),"",IF(D84&lt;TODAY(),"OVERDUE",IF(D84=TODAY(),"TODAY","")))</f>
        <v/>
      </c>
      <c r="H84" s="18"/>
      <c r="I84" s="18"/>
      <c r="J84" s="17"/>
    </row>
    <row r="85" customFormat="false" ht="15" hidden="false" customHeight="false" outlineLevel="0" collapsed="false">
      <c r="A85" s="17"/>
      <c r="B85" s="17"/>
      <c r="C85" s="17"/>
      <c r="D85" s="18"/>
      <c r="E85" s="17"/>
      <c r="F85" s="17"/>
      <c r="G85" s="19" t="str">
        <f aca="true">IF(OR(A85="",F85="Done",D85=""),"",IF(D85&lt;TODAY(),"OVERDUE",IF(D85=TODAY(),"TODAY","")))</f>
        <v/>
      </c>
      <c r="H85" s="18"/>
      <c r="I85" s="18"/>
      <c r="J85" s="17"/>
    </row>
    <row r="86" customFormat="false" ht="15" hidden="false" customHeight="false" outlineLevel="0" collapsed="false">
      <c r="A86" s="17"/>
      <c r="B86" s="17"/>
      <c r="C86" s="17"/>
      <c r="D86" s="18"/>
      <c r="E86" s="17"/>
      <c r="F86" s="17"/>
      <c r="G86" s="19" t="str">
        <f aca="true">IF(OR(A86="",F86="Done",D86=""),"",IF(D86&lt;TODAY(),"OVERDUE",IF(D86=TODAY(),"TODAY","")))</f>
        <v/>
      </c>
      <c r="H86" s="18"/>
      <c r="I86" s="18"/>
      <c r="J86" s="17"/>
    </row>
    <row r="87" customFormat="false" ht="15" hidden="false" customHeight="false" outlineLevel="0" collapsed="false">
      <c r="A87" s="17"/>
      <c r="B87" s="17"/>
      <c r="C87" s="17"/>
      <c r="D87" s="18"/>
      <c r="E87" s="17"/>
      <c r="F87" s="17"/>
      <c r="G87" s="19" t="str">
        <f aca="true">IF(OR(A87="",F87="Done",D87=""),"",IF(D87&lt;TODAY(),"OVERDUE",IF(D87=TODAY(),"TODAY","")))</f>
        <v/>
      </c>
      <c r="H87" s="18"/>
      <c r="I87" s="18"/>
      <c r="J87" s="17"/>
    </row>
    <row r="88" customFormat="false" ht="15" hidden="false" customHeight="false" outlineLevel="0" collapsed="false">
      <c r="A88" s="17"/>
      <c r="B88" s="17"/>
      <c r="C88" s="17"/>
      <c r="D88" s="18"/>
      <c r="E88" s="17"/>
      <c r="F88" s="17"/>
      <c r="G88" s="19" t="str">
        <f aca="true">IF(OR(A88="",F88="Done",D88=""),"",IF(D88&lt;TODAY(),"OVERDUE",IF(D88=TODAY(),"TODAY","")))</f>
        <v/>
      </c>
      <c r="H88" s="18"/>
      <c r="I88" s="18"/>
      <c r="J88" s="17"/>
    </row>
    <row r="89" customFormat="false" ht="15" hidden="false" customHeight="false" outlineLevel="0" collapsed="false">
      <c r="A89" s="17"/>
      <c r="B89" s="17"/>
      <c r="C89" s="17"/>
      <c r="D89" s="18"/>
      <c r="E89" s="17"/>
      <c r="F89" s="17"/>
      <c r="G89" s="19" t="str">
        <f aca="true">IF(OR(A89="",F89="Done",D89=""),"",IF(D89&lt;TODAY(),"OVERDUE",IF(D89=TODAY(),"TODAY","")))</f>
        <v/>
      </c>
      <c r="H89" s="18"/>
      <c r="I89" s="18"/>
      <c r="J89" s="17"/>
    </row>
    <row r="90" customFormat="false" ht="15" hidden="false" customHeight="false" outlineLevel="0" collapsed="false">
      <c r="A90" s="17"/>
      <c r="B90" s="17"/>
      <c r="C90" s="17"/>
      <c r="D90" s="18"/>
      <c r="E90" s="17"/>
      <c r="F90" s="17"/>
      <c r="G90" s="19" t="str">
        <f aca="true">IF(OR(A90="",F90="Done",D90=""),"",IF(D90&lt;TODAY(),"OVERDUE",IF(D90=TODAY(),"TODAY","")))</f>
        <v/>
      </c>
      <c r="H90" s="18"/>
      <c r="I90" s="18"/>
      <c r="J90" s="17"/>
    </row>
    <row r="91" customFormat="false" ht="15" hidden="false" customHeight="false" outlineLevel="0" collapsed="false">
      <c r="A91" s="17"/>
      <c r="B91" s="17"/>
      <c r="C91" s="17"/>
      <c r="D91" s="18"/>
      <c r="E91" s="17"/>
      <c r="F91" s="17"/>
      <c r="G91" s="19" t="str">
        <f aca="true">IF(OR(A91="",F91="Done",D91=""),"",IF(D91&lt;TODAY(),"OVERDUE",IF(D91=TODAY(),"TODAY","")))</f>
        <v/>
      </c>
      <c r="H91" s="18"/>
      <c r="I91" s="18"/>
      <c r="J91" s="17"/>
    </row>
    <row r="92" customFormat="false" ht="15" hidden="false" customHeight="false" outlineLevel="0" collapsed="false">
      <c r="A92" s="17"/>
      <c r="B92" s="17"/>
      <c r="C92" s="17"/>
      <c r="D92" s="18"/>
      <c r="E92" s="17"/>
      <c r="F92" s="17"/>
      <c r="G92" s="19" t="str">
        <f aca="true">IF(OR(A92="",F92="Done",D92=""),"",IF(D92&lt;TODAY(),"OVERDUE",IF(D92=TODAY(),"TODAY","")))</f>
        <v/>
      </c>
      <c r="H92" s="18"/>
      <c r="I92" s="18"/>
      <c r="J92" s="17"/>
    </row>
    <row r="93" customFormat="false" ht="15" hidden="false" customHeight="false" outlineLevel="0" collapsed="false">
      <c r="A93" s="17"/>
      <c r="B93" s="17"/>
      <c r="C93" s="17"/>
      <c r="D93" s="18"/>
      <c r="E93" s="17"/>
      <c r="F93" s="17"/>
      <c r="G93" s="19" t="str">
        <f aca="true">IF(OR(A93="",F93="Done",D93=""),"",IF(D93&lt;TODAY(),"OVERDUE",IF(D93=TODAY(),"TODAY","")))</f>
        <v/>
      </c>
      <c r="H93" s="18"/>
      <c r="I93" s="18"/>
      <c r="J93" s="17"/>
    </row>
    <row r="94" customFormat="false" ht="15" hidden="false" customHeight="false" outlineLevel="0" collapsed="false">
      <c r="A94" s="17"/>
      <c r="B94" s="17"/>
      <c r="C94" s="17"/>
      <c r="D94" s="18"/>
      <c r="E94" s="17"/>
      <c r="F94" s="17"/>
      <c r="G94" s="19" t="str">
        <f aca="true">IF(OR(A94="",F94="Done",D94=""),"",IF(D94&lt;TODAY(),"OVERDUE",IF(D94=TODAY(),"TODAY","")))</f>
        <v/>
      </c>
      <c r="H94" s="18"/>
      <c r="I94" s="18"/>
      <c r="J94" s="17"/>
    </row>
    <row r="95" customFormat="false" ht="15" hidden="false" customHeight="false" outlineLevel="0" collapsed="false">
      <c r="A95" s="17"/>
      <c r="B95" s="17"/>
      <c r="C95" s="17"/>
      <c r="D95" s="18"/>
      <c r="E95" s="17"/>
      <c r="F95" s="17"/>
      <c r="G95" s="19" t="str">
        <f aca="true">IF(OR(A95="",F95="Done",D95=""),"",IF(D95&lt;TODAY(),"OVERDUE",IF(D95=TODAY(),"TODAY","")))</f>
        <v/>
      </c>
      <c r="H95" s="18"/>
      <c r="I95" s="18"/>
      <c r="J95" s="17"/>
    </row>
    <row r="96" customFormat="false" ht="15" hidden="false" customHeight="false" outlineLevel="0" collapsed="false">
      <c r="A96" s="17"/>
      <c r="B96" s="17"/>
      <c r="C96" s="17"/>
      <c r="D96" s="18"/>
      <c r="E96" s="17"/>
      <c r="F96" s="17"/>
      <c r="G96" s="19" t="str">
        <f aca="true">IF(OR(A96="",F96="Done",D96=""),"",IF(D96&lt;TODAY(),"OVERDUE",IF(D96=TODAY(),"TODAY","")))</f>
        <v/>
      </c>
      <c r="H96" s="18"/>
      <c r="I96" s="18"/>
      <c r="J96" s="17"/>
    </row>
    <row r="97" customFormat="false" ht="15" hidden="false" customHeight="false" outlineLevel="0" collapsed="false">
      <c r="A97" s="17"/>
      <c r="B97" s="17"/>
      <c r="C97" s="17"/>
      <c r="D97" s="18"/>
      <c r="E97" s="17"/>
      <c r="F97" s="17"/>
      <c r="G97" s="19" t="str">
        <f aca="true">IF(OR(A97="",F97="Done",D97=""),"",IF(D97&lt;TODAY(),"OVERDUE",IF(D97=TODAY(),"TODAY","")))</f>
        <v/>
      </c>
      <c r="H97" s="18"/>
      <c r="I97" s="18"/>
      <c r="J97" s="17"/>
    </row>
    <row r="98" customFormat="false" ht="15" hidden="false" customHeight="false" outlineLevel="0" collapsed="false">
      <c r="A98" s="17"/>
      <c r="B98" s="17"/>
      <c r="C98" s="17"/>
      <c r="D98" s="18"/>
      <c r="E98" s="17"/>
      <c r="F98" s="17"/>
      <c r="G98" s="19" t="str">
        <f aca="true">IF(OR(A98="",F98="Done",D98=""),"",IF(D98&lt;TODAY(),"OVERDUE",IF(D98=TODAY(),"TODAY","")))</f>
        <v/>
      </c>
      <c r="H98" s="18"/>
      <c r="I98" s="18"/>
      <c r="J98" s="17"/>
    </row>
    <row r="99" customFormat="false" ht="15" hidden="false" customHeight="false" outlineLevel="0" collapsed="false">
      <c r="A99" s="17"/>
      <c r="B99" s="17"/>
      <c r="C99" s="17"/>
      <c r="D99" s="18"/>
      <c r="E99" s="17"/>
      <c r="F99" s="17"/>
      <c r="G99" s="19" t="str">
        <f aca="true">IF(OR(A99="",F99="Done",D99=""),"",IF(D99&lt;TODAY(),"OVERDUE",IF(D99=TODAY(),"TODAY","")))</f>
        <v/>
      </c>
      <c r="H99" s="18"/>
      <c r="I99" s="18"/>
      <c r="J99" s="17"/>
    </row>
    <row r="100" customFormat="false" ht="15" hidden="false" customHeight="false" outlineLevel="0" collapsed="false">
      <c r="A100" s="17"/>
      <c r="B100" s="17"/>
      <c r="C100" s="17"/>
      <c r="D100" s="18"/>
      <c r="E100" s="17"/>
      <c r="F100" s="17"/>
      <c r="G100" s="19" t="str">
        <f aca="true">IF(OR(A100="",F100="Done",D100=""),"",IF(D100&lt;TODAY(),"OVERDUE",IF(D100=TODAY(),"TODAY","")))</f>
        <v/>
      </c>
      <c r="H100" s="18"/>
      <c r="I100" s="18"/>
      <c r="J100" s="17"/>
    </row>
    <row r="101" customFormat="false" ht="15" hidden="false" customHeight="false" outlineLevel="0" collapsed="false">
      <c r="A101" s="17"/>
      <c r="B101" s="17"/>
      <c r="C101" s="17"/>
      <c r="D101" s="18"/>
      <c r="E101" s="17"/>
      <c r="F101" s="17"/>
      <c r="G101" s="19" t="str">
        <f aca="true">IF(OR(A101="",F101="Done",D101=""),"",IF(D101&lt;TODAY(),"OVERDUE",IF(D101=TODAY(),"TODAY","")))</f>
        <v/>
      </c>
      <c r="H101" s="18"/>
      <c r="I101" s="18"/>
      <c r="J101" s="17"/>
    </row>
    <row r="102" customFormat="false" ht="15" hidden="false" customHeight="false" outlineLevel="0" collapsed="false">
      <c r="A102" s="17"/>
      <c r="B102" s="17"/>
      <c r="C102" s="17"/>
      <c r="D102" s="18"/>
      <c r="E102" s="17"/>
      <c r="F102" s="17"/>
      <c r="G102" s="19" t="str">
        <f aca="true">IF(OR(A102="",F102="Done",D102=""),"",IF(D102&lt;TODAY(),"OVERDUE",IF(D102=TODAY(),"TODAY","")))</f>
        <v/>
      </c>
      <c r="H102" s="18"/>
      <c r="I102" s="18"/>
      <c r="J102" s="17"/>
    </row>
    <row r="103" customFormat="false" ht="15" hidden="false" customHeight="false" outlineLevel="0" collapsed="false">
      <c r="A103" s="17"/>
      <c r="B103" s="17"/>
      <c r="C103" s="17"/>
      <c r="D103" s="18"/>
      <c r="E103" s="17"/>
      <c r="F103" s="17"/>
      <c r="G103" s="19" t="str">
        <f aca="true">IF(OR(A103="",F103="Done",D103=""),"",IF(D103&lt;TODAY(),"OVERDUE",IF(D103=TODAY(),"TODAY","")))</f>
        <v/>
      </c>
      <c r="H103" s="18"/>
      <c r="I103" s="18"/>
      <c r="J103" s="17"/>
    </row>
    <row r="104" customFormat="false" ht="15" hidden="false" customHeight="false" outlineLevel="0" collapsed="false">
      <c r="A104" s="17"/>
      <c r="B104" s="17"/>
      <c r="C104" s="17"/>
      <c r="D104" s="18"/>
      <c r="E104" s="17"/>
      <c r="F104" s="17"/>
      <c r="G104" s="19" t="str">
        <f aca="true">IF(OR(A104="",F104="Done",D104=""),"",IF(D104&lt;TODAY(),"OVERDUE",IF(D104=TODAY(),"TODAY","")))</f>
        <v/>
      </c>
      <c r="H104" s="18"/>
      <c r="I104" s="18"/>
      <c r="J104" s="17"/>
    </row>
    <row r="105" customFormat="false" ht="15" hidden="false" customHeight="false" outlineLevel="0" collapsed="false">
      <c r="A105" s="17"/>
      <c r="B105" s="17"/>
      <c r="C105" s="17"/>
      <c r="D105" s="18"/>
      <c r="E105" s="17"/>
      <c r="F105" s="17"/>
      <c r="G105" s="19" t="str">
        <f aca="true">IF(OR(A105="",F105="Done",D105=""),"",IF(D105&lt;TODAY(),"OVERDUE",IF(D105=TODAY(),"TODAY","")))</f>
        <v/>
      </c>
      <c r="H105" s="18"/>
      <c r="I105" s="18"/>
      <c r="J105" s="17"/>
    </row>
    <row r="106" customFormat="false" ht="15" hidden="false" customHeight="false" outlineLevel="0" collapsed="false">
      <c r="A106" s="17"/>
      <c r="B106" s="17"/>
      <c r="C106" s="17"/>
      <c r="D106" s="18"/>
      <c r="E106" s="17"/>
      <c r="F106" s="17"/>
      <c r="G106" s="19" t="str">
        <f aca="true">IF(OR(A106="",F106="Done",D106=""),"",IF(D106&lt;TODAY(),"OVERDUE",IF(D106=TODAY(),"TODAY","")))</f>
        <v/>
      </c>
      <c r="H106" s="18"/>
      <c r="I106" s="18"/>
      <c r="J106" s="17"/>
    </row>
    <row r="107" customFormat="false" ht="15" hidden="false" customHeight="false" outlineLevel="0" collapsed="false">
      <c r="A107" s="17"/>
      <c r="B107" s="17"/>
      <c r="C107" s="17"/>
      <c r="D107" s="18"/>
      <c r="E107" s="17"/>
      <c r="F107" s="17"/>
      <c r="G107" s="19" t="str">
        <f aca="true">IF(OR(A107="",F107="Done",D107=""),"",IF(D107&lt;TODAY(),"OVERDUE",IF(D107=TODAY(),"TODAY","")))</f>
        <v/>
      </c>
      <c r="H107" s="18"/>
      <c r="I107" s="18"/>
      <c r="J107" s="17"/>
    </row>
    <row r="108" customFormat="false" ht="15" hidden="false" customHeight="false" outlineLevel="0" collapsed="false">
      <c r="A108" s="17"/>
      <c r="B108" s="17"/>
      <c r="C108" s="17"/>
      <c r="D108" s="18"/>
      <c r="E108" s="17"/>
      <c r="F108" s="17"/>
      <c r="G108" s="19" t="str">
        <f aca="true">IF(OR(A108="",F108="Done",D108=""),"",IF(D108&lt;TODAY(),"OVERDUE",IF(D108=TODAY(),"TODAY","")))</f>
        <v/>
      </c>
      <c r="H108" s="18"/>
      <c r="I108" s="18"/>
      <c r="J108" s="17"/>
    </row>
    <row r="109" customFormat="false" ht="15" hidden="false" customHeight="false" outlineLevel="0" collapsed="false">
      <c r="A109" s="17"/>
      <c r="B109" s="17"/>
      <c r="C109" s="17"/>
      <c r="D109" s="18"/>
      <c r="E109" s="17"/>
      <c r="F109" s="17"/>
      <c r="G109" s="19" t="str">
        <f aca="true">IF(OR(A109="",F109="Done",D109=""),"",IF(D109&lt;TODAY(),"OVERDUE",IF(D109=TODAY(),"TODAY","")))</f>
        <v/>
      </c>
      <c r="H109" s="18"/>
      <c r="I109" s="18"/>
      <c r="J109" s="17"/>
    </row>
    <row r="110" customFormat="false" ht="15" hidden="false" customHeight="false" outlineLevel="0" collapsed="false">
      <c r="A110" s="17"/>
      <c r="B110" s="17"/>
      <c r="C110" s="17"/>
      <c r="D110" s="18"/>
      <c r="E110" s="17"/>
      <c r="F110" s="17"/>
      <c r="G110" s="19" t="str">
        <f aca="true">IF(OR(A110="",F110="Done",D110=""),"",IF(D110&lt;TODAY(),"OVERDUE",IF(D110=TODAY(),"TODAY","")))</f>
        <v/>
      </c>
      <c r="H110" s="18"/>
      <c r="I110" s="18"/>
      <c r="J110" s="17"/>
    </row>
    <row r="111" customFormat="false" ht="15" hidden="false" customHeight="false" outlineLevel="0" collapsed="false">
      <c r="A111" s="17"/>
      <c r="B111" s="17"/>
      <c r="C111" s="17"/>
      <c r="D111" s="18"/>
      <c r="E111" s="17"/>
      <c r="F111" s="17"/>
      <c r="G111" s="19" t="str">
        <f aca="true">IF(OR(A111="",F111="Done",D111=""),"",IF(D111&lt;TODAY(),"OVERDUE",IF(D111=TODAY(),"TODAY","")))</f>
        <v/>
      </c>
      <c r="H111" s="18"/>
      <c r="I111" s="18"/>
      <c r="J111" s="17"/>
    </row>
    <row r="112" customFormat="false" ht="15" hidden="false" customHeight="false" outlineLevel="0" collapsed="false">
      <c r="A112" s="17"/>
      <c r="B112" s="17"/>
      <c r="C112" s="17"/>
      <c r="D112" s="18"/>
      <c r="E112" s="17"/>
      <c r="F112" s="17"/>
      <c r="G112" s="19" t="str">
        <f aca="true">IF(OR(A112="",F112="Done",D112=""),"",IF(D112&lt;TODAY(),"OVERDUE",IF(D112=TODAY(),"TODAY","")))</f>
        <v/>
      </c>
      <c r="H112" s="18"/>
      <c r="I112" s="18"/>
      <c r="J112" s="17"/>
    </row>
    <row r="113" customFormat="false" ht="15" hidden="false" customHeight="false" outlineLevel="0" collapsed="false">
      <c r="A113" s="17"/>
      <c r="B113" s="17"/>
      <c r="C113" s="17"/>
      <c r="D113" s="18"/>
      <c r="E113" s="17"/>
      <c r="F113" s="17"/>
      <c r="G113" s="19" t="str">
        <f aca="true">IF(OR(A113="",F113="Done",D113=""),"",IF(D113&lt;TODAY(),"OVERDUE",IF(D113=TODAY(),"TODAY","")))</f>
        <v/>
      </c>
      <c r="H113" s="18"/>
      <c r="I113" s="18"/>
      <c r="J113" s="17"/>
    </row>
    <row r="114" customFormat="false" ht="15" hidden="false" customHeight="false" outlineLevel="0" collapsed="false">
      <c r="A114" s="17"/>
      <c r="B114" s="17"/>
      <c r="C114" s="17"/>
      <c r="D114" s="18"/>
      <c r="E114" s="17"/>
      <c r="F114" s="17"/>
      <c r="G114" s="19" t="str">
        <f aca="true">IF(OR(A114="",F114="Done",D114=""),"",IF(D114&lt;TODAY(),"OVERDUE",IF(D114=TODAY(),"TODAY","")))</f>
        <v/>
      </c>
      <c r="H114" s="18"/>
      <c r="I114" s="18"/>
      <c r="J114" s="17"/>
    </row>
    <row r="115" customFormat="false" ht="15" hidden="false" customHeight="false" outlineLevel="0" collapsed="false">
      <c r="A115" s="17"/>
      <c r="B115" s="17"/>
      <c r="C115" s="17"/>
      <c r="D115" s="18"/>
      <c r="E115" s="17"/>
      <c r="F115" s="17"/>
      <c r="G115" s="19" t="str">
        <f aca="true">IF(OR(A115="",F115="Done",D115=""),"",IF(D115&lt;TODAY(),"OVERDUE",IF(D115=TODAY(),"TODAY","")))</f>
        <v/>
      </c>
      <c r="H115" s="18"/>
      <c r="I115" s="18"/>
      <c r="J115" s="17"/>
    </row>
    <row r="116" customFormat="false" ht="15" hidden="false" customHeight="false" outlineLevel="0" collapsed="false">
      <c r="A116" s="17"/>
      <c r="B116" s="17"/>
      <c r="C116" s="17"/>
      <c r="D116" s="18"/>
      <c r="E116" s="17"/>
      <c r="F116" s="17"/>
      <c r="G116" s="19" t="str">
        <f aca="true">IF(OR(A116="",F116="Done",D116=""),"",IF(D116&lt;TODAY(),"OVERDUE",IF(D116=TODAY(),"TODAY","")))</f>
        <v/>
      </c>
      <c r="H116" s="18"/>
      <c r="I116" s="18"/>
      <c r="J116" s="17"/>
    </row>
    <row r="117" customFormat="false" ht="15" hidden="false" customHeight="false" outlineLevel="0" collapsed="false">
      <c r="A117" s="17"/>
      <c r="B117" s="17"/>
      <c r="C117" s="17"/>
      <c r="D117" s="18"/>
      <c r="E117" s="17"/>
      <c r="F117" s="17"/>
      <c r="G117" s="19" t="str">
        <f aca="true">IF(OR(A117="",F117="Done",D117=""),"",IF(D117&lt;TODAY(),"OVERDUE",IF(D117=TODAY(),"TODAY","")))</f>
        <v/>
      </c>
      <c r="H117" s="18"/>
      <c r="I117" s="18"/>
      <c r="J117" s="17"/>
    </row>
    <row r="118" customFormat="false" ht="15" hidden="false" customHeight="false" outlineLevel="0" collapsed="false">
      <c r="A118" s="17"/>
      <c r="B118" s="17"/>
      <c r="C118" s="17"/>
      <c r="D118" s="18"/>
      <c r="E118" s="17"/>
      <c r="F118" s="17"/>
      <c r="G118" s="19" t="str">
        <f aca="true">IF(OR(A118="",F118="Done",D118=""),"",IF(D118&lt;TODAY(),"OVERDUE",IF(D118=TODAY(),"TODAY","")))</f>
        <v/>
      </c>
      <c r="H118" s="18"/>
      <c r="I118" s="18"/>
      <c r="J118" s="17"/>
    </row>
    <row r="119" customFormat="false" ht="15" hidden="false" customHeight="false" outlineLevel="0" collapsed="false">
      <c r="A119" s="17"/>
      <c r="B119" s="17"/>
      <c r="C119" s="17"/>
      <c r="D119" s="18"/>
      <c r="E119" s="17"/>
      <c r="F119" s="17"/>
      <c r="G119" s="19" t="str">
        <f aca="true">IF(OR(A119="",F119="Done",D119=""),"",IF(D119&lt;TODAY(),"OVERDUE",IF(D119=TODAY(),"TODAY","")))</f>
        <v/>
      </c>
      <c r="H119" s="18"/>
      <c r="I119" s="18"/>
      <c r="J119" s="17"/>
    </row>
    <row r="120" customFormat="false" ht="15" hidden="false" customHeight="false" outlineLevel="0" collapsed="false">
      <c r="A120" s="17"/>
      <c r="B120" s="17"/>
      <c r="C120" s="17"/>
      <c r="D120" s="18"/>
      <c r="E120" s="17"/>
      <c r="F120" s="17"/>
      <c r="G120" s="19" t="str">
        <f aca="true">IF(OR(A120="",F120="Done",D120=""),"",IF(D120&lt;TODAY(),"OVERDUE",IF(D120=TODAY(),"TODAY","")))</f>
        <v/>
      </c>
      <c r="H120" s="18"/>
      <c r="I120" s="18"/>
      <c r="J120" s="17"/>
    </row>
    <row r="121" customFormat="false" ht="15" hidden="false" customHeight="false" outlineLevel="0" collapsed="false">
      <c r="A121" s="17"/>
      <c r="B121" s="17"/>
      <c r="C121" s="17"/>
      <c r="D121" s="18"/>
      <c r="E121" s="17"/>
      <c r="F121" s="17"/>
      <c r="G121" s="19" t="str">
        <f aca="true">IF(OR(A121="",F121="Done",D121=""),"",IF(D121&lt;TODAY(),"OVERDUE",IF(D121=TODAY(),"TODAY","")))</f>
        <v/>
      </c>
      <c r="H121" s="18"/>
      <c r="I121" s="18"/>
      <c r="J121" s="17"/>
    </row>
    <row r="122" customFormat="false" ht="15" hidden="false" customHeight="false" outlineLevel="0" collapsed="false">
      <c r="A122" s="17"/>
      <c r="B122" s="17"/>
      <c r="C122" s="17"/>
      <c r="D122" s="18"/>
      <c r="E122" s="17"/>
      <c r="F122" s="17"/>
      <c r="G122" s="19" t="str">
        <f aca="true">IF(OR(A122="",F122="Done",D122=""),"",IF(D122&lt;TODAY(),"OVERDUE",IF(D122=TODAY(),"TODAY","")))</f>
        <v/>
      </c>
      <c r="H122" s="18"/>
      <c r="I122" s="18"/>
      <c r="J122" s="17"/>
    </row>
    <row r="123" customFormat="false" ht="15" hidden="false" customHeight="false" outlineLevel="0" collapsed="false">
      <c r="A123" s="17"/>
      <c r="B123" s="17"/>
      <c r="C123" s="17"/>
      <c r="D123" s="18"/>
      <c r="E123" s="17"/>
      <c r="F123" s="17"/>
      <c r="G123" s="19" t="str">
        <f aca="true">IF(OR(A123="",F123="Done",D123=""),"",IF(D123&lt;TODAY(),"OVERDUE",IF(D123=TODAY(),"TODAY","")))</f>
        <v/>
      </c>
      <c r="H123" s="18"/>
      <c r="I123" s="18"/>
      <c r="J123" s="17"/>
    </row>
    <row r="124" customFormat="false" ht="15" hidden="false" customHeight="false" outlineLevel="0" collapsed="false">
      <c r="A124" s="17"/>
      <c r="B124" s="17"/>
      <c r="C124" s="17"/>
      <c r="D124" s="18"/>
      <c r="E124" s="17"/>
      <c r="F124" s="17"/>
      <c r="G124" s="19" t="str">
        <f aca="true">IF(OR(A124="",F124="Done",D124=""),"",IF(D124&lt;TODAY(),"OVERDUE",IF(D124=TODAY(),"TODAY","")))</f>
        <v/>
      </c>
      <c r="H124" s="18"/>
      <c r="I124" s="18"/>
      <c r="J124" s="17"/>
    </row>
    <row r="125" customFormat="false" ht="15" hidden="false" customHeight="false" outlineLevel="0" collapsed="false">
      <c r="A125" s="17"/>
      <c r="B125" s="17"/>
      <c r="C125" s="17"/>
      <c r="D125" s="18"/>
      <c r="E125" s="17"/>
      <c r="F125" s="17"/>
      <c r="G125" s="19" t="str">
        <f aca="true">IF(OR(A125="",F125="Done",D125=""),"",IF(D125&lt;TODAY(),"OVERDUE",IF(D125=TODAY(),"TODAY","")))</f>
        <v/>
      </c>
      <c r="H125" s="18"/>
      <c r="I125" s="18"/>
      <c r="J125" s="17"/>
    </row>
    <row r="126" customFormat="false" ht="15" hidden="false" customHeight="false" outlineLevel="0" collapsed="false">
      <c r="A126" s="17"/>
      <c r="B126" s="17"/>
      <c r="C126" s="17"/>
      <c r="D126" s="18"/>
      <c r="E126" s="17"/>
      <c r="F126" s="17"/>
      <c r="G126" s="19" t="str">
        <f aca="true">IF(OR(A126="",F126="Done",D126=""),"",IF(D126&lt;TODAY(),"OVERDUE",IF(D126=TODAY(),"TODAY","")))</f>
        <v/>
      </c>
      <c r="H126" s="18"/>
      <c r="I126" s="18"/>
      <c r="J126" s="17"/>
    </row>
    <row r="127" customFormat="false" ht="15" hidden="false" customHeight="false" outlineLevel="0" collapsed="false">
      <c r="A127" s="17"/>
      <c r="B127" s="17"/>
      <c r="C127" s="17"/>
      <c r="D127" s="18"/>
      <c r="E127" s="17"/>
      <c r="F127" s="17"/>
      <c r="G127" s="19" t="str">
        <f aca="true">IF(OR(A127="",F127="Done",D127=""),"",IF(D127&lt;TODAY(),"OVERDUE",IF(D127=TODAY(),"TODAY","")))</f>
        <v/>
      </c>
      <c r="H127" s="18"/>
      <c r="I127" s="18"/>
      <c r="J127" s="17"/>
    </row>
    <row r="128" customFormat="false" ht="15" hidden="false" customHeight="false" outlineLevel="0" collapsed="false">
      <c r="A128" s="17"/>
      <c r="B128" s="17"/>
      <c r="C128" s="17"/>
      <c r="D128" s="18"/>
      <c r="E128" s="17"/>
      <c r="F128" s="17"/>
      <c r="G128" s="19" t="str">
        <f aca="true">IF(OR(A128="",F128="Done",D128=""),"",IF(D128&lt;TODAY(),"OVERDUE",IF(D128=TODAY(),"TODAY","")))</f>
        <v/>
      </c>
      <c r="H128" s="18"/>
      <c r="I128" s="18"/>
      <c r="J128" s="17"/>
    </row>
    <row r="129" customFormat="false" ht="15" hidden="false" customHeight="false" outlineLevel="0" collapsed="false">
      <c r="A129" s="17"/>
      <c r="B129" s="17"/>
      <c r="C129" s="17"/>
      <c r="D129" s="18"/>
      <c r="E129" s="17"/>
      <c r="F129" s="17"/>
      <c r="G129" s="19" t="str">
        <f aca="true">IF(OR(A129="",F129="Done",D129=""),"",IF(D129&lt;TODAY(),"OVERDUE",IF(D129=TODAY(),"TODAY","")))</f>
        <v/>
      </c>
      <c r="H129" s="18"/>
      <c r="I129" s="18"/>
      <c r="J129" s="17"/>
    </row>
    <row r="130" customFormat="false" ht="15" hidden="false" customHeight="false" outlineLevel="0" collapsed="false">
      <c r="A130" s="17"/>
      <c r="B130" s="17"/>
      <c r="C130" s="17"/>
      <c r="D130" s="18"/>
      <c r="E130" s="17"/>
      <c r="F130" s="17"/>
      <c r="G130" s="19" t="str">
        <f aca="true">IF(OR(A130="",F130="Done",D130=""),"",IF(D130&lt;TODAY(),"OVERDUE",IF(D130=TODAY(),"TODAY","")))</f>
        <v/>
      </c>
      <c r="H130" s="18"/>
      <c r="I130" s="18"/>
      <c r="J130" s="17"/>
    </row>
    <row r="131" customFormat="false" ht="15" hidden="false" customHeight="false" outlineLevel="0" collapsed="false">
      <c r="A131" s="17"/>
      <c r="B131" s="17"/>
      <c r="C131" s="17"/>
      <c r="D131" s="18"/>
      <c r="E131" s="17"/>
      <c r="F131" s="17"/>
      <c r="G131" s="19" t="str">
        <f aca="true">IF(OR(A131="",F131="Done",D131=""),"",IF(D131&lt;TODAY(),"OVERDUE",IF(D131=TODAY(),"TODAY","")))</f>
        <v/>
      </c>
      <c r="H131" s="18"/>
      <c r="I131" s="18"/>
      <c r="J131" s="17"/>
    </row>
    <row r="132" customFormat="false" ht="15" hidden="false" customHeight="false" outlineLevel="0" collapsed="false">
      <c r="A132" s="17"/>
      <c r="B132" s="17"/>
      <c r="C132" s="17"/>
      <c r="D132" s="18"/>
      <c r="E132" s="17"/>
      <c r="F132" s="17"/>
      <c r="G132" s="19" t="str">
        <f aca="true">IF(OR(A132="",F132="Done",D132=""),"",IF(D132&lt;TODAY(),"OVERDUE",IF(D132=TODAY(),"TODAY","")))</f>
        <v/>
      </c>
      <c r="H132" s="18"/>
      <c r="I132" s="18"/>
      <c r="J132" s="17"/>
    </row>
    <row r="133" customFormat="false" ht="15" hidden="false" customHeight="false" outlineLevel="0" collapsed="false">
      <c r="A133" s="17"/>
      <c r="B133" s="17"/>
      <c r="C133" s="17"/>
      <c r="D133" s="18"/>
      <c r="E133" s="17"/>
      <c r="F133" s="17"/>
      <c r="G133" s="19" t="str">
        <f aca="true">IF(OR(A133="",F133="Done",D133=""),"",IF(D133&lt;TODAY(),"OVERDUE",IF(D133=TODAY(),"TODAY","")))</f>
        <v/>
      </c>
      <c r="H133" s="18"/>
      <c r="I133" s="18"/>
      <c r="J133" s="17"/>
    </row>
    <row r="134" customFormat="false" ht="15" hidden="false" customHeight="false" outlineLevel="0" collapsed="false">
      <c r="A134" s="17"/>
      <c r="B134" s="17"/>
      <c r="C134" s="17"/>
      <c r="D134" s="18"/>
      <c r="E134" s="17"/>
      <c r="F134" s="17"/>
      <c r="G134" s="19" t="str">
        <f aca="true">IF(OR(A134="",F134="Done",D134=""),"",IF(D134&lt;TODAY(),"OVERDUE",IF(D134=TODAY(),"TODAY","")))</f>
        <v/>
      </c>
      <c r="H134" s="18"/>
      <c r="I134" s="18"/>
      <c r="J134" s="17"/>
    </row>
    <row r="135" customFormat="false" ht="15" hidden="false" customHeight="false" outlineLevel="0" collapsed="false">
      <c r="A135" s="17"/>
      <c r="B135" s="17"/>
      <c r="C135" s="17"/>
      <c r="D135" s="18"/>
      <c r="E135" s="17"/>
      <c r="F135" s="17"/>
      <c r="G135" s="19" t="str">
        <f aca="true">IF(OR(A135="",F135="Done",D135=""),"",IF(D135&lt;TODAY(),"OVERDUE",IF(D135=TODAY(),"TODAY","")))</f>
        <v/>
      </c>
      <c r="H135" s="18"/>
      <c r="I135" s="18"/>
      <c r="J135" s="17"/>
    </row>
    <row r="136" customFormat="false" ht="15" hidden="false" customHeight="false" outlineLevel="0" collapsed="false">
      <c r="A136" s="17"/>
      <c r="B136" s="17"/>
      <c r="C136" s="17"/>
      <c r="D136" s="18"/>
      <c r="E136" s="17"/>
      <c r="F136" s="17"/>
      <c r="G136" s="19" t="str">
        <f aca="true">IF(OR(A136="",F136="Done",D136=""),"",IF(D136&lt;TODAY(),"OVERDUE",IF(D136=TODAY(),"TODAY","")))</f>
        <v/>
      </c>
      <c r="H136" s="18"/>
      <c r="I136" s="18"/>
      <c r="J136" s="17"/>
    </row>
    <row r="137" customFormat="false" ht="15" hidden="false" customHeight="false" outlineLevel="0" collapsed="false">
      <c r="A137" s="17"/>
      <c r="B137" s="17"/>
      <c r="C137" s="17"/>
      <c r="D137" s="18"/>
      <c r="E137" s="17"/>
      <c r="F137" s="17"/>
      <c r="G137" s="19" t="str">
        <f aca="true">IF(OR(A137="",F137="Done",D137=""),"",IF(D137&lt;TODAY(),"OVERDUE",IF(D137=TODAY(),"TODAY","")))</f>
        <v/>
      </c>
      <c r="H137" s="18"/>
      <c r="I137" s="18"/>
      <c r="J137" s="17"/>
    </row>
    <row r="138" customFormat="false" ht="15" hidden="false" customHeight="false" outlineLevel="0" collapsed="false">
      <c r="A138" s="17"/>
      <c r="B138" s="17"/>
      <c r="C138" s="17"/>
      <c r="D138" s="18"/>
      <c r="E138" s="17"/>
      <c r="F138" s="17"/>
      <c r="G138" s="19" t="str">
        <f aca="true">IF(OR(A138="",F138="Done",D138=""),"",IF(D138&lt;TODAY(),"OVERDUE",IF(D138=TODAY(),"TODAY","")))</f>
        <v/>
      </c>
      <c r="H138" s="18"/>
      <c r="I138" s="18"/>
      <c r="J138" s="17"/>
    </row>
    <row r="139" customFormat="false" ht="15" hidden="false" customHeight="false" outlineLevel="0" collapsed="false">
      <c r="A139" s="17"/>
      <c r="B139" s="17"/>
      <c r="C139" s="17"/>
      <c r="D139" s="18"/>
      <c r="E139" s="17"/>
      <c r="F139" s="17"/>
      <c r="G139" s="19" t="str">
        <f aca="true">IF(OR(A139="",F139="Done",D139=""),"",IF(D139&lt;TODAY(),"OVERDUE",IF(D139=TODAY(),"TODAY","")))</f>
        <v/>
      </c>
      <c r="H139" s="18"/>
      <c r="I139" s="18"/>
      <c r="J139" s="17"/>
    </row>
    <row r="140" customFormat="false" ht="15" hidden="false" customHeight="false" outlineLevel="0" collapsed="false">
      <c r="A140" s="17"/>
      <c r="B140" s="17"/>
      <c r="C140" s="17"/>
      <c r="D140" s="18"/>
      <c r="E140" s="17"/>
      <c r="F140" s="17"/>
      <c r="G140" s="19" t="str">
        <f aca="true">IF(OR(A140="",F140="Done",D140=""),"",IF(D140&lt;TODAY(),"OVERDUE",IF(D140=TODAY(),"TODAY","")))</f>
        <v/>
      </c>
      <c r="H140" s="18"/>
      <c r="I140" s="18"/>
      <c r="J140" s="17"/>
    </row>
    <row r="141" customFormat="false" ht="15" hidden="false" customHeight="false" outlineLevel="0" collapsed="false">
      <c r="A141" s="17"/>
      <c r="B141" s="17"/>
      <c r="C141" s="17"/>
      <c r="D141" s="18"/>
      <c r="E141" s="17"/>
      <c r="F141" s="17"/>
      <c r="G141" s="19" t="str">
        <f aca="true">IF(OR(A141="",F141="Done",D141=""),"",IF(D141&lt;TODAY(),"OVERDUE",IF(D141=TODAY(),"TODAY","")))</f>
        <v/>
      </c>
      <c r="H141" s="18"/>
      <c r="I141" s="18"/>
      <c r="J141" s="17"/>
    </row>
    <row r="142" customFormat="false" ht="15" hidden="false" customHeight="false" outlineLevel="0" collapsed="false">
      <c r="A142" s="17"/>
      <c r="B142" s="17"/>
      <c r="C142" s="17"/>
      <c r="D142" s="18"/>
      <c r="E142" s="17"/>
      <c r="F142" s="17"/>
      <c r="G142" s="19" t="str">
        <f aca="true">IF(OR(A142="",F142="Done",D142=""),"",IF(D142&lt;TODAY(),"OVERDUE",IF(D142=TODAY(),"TODAY","")))</f>
        <v/>
      </c>
      <c r="H142" s="18"/>
      <c r="I142" s="18"/>
      <c r="J142" s="17"/>
    </row>
    <row r="143" customFormat="false" ht="15" hidden="false" customHeight="false" outlineLevel="0" collapsed="false">
      <c r="A143" s="17"/>
      <c r="B143" s="17"/>
      <c r="C143" s="17"/>
      <c r="D143" s="18"/>
      <c r="E143" s="17"/>
      <c r="F143" s="17"/>
      <c r="G143" s="19" t="str">
        <f aca="true">IF(OR(A143="",F143="Done",D143=""),"",IF(D143&lt;TODAY(),"OVERDUE",IF(D143=TODAY(),"TODAY","")))</f>
        <v/>
      </c>
      <c r="H143" s="18"/>
      <c r="I143" s="18"/>
      <c r="J143" s="17"/>
    </row>
    <row r="144" customFormat="false" ht="15" hidden="false" customHeight="false" outlineLevel="0" collapsed="false">
      <c r="A144" s="17"/>
      <c r="B144" s="17"/>
      <c r="C144" s="17"/>
      <c r="D144" s="18"/>
      <c r="E144" s="17"/>
      <c r="F144" s="17"/>
      <c r="G144" s="19" t="str">
        <f aca="true">IF(OR(A144="",F144="Done",D144=""),"",IF(D144&lt;TODAY(),"OVERDUE",IF(D144=TODAY(),"TODAY","")))</f>
        <v/>
      </c>
      <c r="H144" s="18"/>
      <c r="I144" s="18"/>
      <c r="J144" s="17"/>
    </row>
    <row r="145" customFormat="false" ht="15" hidden="false" customHeight="false" outlineLevel="0" collapsed="false">
      <c r="A145" s="17"/>
      <c r="B145" s="17"/>
      <c r="C145" s="17"/>
      <c r="D145" s="18"/>
      <c r="E145" s="17"/>
      <c r="F145" s="17"/>
      <c r="G145" s="19" t="str">
        <f aca="true">IF(OR(A145="",F145="Done",D145=""),"",IF(D145&lt;TODAY(),"OVERDUE",IF(D145=TODAY(),"TODAY","")))</f>
        <v/>
      </c>
      <c r="H145" s="18"/>
      <c r="I145" s="18"/>
      <c r="J145" s="17"/>
    </row>
    <row r="146" customFormat="false" ht="15" hidden="false" customHeight="false" outlineLevel="0" collapsed="false">
      <c r="A146" s="17"/>
      <c r="B146" s="17"/>
      <c r="C146" s="17"/>
      <c r="D146" s="18"/>
      <c r="E146" s="17"/>
      <c r="F146" s="17"/>
      <c r="G146" s="19" t="str">
        <f aca="true">IF(OR(A146="",F146="Done",D146=""),"",IF(D146&lt;TODAY(),"OVERDUE",IF(D146=TODAY(),"TODAY","")))</f>
        <v/>
      </c>
      <c r="H146" s="18"/>
      <c r="I146" s="18"/>
      <c r="J146" s="17"/>
    </row>
    <row r="147" customFormat="false" ht="15" hidden="false" customHeight="false" outlineLevel="0" collapsed="false">
      <c r="A147" s="17"/>
      <c r="B147" s="17"/>
      <c r="C147" s="17"/>
      <c r="D147" s="18"/>
      <c r="E147" s="17"/>
      <c r="F147" s="17"/>
      <c r="G147" s="19" t="str">
        <f aca="true">IF(OR(A147="",F147="Done",D147=""),"",IF(D147&lt;TODAY(),"OVERDUE",IF(D147=TODAY(),"TODAY","")))</f>
        <v/>
      </c>
      <c r="H147" s="18"/>
      <c r="I147" s="18"/>
      <c r="J147" s="17"/>
    </row>
    <row r="148" customFormat="false" ht="15" hidden="false" customHeight="false" outlineLevel="0" collapsed="false">
      <c r="A148" s="17"/>
      <c r="B148" s="17"/>
      <c r="C148" s="17"/>
      <c r="D148" s="18"/>
      <c r="E148" s="17"/>
      <c r="F148" s="17"/>
      <c r="G148" s="19" t="str">
        <f aca="true">IF(OR(A148="",F148="Done",D148=""),"",IF(D148&lt;TODAY(),"OVERDUE",IF(D148=TODAY(),"TODAY","")))</f>
        <v/>
      </c>
      <c r="H148" s="18"/>
      <c r="I148" s="18"/>
      <c r="J148" s="17"/>
    </row>
    <row r="149" customFormat="false" ht="15" hidden="false" customHeight="false" outlineLevel="0" collapsed="false">
      <c r="A149" s="17"/>
      <c r="B149" s="17"/>
      <c r="C149" s="17"/>
      <c r="D149" s="18"/>
      <c r="E149" s="17"/>
      <c r="F149" s="17"/>
      <c r="G149" s="19" t="str">
        <f aca="true">IF(OR(A149="",F149="Done",D149=""),"",IF(D149&lt;TODAY(),"OVERDUE",IF(D149=TODAY(),"TODAY","")))</f>
        <v/>
      </c>
      <c r="H149" s="18"/>
      <c r="I149" s="18"/>
      <c r="J149" s="17"/>
    </row>
    <row r="150" customFormat="false" ht="15" hidden="false" customHeight="false" outlineLevel="0" collapsed="false">
      <c r="A150" s="17"/>
      <c r="B150" s="17"/>
      <c r="C150" s="17"/>
      <c r="D150" s="18"/>
      <c r="E150" s="17"/>
      <c r="F150" s="17"/>
      <c r="G150" s="19" t="str">
        <f aca="true">IF(OR(A150="",F150="Done",D150=""),"",IF(D150&lt;TODAY(),"OVERDUE",IF(D150=TODAY(),"TODAY","")))</f>
        <v/>
      </c>
      <c r="H150" s="18"/>
      <c r="I150" s="18"/>
      <c r="J150" s="17"/>
    </row>
    <row r="151" customFormat="false" ht="15" hidden="false" customHeight="false" outlineLevel="0" collapsed="false">
      <c r="A151" s="17"/>
      <c r="B151" s="17"/>
      <c r="C151" s="17"/>
      <c r="D151" s="18"/>
      <c r="E151" s="17"/>
      <c r="F151" s="17"/>
      <c r="G151" s="19" t="str">
        <f aca="true">IF(OR(A151="",F151="Done",D151=""),"",IF(D151&lt;TODAY(),"OVERDUE",IF(D151=TODAY(),"TODAY","")))</f>
        <v/>
      </c>
      <c r="H151" s="18"/>
      <c r="I151" s="18"/>
      <c r="J151" s="17"/>
    </row>
    <row r="152" customFormat="false" ht="15" hidden="false" customHeight="false" outlineLevel="0" collapsed="false">
      <c r="A152" s="17"/>
      <c r="B152" s="17"/>
      <c r="C152" s="17"/>
      <c r="D152" s="18"/>
      <c r="E152" s="17"/>
      <c r="F152" s="17"/>
      <c r="G152" s="19" t="str">
        <f aca="true">IF(OR(A152="",F152="Done",D152=""),"",IF(D152&lt;TODAY(),"OVERDUE",IF(D152=TODAY(),"TODAY","")))</f>
        <v/>
      </c>
      <c r="H152" s="18"/>
      <c r="I152" s="18"/>
      <c r="J152" s="17"/>
    </row>
    <row r="153" customFormat="false" ht="15" hidden="false" customHeight="false" outlineLevel="0" collapsed="false">
      <c r="A153" s="17"/>
      <c r="B153" s="17"/>
      <c r="C153" s="17"/>
      <c r="D153" s="18"/>
      <c r="E153" s="17"/>
      <c r="F153" s="17"/>
      <c r="G153" s="19" t="str">
        <f aca="true">IF(OR(A153="",F153="Done",D153=""),"",IF(D153&lt;TODAY(),"OVERDUE",IF(D153=TODAY(),"TODAY","")))</f>
        <v/>
      </c>
      <c r="H153" s="18"/>
      <c r="I153" s="18"/>
      <c r="J153" s="17"/>
    </row>
    <row r="154" customFormat="false" ht="15" hidden="false" customHeight="false" outlineLevel="0" collapsed="false">
      <c r="A154" s="17"/>
      <c r="B154" s="17"/>
      <c r="C154" s="17"/>
      <c r="D154" s="18"/>
      <c r="E154" s="17"/>
      <c r="F154" s="17"/>
      <c r="G154" s="19" t="str">
        <f aca="true">IF(OR(A154="",F154="Done",D154=""),"",IF(D154&lt;TODAY(),"OVERDUE",IF(D154=TODAY(),"TODAY","")))</f>
        <v/>
      </c>
      <c r="H154" s="18"/>
      <c r="I154" s="18"/>
      <c r="J154" s="17"/>
    </row>
    <row r="155" customFormat="false" ht="15" hidden="false" customHeight="false" outlineLevel="0" collapsed="false">
      <c r="A155" s="17"/>
      <c r="B155" s="17"/>
      <c r="C155" s="17"/>
      <c r="D155" s="18"/>
      <c r="E155" s="17"/>
      <c r="F155" s="17"/>
      <c r="G155" s="19" t="str">
        <f aca="true">IF(OR(A155="",F155="Done",D155=""),"",IF(D155&lt;TODAY(),"OVERDUE",IF(D155=TODAY(),"TODAY","")))</f>
        <v/>
      </c>
      <c r="H155" s="18"/>
      <c r="I155" s="18"/>
      <c r="J155" s="17"/>
    </row>
    <row r="156" customFormat="false" ht="15" hidden="false" customHeight="false" outlineLevel="0" collapsed="false">
      <c r="A156" s="17"/>
      <c r="B156" s="17"/>
      <c r="C156" s="17"/>
      <c r="D156" s="18"/>
      <c r="E156" s="17"/>
      <c r="F156" s="17"/>
      <c r="G156" s="19" t="str">
        <f aca="true">IF(OR(A156="",F156="Done",D156=""),"",IF(D156&lt;TODAY(),"OVERDUE",IF(D156=TODAY(),"TODAY","")))</f>
        <v/>
      </c>
      <c r="H156" s="18"/>
      <c r="I156" s="18"/>
      <c r="J156" s="17"/>
    </row>
    <row r="157" customFormat="false" ht="15" hidden="false" customHeight="false" outlineLevel="0" collapsed="false">
      <c r="A157" s="17"/>
      <c r="B157" s="17"/>
      <c r="C157" s="17"/>
      <c r="D157" s="18"/>
      <c r="E157" s="17"/>
      <c r="F157" s="17"/>
      <c r="G157" s="19" t="str">
        <f aca="true">IF(OR(A157="",F157="Done",D157=""),"",IF(D157&lt;TODAY(),"OVERDUE",IF(D157=TODAY(),"TODAY","")))</f>
        <v/>
      </c>
      <c r="H157" s="18"/>
      <c r="I157" s="18"/>
      <c r="J157" s="17"/>
    </row>
    <row r="158" customFormat="false" ht="15" hidden="false" customHeight="false" outlineLevel="0" collapsed="false">
      <c r="A158" s="17"/>
      <c r="B158" s="17"/>
      <c r="C158" s="17"/>
      <c r="D158" s="18"/>
      <c r="E158" s="17"/>
      <c r="F158" s="17"/>
      <c r="G158" s="19" t="str">
        <f aca="true">IF(OR(A158="",F158="Done",D158=""),"",IF(D158&lt;TODAY(),"OVERDUE",IF(D158=TODAY(),"TODAY","")))</f>
        <v/>
      </c>
      <c r="H158" s="18"/>
      <c r="I158" s="18"/>
      <c r="J158" s="17"/>
    </row>
    <row r="159" customFormat="false" ht="15" hidden="false" customHeight="false" outlineLevel="0" collapsed="false">
      <c r="A159" s="17"/>
      <c r="B159" s="17"/>
      <c r="C159" s="17"/>
      <c r="D159" s="18"/>
      <c r="E159" s="17"/>
      <c r="F159" s="17"/>
      <c r="G159" s="19" t="str">
        <f aca="true">IF(OR(A159="",F159="Done",D159=""),"",IF(D159&lt;TODAY(),"OVERDUE",IF(D159=TODAY(),"TODAY","")))</f>
        <v/>
      </c>
      <c r="H159" s="18"/>
      <c r="I159" s="18"/>
      <c r="J159" s="17"/>
    </row>
    <row r="160" customFormat="false" ht="15" hidden="false" customHeight="false" outlineLevel="0" collapsed="false">
      <c r="A160" s="17"/>
      <c r="B160" s="17"/>
      <c r="C160" s="17"/>
      <c r="D160" s="18"/>
      <c r="E160" s="17"/>
      <c r="F160" s="17"/>
      <c r="G160" s="19" t="str">
        <f aca="true">IF(OR(A160="",F160="Done",D160=""),"",IF(D160&lt;TODAY(),"OVERDUE",IF(D160=TODAY(),"TODAY","")))</f>
        <v/>
      </c>
      <c r="H160" s="18"/>
      <c r="I160" s="18"/>
      <c r="J160" s="17"/>
    </row>
    <row r="161" customFormat="false" ht="15" hidden="false" customHeight="false" outlineLevel="0" collapsed="false">
      <c r="A161" s="17"/>
      <c r="B161" s="17"/>
      <c r="C161" s="17"/>
      <c r="D161" s="18"/>
      <c r="E161" s="17"/>
      <c r="F161" s="17"/>
      <c r="G161" s="19" t="str">
        <f aca="true">IF(OR(A161="",F161="Done",D161=""),"",IF(D161&lt;TODAY(),"OVERDUE",IF(D161=TODAY(),"TODAY","")))</f>
        <v/>
      </c>
      <c r="H161" s="18"/>
      <c r="I161" s="18"/>
      <c r="J161" s="17"/>
    </row>
    <row r="162" customFormat="false" ht="15" hidden="false" customHeight="false" outlineLevel="0" collapsed="false">
      <c r="A162" s="17"/>
      <c r="B162" s="17"/>
      <c r="C162" s="17"/>
      <c r="D162" s="18"/>
      <c r="E162" s="17"/>
      <c r="F162" s="17"/>
      <c r="G162" s="19" t="str">
        <f aca="true">IF(OR(A162="",F162="Done",D162=""),"",IF(D162&lt;TODAY(),"OVERDUE",IF(D162=TODAY(),"TODAY","")))</f>
        <v/>
      </c>
      <c r="H162" s="18"/>
      <c r="I162" s="18"/>
      <c r="J162" s="17"/>
    </row>
    <row r="163" customFormat="false" ht="15" hidden="false" customHeight="false" outlineLevel="0" collapsed="false">
      <c r="A163" s="17"/>
      <c r="B163" s="17"/>
      <c r="C163" s="17"/>
      <c r="D163" s="18"/>
      <c r="E163" s="17"/>
      <c r="F163" s="17"/>
      <c r="G163" s="19" t="str">
        <f aca="true">IF(OR(A163="",F163="Done",D163=""),"",IF(D163&lt;TODAY(),"OVERDUE",IF(D163=TODAY(),"TODAY","")))</f>
        <v/>
      </c>
      <c r="H163" s="18"/>
      <c r="I163" s="18"/>
      <c r="J163" s="17"/>
    </row>
    <row r="164" customFormat="false" ht="15" hidden="false" customHeight="false" outlineLevel="0" collapsed="false">
      <c r="A164" s="17"/>
      <c r="B164" s="17"/>
      <c r="C164" s="17"/>
      <c r="D164" s="18"/>
      <c r="E164" s="17"/>
      <c r="F164" s="17"/>
      <c r="G164" s="19" t="str">
        <f aca="true">IF(OR(A164="",F164="Done",D164=""),"",IF(D164&lt;TODAY(),"OVERDUE",IF(D164=TODAY(),"TODAY","")))</f>
        <v/>
      </c>
      <c r="H164" s="18"/>
      <c r="I164" s="18"/>
      <c r="J164" s="17"/>
    </row>
    <row r="165" customFormat="false" ht="15" hidden="false" customHeight="false" outlineLevel="0" collapsed="false">
      <c r="A165" s="17"/>
      <c r="B165" s="17"/>
      <c r="C165" s="17"/>
      <c r="D165" s="18"/>
      <c r="E165" s="17"/>
      <c r="F165" s="17"/>
      <c r="G165" s="19" t="str">
        <f aca="true">IF(OR(A165="",F165="Done",D165=""),"",IF(D165&lt;TODAY(),"OVERDUE",IF(D165=TODAY(),"TODAY","")))</f>
        <v/>
      </c>
      <c r="H165" s="18"/>
      <c r="I165" s="18"/>
      <c r="J165" s="17"/>
    </row>
    <row r="166" customFormat="false" ht="15" hidden="false" customHeight="false" outlineLevel="0" collapsed="false">
      <c r="A166" s="17"/>
      <c r="B166" s="17"/>
      <c r="C166" s="17"/>
      <c r="D166" s="18"/>
      <c r="E166" s="17"/>
      <c r="F166" s="17"/>
      <c r="G166" s="19" t="str">
        <f aca="true">IF(OR(A166="",F166="Done",D166=""),"",IF(D166&lt;TODAY(),"OVERDUE",IF(D166=TODAY(),"TODAY","")))</f>
        <v/>
      </c>
      <c r="H166" s="18"/>
      <c r="I166" s="18"/>
      <c r="J166" s="17"/>
    </row>
    <row r="167" customFormat="false" ht="15" hidden="false" customHeight="false" outlineLevel="0" collapsed="false">
      <c r="A167" s="17"/>
      <c r="B167" s="17"/>
      <c r="C167" s="17"/>
      <c r="D167" s="18"/>
      <c r="E167" s="17"/>
      <c r="F167" s="17"/>
      <c r="G167" s="19" t="str">
        <f aca="true">IF(OR(A167="",F167="Done",D167=""),"",IF(D167&lt;TODAY(),"OVERDUE",IF(D167=TODAY(),"TODAY","")))</f>
        <v/>
      </c>
      <c r="H167" s="18"/>
      <c r="I167" s="18"/>
      <c r="J167" s="17"/>
    </row>
    <row r="168" customFormat="false" ht="15" hidden="false" customHeight="false" outlineLevel="0" collapsed="false">
      <c r="A168" s="17"/>
      <c r="B168" s="17"/>
      <c r="C168" s="17"/>
      <c r="D168" s="18"/>
      <c r="E168" s="17"/>
      <c r="F168" s="17"/>
      <c r="G168" s="19" t="str">
        <f aca="true">IF(OR(A168="",F168="Done",D168=""),"",IF(D168&lt;TODAY(),"OVERDUE",IF(D168=TODAY(),"TODAY","")))</f>
        <v/>
      </c>
      <c r="H168" s="18"/>
      <c r="I168" s="18"/>
      <c r="J168" s="17"/>
    </row>
    <row r="169" customFormat="false" ht="15" hidden="false" customHeight="false" outlineLevel="0" collapsed="false">
      <c r="A169" s="17"/>
      <c r="B169" s="17"/>
      <c r="C169" s="17"/>
      <c r="D169" s="18"/>
      <c r="E169" s="17"/>
      <c r="F169" s="17"/>
      <c r="G169" s="19" t="str">
        <f aca="true">IF(OR(A169="",F169="Done",D169=""),"",IF(D169&lt;TODAY(),"OVERDUE",IF(D169=TODAY(),"TODAY","")))</f>
        <v/>
      </c>
      <c r="H169" s="18"/>
      <c r="I169" s="18"/>
      <c r="J169" s="17"/>
    </row>
    <row r="170" customFormat="false" ht="15" hidden="false" customHeight="false" outlineLevel="0" collapsed="false">
      <c r="A170" s="17"/>
      <c r="B170" s="17"/>
      <c r="C170" s="17"/>
      <c r="D170" s="18"/>
      <c r="E170" s="17"/>
      <c r="F170" s="17"/>
      <c r="G170" s="19" t="str">
        <f aca="true">IF(OR(A170="",F170="Done",D170=""),"",IF(D170&lt;TODAY(),"OVERDUE",IF(D170=TODAY(),"TODAY","")))</f>
        <v/>
      </c>
      <c r="H170" s="18"/>
      <c r="I170" s="18"/>
      <c r="J170" s="17"/>
    </row>
    <row r="171" customFormat="false" ht="15" hidden="false" customHeight="false" outlineLevel="0" collapsed="false">
      <c r="A171" s="17"/>
      <c r="B171" s="17"/>
      <c r="C171" s="17"/>
      <c r="D171" s="18"/>
      <c r="E171" s="17"/>
      <c r="F171" s="17"/>
      <c r="G171" s="19" t="str">
        <f aca="true">IF(OR(A171="",F171="Done",D171=""),"",IF(D171&lt;TODAY(),"OVERDUE",IF(D171=TODAY(),"TODAY","")))</f>
        <v/>
      </c>
      <c r="H171" s="18"/>
      <c r="I171" s="18"/>
      <c r="J171" s="17"/>
    </row>
    <row r="172" customFormat="false" ht="15" hidden="false" customHeight="false" outlineLevel="0" collapsed="false">
      <c r="A172" s="17"/>
      <c r="B172" s="17"/>
      <c r="C172" s="17"/>
      <c r="D172" s="18"/>
      <c r="E172" s="17"/>
      <c r="F172" s="17"/>
      <c r="G172" s="19" t="str">
        <f aca="true">IF(OR(A172="",F172="Done",D172=""),"",IF(D172&lt;TODAY(),"OVERDUE",IF(D172=TODAY(),"TODAY","")))</f>
        <v/>
      </c>
      <c r="H172" s="18"/>
      <c r="I172" s="18"/>
      <c r="J172" s="17"/>
    </row>
    <row r="173" customFormat="false" ht="15" hidden="false" customHeight="false" outlineLevel="0" collapsed="false">
      <c r="A173" s="17"/>
      <c r="B173" s="17"/>
      <c r="C173" s="17"/>
      <c r="D173" s="18"/>
      <c r="E173" s="17"/>
      <c r="F173" s="17"/>
      <c r="G173" s="19" t="str">
        <f aca="true">IF(OR(A173="",F173="Done",D173=""),"",IF(D173&lt;TODAY(),"OVERDUE",IF(D173=TODAY(),"TODAY","")))</f>
        <v/>
      </c>
      <c r="H173" s="18"/>
      <c r="I173" s="18"/>
      <c r="J173" s="17"/>
    </row>
    <row r="174" customFormat="false" ht="15" hidden="false" customHeight="false" outlineLevel="0" collapsed="false">
      <c r="A174" s="17"/>
      <c r="B174" s="17"/>
      <c r="C174" s="17"/>
      <c r="D174" s="18"/>
      <c r="E174" s="17"/>
      <c r="F174" s="17"/>
      <c r="G174" s="19" t="str">
        <f aca="true">IF(OR(A174="",F174="Done",D174=""),"",IF(D174&lt;TODAY(),"OVERDUE",IF(D174=TODAY(),"TODAY","")))</f>
        <v/>
      </c>
      <c r="H174" s="18"/>
      <c r="I174" s="18"/>
      <c r="J174" s="17"/>
    </row>
    <row r="175" customFormat="false" ht="15" hidden="false" customHeight="false" outlineLevel="0" collapsed="false">
      <c r="A175" s="17"/>
      <c r="B175" s="17"/>
      <c r="C175" s="17"/>
      <c r="D175" s="18"/>
      <c r="E175" s="17"/>
      <c r="F175" s="17"/>
      <c r="G175" s="19" t="str">
        <f aca="true">IF(OR(A175="",F175="Done",D175=""),"",IF(D175&lt;TODAY(),"OVERDUE",IF(D175=TODAY(),"TODAY","")))</f>
        <v/>
      </c>
      <c r="H175" s="18"/>
      <c r="I175" s="18"/>
      <c r="J175" s="17"/>
    </row>
    <row r="176" customFormat="false" ht="15" hidden="false" customHeight="false" outlineLevel="0" collapsed="false">
      <c r="A176" s="17"/>
      <c r="B176" s="17"/>
      <c r="C176" s="17"/>
      <c r="D176" s="18"/>
      <c r="E176" s="17"/>
      <c r="F176" s="17"/>
      <c r="G176" s="19" t="str">
        <f aca="true">IF(OR(A176="",F176="Done",D176=""),"",IF(D176&lt;TODAY(),"OVERDUE",IF(D176=TODAY(),"TODAY","")))</f>
        <v/>
      </c>
      <c r="H176" s="18"/>
      <c r="I176" s="18"/>
      <c r="J176" s="17"/>
    </row>
    <row r="177" customFormat="false" ht="15" hidden="false" customHeight="false" outlineLevel="0" collapsed="false">
      <c r="A177" s="17"/>
      <c r="B177" s="17"/>
      <c r="C177" s="17"/>
      <c r="D177" s="18"/>
      <c r="E177" s="17"/>
      <c r="F177" s="17"/>
      <c r="G177" s="19" t="str">
        <f aca="true">IF(OR(A177="",F177="Done",D177=""),"",IF(D177&lt;TODAY(),"OVERDUE",IF(D177=TODAY(),"TODAY","")))</f>
        <v/>
      </c>
      <c r="H177" s="18"/>
      <c r="I177" s="18"/>
      <c r="J177" s="17"/>
    </row>
    <row r="178" customFormat="false" ht="15" hidden="false" customHeight="false" outlineLevel="0" collapsed="false">
      <c r="A178" s="17"/>
      <c r="B178" s="17"/>
      <c r="C178" s="17"/>
      <c r="D178" s="18"/>
      <c r="E178" s="17"/>
      <c r="F178" s="17"/>
      <c r="G178" s="19" t="str">
        <f aca="true">IF(OR(A178="",F178="Done",D178=""),"",IF(D178&lt;TODAY(),"OVERDUE",IF(D178=TODAY(),"TODAY","")))</f>
        <v/>
      </c>
      <c r="H178" s="18"/>
      <c r="I178" s="18"/>
      <c r="J178" s="17"/>
    </row>
    <row r="179" customFormat="false" ht="15" hidden="false" customHeight="false" outlineLevel="0" collapsed="false">
      <c r="A179" s="17"/>
      <c r="B179" s="17"/>
      <c r="C179" s="17"/>
      <c r="D179" s="18"/>
      <c r="E179" s="17"/>
      <c r="F179" s="17"/>
      <c r="G179" s="19" t="str">
        <f aca="true">IF(OR(A179="",F179="Done",D179=""),"",IF(D179&lt;TODAY(),"OVERDUE",IF(D179=TODAY(),"TODAY","")))</f>
        <v/>
      </c>
      <c r="H179" s="18"/>
      <c r="I179" s="18"/>
      <c r="J179" s="17"/>
    </row>
    <row r="180" customFormat="false" ht="15" hidden="false" customHeight="false" outlineLevel="0" collapsed="false">
      <c r="A180" s="17"/>
      <c r="B180" s="17"/>
      <c r="C180" s="17"/>
      <c r="D180" s="18"/>
      <c r="E180" s="17"/>
      <c r="F180" s="17"/>
      <c r="G180" s="19" t="str">
        <f aca="true">IF(OR(A180="",F180="Done",D180=""),"",IF(D180&lt;TODAY(),"OVERDUE",IF(D180=TODAY(),"TODAY","")))</f>
        <v/>
      </c>
      <c r="H180" s="18"/>
      <c r="I180" s="18"/>
      <c r="J180" s="17"/>
    </row>
    <row r="181" customFormat="false" ht="15" hidden="false" customHeight="false" outlineLevel="0" collapsed="false">
      <c r="A181" s="17"/>
      <c r="B181" s="17"/>
      <c r="C181" s="17"/>
      <c r="D181" s="18"/>
      <c r="E181" s="17"/>
      <c r="F181" s="17"/>
      <c r="G181" s="19" t="str">
        <f aca="true">IF(OR(A181="",F181="Done",D181=""),"",IF(D181&lt;TODAY(),"OVERDUE",IF(D181=TODAY(),"TODAY","")))</f>
        <v/>
      </c>
      <c r="H181" s="18"/>
      <c r="I181" s="18"/>
      <c r="J181" s="17"/>
    </row>
    <row r="182" customFormat="false" ht="15" hidden="false" customHeight="false" outlineLevel="0" collapsed="false">
      <c r="A182" s="17"/>
      <c r="B182" s="17"/>
      <c r="C182" s="17"/>
      <c r="D182" s="18"/>
      <c r="E182" s="17"/>
      <c r="F182" s="17"/>
      <c r="G182" s="19" t="str">
        <f aca="true">IF(OR(A182="",F182="Done",D182=""),"",IF(D182&lt;TODAY(),"OVERDUE",IF(D182=TODAY(),"TODAY","")))</f>
        <v/>
      </c>
      <c r="H182" s="18"/>
      <c r="I182" s="18"/>
      <c r="J182" s="17"/>
    </row>
    <row r="183" customFormat="false" ht="15" hidden="false" customHeight="false" outlineLevel="0" collapsed="false">
      <c r="A183" s="17"/>
      <c r="B183" s="17"/>
      <c r="C183" s="17"/>
      <c r="D183" s="18"/>
      <c r="E183" s="17"/>
      <c r="F183" s="17"/>
      <c r="G183" s="19" t="str">
        <f aca="true">IF(OR(A183="",F183="Done",D183=""),"",IF(D183&lt;TODAY(),"OVERDUE",IF(D183=TODAY(),"TODAY","")))</f>
        <v/>
      </c>
      <c r="H183" s="18"/>
      <c r="I183" s="18"/>
      <c r="J183" s="17"/>
    </row>
    <row r="184" customFormat="false" ht="15" hidden="false" customHeight="false" outlineLevel="0" collapsed="false">
      <c r="A184" s="17"/>
      <c r="B184" s="17"/>
      <c r="C184" s="17"/>
      <c r="D184" s="18"/>
      <c r="E184" s="17"/>
      <c r="F184" s="17"/>
      <c r="G184" s="19" t="str">
        <f aca="true">IF(OR(A184="",F184="Done",D184=""),"",IF(D184&lt;TODAY(),"OVERDUE",IF(D184=TODAY(),"TODAY","")))</f>
        <v/>
      </c>
      <c r="H184" s="18"/>
      <c r="I184" s="18"/>
      <c r="J184" s="17"/>
    </row>
    <row r="185" customFormat="false" ht="15" hidden="false" customHeight="false" outlineLevel="0" collapsed="false">
      <c r="A185" s="17"/>
      <c r="B185" s="17"/>
      <c r="C185" s="17"/>
      <c r="D185" s="18"/>
      <c r="E185" s="17"/>
      <c r="F185" s="17"/>
      <c r="G185" s="19" t="str">
        <f aca="true">IF(OR(A185="",F185="Done",D185=""),"",IF(D185&lt;TODAY(),"OVERDUE",IF(D185=TODAY(),"TODAY","")))</f>
        <v/>
      </c>
      <c r="H185" s="18"/>
      <c r="I185" s="18"/>
      <c r="J185" s="17"/>
    </row>
    <row r="186" customFormat="false" ht="15" hidden="false" customHeight="false" outlineLevel="0" collapsed="false">
      <c r="A186" s="17"/>
      <c r="B186" s="17"/>
      <c r="C186" s="17"/>
      <c r="D186" s="18"/>
      <c r="E186" s="17"/>
      <c r="F186" s="17"/>
      <c r="G186" s="19" t="str">
        <f aca="true">IF(OR(A186="",F186="Done",D186=""),"",IF(D186&lt;TODAY(),"OVERDUE",IF(D186=TODAY(),"TODAY","")))</f>
        <v/>
      </c>
      <c r="H186" s="18"/>
      <c r="I186" s="18"/>
      <c r="J186" s="17"/>
    </row>
    <row r="187" customFormat="false" ht="15" hidden="false" customHeight="false" outlineLevel="0" collapsed="false">
      <c r="A187" s="17"/>
      <c r="B187" s="17"/>
      <c r="C187" s="17"/>
      <c r="D187" s="18"/>
      <c r="E187" s="17"/>
      <c r="F187" s="17"/>
      <c r="G187" s="19" t="str">
        <f aca="true">IF(OR(A187="",F187="Done",D187=""),"",IF(D187&lt;TODAY(),"OVERDUE",IF(D187=TODAY(),"TODAY","")))</f>
        <v/>
      </c>
      <c r="H187" s="18"/>
      <c r="I187" s="18"/>
      <c r="J187" s="17"/>
    </row>
    <row r="188" customFormat="false" ht="15" hidden="false" customHeight="false" outlineLevel="0" collapsed="false">
      <c r="A188" s="17"/>
      <c r="B188" s="17"/>
      <c r="C188" s="17"/>
      <c r="D188" s="18"/>
      <c r="E188" s="17"/>
      <c r="F188" s="17"/>
      <c r="G188" s="19" t="str">
        <f aca="true">IF(OR(A188="",F188="Done",D188=""),"",IF(D188&lt;TODAY(),"OVERDUE",IF(D188=TODAY(),"TODAY","")))</f>
        <v/>
      </c>
      <c r="H188" s="18"/>
      <c r="I188" s="18"/>
      <c r="J188" s="17"/>
    </row>
    <row r="189" customFormat="false" ht="15" hidden="false" customHeight="false" outlineLevel="0" collapsed="false">
      <c r="A189" s="17"/>
      <c r="B189" s="17"/>
      <c r="C189" s="17"/>
      <c r="D189" s="18"/>
      <c r="E189" s="17"/>
      <c r="F189" s="17"/>
      <c r="G189" s="19" t="str">
        <f aca="true">IF(OR(A189="",F189="Done",D189=""),"",IF(D189&lt;TODAY(),"OVERDUE",IF(D189=TODAY(),"TODAY","")))</f>
        <v/>
      </c>
      <c r="H189" s="18"/>
      <c r="I189" s="18"/>
      <c r="J189" s="17"/>
    </row>
    <row r="190" customFormat="false" ht="15" hidden="false" customHeight="false" outlineLevel="0" collapsed="false">
      <c r="A190" s="17"/>
      <c r="B190" s="17"/>
      <c r="C190" s="17"/>
      <c r="D190" s="18"/>
      <c r="E190" s="17"/>
      <c r="F190" s="17"/>
      <c r="G190" s="19" t="str">
        <f aca="true">IF(OR(A190="",F190="Done",D190=""),"",IF(D190&lt;TODAY(),"OVERDUE",IF(D190=TODAY(),"TODAY","")))</f>
        <v/>
      </c>
      <c r="H190" s="18"/>
      <c r="I190" s="18"/>
      <c r="J190" s="17"/>
    </row>
    <row r="191" customFormat="false" ht="15" hidden="false" customHeight="false" outlineLevel="0" collapsed="false">
      <c r="A191" s="17"/>
      <c r="B191" s="17"/>
      <c r="C191" s="17"/>
      <c r="D191" s="18"/>
      <c r="E191" s="17"/>
      <c r="F191" s="17"/>
      <c r="G191" s="19" t="str">
        <f aca="true">IF(OR(A191="",F191="Done",D191=""),"",IF(D191&lt;TODAY(),"OVERDUE",IF(D191=TODAY(),"TODAY","")))</f>
        <v/>
      </c>
      <c r="H191" s="18"/>
      <c r="I191" s="18"/>
      <c r="J191" s="17"/>
    </row>
    <row r="192" customFormat="false" ht="15" hidden="false" customHeight="false" outlineLevel="0" collapsed="false">
      <c r="A192" s="17"/>
      <c r="B192" s="17"/>
      <c r="C192" s="17"/>
      <c r="D192" s="18"/>
      <c r="E192" s="17"/>
      <c r="F192" s="17"/>
      <c r="G192" s="19" t="str">
        <f aca="true">IF(OR(A192="",F192="Done",D192=""),"",IF(D192&lt;TODAY(),"OVERDUE",IF(D192=TODAY(),"TODAY","")))</f>
        <v/>
      </c>
      <c r="H192" s="18"/>
      <c r="I192" s="18"/>
      <c r="J192" s="17"/>
    </row>
    <row r="193" customFormat="false" ht="15" hidden="false" customHeight="false" outlineLevel="0" collapsed="false">
      <c r="A193" s="17"/>
      <c r="B193" s="17"/>
      <c r="C193" s="17"/>
      <c r="D193" s="18"/>
      <c r="E193" s="17"/>
      <c r="F193" s="17"/>
      <c r="G193" s="19" t="str">
        <f aca="true">IF(OR(A193="",F193="Done",D193=""),"",IF(D193&lt;TODAY(),"OVERDUE",IF(D193=TODAY(),"TODAY","")))</f>
        <v/>
      </c>
      <c r="H193" s="18"/>
      <c r="I193" s="18"/>
      <c r="J193" s="17"/>
    </row>
    <row r="194" customFormat="false" ht="15" hidden="false" customHeight="false" outlineLevel="0" collapsed="false">
      <c r="A194" s="17"/>
      <c r="B194" s="17"/>
      <c r="C194" s="17"/>
      <c r="D194" s="18"/>
      <c r="E194" s="17"/>
      <c r="F194" s="17"/>
      <c r="G194" s="19" t="str">
        <f aca="true">IF(OR(A194="",F194="Done",D194=""),"",IF(D194&lt;TODAY(),"OVERDUE",IF(D194=TODAY(),"TODAY","")))</f>
        <v/>
      </c>
      <c r="H194" s="18"/>
      <c r="I194" s="18"/>
      <c r="J194" s="17"/>
    </row>
    <row r="195" customFormat="false" ht="15" hidden="false" customHeight="false" outlineLevel="0" collapsed="false">
      <c r="A195" s="17"/>
      <c r="B195" s="17"/>
      <c r="C195" s="17"/>
      <c r="D195" s="18"/>
      <c r="E195" s="17"/>
      <c r="F195" s="17"/>
      <c r="G195" s="19" t="str">
        <f aca="true">IF(OR(A195="",F195="Done",D195=""),"",IF(D195&lt;TODAY(),"OVERDUE",IF(D195=TODAY(),"TODAY","")))</f>
        <v/>
      </c>
      <c r="H195" s="18"/>
      <c r="I195" s="18"/>
      <c r="J195" s="17"/>
    </row>
    <row r="196" customFormat="false" ht="15" hidden="false" customHeight="false" outlineLevel="0" collapsed="false">
      <c r="A196" s="17"/>
      <c r="B196" s="17"/>
      <c r="C196" s="17"/>
      <c r="D196" s="18"/>
      <c r="E196" s="17"/>
      <c r="F196" s="17"/>
      <c r="G196" s="19" t="str">
        <f aca="true">IF(OR(A196="",F196="Done",D196=""),"",IF(D196&lt;TODAY(),"OVERDUE",IF(D196=TODAY(),"TODAY","")))</f>
        <v/>
      </c>
      <c r="H196" s="18"/>
      <c r="I196" s="18"/>
      <c r="J196" s="17"/>
    </row>
    <row r="197" customFormat="false" ht="15" hidden="false" customHeight="false" outlineLevel="0" collapsed="false">
      <c r="A197" s="17"/>
      <c r="B197" s="17"/>
      <c r="C197" s="17"/>
      <c r="D197" s="18"/>
      <c r="E197" s="17"/>
      <c r="F197" s="17"/>
      <c r="G197" s="19" t="str">
        <f aca="true">IF(OR(A197="",F197="Done",D197=""),"",IF(D197&lt;TODAY(),"OVERDUE",IF(D197=TODAY(),"TODAY","")))</f>
        <v/>
      </c>
      <c r="H197" s="18"/>
      <c r="I197" s="18"/>
      <c r="J197" s="17"/>
    </row>
    <row r="198" customFormat="false" ht="15" hidden="false" customHeight="false" outlineLevel="0" collapsed="false">
      <c r="A198" s="17"/>
      <c r="B198" s="17"/>
      <c r="C198" s="17"/>
      <c r="D198" s="18"/>
      <c r="E198" s="17"/>
      <c r="F198" s="17"/>
      <c r="G198" s="19" t="str">
        <f aca="true">IF(OR(A198="",F198="Done",D198=""),"",IF(D198&lt;TODAY(),"OVERDUE",IF(D198=TODAY(),"TODAY","")))</f>
        <v/>
      </c>
      <c r="H198" s="18"/>
      <c r="I198" s="18"/>
      <c r="J198" s="17"/>
    </row>
    <row r="199" customFormat="false" ht="15" hidden="false" customHeight="false" outlineLevel="0" collapsed="false">
      <c r="A199" s="17"/>
      <c r="B199" s="17"/>
      <c r="C199" s="17"/>
      <c r="D199" s="18"/>
      <c r="E199" s="17"/>
      <c r="F199" s="17"/>
      <c r="G199" s="19" t="str">
        <f aca="true">IF(OR(A199="",F199="Done",D199=""),"",IF(D199&lt;TODAY(),"OVERDUE",IF(D199=TODAY(),"TODAY","")))</f>
        <v/>
      </c>
      <c r="H199" s="18"/>
      <c r="I199" s="18"/>
      <c r="J199" s="17"/>
    </row>
    <row r="200" customFormat="false" ht="15" hidden="false" customHeight="false" outlineLevel="0" collapsed="false">
      <c r="A200" s="17"/>
      <c r="B200" s="17"/>
      <c r="C200" s="17"/>
      <c r="D200" s="18"/>
      <c r="E200" s="17"/>
      <c r="F200" s="17"/>
      <c r="G200" s="19" t="str">
        <f aca="true">IF(OR(A200="",F200="Done",D200=""),"",IF(D200&lt;TODAY(),"OVERDUE",IF(D200=TODAY(),"TODAY","")))</f>
        <v/>
      </c>
      <c r="H200" s="18"/>
      <c r="I200" s="18"/>
      <c r="J200" s="17"/>
    </row>
    <row r="201" customFormat="false" ht="15" hidden="false" customHeight="false" outlineLevel="0" collapsed="false">
      <c r="A201" s="17"/>
      <c r="B201" s="17"/>
      <c r="C201" s="17"/>
      <c r="D201" s="18"/>
      <c r="E201" s="17"/>
      <c r="F201" s="17"/>
      <c r="G201" s="19" t="str">
        <f aca="true">IF(OR(A201="",F201="Done",D201=""),"",IF(D201&lt;TODAY(),"OVERDUE",IF(D201=TODAY(),"TODAY","")))</f>
        <v/>
      </c>
      <c r="H201" s="18"/>
      <c r="I201" s="18"/>
      <c r="J201" s="17"/>
    </row>
    <row r="202" customFormat="false" ht="15" hidden="false" customHeight="false" outlineLevel="0" collapsed="false">
      <c r="A202" s="17"/>
      <c r="B202" s="17"/>
      <c r="C202" s="17"/>
      <c r="D202" s="18"/>
      <c r="E202" s="17"/>
      <c r="F202" s="17"/>
      <c r="G202" s="19" t="str">
        <f aca="true">IF(OR(A202="",F202="Done",D202=""),"",IF(D202&lt;TODAY(),"OVERDUE",IF(D202=TODAY(),"TODAY","")))</f>
        <v/>
      </c>
      <c r="H202" s="18"/>
      <c r="I202" s="18"/>
      <c r="J202" s="17"/>
    </row>
    <row r="203" customFormat="false" ht="15" hidden="false" customHeight="false" outlineLevel="0" collapsed="false">
      <c r="A203" s="17"/>
      <c r="B203" s="17"/>
      <c r="C203" s="17"/>
      <c r="D203" s="18"/>
      <c r="E203" s="17"/>
      <c r="F203" s="17"/>
      <c r="G203" s="19" t="str">
        <f aca="true">IF(OR(A203="",F203="Done",D203=""),"",IF(D203&lt;TODAY(),"OVERDUE",IF(D203=TODAY(),"TODAY","")))</f>
        <v/>
      </c>
      <c r="H203" s="18"/>
      <c r="I203" s="18"/>
      <c r="J203" s="17"/>
    </row>
    <row r="204" customFormat="false" ht="15" hidden="false" customHeight="false" outlineLevel="0" collapsed="false">
      <c r="A204" s="17"/>
      <c r="B204" s="17"/>
      <c r="C204" s="17"/>
      <c r="D204" s="18"/>
      <c r="E204" s="17"/>
      <c r="F204" s="17"/>
      <c r="G204" s="19" t="str">
        <f aca="true">IF(OR(A204="",F204="Done",D204=""),"",IF(D204&lt;TODAY(),"OVERDUE",IF(D204=TODAY(),"TODAY","")))</f>
        <v/>
      </c>
      <c r="H204" s="18"/>
      <c r="I204" s="18"/>
      <c r="J204" s="17"/>
    </row>
    <row r="205" customFormat="false" ht="15" hidden="false" customHeight="false" outlineLevel="0" collapsed="false">
      <c r="A205" s="17"/>
      <c r="B205" s="17"/>
      <c r="C205" s="17"/>
      <c r="D205" s="18"/>
      <c r="E205" s="17"/>
      <c r="F205" s="17"/>
      <c r="G205" s="19" t="str">
        <f aca="true">IF(OR(A205="",F205="Done",D205=""),"",IF(D205&lt;TODAY(),"OVERDUE",IF(D205=TODAY(),"TODAY","")))</f>
        <v/>
      </c>
      <c r="H205" s="18"/>
      <c r="I205" s="18"/>
      <c r="J205" s="17"/>
    </row>
    <row r="206" customFormat="false" ht="15" hidden="false" customHeight="false" outlineLevel="0" collapsed="false">
      <c r="A206" s="17"/>
      <c r="B206" s="17"/>
      <c r="C206" s="17"/>
      <c r="D206" s="18"/>
      <c r="E206" s="17"/>
      <c r="F206" s="17"/>
      <c r="G206" s="19" t="str">
        <f aca="true">IF(OR(A206="",F206="Done",D206=""),"",IF(D206&lt;TODAY(),"OVERDUE",IF(D206=TODAY(),"TODAY","")))</f>
        <v/>
      </c>
      <c r="H206" s="18"/>
      <c r="I206" s="18"/>
      <c r="J206" s="17"/>
    </row>
    <row r="207" customFormat="false" ht="15" hidden="false" customHeight="false" outlineLevel="0" collapsed="false">
      <c r="A207" s="17"/>
      <c r="B207" s="17"/>
      <c r="C207" s="17"/>
      <c r="D207" s="18"/>
      <c r="E207" s="17"/>
      <c r="F207" s="17"/>
      <c r="G207" s="19" t="str">
        <f aca="true">IF(OR(A207="",F207="Done",D207=""),"",IF(D207&lt;TODAY(),"OVERDUE",IF(D207=TODAY(),"TODAY","")))</f>
        <v/>
      </c>
      <c r="H207" s="18"/>
      <c r="I207" s="18"/>
      <c r="J207" s="17"/>
    </row>
    <row r="208" customFormat="false" ht="15" hidden="false" customHeight="false" outlineLevel="0" collapsed="false">
      <c r="A208" s="17"/>
      <c r="B208" s="17"/>
      <c r="C208" s="17"/>
      <c r="D208" s="18"/>
      <c r="E208" s="17"/>
      <c r="F208" s="17"/>
      <c r="G208" s="19" t="str">
        <f aca="true">IF(OR(A208="",F208="Done",D208=""),"",IF(D208&lt;TODAY(),"OVERDUE",IF(D208=TODAY(),"TODAY","")))</f>
        <v/>
      </c>
      <c r="H208" s="18"/>
      <c r="I208" s="18"/>
      <c r="J208" s="17"/>
    </row>
    <row r="209" customFormat="false" ht="15" hidden="false" customHeight="false" outlineLevel="0" collapsed="false">
      <c r="A209" s="17"/>
      <c r="B209" s="17"/>
      <c r="C209" s="17"/>
      <c r="D209" s="18"/>
      <c r="E209" s="17"/>
      <c r="F209" s="17"/>
      <c r="G209" s="19" t="str">
        <f aca="true">IF(OR(A209="",F209="Done",D209=""),"",IF(D209&lt;TODAY(),"OVERDUE",IF(D209=TODAY(),"TODAY","")))</f>
        <v/>
      </c>
      <c r="H209" s="18"/>
      <c r="I209" s="18"/>
      <c r="J209" s="17"/>
    </row>
    <row r="210" customFormat="false" ht="15" hidden="false" customHeight="false" outlineLevel="0" collapsed="false">
      <c r="A210" s="17"/>
      <c r="B210" s="17"/>
      <c r="C210" s="17"/>
      <c r="D210" s="18"/>
      <c r="E210" s="17"/>
      <c r="F210" s="17"/>
      <c r="G210" s="19" t="str">
        <f aca="true">IF(OR(A210="",F210="Done",D210=""),"",IF(D210&lt;TODAY(),"OVERDUE",IF(D210=TODAY(),"TODAY","")))</f>
        <v/>
      </c>
      <c r="H210" s="18"/>
      <c r="I210" s="18"/>
      <c r="J210" s="17"/>
    </row>
    <row r="211" customFormat="false" ht="15" hidden="false" customHeight="false" outlineLevel="0" collapsed="false">
      <c r="A211" s="17"/>
      <c r="B211" s="17"/>
      <c r="C211" s="17"/>
      <c r="D211" s="18"/>
      <c r="E211" s="17"/>
      <c r="F211" s="17"/>
      <c r="G211" s="19" t="str">
        <f aca="true">IF(OR(A211="",F211="Done",D211=""),"",IF(D211&lt;TODAY(),"OVERDUE",IF(D211=TODAY(),"TODAY","")))</f>
        <v/>
      </c>
      <c r="H211" s="18"/>
      <c r="I211" s="18"/>
      <c r="J211" s="17"/>
    </row>
    <row r="212" customFormat="false" ht="15" hidden="false" customHeight="false" outlineLevel="0" collapsed="false">
      <c r="A212" s="17"/>
      <c r="B212" s="17"/>
      <c r="C212" s="17"/>
      <c r="D212" s="18"/>
      <c r="E212" s="17"/>
      <c r="F212" s="17"/>
      <c r="G212" s="19" t="str">
        <f aca="true">IF(OR(A212="",F212="Done",D212=""),"",IF(D212&lt;TODAY(),"OVERDUE",IF(D212=TODAY(),"TODAY","")))</f>
        <v/>
      </c>
      <c r="H212" s="18"/>
      <c r="I212" s="18"/>
      <c r="J212" s="17"/>
    </row>
    <row r="213" customFormat="false" ht="15" hidden="false" customHeight="false" outlineLevel="0" collapsed="false">
      <c r="A213" s="17"/>
      <c r="B213" s="17"/>
      <c r="C213" s="17"/>
      <c r="D213" s="18"/>
      <c r="E213" s="17"/>
      <c r="F213" s="17"/>
      <c r="G213" s="19" t="str">
        <f aca="true">IF(OR(A213="",F213="Done",D213=""),"",IF(D213&lt;TODAY(),"OVERDUE",IF(D213=TODAY(),"TODAY","")))</f>
        <v/>
      </c>
      <c r="H213" s="18"/>
      <c r="I213" s="18"/>
      <c r="J213" s="17"/>
    </row>
    <row r="214" customFormat="false" ht="15" hidden="false" customHeight="false" outlineLevel="0" collapsed="false">
      <c r="A214" s="17"/>
      <c r="B214" s="17"/>
      <c r="C214" s="17"/>
      <c r="D214" s="18"/>
      <c r="E214" s="17"/>
      <c r="F214" s="17"/>
      <c r="G214" s="19" t="str">
        <f aca="true">IF(OR(A214="",F214="Done",D214=""),"",IF(D214&lt;TODAY(),"OVERDUE",IF(D214=TODAY(),"TODAY","")))</f>
        <v/>
      </c>
      <c r="H214" s="18"/>
      <c r="I214" s="18"/>
      <c r="J214" s="17"/>
    </row>
    <row r="215" customFormat="false" ht="15" hidden="false" customHeight="false" outlineLevel="0" collapsed="false">
      <c r="A215" s="17"/>
      <c r="B215" s="17"/>
      <c r="C215" s="17"/>
      <c r="D215" s="18"/>
      <c r="E215" s="17"/>
      <c r="F215" s="17"/>
      <c r="G215" s="19" t="str">
        <f aca="true">IF(OR(A215="",F215="Done",D215=""),"",IF(D215&lt;TODAY(),"OVERDUE",IF(D215=TODAY(),"TODAY","")))</f>
        <v/>
      </c>
      <c r="H215" s="18"/>
      <c r="I215" s="18"/>
      <c r="J215" s="17"/>
    </row>
    <row r="216" customFormat="false" ht="15" hidden="false" customHeight="false" outlineLevel="0" collapsed="false">
      <c r="A216" s="17"/>
      <c r="B216" s="17"/>
      <c r="C216" s="17"/>
      <c r="D216" s="18"/>
      <c r="E216" s="17"/>
      <c r="F216" s="17"/>
      <c r="G216" s="19" t="str">
        <f aca="true">IF(OR(A216="",F216="Done",D216=""),"",IF(D216&lt;TODAY(),"OVERDUE",IF(D216=TODAY(),"TODAY","")))</f>
        <v/>
      </c>
      <c r="H216" s="18"/>
      <c r="I216" s="18"/>
      <c r="J216" s="17"/>
    </row>
    <row r="217" customFormat="false" ht="15" hidden="false" customHeight="false" outlineLevel="0" collapsed="false">
      <c r="A217" s="17"/>
      <c r="B217" s="17"/>
      <c r="C217" s="17"/>
      <c r="D217" s="18"/>
      <c r="E217" s="17"/>
      <c r="F217" s="17"/>
      <c r="G217" s="19" t="str">
        <f aca="true">IF(OR(A217="",F217="Done",D217=""),"",IF(D217&lt;TODAY(),"OVERDUE",IF(D217=TODAY(),"TODAY","")))</f>
        <v/>
      </c>
      <c r="H217" s="18"/>
      <c r="I217" s="18"/>
      <c r="J217" s="17"/>
    </row>
    <row r="218" customFormat="false" ht="15" hidden="false" customHeight="false" outlineLevel="0" collapsed="false">
      <c r="A218" s="17"/>
      <c r="B218" s="17"/>
      <c r="C218" s="17"/>
      <c r="D218" s="18"/>
      <c r="E218" s="17"/>
      <c r="F218" s="17"/>
      <c r="G218" s="19" t="str">
        <f aca="true">IF(OR(A218="",F218="Done",D218=""),"",IF(D218&lt;TODAY(),"OVERDUE",IF(D218=TODAY(),"TODAY","")))</f>
        <v/>
      </c>
      <c r="H218" s="18"/>
      <c r="I218" s="18"/>
      <c r="J218" s="17"/>
    </row>
    <row r="219" customFormat="false" ht="15" hidden="false" customHeight="false" outlineLevel="0" collapsed="false">
      <c r="A219" s="17"/>
      <c r="B219" s="17"/>
      <c r="C219" s="17"/>
      <c r="D219" s="18"/>
      <c r="E219" s="17"/>
      <c r="F219" s="17"/>
      <c r="G219" s="19" t="str">
        <f aca="true">IF(OR(A219="",F219="Done",D219=""),"",IF(D219&lt;TODAY(),"OVERDUE",IF(D219=TODAY(),"TODAY","")))</f>
        <v/>
      </c>
      <c r="H219" s="18"/>
      <c r="I219" s="18"/>
      <c r="J219" s="17"/>
    </row>
    <row r="220" customFormat="false" ht="15" hidden="false" customHeight="false" outlineLevel="0" collapsed="false">
      <c r="A220" s="17"/>
      <c r="B220" s="17"/>
      <c r="C220" s="17"/>
      <c r="D220" s="18"/>
      <c r="E220" s="17"/>
      <c r="F220" s="17"/>
      <c r="G220" s="19" t="str">
        <f aca="true">IF(OR(A220="",F220="Done",D220=""),"",IF(D220&lt;TODAY(),"OVERDUE",IF(D220=TODAY(),"TODAY","")))</f>
        <v/>
      </c>
      <c r="H220" s="18"/>
      <c r="I220" s="18"/>
      <c r="J220" s="17"/>
    </row>
    <row r="221" customFormat="false" ht="15" hidden="false" customHeight="false" outlineLevel="0" collapsed="false">
      <c r="A221" s="17"/>
      <c r="B221" s="17"/>
      <c r="C221" s="17"/>
      <c r="D221" s="18"/>
      <c r="E221" s="17"/>
      <c r="F221" s="17"/>
      <c r="G221" s="19" t="str">
        <f aca="true">IF(OR(A221="",F221="Done",D221=""),"",IF(D221&lt;TODAY(),"OVERDUE",IF(D221=TODAY(),"TODAY","")))</f>
        <v/>
      </c>
      <c r="H221" s="18"/>
      <c r="I221" s="18"/>
      <c r="J221" s="17"/>
    </row>
    <row r="222" customFormat="false" ht="15" hidden="false" customHeight="false" outlineLevel="0" collapsed="false">
      <c r="A222" s="17"/>
      <c r="B222" s="17"/>
      <c r="C222" s="17"/>
      <c r="D222" s="18"/>
      <c r="E222" s="17"/>
      <c r="F222" s="17"/>
      <c r="G222" s="19" t="str">
        <f aca="true">IF(OR(A222="",F222="Done",D222=""),"",IF(D222&lt;TODAY(),"OVERDUE",IF(D222=TODAY(),"TODAY","")))</f>
        <v/>
      </c>
      <c r="H222" s="18"/>
      <c r="I222" s="18"/>
      <c r="J222" s="17"/>
    </row>
    <row r="223" customFormat="false" ht="15" hidden="false" customHeight="false" outlineLevel="0" collapsed="false">
      <c r="A223" s="17"/>
      <c r="B223" s="17"/>
      <c r="C223" s="17"/>
      <c r="D223" s="18"/>
      <c r="E223" s="17"/>
      <c r="F223" s="17"/>
      <c r="G223" s="19" t="str">
        <f aca="true">IF(OR(A223="",F223="Done",D223=""),"",IF(D223&lt;TODAY(),"OVERDUE",IF(D223=TODAY(),"TODAY","")))</f>
        <v/>
      </c>
      <c r="H223" s="18"/>
      <c r="I223" s="18"/>
      <c r="J223" s="17"/>
    </row>
    <row r="224" customFormat="false" ht="15" hidden="false" customHeight="false" outlineLevel="0" collapsed="false">
      <c r="A224" s="17"/>
      <c r="B224" s="17"/>
      <c r="C224" s="17"/>
      <c r="D224" s="18"/>
      <c r="E224" s="17"/>
      <c r="F224" s="17"/>
      <c r="G224" s="19" t="str">
        <f aca="true">IF(OR(A224="",F224="Done",D224=""),"",IF(D224&lt;TODAY(),"OVERDUE",IF(D224=TODAY(),"TODAY","")))</f>
        <v/>
      </c>
      <c r="H224" s="18"/>
      <c r="I224" s="18"/>
      <c r="J224" s="17"/>
    </row>
    <row r="225" customFormat="false" ht="15" hidden="false" customHeight="false" outlineLevel="0" collapsed="false">
      <c r="A225" s="17"/>
      <c r="B225" s="17"/>
      <c r="C225" s="17"/>
      <c r="D225" s="18"/>
      <c r="E225" s="17"/>
      <c r="F225" s="17"/>
      <c r="G225" s="19" t="str">
        <f aca="true">IF(OR(A225="",F225="Done",D225=""),"",IF(D225&lt;TODAY(),"OVERDUE",IF(D225=TODAY(),"TODAY","")))</f>
        <v/>
      </c>
      <c r="H225" s="18"/>
      <c r="I225" s="18"/>
      <c r="J225" s="17"/>
    </row>
    <row r="226" customFormat="false" ht="15" hidden="false" customHeight="false" outlineLevel="0" collapsed="false">
      <c r="A226" s="17"/>
      <c r="B226" s="17"/>
      <c r="C226" s="17"/>
      <c r="D226" s="18"/>
      <c r="E226" s="17"/>
      <c r="F226" s="17"/>
      <c r="G226" s="19" t="str">
        <f aca="true">IF(OR(A226="",F226="Done",D226=""),"",IF(D226&lt;TODAY(),"OVERDUE",IF(D226=TODAY(),"TODAY","")))</f>
        <v/>
      </c>
      <c r="H226" s="18"/>
      <c r="I226" s="18"/>
      <c r="J226" s="17"/>
    </row>
    <row r="227" customFormat="false" ht="15" hidden="false" customHeight="false" outlineLevel="0" collapsed="false">
      <c r="A227" s="17"/>
      <c r="B227" s="17"/>
      <c r="C227" s="17"/>
      <c r="D227" s="18"/>
      <c r="E227" s="17"/>
      <c r="F227" s="17"/>
      <c r="G227" s="19" t="str">
        <f aca="true">IF(OR(A227="",F227="Done",D227=""),"",IF(D227&lt;TODAY(),"OVERDUE",IF(D227=TODAY(),"TODAY","")))</f>
        <v/>
      </c>
      <c r="H227" s="18"/>
      <c r="I227" s="18"/>
      <c r="J227" s="17"/>
    </row>
    <row r="228" customFormat="false" ht="15" hidden="false" customHeight="false" outlineLevel="0" collapsed="false">
      <c r="A228" s="17"/>
      <c r="B228" s="17"/>
      <c r="C228" s="17"/>
      <c r="D228" s="18"/>
      <c r="E228" s="17"/>
      <c r="F228" s="17"/>
      <c r="G228" s="19" t="str">
        <f aca="true">IF(OR(A228="",F228="Done",D228=""),"",IF(D228&lt;TODAY(),"OVERDUE",IF(D228=TODAY(),"TODAY","")))</f>
        <v/>
      </c>
      <c r="H228" s="18"/>
      <c r="I228" s="18"/>
      <c r="J228" s="17"/>
    </row>
    <row r="229" customFormat="false" ht="15" hidden="false" customHeight="false" outlineLevel="0" collapsed="false">
      <c r="A229" s="17"/>
      <c r="B229" s="17"/>
      <c r="C229" s="17"/>
      <c r="D229" s="18"/>
      <c r="E229" s="17"/>
      <c r="F229" s="17"/>
      <c r="G229" s="19" t="str">
        <f aca="true">IF(OR(A229="",F229="Done",D229=""),"",IF(D229&lt;TODAY(),"OVERDUE",IF(D229=TODAY(),"TODAY","")))</f>
        <v/>
      </c>
      <c r="H229" s="18"/>
      <c r="I229" s="18"/>
      <c r="J229" s="17"/>
    </row>
    <row r="230" customFormat="false" ht="15" hidden="false" customHeight="false" outlineLevel="0" collapsed="false">
      <c r="A230" s="17"/>
      <c r="B230" s="17"/>
      <c r="C230" s="17"/>
      <c r="D230" s="18"/>
      <c r="E230" s="17"/>
      <c r="F230" s="17"/>
      <c r="G230" s="19" t="str">
        <f aca="true">IF(OR(A230="",F230="Done",D230=""),"",IF(D230&lt;TODAY(),"OVERDUE",IF(D230=TODAY(),"TODAY","")))</f>
        <v/>
      </c>
      <c r="H230" s="18"/>
      <c r="I230" s="18"/>
      <c r="J230" s="17"/>
    </row>
    <row r="231" customFormat="false" ht="15" hidden="false" customHeight="false" outlineLevel="0" collapsed="false">
      <c r="A231" s="17"/>
      <c r="B231" s="17"/>
      <c r="C231" s="17"/>
      <c r="D231" s="18"/>
      <c r="E231" s="17"/>
      <c r="F231" s="17"/>
      <c r="G231" s="19" t="str">
        <f aca="true">IF(OR(A231="",F231="Done",D231=""),"",IF(D231&lt;TODAY(),"OVERDUE",IF(D231=TODAY(),"TODAY","")))</f>
        <v/>
      </c>
      <c r="H231" s="18"/>
      <c r="I231" s="18"/>
      <c r="J231" s="17"/>
    </row>
    <row r="232" customFormat="false" ht="15" hidden="false" customHeight="false" outlineLevel="0" collapsed="false">
      <c r="A232" s="17"/>
      <c r="B232" s="17"/>
      <c r="C232" s="17"/>
      <c r="D232" s="18"/>
      <c r="E232" s="17"/>
      <c r="F232" s="17"/>
      <c r="G232" s="19" t="str">
        <f aca="true">IF(OR(A232="",F232="Done",D232=""),"",IF(D232&lt;TODAY(),"OVERDUE",IF(D232=TODAY(),"TODAY","")))</f>
        <v/>
      </c>
      <c r="H232" s="18"/>
      <c r="I232" s="18"/>
      <c r="J232" s="17"/>
    </row>
    <row r="233" customFormat="false" ht="15" hidden="false" customHeight="false" outlineLevel="0" collapsed="false">
      <c r="A233" s="17"/>
      <c r="B233" s="17"/>
      <c r="C233" s="17"/>
      <c r="D233" s="18"/>
      <c r="E233" s="17"/>
      <c r="F233" s="17"/>
      <c r="G233" s="19" t="str">
        <f aca="true">IF(OR(A233="",F233="Done",D233=""),"",IF(D233&lt;TODAY(),"OVERDUE",IF(D233=TODAY(),"TODAY","")))</f>
        <v/>
      </c>
      <c r="H233" s="18"/>
      <c r="I233" s="18"/>
      <c r="J233" s="17"/>
    </row>
    <row r="234" customFormat="false" ht="15" hidden="false" customHeight="false" outlineLevel="0" collapsed="false">
      <c r="A234" s="17"/>
      <c r="B234" s="17"/>
      <c r="C234" s="17"/>
      <c r="D234" s="18"/>
      <c r="E234" s="17"/>
      <c r="F234" s="17"/>
      <c r="G234" s="19" t="str">
        <f aca="true">IF(OR(A234="",F234="Done",D234=""),"",IF(D234&lt;TODAY(),"OVERDUE",IF(D234=TODAY(),"TODAY","")))</f>
        <v/>
      </c>
      <c r="H234" s="18"/>
      <c r="I234" s="18"/>
      <c r="J234" s="17"/>
    </row>
    <row r="235" customFormat="false" ht="15" hidden="false" customHeight="false" outlineLevel="0" collapsed="false">
      <c r="A235" s="17"/>
      <c r="B235" s="17"/>
      <c r="C235" s="17"/>
      <c r="D235" s="18"/>
      <c r="E235" s="17"/>
      <c r="F235" s="17"/>
      <c r="G235" s="19" t="str">
        <f aca="true">IF(OR(A235="",F235="Done",D235=""),"",IF(D235&lt;TODAY(),"OVERDUE",IF(D235=TODAY(),"TODAY","")))</f>
        <v/>
      </c>
      <c r="H235" s="18"/>
      <c r="I235" s="18"/>
      <c r="J235" s="17"/>
    </row>
    <row r="236" customFormat="false" ht="15" hidden="false" customHeight="false" outlineLevel="0" collapsed="false">
      <c r="A236" s="17"/>
      <c r="B236" s="17"/>
      <c r="C236" s="17"/>
      <c r="D236" s="18"/>
      <c r="E236" s="17"/>
      <c r="F236" s="17"/>
      <c r="G236" s="19" t="str">
        <f aca="true">IF(OR(A236="",F236="Done",D236=""),"",IF(D236&lt;TODAY(),"OVERDUE",IF(D236=TODAY(),"TODAY","")))</f>
        <v/>
      </c>
      <c r="H236" s="18"/>
      <c r="I236" s="18"/>
      <c r="J236" s="17"/>
    </row>
    <row r="237" customFormat="false" ht="15" hidden="false" customHeight="false" outlineLevel="0" collapsed="false">
      <c r="A237" s="17"/>
      <c r="B237" s="17"/>
      <c r="C237" s="17"/>
      <c r="D237" s="18"/>
      <c r="E237" s="17"/>
      <c r="F237" s="17"/>
      <c r="G237" s="19" t="str">
        <f aca="true">IF(OR(A237="",F237="Done",D237=""),"",IF(D237&lt;TODAY(),"OVERDUE",IF(D237=TODAY(),"TODAY","")))</f>
        <v/>
      </c>
      <c r="H237" s="18"/>
      <c r="I237" s="18"/>
      <c r="J237" s="17"/>
    </row>
    <row r="238" customFormat="false" ht="15" hidden="false" customHeight="false" outlineLevel="0" collapsed="false">
      <c r="A238" s="17"/>
      <c r="B238" s="17"/>
      <c r="C238" s="17"/>
      <c r="D238" s="18"/>
      <c r="E238" s="17"/>
      <c r="F238" s="17"/>
      <c r="G238" s="19" t="str">
        <f aca="true">IF(OR(A238="",F238="Done",D238=""),"",IF(D238&lt;TODAY(),"OVERDUE",IF(D238=TODAY(),"TODAY","")))</f>
        <v/>
      </c>
      <c r="H238" s="18"/>
      <c r="I238" s="18"/>
      <c r="J238" s="17"/>
    </row>
    <row r="239" customFormat="false" ht="15" hidden="false" customHeight="false" outlineLevel="0" collapsed="false">
      <c r="A239" s="17"/>
      <c r="B239" s="17"/>
      <c r="C239" s="17"/>
      <c r="D239" s="18"/>
      <c r="E239" s="17"/>
      <c r="F239" s="17"/>
      <c r="G239" s="19" t="str">
        <f aca="true">IF(OR(A239="",F239="Done",D239=""),"",IF(D239&lt;TODAY(),"OVERDUE",IF(D239=TODAY(),"TODAY","")))</f>
        <v/>
      </c>
      <c r="H239" s="18"/>
      <c r="I239" s="18"/>
      <c r="J239" s="17"/>
    </row>
    <row r="240" customFormat="false" ht="15" hidden="false" customHeight="false" outlineLevel="0" collapsed="false">
      <c r="A240" s="17"/>
      <c r="B240" s="17"/>
      <c r="C240" s="17"/>
      <c r="D240" s="18"/>
      <c r="E240" s="17"/>
      <c r="F240" s="17"/>
      <c r="G240" s="19" t="str">
        <f aca="true">IF(OR(A240="",F240="Done",D240=""),"",IF(D240&lt;TODAY(),"OVERDUE",IF(D240=TODAY(),"TODAY","")))</f>
        <v/>
      </c>
      <c r="H240" s="18"/>
      <c r="I240" s="18"/>
      <c r="J240" s="17"/>
    </row>
    <row r="241" customFormat="false" ht="15" hidden="false" customHeight="false" outlineLevel="0" collapsed="false">
      <c r="A241" s="17"/>
      <c r="B241" s="17"/>
      <c r="C241" s="17"/>
      <c r="D241" s="18"/>
      <c r="E241" s="17"/>
      <c r="F241" s="17"/>
      <c r="G241" s="19" t="str">
        <f aca="true">IF(OR(A241="",F241="Done",D241=""),"",IF(D241&lt;TODAY(),"OVERDUE",IF(D241=TODAY(),"TODAY","")))</f>
        <v/>
      </c>
      <c r="H241" s="18"/>
      <c r="I241" s="18"/>
      <c r="J241" s="17"/>
    </row>
    <row r="242" customFormat="false" ht="15" hidden="false" customHeight="false" outlineLevel="0" collapsed="false">
      <c r="A242" s="17"/>
      <c r="B242" s="17"/>
      <c r="C242" s="17"/>
      <c r="D242" s="18"/>
      <c r="E242" s="17"/>
      <c r="F242" s="17"/>
      <c r="G242" s="19" t="str">
        <f aca="true">IF(OR(A242="",F242="Done",D242=""),"",IF(D242&lt;TODAY(),"OVERDUE",IF(D242=TODAY(),"TODAY","")))</f>
        <v/>
      </c>
      <c r="H242" s="18"/>
      <c r="I242" s="18"/>
      <c r="J242" s="17"/>
    </row>
    <row r="243" customFormat="false" ht="15" hidden="false" customHeight="false" outlineLevel="0" collapsed="false">
      <c r="A243" s="17"/>
      <c r="B243" s="17"/>
      <c r="C243" s="17"/>
      <c r="D243" s="18"/>
      <c r="E243" s="17"/>
      <c r="F243" s="17"/>
      <c r="G243" s="19" t="str">
        <f aca="true">IF(OR(A243="",F243="Done",D243=""),"",IF(D243&lt;TODAY(),"OVERDUE",IF(D243=TODAY(),"TODAY","")))</f>
        <v/>
      </c>
      <c r="H243" s="18"/>
      <c r="I243" s="18"/>
      <c r="J243" s="17"/>
    </row>
    <row r="244" customFormat="false" ht="15" hidden="false" customHeight="false" outlineLevel="0" collapsed="false">
      <c r="A244" s="17"/>
      <c r="B244" s="17"/>
      <c r="C244" s="17"/>
      <c r="D244" s="18"/>
      <c r="E244" s="17"/>
      <c r="F244" s="17"/>
      <c r="G244" s="19" t="str">
        <f aca="true">IF(OR(A244="",F244="Done",D244=""),"",IF(D244&lt;TODAY(),"OVERDUE",IF(D244=TODAY(),"TODAY","")))</f>
        <v/>
      </c>
      <c r="H244" s="18"/>
      <c r="I244" s="18"/>
      <c r="J244" s="17"/>
    </row>
    <row r="245" customFormat="false" ht="15" hidden="false" customHeight="false" outlineLevel="0" collapsed="false">
      <c r="A245" s="17"/>
      <c r="B245" s="17"/>
      <c r="C245" s="17"/>
      <c r="D245" s="18"/>
      <c r="E245" s="17"/>
      <c r="F245" s="17"/>
      <c r="G245" s="19" t="str">
        <f aca="true">IF(OR(A245="",F245="Done",D245=""),"",IF(D245&lt;TODAY(),"OVERDUE",IF(D245=TODAY(),"TODAY","")))</f>
        <v/>
      </c>
      <c r="H245" s="18"/>
      <c r="I245" s="18"/>
      <c r="J245" s="17"/>
    </row>
    <row r="246" customFormat="false" ht="15" hidden="false" customHeight="false" outlineLevel="0" collapsed="false">
      <c r="A246" s="17"/>
      <c r="B246" s="17"/>
      <c r="C246" s="17"/>
      <c r="D246" s="18"/>
      <c r="E246" s="17"/>
      <c r="F246" s="17"/>
      <c r="G246" s="19" t="str">
        <f aca="true">IF(OR(A246="",F246="Done",D246=""),"",IF(D246&lt;TODAY(),"OVERDUE",IF(D246=TODAY(),"TODAY","")))</f>
        <v/>
      </c>
      <c r="H246" s="18"/>
      <c r="I246" s="18"/>
      <c r="J246" s="17"/>
    </row>
    <row r="247" customFormat="false" ht="15" hidden="false" customHeight="false" outlineLevel="0" collapsed="false">
      <c r="A247" s="17"/>
      <c r="B247" s="17"/>
      <c r="C247" s="17"/>
      <c r="D247" s="18"/>
      <c r="E247" s="17"/>
      <c r="F247" s="17"/>
      <c r="G247" s="19" t="str">
        <f aca="true">IF(OR(A247="",F247="Done",D247=""),"",IF(D247&lt;TODAY(),"OVERDUE",IF(D247=TODAY(),"TODAY","")))</f>
        <v/>
      </c>
      <c r="H247" s="18"/>
      <c r="I247" s="18"/>
      <c r="J247" s="17"/>
    </row>
    <row r="248" customFormat="false" ht="15" hidden="false" customHeight="false" outlineLevel="0" collapsed="false">
      <c r="A248" s="17"/>
      <c r="B248" s="17"/>
      <c r="C248" s="17"/>
      <c r="D248" s="18"/>
      <c r="E248" s="17"/>
      <c r="F248" s="17"/>
      <c r="G248" s="19" t="str">
        <f aca="true">IF(OR(A248="",F248="Done",D248=""),"",IF(D248&lt;TODAY(),"OVERDUE",IF(D248=TODAY(),"TODAY","")))</f>
        <v/>
      </c>
      <c r="H248" s="18"/>
      <c r="I248" s="18"/>
      <c r="J248" s="17"/>
    </row>
    <row r="249" customFormat="false" ht="15" hidden="false" customHeight="false" outlineLevel="0" collapsed="false">
      <c r="A249" s="17"/>
      <c r="B249" s="17"/>
      <c r="C249" s="17"/>
      <c r="D249" s="18"/>
      <c r="E249" s="17"/>
      <c r="F249" s="17"/>
      <c r="G249" s="19" t="str">
        <f aca="true">IF(OR(A249="",F249="Done",D249=""),"",IF(D249&lt;TODAY(),"OVERDUE",IF(D249=TODAY(),"TODAY","")))</f>
        <v/>
      </c>
      <c r="H249" s="18"/>
      <c r="I249" s="18"/>
      <c r="J249" s="17"/>
    </row>
    <row r="250" customFormat="false" ht="15" hidden="false" customHeight="false" outlineLevel="0" collapsed="false">
      <c r="A250" s="17"/>
      <c r="B250" s="17"/>
      <c r="C250" s="17"/>
      <c r="D250" s="18"/>
      <c r="E250" s="17"/>
      <c r="F250" s="17"/>
      <c r="G250" s="19" t="str">
        <f aca="true">IF(OR(A250="",F250="Done",D250=""),"",IF(D250&lt;TODAY(),"OVERDUE",IF(D250=TODAY(),"TODAY","")))</f>
        <v/>
      </c>
      <c r="H250" s="18"/>
      <c r="I250" s="18"/>
      <c r="J250" s="17"/>
    </row>
    <row r="251" customFormat="false" ht="15" hidden="false" customHeight="false" outlineLevel="0" collapsed="false">
      <c r="A251" s="17"/>
      <c r="B251" s="17"/>
      <c r="C251" s="17"/>
      <c r="D251" s="18"/>
      <c r="E251" s="17"/>
      <c r="F251" s="17"/>
      <c r="G251" s="19" t="str">
        <f aca="true">IF(OR(A251="",F251="Done",D251=""),"",IF(D251&lt;TODAY(),"OVERDUE",IF(D251=TODAY(),"TODAY","")))</f>
        <v/>
      </c>
      <c r="H251" s="18"/>
      <c r="I251" s="18"/>
      <c r="J251" s="17"/>
    </row>
    <row r="252" customFormat="false" ht="15" hidden="false" customHeight="false" outlineLevel="0" collapsed="false">
      <c r="A252" s="17"/>
      <c r="B252" s="17"/>
      <c r="C252" s="17"/>
      <c r="D252" s="18"/>
      <c r="E252" s="17"/>
      <c r="F252" s="17"/>
      <c r="G252" s="19" t="str">
        <f aca="true">IF(OR(A252="",F252="Done",D252=""),"",IF(D252&lt;TODAY(),"OVERDUE",IF(D252=TODAY(),"TODAY","")))</f>
        <v/>
      </c>
      <c r="H252" s="18"/>
      <c r="I252" s="18"/>
      <c r="J252" s="17"/>
    </row>
    <row r="253" customFormat="false" ht="15" hidden="false" customHeight="false" outlineLevel="0" collapsed="false">
      <c r="A253" s="17"/>
      <c r="B253" s="17"/>
      <c r="C253" s="17"/>
      <c r="D253" s="18"/>
      <c r="E253" s="17"/>
      <c r="F253" s="17"/>
      <c r="G253" s="19" t="str">
        <f aca="true">IF(OR(A253="",F253="Done",D253=""),"",IF(D253&lt;TODAY(),"OVERDUE",IF(D253=TODAY(),"TODAY","")))</f>
        <v/>
      </c>
      <c r="H253" s="18"/>
      <c r="I253" s="18"/>
      <c r="J253" s="17"/>
    </row>
    <row r="254" customFormat="false" ht="15" hidden="false" customHeight="false" outlineLevel="0" collapsed="false">
      <c r="A254" s="17"/>
      <c r="B254" s="17"/>
      <c r="C254" s="17"/>
      <c r="D254" s="18"/>
      <c r="E254" s="17"/>
      <c r="F254" s="17"/>
      <c r="G254" s="19" t="str">
        <f aca="true">IF(OR(A254="",F254="Done",D254=""),"",IF(D254&lt;TODAY(),"OVERDUE",IF(D254=TODAY(),"TODAY","")))</f>
        <v/>
      </c>
      <c r="H254" s="18"/>
      <c r="I254" s="18"/>
      <c r="J254" s="17"/>
    </row>
    <row r="255" customFormat="false" ht="15" hidden="false" customHeight="false" outlineLevel="0" collapsed="false">
      <c r="A255" s="17"/>
      <c r="B255" s="17"/>
      <c r="C255" s="17"/>
      <c r="D255" s="18"/>
      <c r="E255" s="17"/>
      <c r="F255" s="17"/>
      <c r="G255" s="19" t="str">
        <f aca="true">IF(OR(A255="",F255="Done",D255=""),"",IF(D255&lt;TODAY(),"OVERDUE",IF(D255=TODAY(),"TODAY","")))</f>
        <v/>
      </c>
      <c r="H255" s="18"/>
      <c r="I255" s="18"/>
      <c r="J255" s="17"/>
    </row>
    <row r="256" customFormat="false" ht="15" hidden="false" customHeight="false" outlineLevel="0" collapsed="false">
      <c r="A256" s="17"/>
      <c r="B256" s="17"/>
      <c r="C256" s="17"/>
      <c r="D256" s="18"/>
      <c r="E256" s="17"/>
      <c r="F256" s="17"/>
      <c r="G256" s="19" t="str">
        <f aca="true">IF(OR(A256="",F256="Done",D256=""),"",IF(D256&lt;TODAY(),"OVERDUE",IF(D256=TODAY(),"TODAY","")))</f>
        <v/>
      </c>
      <c r="H256" s="18"/>
      <c r="I256" s="18"/>
      <c r="J256" s="17"/>
    </row>
    <row r="257" customFormat="false" ht="15" hidden="false" customHeight="false" outlineLevel="0" collapsed="false">
      <c r="A257" s="17"/>
      <c r="B257" s="17"/>
      <c r="C257" s="17"/>
      <c r="D257" s="18"/>
      <c r="E257" s="17"/>
      <c r="F257" s="17"/>
      <c r="G257" s="19" t="str">
        <f aca="true">IF(OR(A257="",F257="Done",D257=""),"",IF(D257&lt;TODAY(),"OVERDUE",IF(D257=TODAY(),"TODAY","")))</f>
        <v/>
      </c>
      <c r="H257" s="18"/>
      <c r="I257" s="18"/>
      <c r="J257" s="17"/>
    </row>
    <row r="258" customFormat="false" ht="15" hidden="false" customHeight="false" outlineLevel="0" collapsed="false">
      <c r="A258" s="17"/>
      <c r="B258" s="17"/>
      <c r="C258" s="17"/>
      <c r="D258" s="18"/>
      <c r="E258" s="17"/>
      <c r="F258" s="17"/>
      <c r="G258" s="19" t="str">
        <f aca="true">IF(OR(A258="",F258="Done",D258=""),"",IF(D258&lt;TODAY(),"OVERDUE",IF(D258=TODAY(),"TODAY","")))</f>
        <v/>
      </c>
      <c r="H258" s="18"/>
      <c r="I258" s="18"/>
      <c r="J258" s="17"/>
    </row>
    <row r="259" customFormat="false" ht="15" hidden="false" customHeight="false" outlineLevel="0" collapsed="false">
      <c r="A259" s="17"/>
      <c r="B259" s="17"/>
      <c r="C259" s="17"/>
      <c r="D259" s="18"/>
      <c r="E259" s="17"/>
      <c r="F259" s="17"/>
      <c r="G259" s="19" t="str">
        <f aca="true">IF(OR(A259="",F259="Done",D259=""),"",IF(D259&lt;TODAY(),"OVERDUE",IF(D259=TODAY(),"TODAY","")))</f>
        <v/>
      </c>
      <c r="H259" s="18"/>
      <c r="I259" s="18"/>
      <c r="J259" s="17"/>
    </row>
    <row r="260" customFormat="false" ht="15" hidden="false" customHeight="false" outlineLevel="0" collapsed="false">
      <c r="A260" s="17"/>
      <c r="B260" s="17"/>
      <c r="C260" s="17"/>
      <c r="D260" s="18"/>
      <c r="E260" s="17"/>
      <c r="F260" s="17"/>
      <c r="G260" s="19" t="str">
        <f aca="true">IF(OR(A260="",F260="Done",D260=""),"",IF(D260&lt;TODAY(),"OVERDUE",IF(D260=TODAY(),"TODAY","")))</f>
        <v/>
      </c>
      <c r="H260" s="18"/>
      <c r="I260" s="18"/>
      <c r="J260" s="17"/>
    </row>
    <row r="261" customFormat="false" ht="15" hidden="false" customHeight="false" outlineLevel="0" collapsed="false">
      <c r="A261" s="17"/>
      <c r="B261" s="17"/>
      <c r="C261" s="17"/>
      <c r="D261" s="18"/>
      <c r="E261" s="17"/>
      <c r="F261" s="17"/>
      <c r="G261" s="19" t="str">
        <f aca="true">IF(OR(A261="",F261="Done",D261=""),"",IF(D261&lt;TODAY(),"OVERDUE",IF(D261=TODAY(),"TODAY","")))</f>
        <v/>
      </c>
      <c r="H261" s="18"/>
      <c r="I261" s="18"/>
      <c r="J261" s="17"/>
    </row>
    <row r="262" customFormat="false" ht="15" hidden="false" customHeight="false" outlineLevel="0" collapsed="false">
      <c r="A262" s="17"/>
      <c r="B262" s="17"/>
      <c r="C262" s="17"/>
      <c r="D262" s="18"/>
      <c r="E262" s="17"/>
      <c r="F262" s="17"/>
      <c r="G262" s="19" t="str">
        <f aca="true">IF(OR(A262="",F262="Done",D262=""),"",IF(D262&lt;TODAY(),"OVERDUE",IF(D262=TODAY(),"TODAY","")))</f>
        <v/>
      </c>
      <c r="H262" s="18"/>
      <c r="I262" s="18"/>
      <c r="J262" s="17"/>
    </row>
    <row r="263" customFormat="false" ht="15" hidden="false" customHeight="false" outlineLevel="0" collapsed="false">
      <c r="A263" s="17"/>
      <c r="B263" s="17"/>
      <c r="C263" s="17"/>
      <c r="D263" s="18"/>
      <c r="E263" s="17"/>
      <c r="F263" s="17"/>
      <c r="G263" s="19" t="str">
        <f aca="true">IF(OR(A263="",F263="Done",D263=""),"",IF(D263&lt;TODAY(),"OVERDUE",IF(D263=TODAY(),"TODAY","")))</f>
        <v/>
      </c>
      <c r="H263" s="18"/>
      <c r="I263" s="18"/>
      <c r="J263" s="17"/>
    </row>
    <row r="264" customFormat="false" ht="15" hidden="false" customHeight="false" outlineLevel="0" collapsed="false">
      <c r="A264" s="17"/>
      <c r="B264" s="17"/>
      <c r="C264" s="17"/>
      <c r="D264" s="18"/>
      <c r="E264" s="17"/>
      <c r="F264" s="17"/>
      <c r="G264" s="19" t="str">
        <f aca="true">IF(OR(A264="",F264="Done",D264=""),"",IF(D264&lt;TODAY(),"OVERDUE",IF(D264=TODAY(),"TODAY","")))</f>
        <v/>
      </c>
      <c r="H264" s="18"/>
      <c r="I264" s="18"/>
      <c r="J264" s="17"/>
    </row>
    <row r="265" customFormat="false" ht="15" hidden="false" customHeight="false" outlineLevel="0" collapsed="false">
      <c r="A265" s="17"/>
      <c r="B265" s="17"/>
      <c r="C265" s="17"/>
      <c r="D265" s="18"/>
      <c r="E265" s="17"/>
      <c r="F265" s="17"/>
      <c r="G265" s="19" t="str">
        <f aca="true">IF(OR(A265="",F265="Done",D265=""),"",IF(D265&lt;TODAY(),"OVERDUE",IF(D265=TODAY(),"TODAY","")))</f>
        <v/>
      </c>
      <c r="H265" s="18"/>
      <c r="I265" s="18"/>
      <c r="J265" s="17"/>
    </row>
    <row r="266" customFormat="false" ht="15" hidden="false" customHeight="false" outlineLevel="0" collapsed="false">
      <c r="A266" s="17"/>
      <c r="B266" s="17"/>
      <c r="C266" s="17"/>
      <c r="D266" s="18"/>
      <c r="E266" s="17"/>
      <c r="F266" s="17"/>
      <c r="G266" s="19" t="str">
        <f aca="true">IF(OR(A266="",F266="Done",D266=""),"",IF(D266&lt;TODAY(),"OVERDUE",IF(D266=TODAY(),"TODAY","")))</f>
        <v/>
      </c>
      <c r="H266" s="18"/>
      <c r="I266" s="18"/>
      <c r="J266" s="17"/>
    </row>
    <row r="267" customFormat="false" ht="15" hidden="false" customHeight="false" outlineLevel="0" collapsed="false">
      <c r="A267" s="17"/>
      <c r="B267" s="17"/>
      <c r="C267" s="17"/>
      <c r="D267" s="18"/>
      <c r="E267" s="17"/>
      <c r="F267" s="17"/>
      <c r="G267" s="19" t="str">
        <f aca="true">IF(OR(A267="",F267="Done",D267=""),"",IF(D267&lt;TODAY(),"OVERDUE",IF(D267=TODAY(),"TODAY","")))</f>
        <v/>
      </c>
      <c r="H267" s="18"/>
      <c r="I267" s="18"/>
      <c r="J267" s="17"/>
    </row>
    <row r="268" customFormat="false" ht="15" hidden="false" customHeight="false" outlineLevel="0" collapsed="false">
      <c r="A268" s="17"/>
      <c r="B268" s="17"/>
      <c r="C268" s="17"/>
      <c r="D268" s="18"/>
      <c r="E268" s="17"/>
      <c r="F268" s="17"/>
      <c r="G268" s="19" t="str">
        <f aca="true">IF(OR(A268="",F268="Done",D268=""),"",IF(D268&lt;TODAY(),"OVERDUE",IF(D268=TODAY(),"TODAY","")))</f>
        <v/>
      </c>
      <c r="H268" s="18"/>
      <c r="I268" s="18"/>
      <c r="J268" s="17"/>
    </row>
    <row r="269" customFormat="false" ht="15" hidden="false" customHeight="false" outlineLevel="0" collapsed="false">
      <c r="A269" s="17"/>
      <c r="B269" s="17"/>
      <c r="C269" s="17"/>
      <c r="D269" s="18"/>
      <c r="E269" s="17"/>
      <c r="F269" s="17"/>
      <c r="G269" s="19" t="str">
        <f aca="true">IF(OR(A269="",F269="Done",D269=""),"",IF(D269&lt;TODAY(),"OVERDUE",IF(D269=TODAY(),"TODAY","")))</f>
        <v/>
      </c>
      <c r="H269" s="18"/>
      <c r="I269" s="18"/>
      <c r="J269" s="17"/>
    </row>
    <row r="270" customFormat="false" ht="15" hidden="false" customHeight="false" outlineLevel="0" collapsed="false">
      <c r="A270" s="17"/>
      <c r="B270" s="17"/>
      <c r="C270" s="17"/>
      <c r="D270" s="18"/>
      <c r="E270" s="17"/>
      <c r="F270" s="17"/>
      <c r="G270" s="19" t="str">
        <f aca="true">IF(OR(A270="",F270="Done",D270=""),"",IF(D270&lt;TODAY(),"OVERDUE",IF(D270=TODAY(),"TODAY","")))</f>
        <v/>
      </c>
      <c r="H270" s="18"/>
      <c r="I270" s="18"/>
      <c r="J270" s="17"/>
    </row>
    <row r="271" customFormat="false" ht="15" hidden="false" customHeight="false" outlineLevel="0" collapsed="false">
      <c r="A271" s="17"/>
      <c r="B271" s="17"/>
      <c r="C271" s="17"/>
      <c r="D271" s="18"/>
      <c r="E271" s="17"/>
      <c r="F271" s="17"/>
      <c r="G271" s="19" t="str">
        <f aca="true">IF(OR(A271="",F271="Done",D271=""),"",IF(D271&lt;TODAY(),"OVERDUE",IF(D271=TODAY(),"TODAY","")))</f>
        <v/>
      </c>
      <c r="H271" s="18"/>
      <c r="I271" s="18"/>
      <c r="J271" s="17"/>
    </row>
    <row r="272" customFormat="false" ht="15" hidden="false" customHeight="false" outlineLevel="0" collapsed="false">
      <c r="A272" s="17"/>
      <c r="B272" s="17"/>
      <c r="C272" s="17"/>
      <c r="D272" s="18"/>
      <c r="E272" s="17"/>
      <c r="F272" s="17"/>
      <c r="G272" s="19" t="str">
        <f aca="true">IF(OR(A272="",F272="Done",D272=""),"",IF(D272&lt;TODAY(),"OVERDUE",IF(D272=TODAY(),"TODAY","")))</f>
        <v/>
      </c>
      <c r="H272" s="18"/>
      <c r="I272" s="18"/>
      <c r="J272" s="17"/>
    </row>
    <row r="273" customFormat="false" ht="15" hidden="false" customHeight="false" outlineLevel="0" collapsed="false">
      <c r="A273" s="17"/>
      <c r="B273" s="17"/>
      <c r="C273" s="17"/>
      <c r="D273" s="18"/>
      <c r="E273" s="17"/>
      <c r="F273" s="17"/>
      <c r="G273" s="19" t="str">
        <f aca="true">IF(OR(A273="",F273="Done",D273=""),"",IF(D273&lt;TODAY(),"OVERDUE",IF(D273=TODAY(),"TODAY","")))</f>
        <v/>
      </c>
      <c r="H273" s="18"/>
      <c r="I273" s="18"/>
      <c r="J273" s="17"/>
    </row>
    <row r="274" customFormat="false" ht="15" hidden="false" customHeight="false" outlineLevel="0" collapsed="false">
      <c r="A274" s="17"/>
      <c r="B274" s="17"/>
      <c r="C274" s="17"/>
      <c r="D274" s="18"/>
      <c r="E274" s="17"/>
      <c r="F274" s="17"/>
      <c r="G274" s="19" t="str">
        <f aca="true">IF(OR(A274="",F274="Done",D274=""),"",IF(D274&lt;TODAY(),"OVERDUE",IF(D274=TODAY(),"TODAY","")))</f>
        <v/>
      </c>
      <c r="H274" s="18"/>
      <c r="I274" s="18"/>
      <c r="J274" s="17"/>
    </row>
    <row r="275" customFormat="false" ht="15" hidden="false" customHeight="false" outlineLevel="0" collapsed="false">
      <c r="A275" s="17"/>
      <c r="B275" s="17"/>
      <c r="C275" s="17"/>
      <c r="D275" s="18"/>
      <c r="E275" s="17"/>
      <c r="F275" s="17"/>
      <c r="G275" s="19" t="str">
        <f aca="true">IF(OR(A275="",F275="Done",D275=""),"",IF(D275&lt;TODAY(),"OVERDUE",IF(D275=TODAY(),"TODAY","")))</f>
        <v/>
      </c>
      <c r="H275" s="18"/>
      <c r="I275" s="18"/>
      <c r="J275" s="17"/>
    </row>
    <row r="276" customFormat="false" ht="15" hidden="false" customHeight="false" outlineLevel="0" collapsed="false">
      <c r="A276" s="17"/>
      <c r="B276" s="17"/>
      <c r="C276" s="17"/>
      <c r="D276" s="18"/>
      <c r="E276" s="17"/>
      <c r="F276" s="17"/>
      <c r="G276" s="19" t="str">
        <f aca="true">IF(OR(A276="",F276="Done",D276=""),"",IF(D276&lt;TODAY(),"OVERDUE",IF(D276=TODAY(),"TODAY","")))</f>
        <v/>
      </c>
      <c r="H276" s="18"/>
      <c r="I276" s="18"/>
      <c r="J276" s="17"/>
    </row>
    <row r="277" customFormat="false" ht="15" hidden="false" customHeight="false" outlineLevel="0" collapsed="false">
      <c r="A277" s="17"/>
      <c r="B277" s="17"/>
      <c r="C277" s="17"/>
      <c r="D277" s="18"/>
      <c r="E277" s="17"/>
      <c r="F277" s="17"/>
      <c r="G277" s="19" t="str">
        <f aca="true">IF(OR(A277="",F277="Done",D277=""),"",IF(D277&lt;TODAY(),"OVERDUE",IF(D277=TODAY(),"TODAY","")))</f>
        <v/>
      </c>
      <c r="H277" s="18"/>
      <c r="I277" s="18"/>
      <c r="J277" s="17"/>
    </row>
    <row r="278" customFormat="false" ht="15" hidden="false" customHeight="false" outlineLevel="0" collapsed="false">
      <c r="A278" s="17"/>
      <c r="B278" s="17"/>
      <c r="C278" s="17"/>
      <c r="D278" s="18"/>
      <c r="E278" s="17"/>
      <c r="F278" s="17"/>
      <c r="G278" s="19" t="str">
        <f aca="true">IF(OR(A278="",F278="Done",D278=""),"",IF(D278&lt;TODAY(),"OVERDUE",IF(D278=TODAY(),"TODAY","")))</f>
        <v/>
      </c>
      <c r="H278" s="18"/>
      <c r="I278" s="18"/>
      <c r="J278" s="17"/>
    </row>
    <row r="279" customFormat="false" ht="15" hidden="false" customHeight="false" outlineLevel="0" collapsed="false">
      <c r="A279" s="17"/>
      <c r="B279" s="17"/>
      <c r="C279" s="17"/>
      <c r="D279" s="18"/>
      <c r="E279" s="17"/>
      <c r="F279" s="17"/>
      <c r="G279" s="19" t="str">
        <f aca="true">IF(OR(A279="",F279="Done",D279=""),"",IF(D279&lt;TODAY(),"OVERDUE",IF(D279=TODAY(),"TODAY","")))</f>
        <v/>
      </c>
      <c r="H279" s="18"/>
      <c r="I279" s="18"/>
      <c r="J279" s="17"/>
    </row>
    <row r="280" customFormat="false" ht="15" hidden="false" customHeight="false" outlineLevel="0" collapsed="false">
      <c r="A280" s="17"/>
      <c r="B280" s="17"/>
      <c r="C280" s="17"/>
      <c r="D280" s="18"/>
      <c r="E280" s="17"/>
      <c r="F280" s="17"/>
      <c r="G280" s="19" t="str">
        <f aca="true">IF(OR(A280="",F280="Done",D280=""),"",IF(D280&lt;TODAY(),"OVERDUE",IF(D280=TODAY(),"TODAY","")))</f>
        <v/>
      </c>
      <c r="H280" s="18"/>
      <c r="I280" s="18"/>
      <c r="J280" s="17"/>
    </row>
    <row r="281" customFormat="false" ht="15" hidden="false" customHeight="false" outlineLevel="0" collapsed="false">
      <c r="A281" s="17"/>
      <c r="B281" s="17"/>
      <c r="C281" s="17"/>
      <c r="D281" s="18"/>
      <c r="E281" s="17"/>
      <c r="F281" s="17"/>
      <c r="G281" s="19" t="str">
        <f aca="true">IF(OR(A281="",F281="Done",D281=""),"",IF(D281&lt;TODAY(),"OVERDUE",IF(D281=TODAY(),"TODAY","")))</f>
        <v/>
      </c>
      <c r="H281" s="18"/>
      <c r="I281" s="18"/>
      <c r="J281" s="17"/>
    </row>
    <row r="282" customFormat="false" ht="15" hidden="false" customHeight="false" outlineLevel="0" collapsed="false">
      <c r="A282" s="17"/>
      <c r="B282" s="17"/>
      <c r="C282" s="17"/>
      <c r="D282" s="18"/>
      <c r="E282" s="17"/>
      <c r="F282" s="17"/>
      <c r="G282" s="19" t="str">
        <f aca="true">IF(OR(A282="",F282="Done",D282=""),"",IF(D282&lt;TODAY(),"OVERDUE",IF(D282=TODAY(),"TODAY","")))</f>
        <v/>
      </c>
      <c r="H282" s="18"/>
      <c r="I282" s="18"/>
      <c r="J282" s="17"/>
    </row>
    <row r="283" customFormat="false" ht="15" hidden="false" customHeight="false" outlineLevel="0" collapsed="false">
      <c r="A283" s="17"/>
      <c r="B283" s="17"/>
      <c r="C283" s="17"/>
      <c r="D283" s="18"/>
      <c r="E283" s="17"/>
      <c r="F283" s="17"/>
      <c r="G283" s="19" t="str">
        <f aca="true">IF(OR(A283="",F283="Done",D283=""),"",IF(D283&lt;TODAY(),"OVERDUE",IF(D283=TODAY(),"TODAY","")))</f>
        <v/>
      </c>
      <c r="H283" s="18"/>
      <c r="I283" s="18"/>
      <c r="J283" s="17"/>
    </row>
    <row r="284" customFormat="false" ht="15" hidden="false" customHeight="false" outlineLevel="0" collapsed="false">
      <c r="A284" s="17"/>
      <c r="B284" s="17"/>
      <c r="C284" s="17"/>
      <c r="D284" s="18"/>
      <c r="E284" s="17"/>
      <c r="F284" s="17"/>
      <c r="G284" s="19" t="str">
        <f aca="true">IF(OR(A284="",F284="Done",D284=""),"",IF(D284&lt;TODAY(),"OVERDUE",IF(D284=TODAY(),"TODAY","")))</f>
        <v/>
      </c>
      <c r="H284" s="18"/>
      <c r="I284" s="18"/>
      <c r="J284" s="17"/>
    </row>
    <row r="285" customFormat="false" ht="15" hidden="false" customHeight="false" outlineLevel="0" collapsed="false">
      <c r="A285" s="17"/>
      <c r="B285" s="17"/>
      <c r="C285" s="17"/>
      <c r="D285" s="18"/>
      <c r="E285" s="17"/>
      <c r="F285" s="17"/>
      <c r="G285" s="19" t="str">
        <f aca="true">IF(OR(A285="",F285="Done",D285=""),"",IF(D285&lt;TODAY(),"OVERDUE",IF(D285=TODAY(),"TODAY","")))</f>
        <v/>
      </c>
      <c r="H285" s="18"/>
      <c r="I285" s="18"/>
      <c r="J285" s="17"/>
    </row>
    <row r="286" customFormat="false" ht="15" hidden="false" customHeight="false" outlineLevel="0" collapsed="false">
      <c r="A286" s="17"/>
      <c r="B286" s="17"/>
      <c r="C286" s="17"/>
      <c r="D286" s="18"/>
      <c r="E286" s="17"/>
      <c r="F286" s="17"/>
      <c r="G286" s="19" t="str">
        <f aca="true">IF(OR(A286="",F286="Done",D286=""),"",IF(D286&lt;TODAY(),"OVERDUE",IF(D286=TODAY(),"TODAY","")))</f>
        <v/>
      </c>
      <c r="H286" s="18"/>
      <c r="I286" s="18"/>
      <c r="J286" s="17"/>
    </row>
    <row r="287" customFormat="false" ht="15" hidden="false" customHeight="false" outlineLevel="0" collapsed="false">
      <c r="A287" s="17"/>
      <c r="B287" s="17"/>
      <c r="C287" s="17"/>
      <c r="D287" s="18"/>
      <c r="E287" s="17"/>
      <c r="F287" s="17"/>
      <c r="G287" s="19" t="str">
        <f aca="true">IF(OR(A287="",F287="Done",D287=""),"",IF(D287&lt;TODAY(),"OVERDUE",IF(D287=TODAY(),"TODAY","")))</f>
        <v/>
      </c>
      <c r="H287" s="18"/>
      <c r="I287" s="18"/>
      <c r="J287" s="17"/>
    </row>
    <row r="288" customFormat="false" ht="15" hidden="false" customHeight="false" outlineLevel="0" collapsed="false">
      <c r="A288" s="17"/>
      <c r="B288" s="17"/>
      <c r="C288" s="17"/>
      <c r="D288" s="18"/>
      <c r="E288" s="17"/>
      <c r="F288" s="17"/>
      <c r="G288" s="19" t="str">
        <f aca="true">IF(OR(A288="",F288="Done",D288=""),"",IF(D288&lt;TODAY(),"OVERDUE",IF(D288=TODAY(),"TODAY","")))</f>
        <v/>
      </c>
      <c r="H288" s="18"/>
      <c r="I288" s="18"/>
      <c r="J288" s="17"/>
    </row>
    <row r="289" customFormat="false" ht="15" hidden="false" customHeight="false" outlineLevel="0" collapsed="false">
      <c r="A289" s="17"/>
      <c r="B289" s="17"/>
      <c r="C289" s="17"/>
      <c r="D289" s="18"/>
      <c r="E289" s="17"/>
      <c r="F289" s="17"/>
      <c r="G289" s="19" t="str">
        <f aca="true">IF(OR(A289="",F289="Done",D289=""),"",IF(D289&lt;TODAY(),"OVERDUE",IF(D289=TODAY(),"TODAY","")))</f>
        <v/>
      </c>
      <c r="H289" s="18"/>
      <c r="I289" s="18"/>
      <c r="J289" s="17"/>
    </row>
    <row r="290" customFormat="false" ht="15" hidden="false" customHeight="false" outlineLevel="0" collapsed="false">
      <c r="A290" s="17"/>
      <c r="B290" s="17"/>
      <c r="C290" s="17"/>
      <c r="D290" s="18"/>
      <c r="E290" s="17"/>
      <c r="F290" s="17"/>
      <c r="G290" s="19" t="str">
        <f aca="true">IF(OR(A290="",F290="Done",D290=""),"",IF(D290&lt;TODAY(),"OVERDUE",IF(D290=TODAY(),"TODAY","")))</f>
        <v/>
      </c>
      <c r="H290" s="18"/>
      <c r="I290" s="18"/>
      <c r="J290" s="17"/>
    </row>
    <row r="291" customFormat="false" ht="15" hidden="false" customHeight="false" outlineLevel="0" collapsed="false">
      <c r="A291" s="17"/>
      <c r="B291" s="17"/>
      <c r="C291" s="17"/>
      <c r="D291" s="18"/>
      <c r="E291" s="17"/>
      <c r="F291" s="17"/>
      <c r="G291" s="19" t="str">
        <f aca="true">IF(OR(A291="",F291="Done",D291=""),"",IF(D291&lt;TODAY(),"OVERDUE",IF(D291=TODAY(),"TODAY","")))</f>
        <v/>
      </c>
      <c r="H291" s="18"/>
      <c r="I291" s="18"/>
      <c r="J291" s="17"/>
    </row>
    <row r="292" customFormat="false" ht="15" hidden="false" customHeight="false" outlineLevel="0" collapsed="false">
      <c r="A292" s="17"/>
      <c r="B292" s="17"/>
      <c r="C292" s="17"/>
      <c r="D292" s="18"/>
      <c r="E292" s="17"/>
      <c r="F292" s="17"/>
      <c r="G292" s="19" t="str">
        <f aca="true">IF(OR(A292="",F292="Done",D292=""),"",IF(D292&lt;TODAY(),"OVERDUE",IF(D292=TODAY(),"TODAY","")))</f>
        <v/>
      </c>
      <c r="H292" s="18"/>
      <c r="I292" s="18"/>
      <c r="J292" s="17"/>
    </row>
    <row r="293" customFormat="false" ht="15" hidden="false" customHeight="false" outlineLevel="0" collapsed="false">
      <c r="A293" s="17"/>
      <c r="B293" s="17"/>
      <c r="C293" s="17"/>
      <c r="D293" s="18"/>
      <c r="E293" s="17"/>
      <c r="F293" s="17"/>
      <c r="G293" s="19" t="str">
        <f aca="true">IF(OR(A293="",F293="Done",D293=""),"",IF(D293&lt;TODAY(),"OVERDUE",IF(D293=TODAY(),"TODAY","")))</f>
        <v/>
      </c>
      <c r="H293" s="18"/>
      <c r="I293" s="18"/>
      <c r="J293" s="17"/>
    </row>
    <row r="294" customFormat="false" ht="15" hidden="false" customHeight="false" outlineLevel="0" collapsed="false">
      <c r="A294" s="17"/>
      <c r="B294" s="17"/>
      <c r="C294" s="17"/>
      <c r="D294" s="18"/>
      <c r="E294" s="17"/>
      <c r="F294" s="17"/>
      <c r="G294" s="19" t="str">
        <f aca="true">IF(OR(A294="",F294="Done",D294=""),"",IF(D294&lt;TODAY(),"OVERDUE",IF(D294=TODAY(),"TODAY","")))</f>
        <v/>
      </c>
      <c r="H294" s="18"/>
      <c r="I294" s="18"/>
      <c r="J294" s="17"/>
    </row>
    <row r="295" customFormat="false" ht="15" hidden="false" customHeight="false" outlineLevel="0" collapsed="false">
      <c r="A295" s="17"/>
      <c r="B295" s="17"/>
      <c r="C295" s="17"/>
      <c r="D295" s="18"/>
      <c r="E295" s="17"/>
      <c r="F295" s="17"/>
      <c r="G295" s="19" t="str">
        <f aca="true">IF(OR(A295="",F295="Done",D295=""),"",IF(D295&lt;TODAY(),"OVERDUE",IF(D295=TODAY(),"TODAY","")))</f>
        <v/>
      </c>
      <c r="H295" s="18"/>
      <c r="I295" s="18"/>
      <c r="J295" s="17"/>
    </row>
    <row r="296" customFormat="false" ht="15" hidden="false" customHeight="false" outlineLevel="0" collapsed="false">
      <c r="A296" s="17"/>
      <c r="B296" s="17"/>
      <c r="C296" s="17"/>
      <c r="D296" s="18"/>
      <c r="E296" s="17"/>
      <c r="F296" s="17"/>
      <c r="G296" s="19" t="str">
        <f aca="true">IF(OR(A296="",F296="Done",D296=""),"",IF(D296&lt;TODAY(),"OVERDUE",IF(D296=TODAY(),"TODAY","")))</f>
        <v/>
      </c>
      <c r="H296" s="18"/>
      <c r="I296" s="18"/>
      <c r="J296" s="17"/>
    </row>
    <row r="297" customFormat="false" ht="15" hidden="false" customHeight="false" outlineLevel="0" collapsed="false">
      <c r="A297" s="17"/>
      <c r="B297" s="17"/>
      <c r="C297" s="17"/>
      <c r="D297" s="18"/>
      <c r="E297" s="17"/>
      <c r="F297" s="17"/>
      <c r="G297" s="19" t="str">
        <f aca="true">IF(OR(A297="",F297="Done",D297=""),"",IF(D297&lt;TODAY(),"OVERDUE",IF(D297=TODAY(),"TODAY","")))</f>
        <v/>
      </c>
      <c r="H297" s="18"/>
      <c r="I297" s="18"/>
      <c r="J297" s="17"/>
    </row>
    <row r="298" customFormat="false" ht="15" hidden="false" customHeight="false" outlineLevel="0" collapsed="false">
      <c r="A298" s="17"/>
      <c r="B298" s="17"/>
      <c r="C298" s="17"/>
      <c r="D298" s="18"/>
      <c r="E298" s="17"/>
      <c r="F298" s="17"/>
      <c r="G298" s="19" t="str">
        <f aca="true">IF(OR(A298="",F298="Done",D298=""),"",IF(D298&lt;TODAY(),"OVERDUE",IF(D298=TODAY(),"TODAY","")))</f>
        <v/>
      </c>
      <c r="H298" s="18"/>
      <c r="I298" s="18"/>
      <c r="J298" s="17"/>
    </row>
    <row r="299" customFormat="false" ht="15" hidden="false" customHeight="false" outlineLevel="0" collapsed="false">
      <c r="A299" s="17"/>
      <c r="B299" s="17"/>
      <c r="C299" s="17"/>
      <c r="D299" s="18"/>
      <c r="E299" s="17"/>
      <c r="F299" s="17"/>
      <c r="G299" s="19" t="str">
        <f aca="true">IF(OR(A299="",F299="Done",D299=""),"",IF(D299&lt;TODAY(),"OVERDUE",IF(D299=TODAY(),"TODAY","")))</f>
        <v/>
      </c>
      <c r="H299" s="18"/>
      <c r="I299" s="18"/>
      <c r="J299" s="17"/>
    </row>
    <row r="300" customFormat="false" ht="15" hidden="false" customHeight="false" outlineLevel="0" collapsed="false">
      <c r="A300" s="17"/>
      <c r="B300" s="17"/>
      <c r="C300" s="17"/>
      <c r="D300" s="18"/>
      <c r="E300" s="17"/>
      <c r="F300" s="17"/>
      <c r="G300" s="19" t="str">
        <f aca="true">IF(OR(A300="",F300="Done",D300=""),"",IF(D300&lt;TODAY(),"OVERDUE",IF(D300=TODAY(),"TODAY","")))</f>
        <v/>
      </c>
      <c r="H300" s="18"/>
      <c r="I300" s="18"/>
      <c r="J300" s="17"/>
    </row>
    <row r="301" customFormat="false" ht="15" hidden="false" customHeight="false" outlineLevel="0" collapsed="false">
      <c r="A301" s="17"/>
      <c r="B301" s="17"/>
      <c r="C301" s="17"/>
      <c r="D301" s="18"/>
      <c r="E301" s="17"/>
      <c r="F301" s="17"/>
      <c r="G301" s="19" t="str">
        <f aca="true">IF(OR(A301="",F301="Done",D301=""),"",IF(D301&lt;TODAY(),"OVERDUE",IF(D301=TODAY(),"TODAY","")))</f>
        <v/>
      </c>
      <c r="H301" s="18"/>
      <c r="I301" s="18"/>
      <c r="J301" s="17"/>
    </row>
    <row r="302" customFormat="false" ht="15" hidden="false" customHeight="false" outlineLevel="0" collapsed="false">
      <c r="A302" s="17"/>
      <c r="B302" s="17"/>
      <c r="C302" s="17"/>
      <c r="D302" s="18"/>
      <c r="E302" s="17"/>
      <c r="F302" s="17"/>
      <c r="G302" s="19" t="str">
        <f aca="true">IF(OR(A302="",F302="Done",D302=""),"",IF(D302&lt;TODAY(),"OVERDUE",IF(D302=TODAY(),"TODAY","")))</f>
        <v/>
      </c>
      <c r="H302" s="18"/>
      <c r="I302" s="18"/>
      <c r="J302" s="17"/>
    </row>
    <row r="303" customFormat="false" ht="15" hidden="false" customHeight="false" outlineLevel="0" collapsed="false">
      <c r="A303" s="17"/>
      <c r="B303" s="17"/>
      <c r="C303" s="17"/>
      <c r="D303" s="18"/>
      <c r="E303" s="17"/>
      <c r="F303" s="17"/>
      <c r="G303" s="19" t="str">
        <f aca="true">IF(OR(A303="",F303="Done",D303=""),"",IF(D303&lt;TODAY(),"OVERDUE",IF(D303=TODAY(),"TODAY","")))</f>
        <v/>
      </c>
      <c r="H303" s="18"/>
      <c r="I303" s="18"/>
      <c r="J303" s="17"/>
    </row>
    <row r="304" customFormat="false" ht="15" hidden="false" customHeight="false" outlineLevel="0" collapsed="false">
      <c r="A304" s="17"/>
      <c r="B304" s="17"/>
      <c r="C304" s="17"/>
      <c r="D304" s="18"/>
      <c r="E304" s="17"/>
      <c r="F304" s="17"/>
      <c r="G304" s="19" t="str">
        <f aca="true">IF(OR(A304="",F304="Done",D304=""),"",IF(D304&lt;TODAY(),"OVERDUE",IF(D304=TODAY(),"TODAY","")))</f>
        <v/>
      </c>
      <c r="H304" s="18"/>
      <c r="I304" s="18"/>
      <c r="J304" s="17"/>
    </row>
    <row r="305" customFormat="false" ht="15" hidden="false" customHeight="false" outlineLevel="0" collapsed="false">
      <c r="A305" s="17"/>
      <c r="B305" s="17"/>
      <c r="C305" s="17"/>
      <c r="D305" s="18"/>
      <c r="E305" s="17"/>
      <c r="F305" s="17"/>
      <c r="G305" s="19" t="str">
        <f aca="true">IF(OR(A305="",F305="Done",D305=""),"",IF(D305&lt;TODAY(),"OVERDUE",IF(D305=TODAY(),"TODAY","")))</f>
        <v/>
      </c>
      <c r="H305" s="18"/>
      <c r="I305" s="18"/>
      <c r="J305" s="17"/>
    </row>
    <row r="306" customFormat="false" ht="15" hidden="false" customHeight="false" outlineLevel="0" collapsed="false">
      <c r="A306" s="17"/>
      <c r="B306" s="17"/>
      <c r="C306" s="17"/>
      <c r="D306" s="18"/>
      <c r="E306" s="17"/>
      <c r="F306" s="17"/>
      <c r="G306" s="19" t="str">
        <f aca="true">IF(OR(A306="",F306="Done",D306=""),"",IF(D306&lt;TODAY(),"OVERDUE",IF(D306=TODAY(),"TODAY","")))</f>
        <v/>
      </c>
      <c r="H306" s="18"/>
      <c r="I306" s="18"/>
      <c r="J306" s="17"/>
    </row>
    <row r="307" customFormat="false" ht="15" hidden="false" customHeight="false" outlineLevel="0" collapsed="false">
      <c r="A307" s="17"/>
      <c r="B307" s="17"/>
      <c r="C307" s="17"/>
      <c r="D307" s="18"/>
      <c r="E307" s="17"/>
      <c r="F307" s="17"/>
      <c r="G307" s="19" t="str">
        <f aca="true">IF(OR(A307="",F307="Done",D307=""),"",IF(D307&lt;TODAY(),"OVERDUE",IF(D307=TODAY(),"TODAY","")))</f>
        <v/>
      </c>
      <c r="H307" s="18"/>
      <c r="I307" s="18"/>
      <c r="J307" s="17"/>
    </row>
    <row r="308" customFormat="false" ht="15" hidden="false" customHeight="false" outlineLevel="0" collapsed="false">
      <c r="A308" s="17"/>
      <c r="B308" s="17"/>
      <c r="C308" s="17"/>
      <c r="D308" s="18"/>
      <c r="E308" s="17"/>
      <c r="F308" s="17"/>
      <c r="G308" s="19" t="str">
        <f aca="true">IF(OR(A308="",F308="Done",D308=""),"",IF(D308&lt;TODAY(),"OVERDUE",IF(D308=TODAY(),"TODAY","")))</f>
        <v/>
      </c>
      <c r="H308" s="18"/>
      <c r="I308" s="18"/>
      <c r="J308" s="17"/>
    </row>
    <row r="309" customFormat="false" ht="15" hidden="false" customHeight="false" outlineLevel="0" collapsed="false">
      <c r="A309" s="17"/>
      <c r="B309" s="17"/>
      <c r="C309" s="17"/>
      <c r="D309" s="18"/>
      <c r="E309" s="17"/>
      <c r="F309" s="17"/>
      <c r="G309" s="19" t="str">
        <f aca="true">IF(OR(A309="",F309="Done",D309=""),"",IF(D309&lt;TODAY(),"OVERDUE",IF(D309=TODAY(),"TODAY","")))</f>
        <v/>
      </c>
      <c r="H309" s="18"/>
      <c r="I309" s="18"/>
      <c r="J309" s="17"/>
    </row>
    <row r="310" customFormat="false" ht="15" hidden="false" customHeight="false" outlineLevel="0" collapsed="false">
      <c r="A310" s="17"/>
      <c r="B310" s="17"/>
      <c r="C310" s="17"/>
      <c r="D310" s="18"/>
      <c r="E310" s="17"/>
      <c r="F310" s="17"/>
      <c r="G310" s="19" t="str">
        <f aca="true">IF(OR(A310="",F310="Done",D310=""),"",IF(D310&lt;TODAY(),"OVERDUE",IF(D310=TODAY(),"TODAY","")))</f>
        <v/>
      </c>
      <c r="H310" s="18"/>
      <c r="I310" s="18"/>
      <c r="J310" s="17"/>
    </row>
    <row r="311" customFormat="false" ht="15" hidden="false" customHeight="false" outlineLevel="0" collapsed="false">
      <c r="A311" s="17"/>
      <c r="B311" s="17"/>
      <c r="C311" s="17"/>
      <c r="D311" s="18"/>
      <c r="E311" s="17"/>
      <c r="F311" s="17"/>
      <c r="G311" s="19" t="str">
        <f aca="true">IF(OR(A311="",F311="Done",D311=""),"",IF(D311&lt;TODAY(),"OVERDUE",IF(D311=TODAY(),"TODAY","")))</f>
        <v/>
      </c>
      <c r="H311" s="18"/>
      <c r="I311" s="18"/>
      <c r="J311" s="17"/>
    </row>
    <row r="312" customFormat="false" ht="15" hidden="false" customHeight="false" outlineLevel="0" collapsed="false">
      <c r="A312" s="17"/>
      <c r="B312" s="17"/>
      <c r="C312" s="17"/>
      <c r="D312" s="18"/>
      <c r="E312" s="17"/>
      <c r="F312" s="17"/>
      <c r="G312" s="19" t="str">
        <f aca="true">IF(OR(A312="",F312="Done",D312=""),"",IF(D312&lt;TODAY(),"OVERDUE",IF(D312=TODAY(),"TODAY","")))</f>
        <v/>
      </c>
      <c r="H312" s="18"/>
      <c r="I312" s="18"/>
      <c r="J312" s="17"/>
    </row>
    <row r="313" customFormat="false" ht="15" hidden="false" customHeight="false" outlineLevel="0" collapsed="false">
      <c r="A313" s="17"/>
      <c r="B313" s="17"/>
      <c r="C313" s="17"/>
      <c r="D313" s="18"/>
      <c r="E313" s="17"/>
      <c r="F313" s="17"/>
      <c r="G313" s="19" t="str">
        <f aca="true">IF(OR(A313="",F313="Done",D313=""),"",IF(D313&lt;TODAY(),"OVERDUE",IF(D313=TODAY(),"TODAY","")))</f>
        <v/>
      </c>
      <c r="H313" s="18"/>
      <c r="I313" s="18"/>
      <c r="J313" s="17"/>
    </row>
    <row r="314" customFormat="false" ht="15" hidden="false" customHeight="false" outlineLevel="0" collapsed="false">
      <c r="A314" s="17"/>
      <c r="B314" s="17"/>
      <c r="C314" s="17"/>
      <c r="D314" s="18"/>
      <c r="E314" s="17"/>
      <c r="F314" s="17"/>
      <c r="G314" s="19" t="str">
        <f aca="true">IF(OR(A314="",F314="Done",D314=""),"",IF(D314&lt;TODAY(),"OVERDUE",IF(D314=TODAY(),"TODAY","")))</f>
        <v/>
      </c>
      <c r="H314" s="18"/>
      <c r="I314" s="18"/>
      <c r="J314" s="17"/>
    </row>
    <row r="315" customFormat="false" ht="15" hidden="false" customHeight="false" outlineLevel="0" collapsed="false">
      <c r="A315" s="17"/>
      <c r="B315" s="17"/>
      <c r="C315" s="17"/>
      <c r="D315" s="18"/>
      <c r="E315" s="17"/>
      <c r="F315" s="17"/>
      <c r="G315" s="19" t="str">
        <f aca="true">IF(OR(A315="",F315="Done",D315=""),"",IF(D315&lt;TODAY(),"OVERDUE",IF(D315=TODAY(),"TODAY","")))</f>
        <v/>
      </c>
      <c r="H315" s="18"/>
      <c r="I315" s="18"/>
      <c r="J315" s="17"/>
    </row>
    <row r="316" customFormat="false" ht="15" hidden="false" customHeight="false" outlineLevel="0" collapsed="false">
      <c r="A316" s="17"/>
      <c r="B316" s="17"/>
      <c r="C316" s="17"/>
      <c r="D316" s="18"/>
      <c r="E316" s="17"/>
      <c r="F316" s="17"/>
      <c r="G316" s="19" t="str">
        <f aca="true">IF(OR(A316="",F316="Done",D316=""),"",IF(D316&lt;TODAY(),"OVERDUE",IF(D316=TODAY(),"TODAY","")))</f>
        <v/>
      </c>
      <c r="H316" s="18"/>
      <c r="I316" s="18"/>
      <c r="J316" s="17"/>
    </row>
    <row r="317" customFormat="false" ht="15" hidden="false" customHeight="false" outlineLevel="0" collapsed="false">
      <c r="A317" s="17"/>
      <c r="B317" s="17"/>
      <c r="C317" s="17"/>
      <c r="D317" s="18"/>
      <c r="E317" s="17"/>
      <c r="F317" s="17"/>
      <c r="G317" s="19" t="str">
        <f aca="true">IF(OR(A317="",F317="Done",D317=""),"",IF(D317&lt;TODAY(),"OVERDUE",IF(D317=TODAY(),"TODAY","")))</f>
        <v/>
      </c>
      <c r="H317" s="18"/>
      <c r="I317" s="18"/>
      <c r="J317" s="17"/>
    </row>
    <row r="318" customFormat="false" ht="15" hidden="false" customHeight="false" outlineLevel="0" collapsed="false">
      <c r="A318" s="17"/>
      <c r="B318" s="17"/>
      <c r="C318" s="17"/>
      <c r="D318" s="18"/>
      <c r="E318" s="17"/>
      <c r="F318" s="17"/>
      <c r="G318" s="19" t="str">
        <f aca="true">IF(OR(A318="",F318="Done",D318=""),"",IF(D318&lt;TODAY(),"OVERDUE",IF(D318=TODAY(),"TODAY","")))</f>
        <v/>
      </c>
      <c r="H318" s="18"/>
      <c r="I318" s="18"/>
      <c r="J318" s="17"/>
    </row>
    <row r="319" customFormat="false" ht="15" hidden="false" customHeight="false" outlineLevel="0" collapsed="false">
      <c r="A319" s="17"/>
      <c r="B319" s="17"/>
      <c r="C319" s="17"/>
      <c r="D319" s="18"/>
      <c r="E319" s="17"/>
      <c r="F319" s="17"/>
      <c r="G319" s="19" t="str">
        <f aca="true">IF(OR(A319="",F319="Done",D319=""),"",IF(D319&lt;TODAY(),"OVERDUE",IF(D319=TODAY(),"TODAY","")))</f>
        <v/>
      </c>
      <c r="H319" s="18"/>
      <c r="I319" s="18"/>
      <c r="J319" s="17"/>
    </row>
    <row r="320" customFormat="false" ht="15" hidden="false" customHeight="false" outlineLevel="0" collapsed="false">
      <c r="A320" s="17"/>
      <c r="B320" s="17"/>
      <c r="C320" s="17"/>
      <c r="D320" s="18"/>
      <c r="E320" s="17"/>
      <c r="F320" s="17"/>
      <c r="G320" s="19" t="str">
        <f aca="true">IF(OR(A320="",F320="Done",D320=""),"",IF(D320&lt;TODAY(),"OVERDUE",IF(D320=TODAY(),"TODAY","")))</f>
        <v/>
      </c>
      <c r="H320" s="18"/>
      <c r="I320" s="18"/>
      <c r="J320" s="17"/>
    </row>
    <row r="321" customFormat="false" ht="15" hidden="false" customHeight="false" outlineLevel="0" collapsed="false">
      <c r="A321" s="17"/>
      <c r="B321" s="17"/>
      <c r="C321" s="17"/>
      <c r="D321" s="18"/>
      <c r="E321" s="17"/>
      <c r="F321" s="17"/>
      <c r="G321" s="19" t="str">
        <f aca="true">IF(OR(A321="",F321="Done",D321=""),"",IF(D321&lt;TODAY(),"OVERDUE",IF(D321=TODAY(),"TODAY","")))</f>
        <v/>
      </c>
      <c r="H321" s="18"/>
      <c r="I321" s="18"/>
      <c r="J321" s="17"/>
    </row>
    <row r="322" customFormat="false" ht="15" hidden="false" customHeight="false" outlineLevel="0" collapsed="false">
      <c r="A322" s="17"/>
      <c r="B322" s="17"/>
      <c r="C322" s="17"/>
      <c r="D322" s="18"/>
      <c r="E322" s="17"/>
      <c r="F322" s="17"/>
      <c r="G322" s="19" t="str">
        <f aca="true">IF(OR(A322="",F322="Done",D322=""),"",IF(D322&lt;TODAY(),"OVERDUE",IF(D322=TODAY(),"TODAY","")))</f>
        <v/>
      </c>
      <c r="H322" s="18"/>
      <c r="I322" s="18"/>
      <c r="J322" s="17"/>
    </row>
    <row r="323" customFormat="false" ht="15" hidden="false" customHeight="false" outlineLevel="0" collapsed="false">
      <c r="A323" s="17"/>
      <c r="B323" s="17"/>
      <c r="C323" s="17"/>
      <c r="D323" s="18"/>
      <c r="E323" s="17"/>
      <c r="F323" s="17"/>
      <c r="G323" s="19" t="str">
        <f aca="true">IF(OR(A323="",F323="Done",D323=""),"",IF(D323&lt;TODAY(),"OVERDUE",IF(D323=TODAY(),"TODAY","")))</f>
        <v/>
      </c>
      <c r="H323" s="18"/>
      <c r="I323" s="18"/>
      <c r="J323" s="17"/>
    </row>
    <row r="324" customFormat="false" ht="15" hidden="false" customHeight="false" outlineLevel="0" collapsed="false">
      <c r="A324" s="17"/>
      <c r="B324" s="17"/>
      <c r="C324" s="17"/>
      <c r="D324" s="18"/>
      <c r="E324" s="17"/>
      <c r="F324" s="17"/>
      <c r="G324" s="19" t="str">
        <f aca="true">IF(OR(A324="",F324="Done",D324=""),"",IF(D324&lt;TODAY(),"OVERDUE",IF(D324=TODAY(),"TODAY","")))</f>
        <v/>
      </c>
      <c r="H324" s="18"/>
      <c r="I324" s="18"/>
      <c r="J324" s="17"/>
    </row>
    <row r="325" customFormat="false" ht="15" hidden="false" customHeight="false" outlineLevel="0" collapsed="false">
      <c r="A325" s="17"/>
      <c r="B325" s="17"/>
      <c r="C325" s="17"/>
      <c r="D325" s="18"/>
      <c r="E325" s="17"/>
      <c r="F325" s="17"/>
      <c r="G325" s="19" t="str">
        <f aca="true">IF(OR(A325="",F325="Done",D325=""),"",IF(D325&lt;TODAY(),"OVERDUE",IF(D325=TODAY(),"TODAY","")))</f>
        <v/>
      </c>
      <c r="H325" s="18"/>
      <c r="I325" s="18"/>
      <c r="J325" s="17"/>
    </row>
    <row r="326" customFormat="false" ht="15" hidden="false" customHeight="false" outlineLevel="0" collapsed="false">
      <c r="A326" s="17"/>
      <c r="B326" s="17"/>
      <c r="C326" s="17"/>
      <c r="D326" s="18"/>
      <c r="E326" s="17"/>
      <c r="F326" s="17"/>
      <c r="G326" s="19" t="str">
        <f aca="true">IF(OR(A326="",F326="Done",D326=""),"",IF(D326&lt;TODAY(),"OVERDUE",IF(D326=TODAY(),"TODAY","")))</f>
        <v/>
      </c>
      <c r="H326" s="18"/>
      <c r="I326" s="18"/>
      <c r="J326" s="17"/>
    </row>
    <row r="327" customFormat="false" ht="15" hidden="false" customHeight="false" outlineLevel="0" collapsed="false">
      <c r="A327" s="17"/>
      <c r="B327" s="17"/>
      <c r="C327" s="17"/>
      <c r="D327" s="18"/>
      <c r="E327" s="17"/>
      <c r="F327" s="17"/>
      <c r="G327" s="19" t="str">
        <f aca="true">IF(OR(A327="",F327="Done",D327=""),"",IF(D327&lt;TODAY(),"OVERDUE",IF(D327=TODAY(),"TODAY","")))</f>
        <v/>
      </c>
      <c r="H327" s="18"/>
      <c r="I327" s="18"/>
      <c r="J327" s="17"/>
    </row>
    <row r="328" customFormat="false" ht="15" hidden="false" customHeight="false" outlineLevel="0" collapsed="false">
      <c r="A328" s="17"/>
      <c r="B328" s="17"/>
      <c r="C328" s="17"/>
      <c r="D328" s="18"/>
      <c r="E328" s="17"/>
      <c r="F328" s="17"/>
      <c r="G328" s="19" t="str">
        <f aca="true">IF(OR(A328="",F328="Done",D328=""),"",IF(D328&lt;TODAY(),"OVERDUE",IF(D328=TODAY(),"TODAY","")))</f>
        <v/>
      </c>
      <c r="H328" s="18"/>
      <c r="I328" s="18"/>
      <c r="J328" s="17"/>
    </row>
    <row r="329" customFormat="false" ht="15" hidden="false" customHeight="false" outlineLevel="0" collapsed="false">
      <c r="A329" s="17"/>
      <c r="B329" s="17"/>
      <c r="C329" s="17"/>
      <c r="D329" s="18"/>
      <c r="E329" s="17"/>
      <c r="F329" s="17"/>
      <c r="G329" s="19" t="str">
        <f aca="true">IF(OR(A329="",F329="Done",D329=""),"",IF(D329&lt;TODAY(),"OVERDUE",IF(D329=TODAY(),"TODAY","")))</f>
        <v/>
      </c>
      <c r="H329" s="18"/>
      <c r="I329" s="18"/>
      <c r="J329" s="17"/>
    </row>
    <row r="330" customFormat="false" ht="15" hidden="false" customHeight="false" outlineLevel="0" collapsed="false">
      <c r="A330" s="17"/>
      <c r="B330" s="17"/>
      <c r="C330" s="17"/>
      <c r="D330" s="18"/>
      <c r="E330" s="17"/>
      <c r="F330" s="17"/>
      <c r="G330" s="19" t="str">
        <f aca="true">IF(OR(A330="",F330="Done",D330=""),"",IF(D330&lt;TODAY(),"OVERDUE",IF(D330=TODAY(),"TODAY","")))</f>
        <v/>
      </c>
      <c r="H330" s="18"/>
      <c r="I330" s="18"/>
      <c r="J330" s="17"/>
    </row>
    <row r="331" customFormat="false" ht="15" hidden="false" customHeight="false" outlineLevel="0" collapsed="false">
      <c r="A331" s="17"/>
      <c r="B331" s="17"/>
      <c r="C331" s="17"/>
      <c r="D331" s="18"/>
      <c r="E331" s="17"/>
      <c r="F331" s="17"/>
      <c r="G331" s="19" t="str">
        <f aca="true">IF(OR(A331="",F331="Done",D331=""),"",IF(D331&lt;TODAY(),"OVERDUE",IF(D331=TODAY(),"TODAY","")))</f>
        <v/>
      </c>
      <c r="H331" s="18"/>
      <c r="I331" s="18"/>
      <c r="J331" s="17"/>
    </row>
    <row r="332" customFormat="false" ht="15" hidden="false" customHeight="false" outlineLevel="0" collapsed="false">
      <c r="A332" s="17"/>
      <c r="B332" s="17"/>
      <c r="C332" s="17"/>
      <c r="D332" s="18"/>
      <c r="E332" s="17"/>
      <c r="F332" s="17"/>
      <c r="G332" s="19" t="str">
        <f aca="true">IF(OR(A332="",F332="Done",D332=""),"",IF(D332&lt;TODAY(),"OVERDUE",IF(D332=TODAY(),"TODAY","")))</f>
        <v/>
      </c>
      <c r="H332" s="18"/>
      <c r="I332" s="18"/>
      <c r="J332" s="17"/>
    </row>
    <row r="333" customFormat="false" ht="15" hidden="false" customHeight="false" outlineLevel="0" collapsed="false">
      <c r="A333" s="17"/>
      <c r="B333" s="17"/>
      <c r="C333" s="17"/>
      <c r="D333" s="18"/>
      <c r="E333" s="17"/>
      <c r="F333" s="17"/>
      <c r="G333" s="19" t="str">
        <f aca="true">IF(OR(A333="",F333="Done",D333=""),"",IF(D333&lt;TODAY(),"OVERDUE",IF(D333=TODAY(),"TODAY","")))</f>
        <v/>
      </c>
      <c r="H333" s="18"/>
      <c r="I333" s="18"/>
      <c r="J333" s="17"/>
    </row>
    <row r="334" customFormat="false" ht="15" hidden="false" customHeight="false" outlineLevel="0" collapsed="false">
      <c r="A334" s="17"/>
      <c r="B334" s="17"/>
      <c r="C334" s="17"/>
      <c r="D334" s="18"/>
      <c r="E334" s="17"/>
      <c r="F334" s="17"/>
      <c r="G334" s="19" t="str">
        <f aca="true">IF(OR(A334="",F334="Done",D334=""),"",IF(D334&lt;TODAY(),"OVERDUE",IF(D334=TODAY(),"TODAY","")))</f>
        <v/>
      </c>
      <c r="H334" s="18"/>
      <c r="I334" s="18"/>
      <c r="J334" s="17"/>
    </row>
    <row r="335" customFormat="false" ht="15" hidden="false" customHeight="false" outlineLevel="0" collapsed="false">
      <c r="A335" s="17"/>
      <c r="B335" s="17"/>
      <c r="C335" s="17"/>
      <c r="D335" s="18"/>
      <c r="E335" s="17"/>
      <c r="F335" s="17"/>
      <c r="G335" s="19" t="str">
        <f aca="true">IF(OR(A335="",F335="Done",D335=""),"",IF(D335&lt;TODAY(),"OVERDUE",IF(D335=TODAY(),"TODAY","")))</f>
        <v/>
      </c>
      <c r="H335" s="18"/>
      <c r="I335" s="18"/>
      <c r="J335" s="17"/>
    </row>
    <row r="336" customFormat="false" ht="15" hidden="false" customHeight="false" outlineLevel="0" collapsed="false">
      <c r="A336" s="17"/>
      <c r="B336" s="17"/>
      <c r="C336" s="17"/>
      <c r="D336" s="18"/>
      <c r="E336" s="17"/>
      <c r="F336" s="17"/>
      <c r="G336" s="19" t="str">
        <f aca="true">IF(OR(A336="",F336="Done",D336=""),"",IF(D336&lt;TODAY(),"OVERDUE",IF(D336=TODAY(),"TODAY","")))</f>
        <v/>
      </c>
      <c r="H336" s="18"/>
      <c r="I336" s="18"/>
      <c r="J336" s="17"/>
    </row>
    <row r="337" customFormat="false" ht="15" hidden="false" customHeight="false" outlineLevel="0" collapsed="false">
      <c r="A337" s="17"/>
      <c r="B337" s="17"/>
      <c r="C337" s="17"/>
      <c r="D337" s="18"/>
      <c r="E337" s="17"/>
      <c r="F337" s="17"/>
      <c r="G337" s="19" t="str">
        <f aca="true">IF(OR(A337="",F337="Done",D337=""),"",IF(D337&lt;TODAY(),"OVERDUE",IF(D337=TODAY(),"TODAY","")))</f>
        <v/>
      </c>
      <c r="H337" s="18"/>
      <c r="I337" s="18"/>
      <c r="J337" s="17"/>
    </row>
    <row r="338" customFormat="false" ht="15" hidden="false" customHeight="false" outlineLevel="0" collapsed="false">
      <c r="A338" s="17"/>
      <c r="B338" s="17"/>
      <c r="C338" s="17"/>
      <c r="D338" s="18"/>
      <c r="E338" s="17"/>
      <c r="F338" s="17"/>
      <c r="G338" s="19" t="str">
        <f aca="true">IF(OR(A338="",F338="Done",D338=""),"",IF(D338&lt;TODAY(),"OVERDUE",IF(D338=TODAY(),"TODAY","")))</f>
        <v/>
      </c>
      <c r="H338" s="18"/>
      <c r="I338" s="18"/>
      <c r="J338" s="17"/>
    </row>
    <row r="339" customFormat="false" ht="15" hidden="false" customHeight="false" outlineLevel="0" collapsed="false">
      <c r="A339" s="17"/>
      <c r="B339" s="17"/>
      <c r="C339" s="17"/>
      <c r="D339" s="18"/>
      <c r="E339" s="17"/>
      <c r="F339" s="17"/>
      <c r="G339" s="19" t="str">
        <f aca="true">IF(OR(A339="",F339="Done",D339=""),"",IF(D339&lt;TODAY(),"OVERDUE",IF(D339=TODAY(),"TODAY","")))</f>
        <v/>
      </c>
      <c r="H339" s="18"/>
      <c r="I339" s="18"/>
      <c r="J339" s="17"/>
    </row>
    <row r="340" customFormat="false" ht="15" hidden="false" customHeight="false" outlineLevel="0" collapsed="false">
      <c r="A340" s="17"/>
      <c r="B340" s="17"/>
      <c r="C340" s="17"/>
      <c r="D340" s="18"/>
      <c r="E340" s="17"/>
      <c r="F340" s="17"/>
      <c r="G340" s="19" t="str">
        <f aca="true">IF(OR(A340="",F340="Done",D340=""),"",IF(D340&lt;TODAY(),"OVERDUE",IF(D340=TODAY(),"TODAY","")))</f>
        <v/>
      </c>
      <c r="H340" s="18"/>
      <c r="I340" s="18"/>
      <c r="J340" s="17"/>
    </row>
    <row r="341" customFormat="false" ht="15" hidden="false" customHeight="false" outlineLevel="0" collapsed="false">
      <c r="A341" s="17"/>
      <c r="B341" s="17"/>
      <c r="C341" s="17"/>
      <c r="D341" s="18"/>
      <c r="E341" s="17"/>
      <c r="F341" s="17"/>
      <c r="G341" s="19" t="str">
        <f aca="true">IF(OR(A341="",F341="Done",D341=""),"",IF(D341&lt;TODAY(),"OVERDUE",IF(D341=TODAY(),"TODAY","")))</f>
        <v/>
      </c>
      <c r="H341" s="18"/>
      <c r="I341" s="18"/>
      <c r="J341" s="17"/>
    </row>
    <row r="342" customFormat="false" ht="15" hidden="false" customHeight="false" outlineLevel="0" collapsed="false">
      <c r="A342" s="17"/>
      <c r="B342" s="17"/>
      <c r="C342" s="17"/>
      <c r="D342" s="18"/>
      <c r="E342" s="17"/>
      <c r="F342" s="17"/>
      <c r="G342" s="19" t="str">
        <f aca="true">IF(OR(A342="",F342="Done",D342=""),"",IF(D342&lt;TODAY(),"OVERDUE",IF(D342=TODAY(),"TODAY","")))</f>
        <v/>
      </c>
      <c r="H342" s="18"/>
      <c r="I342" s="18"/>
      <c r="J342" s="17"/>
    </row>
    <row r="343" customFormat="false" ht="15" hidden="false" customHeight="false" outlineLevel="0" collapsed="false">
      <c r="A343" s="17"/>
      <c r="B343" s="17"/>
      <c r="C343" s="17"/>
      <c r="D343" s="18"/>
      <c r="E343" s="17"/>
      <c r="F343" s="17"/>
      <c r="G343" s="19" t="str">
        <f aca="true">IF(OR(A343="",F343="Done",D343=""),"",IF(D343&lt;TODAY(),"OVERDUE",IF(D343=TODAY(),"TODAY","")))</f>
        <v/>
      </c>
      <c r="H343" s="18"/>
      <c r="I343" s="18"/>
      <c r="J343" s="17"/>
    </row>
    <row r="344" customFormat="false" ht="15" hidden="false" customHeight="false" outlineLevel="0" collapsed="false">
      <c r="A344" s="17"/>
      <c r="B344" s="17"/>
      <c r="C344" s="17"/>
      <c r="D344" s="18"/>
      <c r="E344" s="17"/>
      <c r="F344" s="17"/>
      <c r="G344" s="19" t="str">
        <f aca="true">IF(OR(A344="",F344="Done",D344=""),"",IF(D344&lt;TODAY(),"OVERDUE",IF(D344=TODAY(),"TODAY","")))</f>
        <v/>
      </c>
      <c r="H344" s="18"/>
      <c r="I344" s="18"/>
      <c r="J344" s="17"/>
    </row>
    <row r="345" customFormat="false" ht="15" hidden="false" customHeight="false" outlineLevel="0" collapsed="false">
      <c r="A345" s="17"/>
      <c r="B345" s="17"/>
      <c r="C345" s="17"/>
      <c r="D345" s="18"/>
      <c r="E345" s="17"/>
      <c r="F345" s="17"/>
      <c r="G345" s="19" t="str">
        <f aca="true">IF(OR(A345="",F345="Done",D345=""),"",IF(D345&lt;TODAY(),"OVERDUE",IF(D345=TODAY(),"TODAY","")))</f>
        <v/>
      </c>
      <c r="H345" s="18"/>
      <c r="I345" s="18"/>
      <c r="J345" s="17"/>
    </row>
    <row r="346" customFormat="false" ht="15" hidden="false" customHeight="false" outlineLevel="0" collapsed="false">
      <c r="A346" s="17"/>
      <c r="B346" s="17"/>
      <c r="C346" s="17"/>
      <c r="D346" s="18"/>
      <c r="E346" s="17"/>
      <c r="F346" s="17"/>
      <c r="G346" s="19" t="str">
        <f aca="true">IF(OR(A346="",F346="Done",D346=""),"",IF(D346&lt;TODAY(),"OVERDUE",IF(D346=TODAY(),"TODAY","")))</f>
        <v/>
      </c>
      <c r="H346" s="18"/>
      <c r="I346" s="18"/>
      <c r="J346" s="17"/>
    </row>
    <row r="347" customFormat="false" ht="15" hidden="false" customHeight="false" outlineLevel="0" collapsed="false">
      <c r="A347" s="17"/>
      <c r="B347" s="17"/>
      <c r="C347" s="17"/>
      <c r="D347" s="18"/>
      <c r="E347" s="17"/>
      <c r="F347" s="17"/>
      <c r="G347" s="19" t="str">
        <f aca="true">IF(OR(A347="",F347="Done",D347=""),"",IF(D347&lt;TODAY(),"OVERDUE",IF(D347=TODAY(),"TODAY","")))</f>
        <v/>
      </c>
      <c r="H347" s="18"/>
      <c r="I347" s="18"/>
      <c r="J347" s="17"/>
    </row>
    <row r="348" customFormat="false" ht="15" hidden="false" customHeight="false" outlineLevel="0" collapsed="false">
      <c r="A348" s="17"/>
      <c r="B348" s="17"/>
      <c r="C348" s="17"/>
      <c r="D348" s="18"/>
      <c r="E348" s="17"/>
      <c r="F348" s="17"/>
      <c r="G348" s="19" t="str">
        <f aca="true">IF(OR(A348="",F348="Done",D348=""),"",IF(D348&lt;TODAY(),"OVERDUE",IF(D348=TODAY(),"TODAY","")))</f>
        <v/>
      </c>
      <c r="H348" s="18"/>
      <c r="I348" s="18"/>
      <c r="J348" s="17"/>
    </row>
    <row r="349" customFormat="false" ht="15" hidden="false" customHeight="false" outlineLevel="0" collapsed="false">
      <c r="A349" s="17"/>
      <c r="B349" s="17"/>
      <c r="C349" s="17"/>
      <c r="D349" s="18"/>
      <c r="E349" s="17"/>
      <c r="F349" s="17"/>
      <c r="G349" s="19" t="str">
        <f aca="true">IF(OR(A349="",F349="Done",D349=""),"",IF(D349&lt;TODAY(),"OVERDUE",IF(D349=TODAY(),"TODAY","")))</f>
        <v/>
      </c>
      <c r="H349" s="18"/>
      <c r="I349" s="18"/>
      <c r="J349" s="17"/>
    </row>
    <row r="350" customFormat="false" ht="15" hidden="false" customHeight="false" outlineLevel="0" collapsed="false">
      <c r="A350" s="17"/>
      <c r="B350" s="17"/>
      <c r="C350" s="17"/>
      <c r="D350" s="18"/>
      <c r="E350" s="17"/>
      <c r="F350" s="17"/>
      <c r="G350" s="19" t="str">
        <f aca="true">IF(OR(A350="",F350="Done",D350=""),"",IF(D350&lt;TODAY(),"OVERDUE",IF(D350=TODAY(),"TODAY","")))</f>
        <v/>
      </c>
      <c r="H350" s="18"/>
      <c r="I350" s="18"/>
      <c r="J350" s="17"/>
    </row>
    <row r="351" customFormat="false" ht="15" hidden="false" customHeight="false" outlineLevel="0" collapsed="false">
      <c r="A351" s="17"/>
      <c r="B351" s="17"/>
      <c r="C351" s="17"/>
      <c r="D351" s="18"/>
      <c r="E351" s="17"/>
      <c r="F351" s="17"/>
      <c r="G351" s="19" t="str">
        <f aca="true">IF(OR(A351="",F351="Done",D351=""),"",IF(D351&lt;TODAY(),"OVERDUE",IF(D351=TODAY(),"TODAY","")))</f>
        <v/>
      </c>
      <c r="H351" s="18"/>
      <c r="I351" s="18"/>
      <c r="J351" s="17"/>
    </row>
    <row r="352" customFormat="false" ht="15" hidden="false" customHeight="false" outlineLevel="0" collapsed="false">
      <c r="A352" s="17"/>
      <c r="B352" s="17"/>
      <c r="C352" s="17"/>
      <c r="D352" s="18"/>
      <c r="E352" s="17"/>
      <c r="F352" s="17"/>
      <c r="G352" s="19" t="str">
        <f aca="true">IF(OR(A352="",F352="Done",D352=""),"",IF(D352&lt;TODAY(),"OVERDUE",IF(D352=TODAY(),"TODAY","")))</f>
        <v/>
      </c>
      <c r="H352" s="18"/>
      <c r="I352" s="18"/>
      <c r="J352" s="17"/>
    </row>
    <row r="353" customFormat="false" ht="15" hidden="false" customHeight="false" outlineLevel="0" collapsed="false">
      <c r="A353" s="17"/>
      <c r="B353" s="17"/>
      <c r="C353" s="17"/>
      <c r="D353" s="18"/>
      <c r="E353" s="17"/>
      <c r="F353" s="17"/>
      <c r="G353" s="19" t="str">
        <f aca="true">IF(OR(A353="",F353="Done",D353=""),"",IF(D353&lt;TODAY(),"OVERDUE",IF(D353=TODAY(),"TODAY","")))</f>
        <v/>
      </c>
      <c r="H353" s="18"/>
      <c r="I353" s="18"/>
      <c r="J353" s="17"/>
    </row>
    <row r="354" customFormat="false" ht="15" hidden="false" customHeight="false" outlineLevel="0" collapsed="false">
      <c r="A354" s="17"/>
      <c r="B354" s="17"/>
      <c r="C354" s="17"/>
      <c r="D354" s="18"/>
      <c r="E354" s="17"/>
      <c r="F354" s="17"/>
      <c r="G354" s="19" t="str">
        <f aca="true">IF(OR(A354="",F354="Done",D354=""),"",IF(D354&lt;TODAY(),"OVERDUE",IF(D354=TODAY(),"TODAY","")))</f>
        <v/>
      </c>
      <c r="H354" s="18"/>
      <c r="I354" s="18"/>
      <c r="J354" s="17"/>
    </row>
    <row r="355" customFormat="false" ht="15" hidden="false" customHeight="false" outlineLevel="0" collapsed="false">
      <c r="A355" s="17"/>
      <c r="B355" s="17"/>
      <c r="C355" s="17"/>
      <c r="D355" s="18"/>
      <c r="E355" s="17"/>
      <c r="F355" s="17"/>
      <c r="G355" s="19" t="str">
        <f aca="true">IF(OR(A355="",F355="Done",D355=""),"",IF(D355&lt;TODAY(),"OVERDUE",IF(D355=TODAY(),"TODAY","")))</f>
        <v/>
      </c>
      <c r="H355" s="18"/>
      <c r="I355" s="18"/>
      <c r="J355" s="17"/>
    </row>
    <row r="356" customFormat="false" ht="15" hidden="false" customHeight="false" outlineLevel="0" collapsed="false">
      <c r="A356" s="17"/>
      <c r="B356" s="17"/>
      <c r="C356" s="17"/>
      <c r="D356" s="18"/>
      <c r="E356" s="17"/>
      <c r="F356" s="17"/>
      <c r="G356" s="19" t="str">
        <f aca="true">IF(OR(A356="",F356="Done",D356=""),"",IF(D356&lt;TODAY(),"OVERDUE",IF(D356=TODAY(),"TODAY","")))</f>
        <v/>
      </c>
      <c r="H356" s="18"/>
      <c r="I356" s="18"/>
      <c r="J356" s="17"/>
    </row>
    <row r="357" customFormat="false" ht="15" hidden="false" customHeight="false" outlineLevel="0" collapsed="false">
      <c r="A357" s="17"/>
      <c r="B357" s="17"/>
      <c r="C357" s="17"/>
      <c r="D357" s="18"/>
      <c r="E357" s="17"/>
      <c r="F357" s="17"/>
      <c r="G357" s="19" t="str">
        <f aca="true">IF(OR(A357="",F357="Done",D357=""),"",IF(D357&lt;TODAY(),"OVERDUE",IF(D357=TODAY(),"TODAY","")))</f>
        <v/>
      </c>
      <c r="H357" s="18"/>
      <c r="I357" s="18"/>
      <c r="J357" s="17"/>
    </row>
    <row r="358" customFormat="false" ht="15" hidden="false" customHeight="false" outlineLevel="0" collapsed="false">
      <c r="A358" s="17"/>
      <c r="B358" s="17"/>
      <c r="C358" s="17"/>
      <c r="D358" s="18"/>
      <c r="E358" s="17"/>
      <c r="F358" s="17"/>
      <c r="G358" s="19" t="str">
        <f aca="true">IF(OR(A358="",F358="Done",D358=""),"",IF(D358&lt;TODAY(),"OVERDUE",IF(D358=TODAY(),"TODAY","")))</f>
        <v/>
      </c>
      <c r="H358" s="18"/>
      <c r="I358" s="18"/>
      <c r="J358" s="17"/>
    </row>
    <row r="359" customFormat="false" ht="15" hidden="false" customHeight="false" outlineLevel="0" collapsed="false">
      <c r="A359" s="17"/>
      <c r="B359" s="17"/>
      <c r="C359" s="17"/>
      <c r="D359" s="18"/>
      <c r="E359" s="17"/>
      <c r="F359" s="17"/>
      <c r="G359" s="19" t="str">
        <f aca="true">IF(OR(A359="",F359="Done",D359=""),"",IF(D359&lt;TODAY(),"OVERDUE",IF(D359=TODAY(),"TODAY","")))</f>
        <v/>
      </c>
      <c r="H359" s="18"/>
      <c r="I359" s="18"/>
      <c r="J359" s="17"/>
    </row>
    <row r="360" customFormat="false" ht="15" hidden="false" customHeight="false" outlineLevel="0" collapsed="false">
      <c r="A360" s="17"/>
      <c r="B360" s="17"/>
      <c r="C360" s="17"/>
      <c r="D360" s="18"/>
      <c r="E360" s="17"/>
      <c r="F360" s="17"/>
      <c r="G360" s="19" t="str">
        <f aca="true">IF(OR(A360="",F360="Done",D360=""),"",IF(D360&lt;TODAY(),"OVERDUE",IF(D360=TODAY(),"TODAY","")))</f>
        <v/>
      </c>
      <c r="H360" s="18"/>
      <c r="I360" s="18"/>
      <c r="J360" s="17"/>
    </row>
    <row r="361" customFormat="false" ht="15" hidden="false" customHeight="false" outlineLevel="0" collapsed="false">
      <c r="A361" s="17"/>
      <c r="B361" s="17"/>
      <c r="C361" s="17"/>
      <c r="D361" s="18"/>
      <c r="E361" s="17"/>
      <c r="F361" s="17"/>
      <c r="G361" s="19" t="str">
        <f aca="true">IF(OR(A361="",F361="Done",D361=""),"",IF(D361&lt;TODAY(),"OVERDUE",IF(D361=TODAY(),"TODAY","")))</f>
        <v/>
      </c>
      <c r="H361" s="18"/>
      <c r="I361" s="18"/>
      <c r="J361" s="17"/>
    </row>
    <row r="362" customFormat="false" ht="15" hidden="false" customHeight="false" outlineLevel="0" collapsed="false">
      <c r="A362" s="17"/>
      <c r="B362" s="17"/>
      <c r="C362" s="17"/>
      <c r="D362" s="18"/>
      <c r="E362" s="17"/>
      <c r="F362" s="17"/>
      <c r="G362" s="19" t="str">
        <f aca="true">IF(OR(A362="",F362="Done",D362=""),"",IF(D362&lt;TODAY(),"OVERDUE",IF(D362=TODAY(),"TODAY","")))</f>
        <v/>
      </c>
      <c r="H362" s="18"/>
      <c r="I362" s="18"/>
      <c r="J362" s="17"/>
    </row>
    <row r="363" customFormat="false" ht="15" hidden="false" customHeight="false" outlineLevel="0" collapsed="false">
      <c r="A363" s="17"/>
      <c r="B363" s="17"/>
      <c r="C363" s="17"/>
      <c r="D363" s="18"/>
      <c r="E363" s="17"/>
      <c r="F363" s="17"/>
      <c r="G363" s="19" t="str">
        <f aca="true">IF(OR(A363="",F363="Done",D363=""),"",IF(D363&lt;TODAY(),"OVERDUE",IF(D363=TODAY(),"TODAY","")))</f>
        <v/>
      </c>
      <c r="H363" s="18"/>
      <c r="I363" s="18"/>
      <c r="J363" s="17"/>
    </row>
    <row r="364" customFormat="false" ht="15" hidden="false" customHeight="false" outlineLevel="0" collapsed="false">
      <c r="A364" s="17"/>
      <c r="B364" s="17"/>
      <c r="C364" s="17"/>
      <c r="D364" s="18"/>
      <c r="E364" s="17"/>
      <c r="F364" s="17"/>
      <c r="G364" s="19" t="str">
        <f aca="true">IF(OR(A364="",F364="Done",D364=""),"",IF(D364&lt;TODAY(),"OVERDUE",IF(D364=TODAY(),"TODAY","")))</f>
        <v/>
      </c>
      <c r="H364" s="18"/>
      <c r="I364" s="18"/>
      <c r="J364" s="17"/>
    </row>
    <row r="365" customFormat="false" ht="15" hidden="false" customHeight="false" outlineLevel="0" collapsed="false">
      <c r="A365" s="17"/>
      <c r="B365" s="17"/>
      <c r="C365" s="17"/>
      <c r="D365" s="18"/>
      <c r="E365" s="17"/>
      <c r="F365" s="17"/>
      <c r="G365" s="19" t="str">
        <f aca="true">IF(OR(A365="",F365="Done",D365=""),"",IF(D365&lt;TODAY(),"OVERDUE",IF(D365=TODAY(),"TODAY","")))</f>
        <v/>
      </c>
      <c r="H365" s="18"/>
      <c r="I365" s="18"/>
      <c r="J365" s="17"/>
    </row>
    <row r="366" customFormat="false" ht="15" hidden="false" customHeight="false" outlineLevel="0" collapsed="false">
      <c r="A366" s="17"/>
      <c r="B366" s="17"/>
      <c r="C366" s="17"/>
      <c r="D366" s="18"/>
      <c r="E366" s="17"/>
      <c r="F366" s="17"/>
      <c r="G366" s="19" t="str">
        <f aca="true">IF(OR(A366="",F366="Done",D366=""),"",IF(D366&lt;TODAY(),"OVERDUE",IF(D366=TODAY(),"TODAY","")))</f>
        <v/>
      </c>
      <c r="H366" s="18"/>
      <c r="I366" s="18"/>
      <c r="J366" s="17"/>
    </row>
    <row r="367" customFormat="false" ht="15" hidden="false" customHeight="false" outlineLevel="0" collapsed="false">
      <c r="A367" s="17"/>
      <c r="B367" s="17"/>
      <c r="C367" s="17"/>
      <c r="D367" s="18"/>
      <c r="E367" s="17"/>
      <c r="F367" s="17"/>
      <c r="G367" s="19" t="str">
        <f aca="true">IF(OR(A367="",F367="Done",D367=""),"",IF(D367&lt;TODAY(),"OVERDUE",IF(D367=TODAY(),"TODAY","")))</f>
        <v/>
      </c>
      <c r="H367" s="18"/>
      <c r="I367" s="18"/>
      <c r="J367" s="17"/>
    </row>
    <row r="368" customFormat="false" ht="15" hidden="false" customHeight="false" outlineLevel="0" collapsed="false">
      <c r="A368" s="17"/>
      <c r="B368" s="17"/>
      <c r="C368" s="17"/>
      <c r="D368" s="18"/>
      <c r="E368" s="17"/>
      <c r="F368" s="17"/>
      <c r="G368" s="19" t="str">
        <f aca="true">IF(OR(A368="",F368="Done",D368=""),"",IF(D368&lt;TODAY(),"OVERDUE",IF(D368=TODAY(),"TODAY","")))</f>
        <v/>
      </c>
      <c r="H368" s="18"/>
      <c r="I368" s="18"/>
      <c r="J368" s="17"/>
    </row>
    <row r="369" customFormat="false" ht="15" hidden="false" customHeight="false" outlineLevel="0" collapsed="false">
      <c r="A369" s="17"/>
      <c r="B369" s="17"/>
      <c r="C369" s="17"/>
      <c r="D369" s="18"/>
      <c r="E369" s="17"/>
      <c r="F369" s="17"/>
      <c r="G369" s="19" t="str">
        <f aca="true">IF(OR(A369="",F369="Done",D369=""),"",IF(D369&lt;TODAY(),"OVERDUE",IF(D369=TODAY(),"TODAY","")))</f>
        <v/>
      </c>
      <c r="H369" s="18"/>
      <c r="I369" s="18"/>
      <c r="J369" s="17"/>
    </row>
    <row r="370" customFormat="false" ht="15" hidden="false" customHeight="false" outlineLevel="0" collapsed="false">
      <c r="A370" s="17"/>
      <c r="B370" s="17"/>
      <c r="C370" s="17"/>
      <c r="D370" s="18"/>
      <c r="E370" s="17"/>
      <c r="F370" s="17"/>
      <c r="G370" s="19" t="str">
        <f aca="true">IF(OR(A370="",F370="Done",D370=""),"",IF(D370&lt;TODAY(),"OVERDUE",IF(D370=TODAY(),"TODAY","")))</f>
        <v/>
      </c>
      <c r="H370" s="18"/>
      <c r="I370" s="18"/>
      <c r="J370" s="17"/>
    </row>
    <row r="371" customFormat="false" ht="15" hidden="false" customHeight="false" outlineLevel="0" collapsed="false">
      <c r="A371" s="17"/>
      <c r="B371" s="17"/>
      <c r="C371" s="17"/>
      <c r="D371" s="18"/>
      <c r="E371" s="17"/>
      <c r="F371" s="17"/>
      <c r="G371" s="19" t="str">
        <f aca="true">IF(OR(A371="",F371="Done",D371=""),"",IF(D371&lt;TODAY(),"OVERDUE",IF(D371=TODAY(),"TODAY","")))</f>
        <v/>
      </c>
      <c r="H371" s="18"/>
      <c r="I371" s="18"/>
      <c r="J371" s="17"/>
    </row>
    <row r="372" customFormat="false" ht="15" hidden="false" customHeight="false" outlineLevel="0" collapsed="false">
      <c r="A372" s="17"/>
      <c r="B372" s="17"/>
      <c r="C372" s="17"/>
      <c r="D372" s="18"/>
      <c r="E372" s="17"/>
      <c r="F372" s="17"/>
      <c r="G372" s="19" t="str">
        <f aca="true">IF(OR(A372="",F372="Done",D372=""),"",IF(D372&lt;TODAY(),"OVERDUE",IF(D372=TODAY(),"TODAY","")))</f>
        <v/>
      </c>
      <c r="H372" s="18"/>
      <c r="I372" s="18"/>
      <c r="J372" s="17"/>
    </row>
    <row r="373" customFormat="false" ht="15" hidden="false" customHeight="false" outlineLevel="0" collapsed="false">
      <c r="A373" s="17"/>
      <c r="B373" s="17"/>
      <c r="C373" s="17"/>
      <c r="D373" s="18"/>
      <c r="E373" s="17"/>
      <c r="F373" s="17"/>
      <c r="G373" s="19" t="str">
        <f aca="true">IF(OR(A373="",F373="Done",D373=""),"",IF(D373&lt;TODAY(),"OVERDUE",IF(D373=TODAY(),"TODAY","")))</f>
        <v/>
      </c>
      <c r="H373" s="18"/>
      <c r="I373" s="18"/>
      <c r="J373" s="17"/>
    </row>
    <row r="374" customFormat="false" ht="15" hidden="false" customHeight="false" outlineLevel="0" collapsed="false">
      <c r="A374" s="17"/>
      <c r="B374" s="17"/>
      <c r="C374" s="17"/>
      <c r="D374" s="18"/>
      <c r="E374" s="17"/>
      <c r="F374" s="17"/>
      <c r="G374" s="19" t="str">
        <f aca="true">IF(OR(A374="",F374="Done",D374=""),"",IF(D374&lt;TODAY(),"OVERDUE",IF(D374=TODAY(),"TODAY","")))</f>
        <v/>
      </c>
      <c r="H374" s="18"/>
      <c r="I374" s="18"/>
      <c r="J374" s="17"/>
    </row>
    <row r="375" customFormat="false" ht="15" hidden="false" customHeight="false" outlineLevel="0" collapsed="false">
      <c r="A375" s="17"/>
      <c r="B375" s="17"/>
      <c r="C375" s="17"/>
      <c r="D375" s="18"/>
      <c r="E375" s="17"/>
      <c r="F375" s="17"/>
      <c r="G375" s="19" t="str">
        <f aca="true">IF(OR(A375="",F375="Done",D375=""),"",IF(D375&lt;TODAY(),"OVERDUE",IF(D375=TODAY(),"TODAY","")))</f>
        <v/>
      </c>
      <c r="H375" s="18"/>
      <c r="I375" s="18"/>
      <c r="J375" s="17"/>
    </row>
    <row r="376" customFormat="false" ht="15" hidden="false" customHeight="false" outlineLevel="0" collapsed="false">
      <c r="A376" s="17"/>
      <c r="B376" s="17"/>
      <c r="C376" s="17"/>
      <c r="D376" s="18"/>
      <c r="E376" s="17"/>
      <c r="F376" s="17"/>
      <c r="G376" s="19" t="str">
        <f aca="true">IF(OR(A376="",F376="Done",D376=""),"",IF(D376&lt;TODAY(),"OVERDUE",IF(D376=TODAY(),"TODAY","")))</f>
        <v/>
      </c>
      <c r="H376" s="18"/>
      <c r="I376" s="18"/>
      <c r="J376" s="17"/>
    </row>
    <row r="377" customFormat="false" ht="15" hidden="false" customHeight="false" outlineLevel="0" collapsed="false">
      <c r="A377" s="17"/>
      <c r="B377" s="17"/>
      <c r="C377" s="17"/>
      <c r="D377" s="18"/>
      <c r="E377" s="17"/>
      <c r="F377" s="17"/>
      <c r="G377" s="19" t="str">
        <f aca="true">IF(OR(A377="",F377="Done",D377=""),"",IF(D377&lt;TODAY(),"OVERDUE",IF(D377=TODAY(),"TODAY","")))</f>
        <v/>
      </c>
      <c r="H377" s="18"/>
      <c r="I377" s="18"/>
      <c r="J377" s="17"/>
    </row>
    <row r="378" customFormat="false" ht="15" hidden="false" customHeight="false" outlineLevel="0" collapsed="false">
      <c r="A378" s="17"/>
      <c r="B378" s="17"/>
      <c r="C378" s="17"/>
      <c r="D378" s="18"/>
      <c r="E378" s="17"/>
      <c r="F378" s="17"/>
      <c r="G378" s="19" t="str">
        <f aca="true">IF(OR(A378="",F378="Done",D378=""),"",IF(D378&lt;TODAY(),"OVERDUE",IF(D378=TODAY(),"TODAY","")))</f>
        <v/>
      </c>
      <c r="H378" s="18"/>
      <c r="I378" s="18"/>
      <c r="J378" s="17"/>
    </row>
    <row r="379" customFormat="false" ht="15" hidden="false" customHeight="false" outlineLevel="0" collapsed="false">
      <c r="A379" s="17"/>
      <c r="B379" s="17"/>
      <c r="C379" s="17"/>
      <c r="D379" s="18"/>
      <c r="E379" s="17"/>
      <c r="F379" s="17"/>
      <c r="G379" s="19" t="str">
        <f aca="true">IF(OR(A379="",F379="Done",D379=""),"",IF(D379&lt;TODAY(),"OVERDUE",IF(D379=TODAY(),"TODAY","")))</f>
        <v/>
      </c>
      <c r="H379" s="18"/>
      <c r="I379" s="18"/>
      <c r="J379" s="17"/>
    </row>
    <row r="380" customFormat="false" ht="15" hidden="false" customHeight="false" outlineLevel="0" collapsed="false">
      <c r="A380" s="17"/>
      <c r="B380" s="17"/>
      <c r="C380" s="17"/>
      <c r="D380" s="18"/>
      <c r="E380" s="17"/>
      <c r="F380" s="17"/>
      <c r="G380" s="19" t="str">
        <f aca="true">IF(OR(A380="",F380="Done",D380=""),"",IF(D380&lt;TODAY(),"OVERDUE",IF(D380=TODAY(),"TODAY","")))</f>
        <v/>
      </c>
      <c r="H380" s="18"/>
      <c r="I380" s="18"/>
      <c r="J380" s="17"/>
    </row>
    <row r="381" customFormat="false" ht="15" hidden="false" customHeight="false" outlineLevel="0" collapsed="false">
      <c r="A381" s="17"/>
      <c r="B381" s="17"/>
      <c r="C381" s="17"/>
      <c r="D381" s="18"/>
      <c r="E381" s="17"/>
      <c r="F381" s="17"/>
      <c r="G381" s="19" t="str">
        <f aca="true">IF(OR(A381="",F381="Done",D381=""),"",IF(D381&lt;TODAY(),"OVERDUE",IF(D381=TODAY(),"TODAY","")))</f>
        <v/>
      </c>
      <c r="H381" s="18"/>
      <c r="I381" s="18"/>
      <c r="J381" s="17"/>
    </row>
    <row r="382" customFormat="false" ht="15" hidden="false" customHeight="false" outlineLevel="0" collapsed="false">
      <c r="A382" s="17"/>
      <c r="B382" s="17"/>
      <c r="C382" s="17"/>
      <c r="D382" s="18"/>
      <c r="E382" s="17"/>
      <c r="F382" s="17"/>
      <c r="G382" s="19" t="str">
        <f aca="true">IF(OR(A382="",F382="Done",D382=""),"",IF(D382&lt;TODAY(),"OVERDUE",IF(D382=TODAY(),"TODAY","")))</f>
        <v/>
      </c>
      <c r="H382" s="18"/>
      <c r="I382" s="18"/>
      <c r="J382" s="17"/>
    </row>
    <row r="383" customFormat="false" ht="15" hidden="false" customHeight="false" outlineLevel="0" collapsed="false">
      <c r="A383" s="17"/>
      <c r="B383" s="17"/>
      <c r="C383" s="17"/>
      <c r="D383" s="18"/>
      <c r="E383" s="17"/>
      <c r="F383" s="17"/>
      <c r="G383" s="19" t="str">
        <f aca="true">IF(OR(A383="",F383="Done",D383=""),"",IF(D383&lt;TODAY(),"OVERDUE",IF(D383=TODAY(),"TODAY","")))</f>
        <v/>
      </c>
      <c r="H383" s="18"/>
      <c r="I383" s="18"/>
      <c r="J383" s="17"/>
    </row>
    <row r="384" customFormat="false" ht="15" hidden="false" customHeight="false" outlineLevel="0" collapsed="false">
      <c r="A384" s="17"/>
      <c r="B384" s="17"/>
      <c r="C384" s="17"/>
      <c r="D384" s="18"/>
      <c r="E384" s="17"/>
      <c r="F384" s="17"/>
      <c r="G384" s="19" t="str">
        <f aca="true">IF(OR(A384="",F384="Done",D384=""),"",IF(D384&lt;TODAY(),"OVERDUE",IF(D384=TODAY(),"TODAY","")))</f>
        <v/>
      </c>
      <c r="H384" s="18"/>
      <c r="I384" s="18"/>
      <c r="J384" s="17"/>
    </row>
    <row r="385" customFormat="false" ht="15" hidden="false" customHeight="false" outlineLevel="0" collapsed="false">
      <c r="A385" s="17"/>
      <c r="B385" s="17"/>
      <c r="C385" s="17"/>
      <c r="D385" s="18"/>
      <c r="E385" s="17"/>
      <c r="F385" s="17"/>
      <c r="G385" s="19" t="str">
        <f aca="true">IF(OR(A385="",F385="Done",D385=""),"",IF(D385&lt;TODAY(),"OVERDUE",IF(D385=TODAY(),"TODAY","")))</f>
        <v/>
      </c>
      <c r="H385" s="18"/>
      <c r="I385" s="18"/>
      <c r="J385" s="17"/>
    </row>
    <row r="386" customFormat="false" ht="15" hidden="false" customHeight="false" outlineLevel="0" collapsed="false">
      <c r="A386" s="17"/>
      <c r="B386" s="17"/>
      <c r="C386" s="17"/>
      <c r="D386" s="18"/>
      <c r="E386" s="17"/>
      <c r="F386" s="17"/>
      <c r="G386" s="19" t="str">
        <f aca="true">IF(OR(A386="",F386="Done",D386=""),"",IF(D386&lt;TODAY(),"OVERDUE",IF(D386=TODAY(),"TODAY","")))</f>
        <v/>
      </c>
      <c r="H386" s="18"/>
      <c r="I386" s="18"/>
      <c r="J386" s="17"/>
    </row>
    <row r="387" customFormat="false" ht="15" hidden="false" customHeight="false" outlineLevel="0" collapsed="false">
      <c r="A387" s="17"/>
      <c r="B387" s="17"/>
      <c r="C387" s="17"/>
      <c r="D387" s="18"/>
      <c r="E387" s="17"/>
      <c r="F387" s="17"/>
      <c r="G387" s="19" t="str">
        <f aca="true">IF(OR(A387="",F387="Done",D387=""),"",IF(D387&lt;TODAY(),"OVERDUE",IF(D387=TODAY(),"TODAY","")))</f>
        <v/>
      </c>
      <c r="H387" s="18"/>
      <c r="I387" s="18"/>
      <c r="J387" s="17"/>
    </row>
    <row r="388" customFormat="false" ht="15" hidden="false" customHeight="false" outlineLevel="0" collapsed="false">
      <c r="A388" s="17"/>
      <c r="B388" s="17"/>
      <c r="C388" s="17"/>
      <c r="D388" s="18"/>
      <c r="E388" s="17"/>
      <c r="F388" s="17"/>
      <c r="G388" s="19" t="str">
        <f aca="true">IF(OR(A388="",F388="Done",D388=""),"",IF(D388&lt;TODAY(),"OVERDUE",IF(D388=TODAY(),"TODAY","")))</f>
        <v/>
      </c>
      <c r="H388" s="18"/>
      <c r="I388" s="18"/>
      <c r="J388" s="17"/>
    </row>
    <row r="389" customFormat="false" ht="15" hidden="false" customHeight="false" outlineLevel="0" collapsed="false">
      <c r="A389" s="17"/>
      <c r="B389" s="17"/>
      <c r="C389" s="17"/>
      <c r="D389" s="18"/>
      <c r="E389" s="17"/>
      <c r="F389" s="17"/>
      <c r="G389" s="19" t="str">
        <f aca="true">IF(OR(A389="",F389="Done",D389=""),"",IF(D389&lt;TODAY(),"OVERDUE",IF(D389=TODAY(),"TODAY","")))</f>
        <v/>
      </c>
      <c r="H389" s="18"/>
      <c r="I389" s="18"/>
      <c r="J389" s="17"/>
    </row>
    <row r="390" customFormat="false" ht="15" hidden="false" customHeight="false" outlineLevel="0" collapsed="false">
      <c r="A390" s="17"/>
      <c r="B390" s="17"/>
      <c r="C390" s="17"/>
      <c r="D390" s="18"/>
      <c r="E390" s="17"/>
      <c r="F390" s="17"/>
      <c r="G390" s="19" t="str">
        <f aca="true">IF(OR(A390="",F390="Done",D390=""),"",IF(D390&lt;TODAY(),"OVERDUE",IF(D390=TODAY(),"TODAY","")))</f>
        <v/>
      </c>
      <c r="H390" s="18"/>
      <c r="I390" s="18"/>
      <c r="J390" s="17"/>
    </row>
    <row r="391" customFormat="false" ht="15" hidden="false" customHeight="false" outlineLevel="0" collapsed="false">
      <c r="A391" s="17"/>
      <c r="B391" s="17"/>
      <c r="C391" s="17"/>
      <c r="D391" s="18"/>
      <c r="E391" s="17"/>
      <c r="F391" s="17"/>
      <c r="G391" s="19" t="str">
        <f aca="true">IF(OR(A391="",F391="Done",D391=""),"",IF(D391&lt;TODAY(),"OVERDUE",IF(D391=TODAY(),"TODAY","")))</f>
        <v/>
      </c>
      <c r="H391" s="18"/>
      <c r="I391" s="18"/>
      <c r="J391" s="17"/>
    </row>
    <row r="392" customFormat="false" ht="15" hidden="false" customHeight="false" outlineLevel="0" collapsed="false">
      <c r="A392" s="17"/>
      <c r="B392" s="17"/>
      <c r="C392" s="17"/>
      <c r="D392" s="18"/>
      <c r="E392" s="17"/>
      <c r="F392" s="17"/>
      <c r="G392" s="19" t="str">
        <f aca="true">IF(OR(A392="",F392="Done",D392=""),"",IF(D392&lt;TODAY(),"OVERDUE",IF(D392=TODAY(),"TODAY","")))</f>
        <v/>
      </c>
      <c r="H392" s="18"/>
      <c r="I392" s="18"/>
      <c r="J392" s="17"/>
    </row>
    <row r="393" customFormat="false" ht="15" hidden="false" customHeight="false" outlineLevel="0" collapsed="false">
      <c r="A393" s="17"/>
      <c r="B393" s="17"/>
      <c r="C393" s="17"/>
      <c r="D393" s="18"/>
      <c r="E393" s="17"/>
      <c r="F393" s="17"/>
      <c r="G393" s="19" t="str">
        <f aca="true">IF(OR(A393="",F393="Done",D393=""),"",IF(D393&lt;TODAY(),"OVERDUE",IF(D393=TODAY(),"TODAY","")))</f>
        <v/>
      </c>
      <c r="H393" s="18"/>
      <c r="I393" s="18"/>
      <c r="J393" s="17"/>
    </row>
    <row r="394" customFormat="false" ht="15" hidden="false" customHeight="false" outlineLevel="0" collapsed="false">
      <c r="A394" s="17"/>
      <c r="B394" s="17"/>
      <c r="C394" s="17"/>
      <c r="D394" s="18"/>
      <c r="E394" s="17"/>
      <c r="F394" s="17"/>
      <c r="G394" s="19" t="str">
        <f aca="true">IF(OR(A394="",F394="Done",D394=""),"",IF(D394&lt;TODAY(),"OVERDUE",IF(D394=TODAY(),"TODAY","")))</f>
        <v/>
      </c>
      <c r="H394" s="18"/>
      <c r="I394" s="18"/>
      <c r="J394" s="17"/>
    </row>
    <row r="395" customFormat="false" ht="15" hidden="false" customHeight="false" outlineLevel="0" collapsed="false">
      <c r="A395" s="17"/>
      <c r="B395" s="17"/>
      <c r="C395" s="17"/>
      <c r="D395" s="18"/>
      <c r="E395" s="17"/>
      <c r="F395" s="17"/>
      <c r="G395" s="19" t="str">
        <f aca="true">IF(OR(A395="",F395="Done",D395=""),"",IF(D395&lt;TODAY(),"OVERDUE",IF(D395=TODAY(),"TODAY","")))</f>
        <v/>
      </c>
      <c r="H395" s="18"/>
      <c r="I395" s="18"/>
      <c r="J395" s="17"/>
    </row>
    <row r="396" customFormat="false" ht="15" hidden="false" customHeight="false" outlineLevel="0" collapsed="false">
      <c r="A396" s="17"/>
      <c r="B396" s="17"/>
      <c r="C396" s="17"/>
      <c r="D396" s="18"/>
      <c r="E396" s="17"/>
      <c r="F396" s="17"/>
      <c r="G396" s="19" t="str">
        <f aca="true">IF(OR(A396="",F396="Done",D396=""),"",IF(D396&lt;TODAY(),"OVERDUE",IF(D396=TODAY(),"TODAY","")))</f>
        <v/>
      </c>
      <c r="H396" s="18"/>
      <c r="I396" s="18"/>
      <c r="J396" s="17"/>
    </row>
    <row r="397" customFormat="false" ht="15" hidden="false" customHeight="false" outlineLevel="0" collapsed="false">
      <c r="A397" s="17"/>
      <c r="B397" s="17"/>
      <c r="C397" s="17"/>
      <c r="D397" s="18"/>
      <c r="E397" s="17"/>
      <c r="F397" s="17"/>
      <c r="G397" s="19" t="str">
        <f aca="true">IF(OR(A397="",F397="Done",D397=""),"",IF(D397&lt;TODAY(),"OVERDUE",IF(D397=TODAY(),"TODAY","")))</f>
        <v/>
      </c>
      <c r="H397" s="18"/>
      <c r="I397" s="18"/>
      <c r="J397" s="17"/>
    </row>
    <row r="398" customFormat="false" ht="15" hidden="false" customHeight="false" outlineLevel="0" collapsed="false">
      <c r="A398" s="17"/>
      <c r="B398" s="17"/>
      <c r="C398" s="17"/>
      <c r="D398" s="18"/>
      <c r="E398" s="17"/>
      <c r="F398" s="17"/>
      <c r="G398" s="19" t="str">
        <f aca="true">IF(OR(A398="",F398="Done",D398=""),"",IF(D398&lt;TODAY(),"OVERDUE",IF(D398=TODAY(),"TODAY","")))</f>
        <v/>
      </c>
      <c r="H398" s="18"/>
      <c r="I398" s="18"/>
      <c r="J398" s="17"/>
    </row>
    <row r="399" customFormat="false" ht="15" hidden="false" customHeight="false" outlineLevel="0" collapsed="false">
      <c r="A399" s="17"/>
      <c r="B399" s="17"/>
      <c r="C399" s="17"/>
      <c r="D399" s="18"/>
      <c r="E399" s="17"/>
      <c r="F399" s="17"/>
      <c r="G399" s="19" t="str">
        <f aca="true">IF(OR(A399="",F399="Done",D399=""),"",IF(D399&lt;TODAY(),"OVERDUE",IF(D399=TODAY(),"TODAY","")))</f>
        <v/>
      </c>
      <c r="H399" s="18"/>
      <c r="I399" s="18"/>
      <c r="J399" s="17"/>
    </row>
    <row r="400" customFormat="false" ht="15" hidden="false" customHeight="false" outlineLevel="0" collapsed="false">
      <c r="A400" s="17"/>
      <c r="B400" s="17"/>
      <c r="C400" s="17"/>
      <c r="D400" s="18"/>
      <c r="E400" s="17"/>
      <c r="F400" s="17"/>
      <c r="G400" s="19" t="str">
        <f aca="true">IF(OR(A400="",F400="Done",D400=""),"",IF(D400&lt;TODAY(),"OVERDUE",IF(D400=TODAY(),"TODAY","")))</f>
        <v/>
      </c>
      <c r="H400" s="18"/>
      <c r="I400" s="18"/>
      <c r="J400" s="17"/>
    </row>
    <row r="401" customFormat="false" ht="15" hidden="false" customHeight="false" outlineLevel="0" collapsed="false">
      <c r="A401" s="17"/>
      <c r="B401" s="17"/>
      <c r="C401" s="17"/>
      <c r="D401" s="18"/>
      <c r="E401" s="17"/>
      <c r="F401" s="17"/>
      <c r="G401" s="19" t="str">
        <f aca="true">IF(OR(A401="",F401="Done",D401=""),"",IF(D401&lt;TODAY(),"OVERDUE",IF(D401=TODAY(),"TODAY","")))</f>
        <v/>
      </c>
      <c r="H401" s="18"/>
      <c r="I401" s="18"/>
      <c r="J401" s="17"/>
    </row>
    <row r="402" customFormat="false" ht="15" hidden="false" customHeight="false" outlineLevel="0" collapsed="false">
      <c r="A402" s="17"/>
      <c r="B402" s="17"/>
      <c r="C402" s="17"/>
      <c r="D402" s="18"/>
      <c r="E402" s="17"/>
      <c r="F402" s="17"/>
      <c r="G402" s="19" t="str">
        <f aca="true">IF(OR(A402="",F402="Done",D402=""),"",IF(D402&lt;TODAY(),"OVERDUE",IF(D402=TODAY(),"TODAY","")))</f>
        <v/>
      </c>
      <c r="H402" s="18"/>
      <c r="I402" s="18"/>
      <c r="J402" s="17"/>
    </row>
    <row r="403" customFormat="false" ht="15" hidden="false" customHeight="false" outlineLevel="0" collapsed="false">
      <c r="A403" s="17"/>
      <c r="B403" s="17"/>
      <c r="C403" s="17"/>
      <c r="D403" s="18"/>
      <c r="E403" s="17"/>
      <c r="F403" s="17"/>
      <c r="G403" s="19" t="str">
        <f aca="true">IF(OR(A403="",F403="Done",D403=""),"",IF(D403&lt;TODAY(),"OVERDUE",IF(D403=TODAY(),"TODAY","")))</f>
        <v/>
      </c>
      <c r="H403" s="18"/>
      <c r="I403" s="18"/>
      <c r="J403" s="17"/>
    </row>
    <row r="404" customFormat="false" ht="15" hidden="false" customHeight="false" outlineLevel="0" collapsed="false">
      <c r="A404" s="17"/>
      <c r="B404" s="17"/>
      <c r="C404" s="17"/>
      <c r="D404" s="18"/>
      <c r="E404" s="17"/>
      <c r="F404" s="17"/>
      <c r="G404" s="19" t="str">
        <f aca="true">IF(OR(A404="",F404="Done",D404=""),"",IF(D404&lt;TODAY(),"OVERDUE",IF(D404=TODAY(),"TODAY","")))</f>
        <v/>
      </c>
      <c r="H404" s="18"/>
      <c r="I404" s="18"/>
      <c r="J404" s="17"/>
    </row>
  </sheetData>
  <autoFilter ref="A4:J404"/>
  <mergeCells count="2">
    <mergeCell ref="A1:J1"/>
    <mergeCell ref="A2:J2"/>
  </mergeCells>
  <conditionalFormatting sqref="F5:F404">
    <cfRule type="cellIs" priority="2" operator="equal" aboveAverage="0" equalAverage="0" bottom="0" percent="0" rank="0" text="" dxfId="7">
      <formula>"Done"</formula>
    </cfRule>
  </conditionalFormatting>
  <dataValidations count="5">
    <dataValidation allowBlank="true" errorStyle="stop" operator="between" showDropDown="false" showErrorMessage="false" showInputMessage="false" sqref="D5:D404 H5:I404" type="date">
      <formula1>0</formula1>
      <formula2>0</formula2>
    </dataValidation>
    <dataValidation allowBlank="true" errorStyle="stop" operator="between" showDropDown="false" showErrorMessage="false" showInputMessage="false" sqref="B5:B404" type="list">
      <formula1>"BBG,CCCL,Second Chance,Athlete brand,Office"</formula1>
      <formula2>0</formula2>
    </dataValidation>
    <dataValidation allowBlank="true" errorStyle="stop" operator="between" showDropDown="false" showErrorMessage="false" showInputMessage="false" sqref="C5:C404" type="list">
      <formula1>"Cody,Kyle,Sean,Jordan,Front desk,Volunteer"</formula1>
      <formula2>0</formula2>
    </dataValidation>
    <dataValidation allowBlank="true" errorStyle="stop" operator="between" showDropDown="false" showErrorMessage="false" showInputMessage="false" sqref="E5:E404" type="list">
      <formula1>"High,Normal,Low"</formula1>
      <formula2>0</formula2>
    </dataValidation>
    <dataValidation allowBlank="true" errorStyle="stop" operator="between" showDropDown="false" showErrorMessage="false" showInputMessage="false" sqref="F5:F404" type="list">
      <formula1>"To do,In progress,Waiting on someone,Done"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true"/>
  </sheetPr>
  <dimension ref="A1:J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13"/>
    <col collapsed="false" customWidth="true" hidden="false" outlineLevel="0" max="4" min="4" style="0" width="16"/>
    <col collapsed="false" customWidth="true" hidden="false" outlineLevel="0" max="5" min="5" style="0" width="12"/>
    <col collapsed="false" customWidth="true" hidden="false" outlineLevel="0" max="6" min="6" style="0" width="30"/>
    <col collapsed="false" customWidth="true" hidden="false" outlineLevel="0" max="8" min="7" style="0" width="12"/>
    <col collapsed="false" customWidth="true" hidden="false" outlineLevel="0" max="9" min="9" style="0" width="10"/>
    <col collapsed="false" customWidth="true" hidden="false" outlineLevel="0" max="10" min="10" style="0" width="36"/>
  </cols>
  <sheetData>
    <row r="1" customFormat="false" ht="30" hidden="false" customHeight="true" outlineLevel="0" collapsed="false">
      <c r="A1" s="1" t="s">
        <v>98</v>
      </c>
      <c r="B1" s="1"/>
      <c r="C1" s="1"/>
      <c r="D1" s="1"/>
      <c r="E1" s="1"/>
      <c r="F1" s="1"/>
      <c r="G1" s="1"/>
      <c r="H1" s="1"/>
      <c r="I1" s="1"/>
      <c r="J1" s="1"/>
    </row>
    <row r="2" customFormat="false" ht="30" hidden="false" customHeight="true" outlineLevel="0" collapsed="false">
      <c r="A2" s="2" t="s">
        <v>99</v>
      </c>
      <c r="B2" s="2"/>
      <c r="C2" s="2"/>
      <c r="D2" s="2"/>
      <c r="E2" s="2"/>
      <c r="F2" s="2"/>
      <c r="G2" s="2"/>
      <c r="H2" s="2"/>
      <c r="I2" s="2"/>
      <c r="J2" s="2"/>
    </row>
    <row r="4" customFormat="false" ht="31.5" hidden="false" customHeight="true" outlineLevel="0" collapsed="false">
      <c r="A4" s="16" t="s">
        <v>61</v>
      </c>
      <c r="B4" s="16" t="s">
        <v>100</v>
      </c>
      <c r="C4" s="16" t="s">
        <v>55</v>
      </c>
      <c r="D4" s="16" t="s">
        <v>101</v>
      </c>
      <c r="E4" s="16" t="s">
        <v>102</v>
      </c>
      <c r="F4" s="16" t="s">
        <v>103</v>
      </c>
      <c r="G4" s="16" t="s">
        <v>104</v>
      </c>
      <c r="H4" s="16" t="s">
        <v>105</v>
      </c>
      <c r="I4" s="16" t="s">
        <v>106</v>
      </c>
      <c r="J4" s="16" t="s">
        <v>63</v>
      </c>
    </row>
    <row r="5" customFormat="false" ht="23.85" hidden="false" customHeight="false" outlineLevel="0" collapsed="false">
      <c r="A5" s="18" t="n">
        <v>46315</v>
      </c>
      <c r="B5" s="17" t="s">
        <v>107</v>
      </c>
      <c r="C5" s="17" t="s">
        <v>80</v>
      </c>
      <c r="D5" s="17" t="s">
        <v>108</v>
      </c>
      <c r="E5" s="17" t="s">
        <v>109</v>
      </c>
      <c r="F5" s="17" t="s">
        <v>110</v>
      </c>
      <c r="G5" s="17" t="s">
        <v>111</v>
      </c>
      <c r="H5" s="18"/>
      <c r="I5" s="20" t="n">
        <f aca="true">IF(OR(B5="",A5="",G5&lt;&gt;"Waiting"),"",MAX(0,TODAY()-A5))</f>
        <v>7</v>
      </c>
      <c r="J5" s="17" t="s">
        <v>112</v>
      </c>
    </row>
    <row r="6" customFormat="false" ht="15" hidden="false" customHeight="false" outlineLevel="0" collapsed="false">
      <c r="A6" s="18"/>
      <c r="B6" s="17"/>
      <c r="C6" s="17"/>
      <c r="D6" s="17"/>
      <c r="E6" s="17"/>
      <c r="F6" s="17"/>
      <c r="G6" s="17"/>
      <c r="H6" s="18"/>
      <c r="I6" s="20" t="str">
        <f aca="true">IF(OR(B6="",A6="",G6&lt;&gt;"Waiting"),"",MAX(0,TODAY()-A6))</f>
        <v/>
      </c>
      <c r="J6" s="17"/>
    </row>
    <row r="7" customFormat="false" ht="15" hidden="false" customHeight="false" outlineLevel="0" collapsed="false">
      <c r="A7" s="18"/>
      <c r="B7" s="17"/>
      <c r="C7" s="17"/>
      <c r="D7" s="17"/>
      <c r="E7" s="17"/>
      <c r="F7" s="17"/>
      <c r="G7" s="17"/>
      <c r="H7" s="18"/>
      <c r="I7" s="20" t="str">
        <f aca="true">IF(OR(B7="",A7="",G7&lt;&gt;"Waiting"),"",MAX(0,TODAY()-A7))</f>
        <v/>
      </c>
      <c r="J7" s="17"/>
    </row>
    <row r="8" customFormat="false" ht="15" hidden="false" customHeight="false" outlineLevel="0" collapsed="false">
      <c r="A8" s="18"/>
      <c r="B8" s="17"/>
      <c r="C8" s="17"/>
      <c r="D8" s="17"/>
      <c r="E8" s="17"/>
      <c r="F8" s="17"/>
      <c r="G8" s="17"/>
      <c r="H8" s="18"/>
      <c r="I8" s="20" t="str">
        <f aca="true">IF(OR(B8="",A8="",G8&lt;&gt;"Waiting"),"",MAX(0,TODAY()-A8))</f>
        <v/>
      </c>
      <c r="J8" s="17"/>
    </row>
    <row r="9" customFormat="false" ht="15" hidden="false" customHeight="false" outlineLevel="0" collapsed="false">
      <c r="A9" s="18"/>
      <c r="B9" s="17"/>
      <c r="C9" s="17"/>
      <c r="D9" s="17"/>
      <c r="E9" s="17"/>
      <c r="F9" s="17"/>
      <c r="G9" s="17"/>
      <c r="H9" s="18"/>
      <c r="I9" s="20" t="str">
        <f aca="true">IF(OR(B9="",A9="",G9&lt;&gt;"Waiting"),"",MAX(0,TODAY()-A9))</f>
        <v/>
      </c>
      <c r="J9" s="17"/>
    </row>
    <row r="10" customFormat="false" ht="15" hidden="false" customHeight="false" outlineLevel="0" collapsed="false">
      <c r="A10" s="18"/>
      <c r="B10" s="17"/>
      <c r="C10" s="17"/>
      <c r="D10" s="17"/>
      <c r="E10" s="17"/>
      <c r="F10" s="17"/>
      <c r="G10" s="17"/>
      <c r="H10" s="18"/>
      <c r="I10" s="20" t="str">
        <f aca="true">IF(OR(B10="",A10="",G10&lt;&gt;"Waiting"),"",MAX(0,TODAY()-A10))</f>
        <v/>
      </c>
      <c r="J10" s="17"/>
    </row>
    <row r="11" customFormat="false" ht="15" hidden="false" customHeight="false" outlineLevel="0" collapsed="false">
      <c r="A11" s="18"/>
      <c r="B11" s="17"/>
      <c r="C11" s="17"/>
      <c r="D11" s="17"/>
      <c r="E11" s="17"/>
      <c r="F11" s="17"/>
      <c r="G11" s="17"/>
      <c r="H11" s="18"/>
      <c r="I11" s="20" t="str">
        <f aca="true">IF(OR(B11="",A11="",G11&lt;&gt;"Waiting"),"",MAX(0,TODAY()-A11))</f>
        <v/>
      </c>
      <c r="J11" s="17"/>
    </row>
    <row r="12" customFormat="false" ht="15" hidden="false" customHeight="false" outlineLevel="0" collapsed="false">
      <c r="A12" s="18"/>
      <c r="B12" s="17"/>
      <c r="C12" s="17"/>
      <c r="D12" s="17"/>
      <c r="E12" s="17"/>
      <c r="F12" s="17"/>
      <c r="G12" s="17"/>
      <c r="H12" s="18"/>
      <c r="I12" s="20" t="str">
        <f aca="true">IF(OR(B12="",A12="",G12&lt;&gt;"Waiting"),"",MAX(0,TODAY()-A12))</f>
        <v/>
      </c>
      <c r="J12" s="17"/>
    </row>
    <row r="13" customFormat="false" ht="15" hidden="false" customHeight="false" outlineLevel="0" collapsed="false">
      <c r="A13" s="18"/>
      <c r="B13" s="17"/>
      <c r="C13" s="17"/>
      <c r="D13" s="17"/>
      <c r="E13" s="17"/>
      <c r="F13" s="17"/>
      <c r="G13" s="17"/>
      <c r="H13" s="18"/>
      <c r="I13" s="20" t="str">
        <f aca="true">IF(OR(B13="",A13="",G13&lt;&gt;"Waiting"),"",MAX(0,TODAY()-A13))</f>
        <v/>
      </c>
      <c r="J13" s="17"/>
    </row>
    <row r="14" customFormat="false" ht="15" hidden="false" customHeight="false" outlineLevel="0" collapsed="false">
      <c r="A14" s="18"/>
      <c r="B14" s="17"/>
      <c r="C14" s="17"/>
      <c r="D14" s="17"/>
      <c r="E14" s="17"/>
      <c r="F14" s="17"/>
      <c r="G14" s="17"/>
      <c r="H14" s="18"/>
      <c r="I14" s="20" t="str">
        <f aca="true">IF(OR(B14="",A14="",G14&lt;&gt;"Waiting"),"",MAX(0,TODAY()-A14))</f>
        <v/>
      </c>
      <c r="J14" s="17"/>
    </row>
    <row r="15" customFormat="false" ht="15" hidden="false" customHeight="false" outlineLevel="0" collapsed="false">
      <c r="A15" s="18"/>
      <c r="B15" s="17"/>
      <c r="C15" s="17"/>
      <c r="D15" s="17"/>
      <c r="E15" s="17"/>
      <c r="F15" s="17"/>
      <c r="G15" s="17"/>
      <c r="H15" s="18"/>
      <c r="I15" s="20" t="str">
        <f aca="true">IF(OR(B15="",A15="",G15&lt;&gt;"Waiting"),"",MAX(0,TODAY()-A15))</f>
        <v/>
      </c>
      <c r="J15" s="17"/>
    </row>
    <row r="16" customFormat="false" ht="15" hidden="false" customHeight="false" outlineLevel="0" collapsed="false">
      <c r="A16" s="18"/>
      <c r="B16" s="17"/>
      <c r="C16" s="17"/>
      <c r="D16" s="17"/>
      <c r="E16" s="17"/>
      <c r="F16" s="17"/>
      <c r="G16" s="17"/>
      <c r="H16" s="18"/>
      <c r="I16" s="20" t="str">
        <f aca="true">IF(OR(B16="",A16="",G16&lt;&gt;"Waiting"),"",MAX(0,TODAY()-A16))</f>
        <v/>
      </c>
      <c r="J16" s="17"/>
    </row>
    <row r="17" customFormat="false" ht="15" hidden="false" customHeight="false" outlineLevel="0" collapsed="false">
      <c r="A17" s="18"/>
      <c r="B17" s="17"/>
      <c r="C17" s="17"/>
      <c r="D17" s="17"/>
      <c r="E17" s="17"/>
      <c r="F17" s="17"/>
      <c r="G17" s="17"/>
      <c r="H17" s="18"/>
      <c r="I17" s="20" t="str">
        <f aca="true">IF(OR(B17="",A17="",G17&lt;&gt;"Waiting"),"",MAX(0,TODAY()-A17))</f>
        <v/>
      </c>
      <c r="J17" s="17"/>
    </row>
    <row r="18" customFormat="false" ht="15" hidden="false" customHeight="false" outlineLevel="0" collapsed="false">
      <c r="A18" s="18"/>
      <c r="B18" s="17"/>
      <c r="C18" s="17"/>
      <c r="D18" s="17"/>
      <c r="E18" s="17"/>
      <c r="F18" s="17"/>
      <c r="G18" s="17"/>
      <c r="H18" s="18"/>
      <c r="I18" s="20" t="str">
        <f aca="true">IF(OR(B18="",A18="",G18&lt;&gt;"Waiting"),"",MAX(0,TODAY()-A18))</f>
        <v/>
      </c>
      <c r="J18" s="17"/>
    </row>
    <row r="19" customFormat="false" ht="15" hidden="false" customHeight="false" outlineLevel="0" collapsed="false">
      <c r="A19" s="18"/>
      <c r="B19" s="17"/>
      <c r="C19" s="17"/>
      <c r="D19" s="17"/>
      <c r="E19" s="17"/>
      <c r="F19" s="17"/>
      <c r="G19" s="17"/>
      <c r="H19" s="18"/>
      <c r="I19" s="20" t="str">
        <f aca="true">IF(OR(B19="",A19="",G19&lt;&gt;"Waiting"),"",MAX(0,TODAY()-A19))</f>
        <v/>
      </c>
      <c r="J19" s="17"/>
    </row>
    <row r="20" customFormat="false" ht="15" hidden="false" customHeight="false" outlineLevel="0" collapsed="false">
      <c r="A20" s="18"/>
      <c r="B20" s="17"/>
      <c r="C20" s="17"/>
      <c r="D20" s="17"/>
      <c r="E20" s="17"/>
      <c r="F20" s="17"/>
      <c r="G20" s="17"/>
      <c r="H20" s="18"/>
      <c r="I20" s="20" t="str">
        <f aca="true">IF(OR(B20="",A20="",G20&lt;&gt;"Waiting"),"",MAX(0,TODAY()-A20))</f>
        <v/>
      </c>
      <c r="J20" s="17"/>
    </row>
    <row r="21" customFormat="false" ht="15" hidden="false" customHeight="false" outlineLevel="0" collapsed="false">
      <c r="A21" s="18"/>
      <c r="B21" s="17"/>
      <c r="C21" s="17"/>
      <c r="D21" s="17"/>
      <c r="E21" s="17"/>
      <c r="F21" s="17"/>
      <c r="G21" s="17"/>
      <c r="H21" s="18"/>
      <c r="I21" s="20" t="str">
        <f aca="true">IF(OR(B21="",A21="",G21&lt;&gt;"Waiting"),"",MAX(0,TODAY()-A21))</f>
        <v/>
      </c>
      <c r="J21" s="17"/>
    </row>
    <row r="22" customFormat="false" ht="15" hidden="false" customHeight="false" outlineLevel="0" collapsed="false">
      <c r="A22" s="18"/>
      <c r="B22" s="17"/>
      <c r="C22" s="17"/>
      <c r="D22" s="17"/>
      <c r="E22" s="17"/>
      <c r="F22" s="17"/>
      <c r="G22" s="17"/>
      <c r="H22" s="18"/>
      <c r="I22" s="20" t="str">
        <f aca="true">IF(OR(B22="",A22="",G22&lt;&gt;"Waiting"),"",MAX(0,TODAY()-A22))</f>
        <v/>
      </c>
      <c r="J22" s="17"/>
    </row>
    <row r="23" customFormat="false" ht="15" hidden="false" customHeight="false" outlineLevel="0" collapsed="false">
      <c r="A23" s="18"/>
      <c r="B23" s="17"/>
      <c r="C23" s="17"/>
      <c r="D23" s="17"/>
      <c r="E23" s="17"/>
      <c r="F23" s="17"/>
      <c r="G23" s="17"/>
      <c r="H23" s="18"/>
      <c r="I23" s="20" t="str">
        <f aca="true">IF(OR(B23="",A23="",G23&lt;&gt;"Waiting"),"",MAX(0,TODAY()-A23))</f>
        <v/>
      </c>
      <c r="J23" s="17"/>
    </row>
    <row r="24" customFormat="false" ht="15" hidden="false" customHeight="false" outlineLevel="0" collapsed="false">
      <c r="A24" s="18"/>
      <c r="B24" s="17"/>
      <c r="C24" s="17"/>
      <c r="D24" s="17"/>
      <c r="E24" s="17"/>
      <c r="F24" s="17"/>
      <c r="G24" s="17"/>
      <c r="H24" s="18"/>
      <c r="I24" s="20" t="str">
        <f aca="true">IF(OR(B24="",A24="",G24&lt;&gt;"Waiting"),"",MAX(0,TODAY()-A24))</f>
        <v/>
      </c>
      <c r="J24" s="17"/>
    </row>
    <row r="25" customFormat="false" ht="15" hidden="false" customHeight="false" outlineLevel="0" collapsed="false">
      <c r="A25" s="18"/>
      <c r="B25" s="17"/>
      <c r="C25" s="17"/>
      <c r="D25" s="17"/>
      <c r="E25" s="17"/>
      <c r="F25" s="17"/>
      <c r="G25" s="17"/>
      <c r="H25" s="18"/>
      <c r="I25" s="20" t="str">
        <f aca="true">IF(OR(B25="",A25="",G25&lt;&gt;"Waiting"),"",MAX(0,TODAY()-A25))</f>
        <v/>
      </c>
      <c r="J25" s="17"/>
    </row>
    <row r="26" customFormat="false" ht="15" hidden="false" customHeight="false" outlineLevel="0" collapsed="false">
      <c r="A26" s="18"/>
      <c r="B26" s="17"/>
      <c r="C26" s="17"/>
      <c r="D26" s="17"/>
      <c r="E26" s="17"/>
      <c r="F26" s="17"/>
      <c r="G26" s="17"/>
      <c r="H26" s="18"/>
      <c r="I26" s="20" t="str">
        <f aca="true">IF(OR(B26="",A26="",G26&lt;&gt;"Waiting"),"",MAX(0,TODAY()-A26))</f>
        <v/>
      </c>
      <c r="J26" s="17"/>
    </row>
    <row r="27" customFormat="false" ht="15" hidden="false" customHeight="false" outlineLevel="0" collapsed="false">
      <c r="A27" s="18"/>
      <c r="B27" s="17"/>
      <c r="C27" s="17"/>
      <c r="D27" s="17"/>
      <c r="E27" s="17"/>
      <c r="F27" s="17"/>
      <c r="G27" s="17"/>
      <c r="H27" s="18"/>
      <c r="I27" s="20" t="str">
        <f aca="true">IF(OR(B27="",A27="",G27&lt;&gt;"Waiting"),"",MAX(0,TODAY()-A27))</f>
        <v/>
      </c>
      <c r="J27" s="17"/>
    </row>
    <row r="28" customFormat="false" ht="15" hidden="false" customHeight="false" outlineLevel="0" collapsed="false">
      <c r="A28" s="18"/>
      <c r="B28" s="17"/>
      <c r="C28" s="17"/>
      <c r="D28" s="17"/>
      <c r="E28" s="17"/>
      <c r="F28" s="17"/>
      <c r="G28" s="17"/>
      <c r="H28" s="18"/>
      <c r="I28" s="20" t="str">
        <f aca="true">IF(OR(B28="",A28="",G28&lt;&gt;"Waiting"),"",MAX(0,TODAY()-A28))</f>
        <v/>
      </c>
      <c r="J28" s="17"/>
    </row>
    <row r="29" customFormat="false" ht="15" hidden="false" customHeight="false" outlineLevel="0" collapsed="false">
      <c r="A29" s="18"/>
      <c r="B29" s="17"/>
      <c r="C29" s="17"/>
      <c r="D29" s="17"/>
      <c r="E29" s="17"/>
      <c r="F29" s="17"/>
      <c r="G29" s="17"/>
      <c r="H29" s="18"/>
      <c r="I29" s="20" t="str">
        <f aca="true">IF(OR(B29="",A29="",G29&lt;&gt;"Waiting"),"",MAX(0,TODAY()-A29))</f>
        <v/>
      </c>
      <c r="J29" s="17"/>
    </row>
    <row r="30" customFormat="false" ht="15" hidden="false" customHeight="false" outlineLevel="0" collapsed="false">
      <c r="A30" s="18"/>
      <c r="B30" s="17"/>
      <c r="C30" s="17"/>
      <c r="D30" s="17"/>
      <c r="E30" s="17"/>
      <c r="F30" s="17"/>
      <c r="G30" s="17"/>
      <c r="H30" s="18"/>
      <c r="I30" s="20" t="str">
        <f aca="true">IF(OR(B30="",A30="",G30&lt;&gt;"Waiting"),"",MAX(0,TODAY()-A30))</f>
        <v/>
      </c>
      <c r="J30" s="17"/>
    </row>
    <row r="31" customFormat="false" ht="15" hidden="false" customHeight="false" outlineLevel="0" collapsed="false">
      <c r="A31" s="18"/>
      <c r="B31" s="17"/>
      <c r="C31" s="17"/>
      <c r="D31" s="17"/>
      <c r="E31" s="17"/>
      <c r="F31" s="17"/>
      <c r="G31" s="17"/>
      <c r="H31" s="18"/>
      <c r="I31" s="20" t="str">
        <f aca="true">IF(OR(B31="",A31="",G31&lt;&gt;"Waiting"),"",MAX(0,TODAY()-A31))</f>
        <v/>
      </c>
      <c r="J31" s="17"/>
    </row>
    <row r="32" customFormat="false" ht="15" hidden="false" customHeight="false" outlineLevel="0" collapsed="false">
      <c r="A32" s="18"/>
      <c r="B32" s="17"/>
      <c r="C32" s="17"/>
      <c r="D32" s="17"/>
      <c r="E32" s="17"/>
      <c r="F32" s="17"/>
      <c r="G32" s="17"/>
      <c r="H32" s="18"/>
      <c r="I32" s="20" t="str">
        <f aca="true">IF(OR(B32="",A32="",G32&lt;&gt;"Waiting"),"",MAX(0,TODAY()-A32))</f>
        <v/>
      </c>
      <c r="J32" s="17"/>
    </row>
    <row r="33" customFormat="false" ht="15" hidden="false" customHeight="false" outlineLevel="0" collapsed="false">
      <c r="A33" s="18"/>
      <c r="B33" s="17"/>
      <c r="C33" s="17"/>
      <c r="D33" s="17"/>
      <c r="E33" s="17"/>
      <c r="F33" s="17"/>
      <c r="G33" s="17"/>
      <c r="H33" s="18"/>
      <c r="I33" s="20" t="str">
        <f aca="true">IF(OR(B33="",A33="",G33&lt;&gt;"Waiting"),"",MAX(0,TODAY()-A33))</f>
        <v/>
      </c>
      <c r="J33" s="17"/>
    </row>
    <row r="34" customFormat="false" ht="15" hidden="false" customHeight="false" outlineLevel="0" collapsed="false">
      <c r="A34" s="18"/>
      <c r="B34" s="17"/>
      <c r="C34" s="17"/>
      <c r="D34" s="17"/>
      <c r="E34" s="17"/>
      <c r="F34" s="17"/>
      <c r="G34" s="17"/>
      <c r="H34" s="18"/>
      <c r="I34" s="20" t="str">
        <f aca="true">IF(OR(B34="",A34="",G34&lt;&gt;"Waiting"),"",MAX(0,TODAY()-A34))</f>
        <v/>
      </c>
      <c r="J34" s="17"/>
    </row>
    <row r="35" customFormat="false" ht="15" hidden="false" customHeight="false" outlineLevel="0" collapsed="false">
      <c r="A35" s="18"/>
      <c r="B35" s="17"/>
      <c r="C35" s="17"/>
      <c r="D35" s="17"/>
      <c r="E35" s="17"/>
      <c r="F35" s="17"/>
      <c r="G35" s="17"/>
      <c r="H35" s="18"/>
      <c r="I35" s="20" t="str">
        <f aca="true">IF(OR(B35="",A35="",G35&lt;&gt;"Waiting"),"",MAX(0,TODAY()-A35))</f>
        <v/>
      </c>
      <c r="J35" s="17"/>
    </row>
    <row r="36" customFormat="false" ht="15" hidden="false" customHeight="false" outlineLevel="0" collapsed="false">
      <c r="A36" s="18"/>
      <c r="B36" s="17"/>
      <c r="C36" s="17"/>
      <c r="D36" s="17"/>
      <c r="E36" s="17"/>
      <c r="F36" s="17"/>
      <c r="G36" s="17"/>
      <c r="H36" s="18"/>
      <c r="I36" s="20" t="str">
        <f aca="true">IF(OR(B36="",A36="",G36&lt;&gt;"Waiting"),"",MAX(0,TODAY()-A36))</f>
        <v/>
      </c>
      <c r="J36" s="17"/>
    </row>
    <row r="37" customFormat="false" ht="15" hidden="false" customHeight="false" outlineLevel="0" collapsed="false">
      <c r="A37" s="18"/>
      <c r="B37" s="17"/>
      <c r="C37" s="17"/>
      <c r="D37" s="17"/>
      <c r="E37" s="17"/>
      <c r="F37" s="17"/>
      <c r="G37" s="17"/>
      <c r="H37" s="18"/>
      <c r="I37" s="20" t="str">
        <f aca="true">IF(OR(B37="",A37="",G37&lt;&gt;"Waiting"),"",MAX(0,TODAY()-A37))</f>
        <v/>
      </c>
      <c r="J37" s="17"/>
    </row>
    <row r="38" customFormat="false" ht="15" hidden="false" customHeight="false" outlineLevel="0" collapsed="false">
      <c r="A38" s="18"/>
      <c r="B38" s="17"/>
      <c r="C38" s="17"/>
      <c r="D38" s="17"/>
      <c r="E38" s="17"/>
      <c r="F38" s="17"/>
      <c r="G38" s="17"/>
      <c r="H38" s="18"/>
      <c r="I38" s="20" t="str">
        <f aca="true">IF(OR(B38="",A38="",G38&lt;&gt;"Waiting"),"",MAX(0,TODAY()-A38))</f>
        <v/>
      </c>
      <c r="J38" s="17"/>
    </row>
    <row r="39" customFormat="false" ht="15" hidden="false" customHeight="false" outlineLevel="0" collapsed="false">
      <c r="A39" s="18"/>
      <c r="B39" s="17"/>
      <c r="C39" s="17"/>
      <c r="D39" s="17"/>
      <c r="E39" s="17"/>
      <c r="F39" s="17"/>
      <c r="G39" s="17"/>
      <c r="H39" s="18"/>
      <c r="I39" s="20" t="str">
        <f aca="true">IF(OR(B39="",A39="",G39&lt;&gt;"Waiting"),"",MAX(0,TODAY()-A39))</f>
        <v/>
      </c>
      <c r="J39" s="17"/>
    </row>
    <row r="40" customFormat="false" ht="15" hidden="false" customHeight="false" outlineLevel="0" collapsed="false">
      <c r="A40" s="18"/>
      <c r="B40" s="17"/>
      <c r="C40" s="17"/>
      <c r="D40" s="17"/>
      <c r="E40" s="17"/>
      <c r="F40" s="17"/>
      <c r="G40" s="17"/>
      <c r="H40" s="18"/>
      <c r="I40" s="20" t="str">
        <f aca="true">IF(OR(B40="",A40="",G40&lt;&gt;"Waiting"),"",MAX(0,TODAY()-A40))</f>
        <v/>
      </c>
      <c r="J40" s="17"/>
    </row>
    <row r="41" customFormat="false" ht="15" hidden="false" customHeight="false" outlineLevel="0" collapsed="false">
      <c r="A41" s="18"/>
      <c r="B41" s="17"/>
      <c r="C41" s="17"/>
      <c r="D41" s="17"/>
      <c r="E41" s="17"/>
      <c r="F41" s="17"/>
      <c r="G41" s="17"/>
      <c r="H41" s="18"/>
      <c r="I41" s="20" t="str">
        <f aca="true">IF(OR(B41="",A41="",G41&lt;&gt;"Waiting"),"",MAX(0,TODAY()-A41))</f>
        <v/>
      </c>
      <c r="J41" s="17"/>
    </row>
    <row r="42" customFormat="false" ht="15" hidden="false" customHeight="false" outlineLevel="0" collapsed="false">
      <c r="A42" s="18"/>
      <c r="B42" s="17"/>
      <c r="C42" s="17"/>
      <c r="D42" s="17"/>
      <c r="E42" s="17"/>
      <c r="F42" s="17"/>
      <c r="G42" s="17"/>
      <c r="H42" s="18"/>
      <c r="I42" s="20" t="str">
        <f aca="true">IF(OR(B42="",A42="",G42&lt;&gt;"Waiting"),"",MAX(0,TODAY()-A42))</f>
        <v/>
      </c>
      <c r="J42" s="17"/>
    </row>
    <row r="43" customFormat="false" ht="15" hidden="false" customHeight="false" outlineLevel="0" collapsed="false">
      <c r="A43" s="18"/>
      <c r="B43" s="17"/>
      <c r="C43" s="17"/>
      <c r="D43" s="17"/>
      <c r="E43" s="17"/>
      <c r="F43" s="17"/>
      <c r="G43" s="17"/>
      <c r="H43" s="18"/>
      <c r="I43" s="20" t="str">
        <f aca="true">IF(OR(B43="",A43="",G43&lt;&gt;"Waiting"),"",MAX(0,TODAY()-A43))</f>
        <v/>
      </c>
      <c r="J43" s="17"/>
    </row>
    <row r="44" customFormat="false" ht="15" hidden="false" customHeight="false" outlineLevel="0" collapsed="false">
      <c r="A44" s="18"/>
      <c r="B44" s="17"/>
      <c r="C44" s="17"/>
      <c r="D44" s="17"/>
      <c r="E44" s="17"/>
      <c r="F44" s="17"/>
      <c r="G44" s="17"/>
      <c r="H44" s="18"/>
      <c r="I44" s="20" t="str">
        <f aca="true">IF(OR(B44="",A44="",G44&lt;&gt;"Waiting"),"",MAX(0,TODAY()-A44))</f>
        <v/>
      </c>
      <c r="J44" s="17"/>
    </row>
    <row r="45" customFormat="false" ht="15" hidden="false" customHeight="false" outlineLevel="0" collapsed="false">
      <c r="A45" s="18"/>
      <c r="B45" s="17"/>
      <c r="C45" s="17"/>
      <c r="D45" s="17"/>
      <c r="E45" s="17"/>
      <c r="F45" s="17"/>
      <c r="G45" s="17"/>
      <c r="H45" s="18"/>
      <c r="I45" s="20" t="str">
        <f aca="true">IF(OR(B45="",A45="",G45&lt;&gt;"Waiting"),"",MAX(0,TODAY()-A45))</f>
        <v/>
      </c>
      <c r="J45" s="17"/>
    </row>
    <row r="46" customFormat="false" ht="15" hidden="false" customHeight="false" outlineLevel="0" collapsed="false">
      <c r="A46" s="18"/>
      <c r="B46" s="17"/>
      <c r="C46" s="17"/>
      <c r="D46" s="17"/>
      <c r="E46" s="17"/>
      <c r="F46" s="17"/>
      <c r="G46" s="17"/>
      <c r="H46" s="18"/>
      <c r="I46" s="20" t="str">
        <f aca="true">IF(OR(B46="",A46="",G46&lt;&gt;"Waiting"),"",MAX(0,TODAY()-A46))</f>
        <v/>
      </c>
      <c r="J46" s="17"/>
    </row>
    <row r="47" customFormat="false" ht="15" hidden="false" customHeight="false" outlineLevel="0" collapsed="false">
      <c r="A47" s="18"/>
      <c r="B47" s="17"/>
      <c r="C47" s="17"/>
      <c r="D47" s="17"/>
      <c r="E47" s="17"/>
      <c r="F47" s="17"/>
      <c r="G47" s="17"/>
      <c r="H47" s="18"/>
      <c r="I47" s="20" t="str">
        <f aca="true">IF(OR(B47="",A47="",G47&lt;&gt;"Waiting"),"",MAX(0,TODAY()-A47))</f>
        <v/>
      </c>
      <c r="J47" s="17"/>
    </row>
    <row r="48" customFormat="false" ht="15" hidden="false" customHeight="false" outlineLevel="0" collapsed="false">
      <c r="A48" s="18"/>
      <c r="B48" s="17"/>
      <c r="C48" s="17"/>
      <c r="D48" s="17"/>
      <c r="E48" s="17"/>
      <c r="F48" s="17"/>
      <c r="G48" s="17"/>
      <c r="H48" s="18"/>
      <c r="I48" s="20" t="str">
        <f aca="true">IF(OR(B48="",A48="",G48&lt;&gt;"Waiting"),"",MAX(0,TODAY()-A48))</f>
        <v/>
      </c>
      <c r="J48" s="17"/>
    </row>
    <row r="49" customFormat="false" ht="15" hidden="false" customHeight="false" outlineLevel="0" collapsed="false">
      <c r="A49" s="18"/>
      <c r="B49" s="17"/>
      <c r="C49" s="17"/>
      <c r="D49" s="17"/>
      <c r="E49" s="17"/>
      <c r="F49" s="17"/>
      <c r="G49" s="17"/>
      <c r="H49" s="18"/>
      <c r="I49" s="20" t="str">
        <f aca="true">IF(OR(B49="",A49="",G49&lt;&gt;"Waiting"),"",MAX(0,TODAY()-A49))</f>
        <v/>
      </c>
      <c r="J49" s="17"/>
    </row>
    <row r="50" customFormat="false" ht="15" hidden="false" customHeight="false" outlineLevel="0" collapsed="false">
      <c r="A50" s="18"/>
      <c r="B50" s="17"/>
      <c r="C50" s="17"/>
      <c r="D50" s="17"/>
      <c r="E50" s="17"/>
      <c r="F50" s="17"/>
      <c r="G50" s="17"/>
      <c r="H50" s="18"/>
      <c r="I50" s="20" t="str">
        <f aca="true">IF(OR(B50="",A50="",G50&lt;&gt;"Waiting"),"",MAX(0,TODAY()-A50))</f>
        <v/>
      </c>
      <c r="J50" s="17"/>
    </row>
    <row r="51" customFormat="false" ht="15" hidden="false" customHeight="false" outlineLevel="0" collapsed="false">
      <c r="A51" s="18"/>
      <c r="B51" s="17"/>
      <c r="C51" s="17"/>
      <c r="D51" s="17"/>
      <c r="E51" s="17"/>
      <c r="F51" s="17"/>
      <c r="G51" s="17"/>
      <c r="H51" s="18"/>
      <c r="I51" s="20" t="str">
        <f aca="true">IF(OR(B51="",A51="",G51&lt;&gt;"Waiting"),"",MAX(0,TODAY()-A51))</f>
        <v/>
      </c>
      <c r="J51" s="17"/>
    </row>
    <row r="52" customFormat="false" ht="15" hidden="false" customHeight="false" outlineLevel="0" collapsed="false">
      <c r="A52" s="18"/>
      <c r="B52" s="17"/>
      <c r="C52" s="17"/>
      <c r="D52" s="17"/>
      <c r="E52" s="17"/>
      <c r="F52" s="17"/>
      <c r="G52" s="17"/>
      <c r="H52" s="18"/>
      <c r="I52" s="20" t="str">
        <f aca="true">IF(OR(B52="",A52="",G52&lt;&gt;"Waiting"),"",MAX(0,TODAY()-A52))</f>
        <v/>
      </c>
      <c r="J52" s="17"/>
    </row>
    <row r="53" customFormat="false" ht="15" hidden="false" customHeight="false" outlineLevel="0" collapsed="false">
      <c r="A53" s="18"/>
      <c r="B53" s="17"/>
      <c r="C53" s="17"/>
      <c r="D53" s="17"/>
      <c r="E53" s="17"/>
      <c r="F53" s="17"/>
      <c r="G53" s="17"/>
      <c r="H53" s="18"/>
      <c r="I53" s="20" t="str">
        <f aca="true">IF(OR(B53="",A53="",G53&lt;&gt;"Waiting"),"",MAX(0,TODAY()-A53))</f>
        <v/>
      </c>
      <c r="J53" s="17"/>
    </row>
    <row r="54" customFormat="false" ht="15" hidden="false" customHeight="false" outlineLevel="0" collapsed="false">
      <c r="A54" s="18"/>
      <c r="B54" s="17"/>
      <c r="C54" s="17"/>
      <c r="D54" s="17"/>
      <c r="E54" s="17"/>
      <c r="F54" s="17"/>
      <c r="G54" s="17"/>
      <c r="H54" s="18"/>
      <c r="I54" s="20" t="str">
        <f aca="true">IF(OR(B54="",A54="",G54&lt;&gt;"Waiting"),"",MAX(0,TODAY()-A54))</f>
        <v/>
      </c>
      <c r="J54" s="17"/>
    </row>
    <row r="55" customFormat="false" ht="15" hidden="false" customHeight="false" outlineLevel="0" collapsed="false">
      <c r="A55" s="18"/>
      <c r="B55" s="17"/>
      <c r="C55" s="17"/>
      <c r="D55" s="17"/>
      <c r="E55" s="17"/>
      <c r="F55" s="17"/>
      <c r="G55" s="17"/>
      <c r="H55" s="18"/>
      <c r="I55" s="20" t="str">
        <f aca="true">IF(OR(B55="",A55="",G55&lt;&gt;"Waiting"),"",MAX(0,TODAY()-A55))</f>
        <v/>
      </c>
      <c r="J55" s="17"/>
    </row>
    <row r="56" customFormat="false" ht="15" hidden="false" customHeight="false" outlineLevel="0" collapsed="false">
      <c r="A56" s="18"/>
      <c r="B56" s="17"/>
      <c r="C56" s="17"/>
      <c r="D56" s="17"/>
      <c r="E56" s="17"/>
      <c r="F56" s="17"/>
      <c r="G56" s="17"/>
      <c r="H56" s="18"/>
      <c r="I56" s="20" t="str">
        <f aca="true">IF(OR(B56="",A56="",G56&lt;&gt;"Waiting"),"",MAX(0,TODAY()-A56))</f>
        <v/>
      </c>
      <c r="J56" s="17"/>
    </row>
    <row r="57" customFormat="false" ht="15" hidden="false" customHeight="false" outlineLevel="0" collapsed="false">
      <c r="A57" s="18"/>
      <c r="B57" s="17"/>
      <c r="C57" s="17"/>
      <c r="D57" s="17"/>
      <c r="E57" s="17"/>
      <c r="F57" s="17"/>
      <c r="G57" s="17"/>
      <c r="H57" s="18"/>
      <c r="I57" s="20" t="str">
        <f aca="true">IF(OR(B57="",A57="",G57&lt;&gt;"Waiting"),"",MAX(0,TODAY()-A57))</f>
        <v/>
      </c>
      <c r="J57" s="17"/>
    </row>
    <row r="58" customFormat="false" ht="15" hidden="false" customHeight="false" outlineLevel="0" collapsed="false">
      <c r="A58" s="18"/>
      <c r="B58" s="17"/>
      <c r="C58" s="17"/>
      <c r="D58" s="17"/>
      <c r="E58" s="17"/>
      <c r="F58" s="17"/>
      <c r="G58" s="17"/>
      <c r="H58" s="18"/>
      <c r="I58" s="20" t="str">
        <f aca="true">IF(OR(B58="",A58="",G58&lt;&gt;"Waiting"),"",MAX(0,TODAY()-A58))</f>
        <v/>
      </c>
      <c r="J58" s="17"/>
    </row>
    <row r="59" customFormat="false" ht="15" hidden="false" customHeight="false" outlineLevel="0" collapsed="false">
      <c r="A59" s="18"/>
      <c r="B59" s="17"/>
      <c r="C59" s="17"/>
      <c r="D59" s="17"/>
      <c r="E59" s="17"/>
      <c r="F59" s="17"/>
      <c r="G59" s="17"/>
      <c r="H59" s="18"/>
      <c r="I59" s="20" t="str">
        <f aca="true">IF(OR(B59="",A59="",G59&lt;&gt;"Waiting"),"",MAX(0,TODAY()-A59))</f>
        <v/>
      </c>
      <c r="J59" s="17"/>
    </row>
    <row r="60" customFormat="false" ht="15" hidden="false" customHeight="false" outlineLevel="0" collapsed="false">
      <c r="A60" s="18"/>
      <c r="B60" s="17"/>
      <c r="C60" s="17"/>
      <c r="D60" s="17"/>
      <c r="E60" s="17"/>
      <c r="F60" s="17"/>
      <c r="G60" s="17"/>
      <c r="H60" s="18"/>
      <c r="I60" s="20" t="str">
        <f aca="true">IF(OR(B60="",A60="",G60&lt;&gt;"Waiting"),"",MAX(0,TODAY()-A60))</f>
        <v/>
      </c>
      <c r="J60" s="17"/>
    </row>
    <row r="61" customFormat="false" ht="15" hidden="false" customHeight="false" outlineLevel="0" collapsed="false">
      <c r="A61" s="18"/>
      <c r="B61" s="17"/>
      <c r="C61" s="17"/>
      <c r="D61" s="17"/>
      <c r="E61" s="17"/>
      <c r="F61" s="17"/>
      <c r="G61" s="17"/>
      <c r="H61" s="18"/>
      <c r="I61" s="20" t="str">
        <f aca="true">IF(OR(B61="",A61="",G61&lt;&gt;"Waiting"),"",MAX(0,TODAY()-A61))</f>
        <v/>
      </c>
      <c r="J61" s="17"/>
    </row>
    <row r="62" customFormat="false" ht="15" hidden="false" customHeight="false" outlineLevel="0" collapsed="false">
      <c r="A62" s="18"/>
      <c r="B62" s="17"/>
      <c r="C62" s="17"/>
      <c r="D62" s="17"/>
      <c r="E62" s="17"/>
      <c r="F62" s="17"/>
      <c r="G62" s="17"/>
      <c r="H62" s="18"/>
      <c r="I62" s="20" t="str">
        <f aca="true">IF(OR(B62="",A62="",G62&lt;&gt;"Waiting"),"",MAX(0,TODAY()-A62))</f>
        <v/>
      </c>
      <c r="J62" s="17"/>
    </row>
    <row r="63" customFormat="false" ht="15" hidden="false" customHeight="false" outlineLevel="0" collapsed="false">
      <c r="A63" s="18"/>
      <c r="B63" s="17"/>
      <c r="C63" s="17"/>
      <c r="D63" s="17"/>
      <c r="E63" s="17"/>
      <c r="F63" s="17"/>
      <c r="G63" s="17"/>
      <c r="H63" s="18"/>
      <c r="I63" s="20" t="str">
        <f aca="true">IF(OR(B63="",A63="",G63&lt;&gt;"Waiting"),"",MAX(0,TODAY()-A63))</f>
        <v/>
      </c>
      <c r="J63" s="17"/>
    </row>
    <row r="64" customFormat="false" ht="15" hidden="false" customHeight="false" outlineLevel="0" collapsed="false">
      <c r="A64" s="18"/>
      <c r="B64" s="17"/>
      <c r="C64" s="17"/>
      <c r="D64" s="17"/>
      <c r="E64" s="17"/>
      <c r="F64" s="17"/>
      <c r="G64" s="17"/>
      <c r="H64" s="18"/>
      <c r="I64" s="20" t="str">
        <f aca="true">IF(OR(B64="",A64="",G64&lt;&gt;"Waiting"),"",MAX(0,TODAY()-A64))</f>
        <v/>
      </c>
      <c r="J64" s="17"/>
    </row>
    <row r="65" customFormat="false" ht="15" hidden="false" customHeight="false" outlineLevel="0" collapsed="false">
      <c r="A65" s="18"/>
      <c r="B65" s="17"/>
      <c r="C65" s="17"/>
      <c r="D65" s="17"/>
      <c r="E65" s="17"/>
      <c r="F65" s="17"/>
      <c r="G65" s="17"/>
      <c r="H65" s="18"/>
      <c r="I65" s="20" t="str">
        <f aca="true">IF(OR(B65="",A65="",G65&lt;&gt;"Waiting"),"",MAX(0,TODAY()-A65))</f>
        <v/>
      </c>
      <c r="J65" s="17"/>
    </row>
    <row r="66" customFormat="false" ht="15" hidden="false" customHeight="false" outlineLevel="0" collapsed="false">
      <c r="A66" s="18"/>
      <c r="B66" s="17"/>
      <c r="C66" s="17"/>
      <c r="D66" s="17"/>
      <c r="E66" s="17"/>
      <c r="F66" s="17"/>
      <c r="G66" s="17"/>
      <c r="H66" s="18"/>
      <c r="I66" s="20" t="str">
        <f aca="true">IF(OR(B66="",A66="",G66&lt;&gt;"Waiting"),"",MAX(0,TODAY()-A66))</f>
        <v/>
      </c>
      <c r="J66" s="17"/>
    </row>
    <row r="67" customFormat="false" ht="15" hidden="false" customHeight="false" outlineLevel="0" collapsed="false">
      <c r="A67" s="18"/>
      <c r="B67" s="17"/>
      <c r="C67" s="17"/>
      <c r="D67" s="17"/>
      <c r="E67" s="17"/>
      <c r="F67" s="17"/>
      <c r="G67" s="17"/>
      <c r="H67" s="18"/>
      <c r="I67" s="20" t="str">
        <f aca="true">IF(OR(B67="",A67="",G67&lt;&gt;"Waiting"),"",MAX(0,TODAY()-A67))</f>
        <v/>
      </c>
      <c r="J67" s="17"/>
    </row>
    <row r="68" customFormat="false" ht="15" hidden="false" customHeight="false" outlineLevel="0" collapsed="false">
      <c r="A68" s="18"/>
      <c r="B68" s="17"/>
      <c r="C68" s="17"/>
      <c r="D68" s="17"/>
      <c r="E68" s="17"/>
      <c r="F68" s="17"/>
      <c r="G68" s="17"/>
      <c r="H68" s="18"/>
      <c r="I68" s="20" t="str">
        <f aca="true">IF(OR(B68="",A68="",G68&lt;&gt;"Waiting"),"",MAX(0,TODAY()-A68))</f>
        <v/>
      </c>
      <c r="J68" s="17"/>
    </row>
    <row r="69" customFormat="false" ht="15" hidden="false" customHeight="false" outlineLevel="0" collapsed="false">
      <c r="A69" s="18"/>
      <c r="B69" s="17"/>
      <c r="C69" s="17"/>
      <c r="D69" s="17"/>
      <c r="E69" s="17"/>
      <c r="F69" s="17"/>
      <c r="G69" s="17"/>
      <c r="H69" s="18"/>
      <c r="I69" s="20" t="str">
        <f aca="true">IF(OR(B69="",A69="",G69&lt;&gt;"Waiting"),"",MAX(0,TODAY()-A69))</f>
        <v/>
      </c>
      <c r="J69" s="17"/>
    </row>
    <row r="70" customFormat="false" ht="15" hidden="false" customHeight="false" outlineLevel="0" collapsed="false">
      <c r="A70" s="18"/>
      <c r="B70" s="17"/>
      <c r="C70" s="17"/>
      <c r="D70" s="17"/>
      <c r="E70" s="17"/>
      <c r="F70" s="17"/>
      <c r="G70" s="17"/>
      <c r="H70" s="18"/>
      <c r="I70" s="20" t="str">
        <f aca="true">IF(OR(B70="",A70="",G70&lt;&gt;"Waiting"),"",MAX(0,TODAY()-A70))</f>
        <v/>
      </c>
      <c r="J70" s="17"/>
    </row>
    <row r="71" customFormat="false" ht="15" hidden="false" customHeight="false" outlineLevel="0" collapsed="false">
      <c r="A71" s="18"/>
      <c r="B71" s="17"/>
      <c r="C71" s="17"/>
      <c r="D71" s="17"/>
      <c r="E71" s="17"/>
      <c r="F71" s="17"/>
      <c r="G71" s="17"/>
      <c r="H71" s="18"/>
      <c r="I71" s="20" t="str">
        <f aca="true">IF(OR(B71="",A71="",G71&lt;&gt;"Waiting"),"",MAX(0,TODAY()-A71))</f>
        <v/>
      </c>
      <c r="J71" s="17"/>
    </row>
    <row r="72" customFormat="false" ht="15" hidden="false" customHeight="false" outlineLevel="0" collapsed="false">
      <c r="A72" s="18"/>
      <c r="B72" s="17"/>
      <c r="C72" s="17"/>
      <c r="D72" s="17"/>
      <c r="E72" s="17"/>
      <c r="F72" s="17"/>
      <c r="G72" s="17"/>
      <c r="H72" s="18"/>
      <c r="I72" s="20" t="str">
        <f aca="true">IF(OR(B72="",A72="",G72&lt;&gt;"Waiting"),"",MAX(0,TODAY()-A72))</f>
        <v/>
      </c>
      <c r="J72" s="17"/>
    </row>
    <row r="73" customFormat="false" ht="15" hidden="false" customHeight="false" outlineLevel="0" collapsed="false">
      <c r="A73" s="18"/>
      <c r="B73" s="17"/>
      <c r="C73" s="17"/>
      <c r="D73" s="17"/>
      <c r="E73" s="17"/>
      <c r="F73" s="17"/>
      <c r="G73" s="17"/>
      <c r="H73" s="18"/>
      <c r="I73" s="20" t="str">
        <f aca="true">IF(OR(B73="",A73="",G73&lt;&gt;"Waiting"),"",MAX(0,TODAY()-A73))</f>
        <v/>
      </c>
      <c r="J73" s="17"/>
    </row>
    <row r="74" customFormat="false" ht="15" hidden="false" customHeight="false" outlineLevel="0" collapsed="false">
      <c r="A74" s="18"/>
      <c r="B74" s="17"/>
      <c r="C74" s="17"/>
      <c r="D74" s="17"/>
      <c r="E74" s="17"/>
      <c r="F74" s="17"/>
      <c r="G74" s="17"/>
      <c r="H74" s="18"/>
      <c r="I74" s="20" t="str">
        <f aca="true">IF(OR(B74="",A74="",G74&lt;&gt;"Waiting"),"",MAX(0,TODAY()-A74))</f>
        <v/>
      </c>
      <c r="J74" s="17"/>
    </row>
    <row r="75" customFormat="false" ht="15" hidden="false" customHeight="false" outlineLevel="0" collapsed="false">
      <c r="A75" s="18"/>
      <c r="B75" s="17"/>
      <c r="C75" s="17"/>
      <c r="D75" s="17"/>
      <c r="E75" s="17"/>
      <c r="F75" s="17"/>
      <c r="G75" s="17"/>
      <c r="H75" s="18"/>
      <c r="I75" s="20" t="str">
        <f aca="true">IF(OR(B75="",A75="",G75&lt;&gt;"Waiting"),"",MAX(0,TODAY()-A75))</f>
        <v/>
      </c>
      <c r="J75" s="17"/>
    </row>
    <row r="76" customFormat="false" ht="15" hidden="false" customHeight="false" outlineLevel="0" collapsed="false">
      <c r="A76" s="18"/>
      <c r="B76" s="17"/>
      <c r="C76" s="17"/>
      <c r="D76" s="17"/>
      <c r="E76" s="17"/>
      <c r="F76" s="17"/>
      <c r="G76" s="17"/>
      <c r="H76" s="18"/>
      <c r="I76" s="20" t="str">
        <f aca="true">IF(OR(B76="",A76="",G76&lt;&gt;"Waiting"),"",MAX(0,TODAY()-A76))</f>
        <v/>
      </c>
      <c r="J76" s="17"/>
    </row>
    <row r="77" customFormat="false" ht="15" hidden="false" customHeight="false" outlineLevel="0" collapsed="false">
      <c r="A77" s="18"/>
      <c r="B77" s="17"/>
      <c r="C77" s="17"/>
      <c r="D77" s="17"/>
      <c r="E77" s="17"/>
      <c r="F77" s="17"/>
      <c r="G77" s="17"/>
      <c r="H77" s="18"/>
      <c r="I77" s="20" t="str">
        <f aca="true">IF(OR(B77="",A77="",G77&lt;&gt;"Waiting"),"",MAX(0,TODAY()-A77))</f>
        <v/>
      </c>
      <c r="J77" s="17"/>
    </row>
    <row r="78" customFormat="false" ht="15" hidden="false" customHeight="false" outlineLevel="0" collapsed="false">
      <c r="A78" s="18"/>
      <c r="B78" s="17"/>
      <c r="C78" s="17"/>
      <c r="D78" s="17"/>
      <c r="E78" s="17"/>
      <c r="F78" s="17"/>
      <c r="G78" s="17"/>
      <c r="H78" s="18"/>
      <c r="I78" s="20" t="str">
        <f aca="true">IF(OR(B78="",A78="",G78&lt;&gt;"Waiting"),"",MAX(0,TODAY()-A78))</f>
        <v/>
      </c>
      <c r="J78" s="17"/>
    </row>
    <row r="79" customFormat="false" ht="15" hidden="false" customHeight="false" outlineLevel="0" collapsed="false">
      <c r="A79" s="18"/>
      <c r="B79" s="17"/>
      <c r="C79" s="17"/>
      <c r="D79" s="17"/>
      <c r="E79" s="17"/>
      <c r="F79" s="17"/>
      <c r="G79" s="17"/>
      <c r="H79" s="18"/>
      <c r="I79" s="20" t="str">
        <f aca="true">IF(OR(B79="",A79="",G79&lt;&gt;"Waiting"),"",MAX(0,TODAY()-A79))</f>
        <v/>
      </c>
      <c r="J79" s="17"/>
    </row>
    <row r="80" customFormat="false" ht="15" hidden="false" customHeight="false" outlineLevel="0" collapsed="false">
      <c r="A80" s="18"/>
      <c r="B80" s="17"/>
      <c r="C80" s="17"/>
      <c r="D80" s="17"/>
      <c r="E80" s="17"/>
      <c r="F80" s="17"/>
      <c r="G80" s="17"/>
      <c r="H80" s="18"/>
      <c r="I80" s="20" t="str">
        <f aca="true">IF(OR(B80="",A80="",G80&lt;&gt;"Waiting"),"",MAX(0,TODAY()-A80))</f>
        <v/>
      </c>
      <c r="J80" s="17"/>
    </row>
    <row r="81" customFormat="false" ht="15" hidden="false" customHeight="false" outlineLevel="0" collapsed="false">
      <c r="A81" s="18"/>
      <c r="B81" s="17"/>
      <c r="C81" s="17"/>
      <c r="D81" s="17"/>
      <c r="E81" s="17"/>
      <c r="F81" s="17"/>
      <c r="G81" s="17"/>
      <c r="H81" s="18"/>
      <c r="I81" s="20" t="str">
        <f aca="true">IF(OR(B81="",A81="",G81&lt;&gt;"Waiting"),"",MAX(0,TODAY()-A81))</f>
        <v/>
      </c>
      <c r="J81" s="17"/>
    </row>
    <row r="82" customFormat="false" ht="15" hidden="false" customHeight="false" outlineLevel="0" collapsed="false">
      <c r="A82" s="18"/>
      <c r="B82" s="17"/>
      <c r="C82" s="17"/>
      <c r="D82" s="17"/>
      <c r="E82" s="17"/>
      <c r="F82" s="17"/>
      <c r="G82" s="17"/>
      <c r="H82" s="18"/>
      <c r="I82" s="20" t="str">
        <f aca="true">IF(OR(B82="",A82="",G82&lt;&gt;"Waiting"),"",MAX(0,TODAY()-A82))</f>
        <v/>
      </c>
      <c r="J82" s="17"/>
    </row>
    <row r="83" customFormat="false" ht="15" hidden="false" customHeight="false" outlineLevel="0" collapsed="false">
      <c r="A83" s="18"/>
      <c r="B83" s="17"/>
      <c r="C83" s="17"/>
      <c r="D83" s="17"/>
      <c r="E83" s="17"/>
      <c r="F83" s="17"/>
      <c r="G83" s="17"/>
      <c r="H83" s="18"/>
      <c r="I83" s="20" t="str">
        <f aca="true">IF(OR(B83="",A83="",G83&lt;&gt;"Waiting"),"",MAX(0,TODAY()-A83))</f>
        <v/>
      </c>
      <c r="J83" s="17"/>
    </row>
    <row r="84" customFormat="false" ht="15" hidden="false" customHeight="false" outlineLevel="0" collapsed="false">
      <c r="A84" s="18"/>
      <c r="B84" s="17"/>
      <c r="C84" s="17"/>
      <c r="D84" s="17"/>
      <c r="E84" s="17"/>
      <c r="F84" s="17"/>
      <c r="G84" s="17"/>
      <c r="H84" s="18"/>
      <c r="I84" s="20" t="str">
        <f aca="true">IF(OR(B84="",A84="",G84&lt;&gt;"Waiting"),"",MAX(0,TODAY()-A84))</f>
        <v/>
      </c>
      <c r="J84" s="17"/>
    </row>
    <row r="85" customFormat="false" ht="15" hidden="false" customHeight="false" outlineLevel="0" collapsed="false">
      <c r="A85" s="18"/>
      <c r="B85" s="17"/>
      <c r="C85" s="17"/>
      <c r="D85" s="17"/>
      <c r="E85" s="17"/>
      <c r="F85" s="17"/>
      <c r="G85" s="17"/>
      <c r="H85" s="18"/>
      <c r="I85" s="20" t="str">
        <f aca="true">IF(OR(B85="",A85="",G85&lt;&gt;"Waiting"),"",MAX(0,TODAY()-A85))</f>
        <v/>
      </c>
      <c r="J85" s="17"/>
    </row>
    <row r="86" customFormat="false" ht="15" hidden="false" customHeight="false" outlineLevel="0" collapsed="false">
      <c r="A86" s="18"/>
      <c r="B86" s="17"/>
      <c r="C86" s="17"/>
      <c r="D86" s="17"/>
      <c r="E86" s="17"/>
      <c r="F86" s="17"/>
      <c r="G86" s="17"/>
      <c r="H86" s="18"/>
      <c r="I86" s="20" t="str">
        <f aca="true">IF(OR(B86="",A86="",G86&lt;&gt;"Waiting"),"",MAX(0,TODAY()-A86))</f>
        <v/>
      </c>
      <c r="J86" s="17"/>
    </row>
    <row r="87" customFormat="false" ht="15" hidden="false" customHeight="false" outlineLevel="0" collapsed="false">
      <c r="A87" s="18"/>
      <c r="B87" s="17"/>
      <c r="C87" s="17"/>
      <c r="D87" s="17"/>
      <c r="E87" s="17"/>
      <c r="F87" s="17"/>
      <c r="G87" s="17"/>
      <c r="H87" s="18"/>
      <c r="I87" s="20" t="str">
        <f aca="true">IF(OR(B87="",A87="",G87&lt;&gt;"Waiting"),"",MAX(0,TODAY()-A87))</f>
        <v/>
      </c>
      <c r="J87" s="17"/>
    </row>
    <row r="88" customFormat="false" ht="15" hidden="false" customHeight="false" outlineLevel="0" collapsed="false">
      <c r="A88" s="18"/>
      <c r="B88" s="17"/>
      <c r="C88" s="17"/>
      <c r="D88" s="17"/>
      <c r="E88" s="17"/>
      <c r="F88" s="17"/>
      <c r="G88" s="17"/>
      <c r="H88" s="18"/>
      <c r="I88" s="20" t="str">
        <f aca="true">IF(OR(B88="",A88="",G88&lt;&gt;"Waiting"),"",MAX(0,TODAY()-A88))</f>
        <v/>
      </c>
      <c r="J88" s="17"/>
    </row>
    <row r="89" customFormat="false" ht="15" hidden="false" customHeight="false" outlineLevel="0" collapsed="false">
      <c r="A89" s="18"/>
      <c r="B89" s="17"/>
      <c r="C89" s="17"/>
      <c r="D89" s="17"/>
      <c r="E89" s="17"/>
      <c r="F89" s="17"/>
      <c r="G89" s="17"/>
      <c r="H89" s="18"/>
      <c r="I89" s="20" t="str">
        <f aca="true">IF(OR(B89="",A89="",G89&lt;&gt;"Waiting"),"",MAX(0,TODAY()-A89))</f>
        <v/>
      </c>
      <c r="J89" s="17"/>
    </row>
    <row r="90" customFormat="false" ht="15" hidden="false" customHeight="false" outlineLevel="0" collapsed="false">
      <c r="A90" s="18"/>
      <c r="B90" s="17"/>
      <c r="C90" s="17"/>
      <c r="D90" s="17"/>
      <c r="E90" s="17"/>
      <c r="F90" s="17"/>
      <c r="G90" s="17"/>
      <c r="H90" s="18"/>
      <c r="I90" s="20" t="str">
        <f aca="true">IF(OR(B90="",A90="",G90&lt;&gt;"Waiting"),"",MAX(0,TODAY()-A90))</f>
        <v/>
      </c>
      <c r="J90" s="17"/>
    </row>
    <row r="91" customFormat="false" ht="15" hidden="false" customHeight="false" outlineLevel="0" collapsed="false">
      <c r="A91" s="18"/>
      <c r="B91" s="17"/>
      <c r="C91" s="17"/>
      <c r="D91" s="17"/>
      <c r="E91" s="17"/>
      <c r="F91" s="17"/>
      <c r="G91" s="17"/>
      <c r="H91" s="18"/>
      <c r="I91" s="20" t="str">
        <f aca="true">IF(OR(B91="",A91="",G91&lt;&gt;"Waiting"),"",MAX(0,TODAY()-A91))</f>
        <v/>
      </c>
      <c r="J91" s="17"/>
    </row>
    <row r="92" customFormat="false" ht="15" hidden="false" customHeight="false" outlineLevel="0" collapsed="false">
      <c r="A92" s="18"/>
      <c r="B92" s="17"/>
      <c r="C92" s="17"/>
      <c r="D92" s="17"/>
      <c r="E92" s="17"/>
      <c r="F92" s="17"/>
      <c r="G92" s="17"/>
      <c r="H92" s="18"/>
      <c r="I92" s="20" t="str">
        <f aca="true">IF(OR(B92="",A92="",G92&lt;&gt;"Waiting"),"",MAX(0,TODAY()-A92))</f>
        <v/>
      </c>
      <c r="J92" s="17"/>
    </row>
    <row r="93" customFormat="false" ht="15" hidden="false" customHeight="false" outlineLevel="0" collapsed="false">
      <c r="A93" s="18"/>
      <c r="B93" s="17"/>
      <c r="C93" s="17"/>
      <c r="D93" s="17"/>
      <c r="E93" s="17"/>
      <c r="F93" s="17"/>
      <c r="G93" s="17"/>
      <c r="H93" s="18"/>
      <c r="I93" s="20" t="str">
        <f aca="true">IF(OR(B93="",A93="",G93&lt;&gt;"Waiting"),"",MAX(0,TODAY()-A93))</f>
        <v/>
      </c>
      <c r="J93" s="17"/>
    </row>
    <row r="94" customFormat="false" ht="15" hidden="false" customHeight="false" outlineLevel="0" collapsed="false">
      <c r="A94" s="18"/>
      <c r="B94" s="17"/>
      <c r="C94" s="17"/>
      <c r="D94" s="17"/>
      <c r="E94" s="17"/>
      <c r="F94" s="17"/>
      <c r="G94" s="17"/>
      <c r="H94" s="18"/>
      <c r="I94" s="20" t="str">
        <f aca="true">IF(OR(B94="",A94="",G94&lt;&gt;"Waiting"),"",MAX(0,TODAY()-A94))</f>
        <v/>
      </c>
      <c r="J94" s="17"/>
    </row>
    <row r="95" customFormat="false" ht="15" hidden="false" customHeight="false" outlineLevel="0" collapsed="false">
      <c r="A95" s="18"/>
      <c r="B95" s="17"/>
      <c r="C95" s="17"/>
      <c r="D95" s="17"/>
      <c r="E95" s="17"/>
      <c r="F95" s="17"/>
      <c r="G95" s="17"/>
      <c r="H95" s="18"/>
      <c r="I95" s="20" t="str">
        <f aca="true">IF(OR(B95="",A95="",G95&lt;&gt;"Waiting"),"",MAX(0,TODAY()-A95))</f>
        <v/>
      </c>
      <c r="J95" s="17"/>
    </row>
    <row r="96" customFormat="false" ht="15" hidden="false" customHeight="false" outlineLevel="0" collapsed="false">
      <c r="A96" s="18"/>
      <c r="B96" s="17"/>
      <c r="C96" s="17"/>
      <c r="D96" s="17"/>
      <c r="E96" s="17"/>
      <c r="F96" s="17"/>
      <c r="G96" s="17"/>
      <c r="H96" s="18"/>
      <c r="I96" s="20" t="str">
        <f aca="true">IF(OR(B96="",A96="",G96&lt;&gt;"Waiting"),"",MAX(0,TODAY()-A96))</f>
        <v/>
      </c>
      <c r="J96" s="17"/>
    </row>
    <row r="97" customFormat="false" ht="15" hidden="false" customHeight="false" outlineLevel="0" collapsed="false">
      <c r="A97" s="18"/>
      <c r="B97" s="17"/>
      <c r="C97" s="17"/>
      <c r="D97" s="17"/>
      <c r="E97" s="17"/>
      <c r="F97" s="17"/>
      <c r="G97" s="17"/>
      <c r="H97" s="18"/>
      <c r="I97" s="20" t="str">
        <f aca="true">IF(OR(B97="",A97="",G97&lt;&gt;"Waiting"),"",MAX(0,TODAY()-A97))</f>
        <v/>
      </c>
      <c r="J97" s="17"/>
    </row>
    <row r="98" customFormat="false" ht="15" hidden="false" customHeight="false" outlineLevel="0" collapsed="false">
      <c r="A98" s="18"/>
      <c r="B98" s="17"/>
      <c r="C98" s="17"/>
      <c r="D98" s="17"/>
      <c r="E98" s="17"/>
      <c r="F98" s="17"/>
      <c r="G98" s="17"/>
      <c r="H98" s="18"/>
      <c r="I98" s="20" t="str">
        <f aca="true">IF(OR(B98="",A98="",G98&lt;&gt;"Waiting"),"",MAX(0,TODAY()-A98))</f>
        <v/>
      </c>
      <c r="J98" s="17"/>
    </row>
    <row r="99" customFormat="false" ht="15" hidden="false" customHeight="false" outlineLevel="0" collapsed="false">
      <c r="A99" s="18"/>
      <c r="B99" s="17"/>
      <c r="C99" s="17"/>
      <c r="D99" s="17"/>
      <c r="E99" s="17"/>
      <c r="F99" s="17"/>
      <c r="G99" s="17"/>
      <c r="H99" s="18"/>
      <c r="I99" s="20" t="str">
        <f aca="true">IF(OR(B99="",A99="",G99&lt;&gt;"Waiting"),"",MAX(0,TODAY()-A99))</f>
        <v/>
      </c>
      <c r="J99" s="17"/>
    </row>
    <row r="100" customFormat="false" ht="15" hidden="false" customHeight="false" outlineLevel="0" collapsed="false">
      <c r="A100" s="18"/>
      <c r="B100" s="17"/>
      <c r="C100" s="17"/>
      <c r="D100" s="17"/>
      <c r="E100" s="17"/>
      <c r="F100" s="17"/>
      <c r="G100" s="17"/>
      <c r="H100" s="18"/>
      <c r="I100" s="20" t="str">
        <f aca="true">IF(OR(B100="",A100="",G100&lt;&gt;"Waiting"),"",MAX(0,TODAY()-A100))</f>
        <v/>
      </c>
      <c r="J100" s="17"/>
    </row>
    <row r="101" customFormat="false" ht="15" hidden="false" customHeight="false" outlineLevel="0" collapsed="false">
      <c r="A101" s="18"/>
      <c r="B101" s="17"/>
      <c r="C101" s="17"/>
      <c r="D101" s="17"/>
      <c r="E101" s="17"/>
      <c r="F101" s="17"/>
      <c r="G101" s="17"/>
      <c r="H101" s="18"/>
      <c r="I101" s="20" t="str">
        <f aca="true">IF(OR(B101="",A101="",G101&lt;&gt;"Waiting"),"",MAX(0,TODAY()-A101))</f>
        <v/>
      </c>
      <c r="J101" s="17"/>
    </row>
    <row r="102" customFormat="false" ht="15" hidden="false" customHeight="false" outlineLevel="0" collapsed="false">
      <c r="A102" s="18"/>
      <c r="B102" s="17"/>
      <c r="C102" s="17"/>
      <c r="D102" s="17"/>
      <c r="E102" s="17"/>
      <c r="F102" s="17"/>
      <c r="G102" s="17"/>
      <c r="H102" s="18"/>
      <c r="I102" s="20" t="str">
        <f aca="true">IF(OR(B102="",A102="",G102&lt;&gt;"Waiting"),"",MAX(0,TODAY()-A102))</f>
        <v/>
      </c>
      <c r="J102" s="17"/>
    </row>
    <row r="103" customFormat="false" ht="15" hidden="false" customHeight="false" outlineLevel="0" collapsed="false">
      <c r="A103" s="18"/>
      <c r="B103" s="17"/>
      <c r="C103" s="17"/>
      <c r="D103" s="17"/>
      <c r="E103" s="17"/>
      <c r="F103" s="17"/>
      <c r="G103" s="17"/>
      <c r="H103" s="18"/>
      <c r="I103" s="20" t="str">
        <f aca="true">IF(OR(B103="",A103="",G103&lt;&gt;"Waiting"),"",MAX(0,TODAY()-A103))</f>
        <v/>
      </c>
      <c r="J103" s="17"/>
    </row>
    <row r="104" customFormat="false" ht="15" hidden="false" customHeight="false" outlineLevel="0" collapsed="false">
      <c r="A104" s="18"/>
      <c r="B104" s="17"/>
      <c r="C104" s="17"/>
      <c r="D104" s="17"/>
      <c r="E104" s="17"/>
      <c r="F104" s="17"/>
      <c r="G104" s="17"/>
      <c r="H104" s="18"/>
      <c r="I104" s="20" t="str">
        <f aca="true">IF(OR(B104="",A104="",G104&lt;&gt;"Waiting"),"",MAX(0,TODAY()-A104))</f>
        <v/>
      </c>
      <c r="J104" s="17"/>
    </row>
    <row r="105" customFormat="false" ht="15" hidden="false" customHeight="false" outlineLevel="0" collapsed="false">
      <c r="A105" s="18"/>
      <c r="B105" s="17"/>
      <c r="C105" s="17"/>
      <c r="D105" s="17"/>
      <c r="E105" s="17"/>
      <c r="F105" s="17"/>
      <c r="G105" s="17"/>
      <c r="H105" s="18"/>
      <c r="I105" s="20" t="str">
        <f aca="true">IF(OR(B105="",A105="",G105&lt;&gt;"Waiting"),"",MAX(0,TODAY()-A105))</f>
        <v/>
      </c>
      <c r="J105" s="17"/>
    </row>
    <row r="106" customFormat="false" ht="15" hidden="false" customHeight="false" outlineLevel="0" collapsed="false">
      <c r="A106" s="18"/>
      <c r="B106" s="17"/>
      <c r="C106" s="17"/>
      <c r="D106" s="17"/>
      <c r="E106" s="17"/>
      <c r="F106" s="17"/>
      <c r="G106" s="17"/>
      <c r="H106" s="18"/>
      <c r="I106" s="20" t="str">
        <f aca="true">IF(OR(B106="",A106="",G106&lt;&gt;"Waiting"),"",MAX(0,TODAY()-A106))</f>
        <v/>
      </c>
      <c r="J106" s="17"/>
    </row>
    <row r="107" customFormat="false" ht="15" hidden="false" customHeight="false" outlineLevel="0" collapsed="false">
      <c r="A107" s="18"/>
      <c r="B107" s="17"/>
      <c r="C107" s="17"/>
      <c r="D107" s="17"/>
      <c r="E107" s="17"/>
      <c r="F107" s="17"/>
      <c r="G107" s="17"/>
      <c r="H107" s="18"/>
      <c r="I107" s="20" t="str">
        <f aca="true">IF(OR(B107="",A107="",G107&lt;&gt;"Waiting"),"",MAX(0,TODAY()-A107))</f>
        <v/>
      </c>
      <c r="J107" s="17"/>
    </row>
    <row r="108" customFormat="false" ht="15" hidden="false" customHeight="false" outlineLevel="0" collapsed="false">
      <c r="A108" s="18"/>
      <c r="B108" s="17"/>
      <c r="C108" s="17"/>
      <c r="D108" s="17"/>
      <c r="E108" s="17"/>
      <c r="F108" s="17"/>
      <c r="G108" s="17"/>
      <c r="H108" s="18"/>
      <c r="I108" s="20" t="str">
        <f aca="true">IF(OR(B108="",A108="",G108&lt;&gt;"Waiting"),"",MAX(0,TODAY()-A108))</f>
        <v/>
      </c>
      <c r="J108" s="17"/>
    </row>
    <row r="109" customFormat="false" ht="15" hidden="false" customHeight="false" outlineLevel="0" collapsed="false">
      <c r="A109" s="18"/>
      <c r="B109" s="17"/>
      <c r="C109" s="17"/>
      <c r="D109" s="17"/>
      <c r="E109" s="17"/>
      <c r="F109" s="17"/>
      <c r="G109" s="17"/>
      <c r="H109" s="18"/>
      <c r="I109" s="20" t="str">
        <f aca="true">IF(OR(B109="",A109="",G109&lt;&gt;"Waiting"),"",MAX(0,TODAY()-A109))</f>
        <v/>
      </c>
      <c r="J109" s="17"/>
    </row>
    <row r="110" customFormat="false" ht="15" hidden="false" customHeight="false" outlineLevel="0" collapsed="false">
      <c r="A110" s="18"/>
      <c r="B110" s="17"/>
      <c r="C110" s="17"/>
      <c r="D110" s="17"/>
      <c r="E110" s="17"/>
      <c r="F110" s="17"/>
      <c r="G110" s="17"/>
      <c r="H110" s="18"/>
      <c r="I110" s="20" t="str">
        <f aca="true">IF(OR(B110="",A110="",G110&lt;&gt;"Waiting"),"",MAX(0,TODAY()-A110))</f>
        <v/>
      </c>
      <c r="J110" s="17"/>
    </row>
    <row r="111" customFormat="false" ht="15" hidden="false" customHeight="false" outlineLevel="0" collapsed="false">
      <c r="A111" s="18"/>
      <c r="B111" s="17"/>
      <c r="C111" s="17"/>
      <c r="D111" s="17"/>
      <c r="E111" s="17"/>
      <c r="F111" s="17"/>
      <c r="G111" s="17"/>
      <c r="H111" s="18"/>
      <c r="I111" s="20" t="str">
        <f aca="true">IF(OR(B111="",A111="",G111&lt;&gt;"Waiting"),"",MAX(0,TODAY()-A111))</f>
        <v/>
      </c>
      <c r="J111" s="17"/>
    </row>
    <row r="112" customFormat="false" ht="15" hidden="false" customHeight="false" outlineLevel="0" collapsed="false">
      <c r="A112" s="18"/>
      <c r="B112" s="17"/>
      <c r="C112" s="17"/>
      <c r="D112" s="17"/>
      <c r="E112" s="17"/>
      <c r="F112" s="17"/>
      <c r="G112" s="17"/>
      <c r="H112" s="18"/>
      <c r="I112" s="20" t="str">
        <f aca="true">IF(OR(B112="",A112="",G112&lt;&gt;"Waiting"),"",MAX(0,TODAY()-A112))</f>
        <v/>
      </c>
      <c r="J112" s="17"/>
    </row>
    <row r="113" customFormat="false" ht="15" hidden="false" customHeight="false" outlineLevel="0" collapsed="false">
      <c r="A113" s="18"/>
      <c r="B113" s="17"/>
      <c r="C113" s="17"/>
      <c r="D113" s="17"/>
      <c r="E113" s="17"/>
      <c r="F113" s="17"/>
      <c r="G113" s="17"/>
      <c r="H113" s="18"/>
      <c r="I113" s="20" t="str">
        <f aca="true">IF(OR(B113="",A113="",G113&lt;&gt;"Waiting"),"",MAX(0,TODAY()-A113))</f>
        <v/>
      </c>
      <c r="J113" s="17"/>
    </row>
    <row r="114" customFormat="false" ht="15" hidden="false" customHeight="false" outlineLevel="0" collapsed="false">
      <c r="A114" s="18"/>
      <c r="B114" s="17"/>
      <c r="C114" s="17"/>
      <c r="D114" s="17"/>
      <c r="E114" s="17"/>
      <c r="F114" s="17"/>
      <c r="G114" s="17"/>
      <c r="H114" s="18"/>
      <c r="I114" s="20" t="str">
        <f aca="true">IF(OR(B114="",A114="",G114&lt;&gt;"Waiting"),"",MAX(0,TODAY()-A114))</f>
        <v/>
      </c>
      <c r="J114" s="17"/>
    </row>
    <row r="115" customFormat="false" ht="15" hidden="false" customHeight="false" outlineLevel="0" collapsed="false">
      <c r="A115" s="18"/>
      <c r="B115" s="17"/>
      <c r="C115" s="17"/>
      <c r="D115" s="17"/>
      <c r="E115" s="17"/>
      <c r="F115" s="17"/>
      <c r="G115" s="17"/>
      <c r="H115" s="18"/>
      <c r="I115" s="20" t="str">
        <f aca="true">IF(OR(B115="",A115="",G115&lt;&gt;"Waiting"),"",MAX(0,TODAY()-A115))</f>
        <v/>
      </c>
      <c r="J115" s="17"/>
    </row>
    <row r="116" customFormat="false" ht="15" hidden="false" customHeight="false" outlineLevel="0" collapsed="false">
      <c r="A116" s="18"/>
      <c r="B116" s="17"/>
      <c r="C116" s="17"/>
      <c r="D116" s="17"/>
      <c r="E116" s="17"/>
      <c r="F116" s="17"/>
      <c r="G116" s="17"/>
      <c r="H116" s="18"/>
      <c r="I116" s="20" t="str">
        <f aca="true">IF(OR(B116="",A116="",G116&lt;&gt;"Waiting"),"",MAX(0,TODAY()-A116))</f>
        <v/>
      </c>
      <c r="J116" s="17"/>
    </row>
    <row r="117" customFormat="false" ht="15" hidden="false" customHeight="false" outlineLevel="0" collapsed="false">
      <c r="A117" s="18"/>
      <c r="B117" s="17"/>
      <c r="C117" s="17"/>
      <c r="D117" s="17"/>
      <c r="E117" s="17"/>
      <c r="F117" s="17"/>
      <c r="G117" s="17"/>
      <c r="H117" s="18"/>
      <c r="I117" s="20" t="str">
        <f aca="true">IF(OR(B117="",A117="",G117&lt;&gt;"Waiting"),"",MAX(0,TODAY()-A117))</f>
        <v/>
      </c>
      <c r="J117" s="17"/>
    </row>
    <row r="118" customFormat="false" ht="15" hidden="false" customHeight="false" outlineLevel="0" collapsed="false">
      <c r="A118" s="18"/>
      <c r="B118" s="17"/>
      <c r="C118" s="17"/>
      <c r="D118" s="17"/>
      <c r="E118" s="17"/>
      <c r="F118" s="17"/>
      <c r="G118" s="17"/>
      <c r="H118" s="18"/>
      <c r="I118" s="20" t="str">
        <f aca="true">IF(OR(B118="",A118="",G118&lt;&gt;"Waiting"),"",MAX(0,TODAY()-A118))</f>
        <v/>
      </c>
      <c r="J118" s="17"/>
    </row>
    <row r="119" customFormat="false" ht="15" hidden="false" customHeight="false" outlineLevel="0" collapsed="false">
      <c r="A119" s="18"/>
      <c r="B119" s="17"/>
      <c r="C119" s="17"/>
      <c r="D119" s="17"/>
      <c r="E119" s="17"/>
      <c r="F119" s="17"/>
      <c r="G119" s="17"/>
      <c r="H119" s="18"/>
      <c r="I119" s="20" t="str">
        <f aca="true">IF(OR(B119="",A119="",G119&lt;&gt;"Waiting"),"",MAX(0,TODAY()-A119))</f>
        <v/>
      </c>
      <c r="J119" s="17"/>
    </row>
    <row r="120" customFormat="false" ht="15" hidden="false" customHeight="false" outlineLevel="0" collapsed="false">
      <c r="A120" s="18"/>
      <c r="B120" s="17"/>
      <c r="C120" s="17"/>
      <c r="D120" s="17"/>
      <c r="E120" s="17"/>
      <c r="F120" s="17"/>
      <c r="G120" s="17"/>
      <c r="H120" s="18"/>
      <c r="I120" s="20" t="str">
        <f aca="true">IF(OR(B120="",A120="",G120&lt;&gt;"Waiting"),"",MAX(0,TODAY()-A120))</f>
        <v/>
      </c>
      <c r="J120" s="17"/>
    </row>
    <row r="121" customFormat="false" ht="15" hidden="false" customHeight="false" outlineLevel="0" collapsed="false">
      <c r="A121" s="18"/>
      <c r="B121" s="17"/>
      <c r="C121" s="17"/>
      <c r="D121" s="17"/>
      <c r="E121" s="17"/>
      <c r="F121" s="17"/>
      <c r="G121" s="17"/>
      <c r="H121" s="18"/>
      <c r="I121" s="20" t="str">
        <f aca="true">IF(OR(B121="",A121="",G121&lt;&gt;"Waiting"),"",MAX(0,TODAY()-A121))</f>
        <v/>
      </c>
      <c r="J121" s="17"/>
    </row>
    <row r="122" customFormat="false" ht="15" hidden="false" customHeight="false" outlineLevel="0" collapsed="false">
      <c r="A122" s="18"/>
      <c r="B122" s="17"/>
      <c r="C122" s="17"/>
      <c r="D122" s="17"/>
      <c r="E122" s="17"/>
      <c r="F122" s="17"/>
      <c r="G122" s="17"/>
      <c r="H122" s="18"/>
      <c r="I122" s="20" t="str">
        <f aca="true">IF(OR(B122="",A122="",G122&lt;&gt;"Waiting"),"",MAX(0,TODAY()-A122))</f>
        <v/>
      </c>
      <c r="J122" s="17"/>
    </row>
    <row r="123" customFormat="false" ht="15" hidden="false" customHeight="false" outlineLevel="0" collapsed="false">
      <c r="A123" s="18"/>
      <c r="B123" s="17"/>
      <c r="C123" s="17"/>
      <c r="D123" s="17"/>
      <c r="E123" s="17"/>
      <c r="F123" s="17"/>
      <c r="G123" s="17"/>
      <c r="H123" s="18"/>
      <c r="I123" s="20" t="str">
        <f aca="true">IF(OR(B123="",A123="",G123&lt;&gt;"Waiting"),"",MAX(0,TODAY()-A123))</f>
        <v/>
      </c>
      <c r="J123" s="17"/>
    </row>
    <row r="124" customFormat="false" ht="15" hidden="false" customHeight="false" outlineLevel="0" collapsed="false">
      <c r="A124" s="18"/>
      <c r="B124" s="17"/>
      <c r="C124" s="17"/>
      <c r="D124" s="17"/>
      <c r="E124" s="17"/>
      <c r="F124" s="17"/>
      <c r="G124" s="17"/>
      <c r="H124" s="18"/>
      <c r="I124" s="20" t="str">
        <f aca="true">IF(OR(B124="",A124="",G124&lt;&gt;"Waiting"),"",MAX(0,TODAY()-A124))</f>
        <v/>
      </c>
      <c r="J124" s="17"/>
    </row>
    <row r="125" customFormat="false" ht="15" hidden="false" customHeight="false" outlineLevel="0" collapsed="false">
      <c r="A125" s="18"/>
      <c r="B125" s="17"/>
      <c r="C125" s="17"/>
      <c r="D125" s="17"/>
      <c r="E125" s="17"/>
      <c r="F125" s="17"/>
      <c r="G125" s="17"/>
      <c r="H125" s="18"/>
      <c r="I125" s="20" t="str">
        <f aca="true">IF(OR(B125="",A125="",G125&lt;&gt;"Waiting"),"",MAX(0,TODAY()-A125))</f>
        <v/>
      </c>
      <c r="J125" s="17"/>
    </row>
    <row r="126" customFormat="false" ht="15" hidden="false" customHeight="false" outlineLevel="0" collapsed="false">
      <c r="A126" s="18"/>
      <c r="B126" s="17"/>
      <c r="C126" s="17"/>
      <c r="D126" s="17"/>
      <c r="E126" s="17"/>
      <c r="F126" s="17"/>
      <c r="G126" s="17"/>
      <c r="H126" s="18"/>
      <c r="I126" s="20" t="str">
        <f aca="true">IF(OR(B126="",A126="",G126&lt;&gt;"Waiting"),"",MAX(0,TODAY()-A126))</f>
        <v/>
      </c>
      <c r="J126" s="17"/>
    </row>
    <row r="127" customFormat="false" ht="15" hidden="false" customHeight="false" outlineLevel="0" collapsed="false">
      <c r="A127" s="18"/>
      <c r="B127" s="17"/>
      <c r="C127" s="17"/>
      <c r="D127" s="17"/>
      <c r="E127" s="17"/>
      <c r="F127" s="17"/>
      <c r="G127" s="17"/>
      <c r="H127" s="18"/>
      <c r="I127" s="20" t="str">
        <f aca="true">IF(OR(B127="",A127="",G127&lt;&gt;"Waiting"),"",MAX(0,TODAY()-A127))</f>
        <v/>
      </c>
      <c r="J127" s="17"/>
    </row>
    <row r="128" customFormat="false" ht="15" hidden="false" customHeight="false" outlineLevel="0" collapsed="false">
      <c r="A128" s="18"/>
      <c r="B128" s="17"/>
      <c r="C128" s="17"/>
      <c r="D128" s="17"/>
      <c r="E128" s="17"/>
      <c r="F128" s="17"/>
      <c r="G128" s="17"/>
      <c r="H128" s="18"/>
      <c r="I128" s="20" t="str">
        <f aca="true">IF(OR(B128="",A128="",G128&lt;&gt;"Waiting"),"",MAX(0,TODAY()-A128))</f>
        <v/>
      </c>
      <c r="J128" s="17"/>
    </row>
    <row r="129" customFormat="false" ht="15" hidden="false" customHeight="false" outlineLevel="0" collapsed="false">
      <c r="A129" s="18"/>
      <c r="B129" s="17"/>
      <c r="C129" s="17"/>
      <c r="D129" s="17"/>
      <c r="E129" s="17"/>
      <c r="F129" s="17"/>
      <c r="G129" s="17"/>
      <c r="H129" s="18"/>
      <c r="I129" s="20" t="str">
        <f aca="true">IF(OR(B129="",A129="",G129&lt;&gt;"Waiting"),"",MAX(0,TODAY()-A129))</f>
        <v/>
      </c>
      <c r="J129" s="17"/>
    </row>
    <row r="130" customFormat="false" ht="15" hidden="false" customHeight="false" outlineLevel="0" collapsed="false">
      <c r="A130" s="18"/>
      <c r="B130" s="17"/>
      <c r="C130" s="17"/>
      <c r="D130" s="17"/>
      <c r="E130" s="17"/>
      <c r="F130" s="17"/>
      <c r="G130" s="17"/>
      <c r="H130" s="18"/>
      <c r="I130" s="20" t="str">
        <f aca="true">IF(OR(B130="",A130="",G130&lt;&gt;"Waiting"),"",MAX(0,TODAY()-A130))</f>
        <v/>
      </c>
      <c r="J130" s="17"/>
    </row>
    <row r="131" customFormat="false" ht="15" hidden="false" customHeight="false" outlineLevel="0" collapsed="false">
      <c r="A131" s="18"/>
      <c r="B131" s="17"/>
      <c r="C131" s="17"/>
      <c r="D131" s="17"/>
      <c r="E131" s="17"/>
      <c r="F131" s="17"/>
      <c r="G131" s="17"/>
      <c r="H131" s="18"/>
      <c r="I131" s="20" t="str">
        <f aca="true">IF(OR(B131="",A131="",G131&lt;&gt;"Waiting"),"",MAX(0,TODAY()-A131))</f>
        <v/>
      </c>
      <c r="J131" s="17"/>
    </row>
    <row r="132" customFormat="false" ht="15" hidden="false" customHeight="false" outlineLevel="0" collapsed="false">
      <c r="A132" s="18"/>
      <c r="B132" s="17"/>
      <c r="C132" s="17"/>
      <c r="D132" s="17"/>
      <c r="E132" s="17"/>
      <c r="F132" s="17"/>
      <c r="G132" s="17"/>
      <c r="H132" s="18"/>
      <c r="I132" s="20" t="str">
        <f aca="true">IF(OR(B132="",A132="",G132&lt;&gt;"Waiting"),"",MAX(0,TODAY()-A132))</f>
        <v/>
      </c>
      <c r="J132" s="17"/>
    </row>
    <row r="133" customFormat="false" ht="15" hidden="false" customHeight="false" outlineLevel="0" collapsed="false">
      <c r="A133" s="18"/>
      <c r="B133" s="17"/>
      <c r="C133" s="17"/>
      <c r="D133" s="17"/>
      <c r="E133" s="17"/>
      <c r="F133" s="17"/>
      <c r="G133" s="17"/>
      <c r="H133" s="18"/>
      <c r="I133" s="20" t="str">
        <f aca="true">IF(OR(B133="",A133="",G133&lt;&gt;"Waiting"),"",MAX(0,TODAY()-A133))</f>
        <v/>
      </c>
      <c r="J133" s="17"/>
    </row>
    <row r="134" customFormat="false" ht="15" hidden="false" customHeight="false" outlineLevel="0" collapsed="false">
      <c r="A134" s="18"/>
      <c r="B134" s="17"/>
      <c r="C134" s="17"/>
      <c r="D134" s="17"/>
      <c r="E134" s="17"/>
      <c r="F134" s="17"/>
      <c r="G134" s="17"/>
      <c r="H134" s="18"/>
      <c r="I134" s="20" t="str">
        <f aca="true">IF(OR(B134="",A134="",G134&lt;&gt;"Waiting"),"",MAX(0,TODAY()-A134))</f>
        <v/>
      </c>
      <c r="J134" s="17"/>
    </row>
    <row r="135" customFormat="false" ht="15" hidden="false" customHeight="false" outlineLevel="0" collapsed="false">
      <c r="A135" s="18"/>
      <c r="B135" s="17"/>
      <c r="C135" s="17"/>
      <c r="D135" s="17"/>
      <c r="E135" s="17"/>
      <c r="F135" s="17"/>
      <c r="G135" s="17"/>
      <c r="H135" s="18"/>
      <c r="I135" s="20" t="str">
        <f aca="true">IF(OR(B135="",A135="",G135&lt;&gt;"Waiting"),"",MAX(0,TODAY()-A135))</f>
        <v/>
      </c>
      <c r="J135" s="17"/>
    </row>
    <row r="136" customFormat="false" ht="15" hidden="false" customHeight="false" outlineLevel="0" collapsed="false">
      <c r="A136" s="18"/>
      <c r="B136" s="17"/>
      <c r="C136" s="17"/>
      <c r="D136" s="17"/>
      <c r="E136" s="17"/>
      <c r="F136" s="17"/>
      <c r="G136" s="17"/>
      <c r="H136" s="18"/>
      <c r="I136" s="20" t="str">
        <f aca="true">IF(OR(B136="",A136="",G136&lt;&gt;"Waiting"),"",MAX(0,TODAY()-A136))</f>
        <v/>
      </c>
      <c r="J136" s="17"/>
    </row>
    <row r="137" customFormat="false" ht="15" hidden="false" customHeight="false" outlineLevel="0" collapsed="false">
      <c r="A137" s="18"/>
      <c r="B137" s="17"/>
      <c r="C137" s="17"/>
      <c r="D137" s="17"/>
      <c r="E137" s="17"/>
      <c r="F137" s="17"/>
      <c r="G137" s="17"/>
      <c r="H137" s="18"/>
      <c r="I137" s="20" t="str">
        <f aca="true">IF(OR(B137="",A137="",G137&lt;&gt;"Waiting"),"",MAX(0,TODAY()-A137))</f>
        <v/>
      </c>
      <c r="J137" s="17"/>
    </row>
    <row r="138" customFormat="false" ht="15" hidden="false" customHeight="false" outlineLevel="0" collapsed="false">
      <c r="A138" s="18"/>
      <c r="B138" s="17"/>
      <c r="C138" s="17"/>
      <c r="D138" s="17"/>
      <c r="E138" s="17"/>
      <c r="F138" s="17"/>
      <c r="G138" s="17"/>
      <c r="H138" s="18"/>
      <c r="I138" s="20" t="str">
        <f aca="true">IF(OR(B138="",A138="",G138&lt;&gt;"Waiting"),"",MAX(0,TODAY()-A138))</f>
        <v/>
      </c>
      <c r="J138" s="17"/>
    </row>
    <row r="139" customFormat="false" ht="15" hidden="false" customHeight="false" outlineLevel="0" collapsed="false">
      <c r="A139" s="18"/>
      <c r="B139" s="17"/>
      <c r="C139" s="17"/>
      <c r="D139" s="17"/>
      <c r="E139" s="17"/>
      <c r="F139" s="17"/>
      <c r="G139" s="17"/>
      <c r="H139" s="18"/>
      <c r="I139" s="20" t="str">
        <f aca="true">IF(OR(B139="",A139="",G139&lt;&gt;"Waiting"),"",MAX(0,TODAY()-A139))</f>
        <v/>
      </c>
      <c r="J139" s="17"/>
    </row>
    <row r="140" customFormat="false" ht="15" hidden="false" customHeight="false" outlineLevel="0" collapsed="false">
      <c r="A140" s="18"/>
      <c r="B140" s="17"/>
      <c r="C140" s="17"/>
      <c r="D140" s="17"/>
      <c r="E140" s="17"/>
      <c r="F140" s="17"/>
      <c r="G140" s="17"/>
      <c r="H140" s="18"/>
      <c r="I140" s="20" t="str">
        <f aca="true">IF(OR(B140="",A140="",G140&lt;&gt;"Waiting"),"",MAX(0,TODAY()-A140))</f>
        <v/>
      </c>
      <c r="J140" s="17"/>
    </row>
    <row r="141" customFormat="false" ht="15" hidden="false" customHeight="false" outlineLevel="0" collapsed="false">
      <c r="A141" s="18"/>
      <c r="B141" s="17"/>
      <c r="C141" s="17"/>
      <c r="D141" s="17"/>
      <c r="E141" s="17"/>
      <c r="F141" s="17"/>
      <c r="G141" s="17"/>
      <c r="H141" s="18"/>
      <c r="I141" s="20" t="str">
        <f aca="true">IF(OR(B141="",A141="",G141&lt;&gt;"Waiting"),"",MAX(0,TODAY()-A141))</f>
        <v/>
      </c>
      <c r="J141" s="17"/>
    </row>
    <row r="142" customFormat="false" ht="15" hidden="false" customHeight="false" outlineLevel="0" collapsed="false">
      <c r="A142" s="18"/>
      <c r="B142" s="17"/>
      <c r="C142" s="17"/>
      <c r="D142" s="17"/>
      <c r="E142" s="17"/>
      <c r="F142" s="17"/>
      <c r="G142" s="17"/>
      <c r="H142" s="18"/>
      <c r="I142" s="20" t="str">
        <f aca="true">IF(OR(B142="",A142="",G142&lt;&gt;"Waiting"),"",MAX(0,TODAY()-A142))</f>
        <v/>
      </c>
      <c r="J142" s="17"/>
    </row>
    <row r="143" customFormat="false" ht="15" hidden="false" customHeight="false" outlineLevel="0" collapsed="false">
      <c r="A143" s="18"/>
      <c r="B143" s="17"/>
      <c r="C143" s="17"/>
      <c r="D143" s="17"/>
      <c r="E143" s="17"/>
      <c r="F143" s="17"/>
      <c r="G143" s="17"/>
      <c r="H143" s="18"/>
      <c r="I143" s="20" t="str">
        <f aca="true">IF(OR(B143="",A143="",G143&lt;&gt;"Waiting"),"",MAX(0,TODAY()-A143))</f>
        <v/>
      </c>
      <c r="J143" s="17"/>
    </row>
    <row r="144" customFormat="false" ht="15" hidden="false" customHeight="false" outlineLevel="0" collapsed="false">
      <c r="A144" s="18"/>
      <c r="B144" s="17"/>
      <c r="C144" s="17"/>
      <c r="D144" s="17"/>
      <c r="E144" s="17"/>
      <c r="F144" s="17"/>
      <c r="G144" s="17"/>
      <c r="H144" s="18"/>
      <c r="I144" s="20" t="str">
        <f aca="true">IF(OR(B144="",A144="",G144&lt;&gt;"Waiting"),"",MAX(0,TODAY()-A144))</f>
        <v/>
      </c>
      <c r="J144" s="17"/>
    </row>
    <row r="145" customFormat="false" ht="15" hidden="false" customHeight="false" outlineLevel="0" collapsed="false">
      <c r="A145" s="18"/>
      <c r="B145" s="17"/>
      <c r="C145" s="17"/>
      <c r="D145" s="17"/>
      <c r="E145" s="17"/>
      <c r="F145" s="17"/>
      <c r="G145" s="17"/>
      <c r="H145" s="18"/>
      <c r="I145" s="20" t="str">
        <f aca="true">IF(OR(B145="",A145="",G145&lt;&gt;"Waiting"),"",MAX(0,TODAY()-A145))</f>
        <v/>
      </c>
      <c r="J145" s="17"/>
    </row>
    <row r="146" customFormat="false" ht="15" hidden="false" customHeight="false" outlineLevel="0" collapsed="false">
      <c r="A146" s="18"/>
      <c r="B146" s="17"/>
      <c r="C146" s="17"/>
      <c r="D146" s="17"/>
      <c r="E146" s="17"/>
      <c r="F146" s="17"/>
      <c r="G146" s="17"/>
      <c r="H146" s="18"/>
      <c r="I146" s="20" t="str">
        <f aca="true">IF(OR(B146="",A146="",G146&lt;&gt;"Waiting"),"",MAX(0,TODAY()-A146))</f>
        <v/>
      </c>
      <c r="J146" s="17"/>
    </row>
    <row r="147" customFormat="false" ht="15" hidden="false" customHeight="false" outlineLevel="0" collapsed="false">
      <c r="A147" s="18"/>
      <c r="B147" s="17"/>
      <c r="C147" s="17"/>
      <c r="D147" s="17"/>
      <c r="E147" s="17"/>
      <c r="F147" s="17"/>
      <c r="G147" s="17"/>
      <c r="H147" s="18"/>
      <c r="I147" s="20" t="str">
        <f aca="true">IF(OR(B147="",A147="",G147&lt;&gt;"Waiting"),"",MAX(0,TODAY()-A147))</f>
        <v/>
      </c>
      <c r="J147" s="17"/>
    </row>
    <row r="148" customFormat="false" ht="15" hidden="false" customHeight="false" outlineLevel="0" collapsed="false">
      <c r="A148" s="18"/>
      <c r="B148" s="17"/>
      <c r="C148" s="17"/>
      <c r="D148" s="17"/>
      <c r="E148" s="17"/>
      <c r="F148" s="17"/>
      <c r="G148" s="17"/>
      <c r="H148" s="18"/>
      <c r="I148" s="20" t="str">
        <f aca="true">IF(OR(B148="",A148="",G148&lt;&gt;"Waiting"),"",MAX(0,TODAY()-A148))</f>
        <v/>
      </c>
      <c r="J148" s="17"/>
    </row>
    <row r="149" customFormat="false" ht="15" hidden="false" customHeight="false" outlineLevel="0" collapsed="false">
      <c r="A149" s="18"/>
      <c r="B149" s="17"/>
      <c r="C149" s="17"/>
      <c r="D149" s="17"/>
      <c r="E149" s="17"/>
      <c r="F149" s="17"/>
      <c r="G149" s="17"/>
      <c r="H149" s="18"/>
      <c r="I149" s="20" t="str">
        <f aca="true">IF(OR(B149="",A149="",G149&lt;&gt;"Waiting"),"",MAX(0,TODAY()-A149))</f>
        <v/>
      </c>
      <c r="J149" s="17"/>
    </row>
    <row r="150" customFormat="false" ht="15" hidden="false" customHeight="false" outlineLevel="0" collapsed="false">
      <c r="A150" s="18"/>
      <c r="B150" s="17"/>
      <c r="C150" s="17"/>
      <c r="D150" s="17"/>
      <c r="E150" s="17"/>
      <c r="F150" s="17"/>
      <c r="G150" s="17"/>
      <c r="H150" s="18"/>
      <c r="I150" s="20" t="str">
        <f aca="true">IF(OR(B150="",A150="",G150&lt;&gt;"Waiting"),"",MAX(0,TODAY()-A150))</f>
        <v/>
      </c>
      <c r="J150" s="17"/>
    </row>
    <row r="151" customFormat="false" ht="15" hidden="false" customHeight="false" outlineLevel="0" collapsed="false">
      <c r="A151" s="18"/>
      <c r="B151" s="17"/>
      <c r="C151" s="17"/>
      <c r="D151" s="17"/>
      <c r="E151" s="17"/>
      <c r="F151" s="17"/>
      <c r="G151" s="17"/>
      <c r="H151" s="18"/>
      <c r="I151" s="20" t="str">
        <f aca="true">IF(OR(B151="",A151="",G151&lt;&gt;"Waiting"),"",MAX(0,TODAY()-A151))</f>
        <v/>
      </c>
      <c r="J151" s="17"/>
    </row>
    <row r="152" customFormat="false" ht="15" hidden="false" customHeight="false" outlineLevel="0" collapsed="false">
      <c r="A152" s="18"/>
      <c r="B152" s="17"/>
      <c r="C152" s="17"/>
      <c r="D152" s="17"/>
      <c r="E152" s="17"/>
      <c r="F152" s="17"/>
      <c r="G152" s="17"/>
      <c r="H152" s="18"/>
      <c r="I152" s="20" t="str">
        <f aca="true">IF(OR(B152="",A152="",G152&lt;&gt;"Waiting"),"",MAX(0,TODAY()-A152))</f>
        <v/>
      </c>
      <c r="J152" s="17"/>
    </row>
    <row r="153" customFormat="false" ht="15" hidden="false" customHeight="false" outlineLevel="0" collapsed="false">
      <c r="A153" s="18"/>
      <c r="B153" s="17"/>
      <c r="C153" s="17"/>
      <c r="D153" s="17"/>
      <c r="E153" s="17"/>
      <c r="F153" s="17"/>
      <c r="G153" s="17"/>
      <c r="H153" s="18"/>
      <c r="I153" s="20" t="str">
        <f aca="true">IF(OR(B153="",A153="",G153&lt;&gt;"Waiting"),"",MAX(0,TODAY()-A153))</f>
        <v/>
      </c>
      <c r="J153" s="17"/>
    </row>
    <row r="154" customFormat="false" ht="15" hidden="false" customHeight="false" outlineLevel="0" collapsed="false">
      <c r="A154" s="18"/>
      <c r="B154" s="17"/>
      <c r="C154" s="17"/>
      <c r="D154" s="17"/>
      <c r="E154" s="17"/>
      <c r="F154" s="17"/>
      <c r="G154" s="17"/>
      <c r="H154" s="18"/>
      <c r="I154" s="20" t="str">
        <f aca="true">IF(OR(B154="",A154="",G154&lt;&gt;"Waiting"),"",MAX(0,TODAY()-A154))</f>
        <v/>
      </c>
      <c r="J154" s="17"/>
    </row>
    <row r="155" customFormat="false" ht="15" hidden="false" customHeight="false" outlineLevel="0" collapsed="false">
      <c r="A155" s="18"/>
      <c r="B155" s="17"/>
      <c r="C155" s="17"/>
      <c r="D155" s="17"/>
      <c r="E155" s="17"/>
      <c r="F155" s="17"/>
      <c r="G155" s="17"/>
      <c r="H155" s="18"/>
      <c r="I155" s="20" t="str">
        <f aca="true">IF(OR(B155="",A155="",G155&lt;&gt;"Waiting"),"",MAX(0,TODAY()-A155))</f>
        <v/>
      </c>
      <c r="J155" s="17"/>
    </row>
    <row r="156" customFormat="false" ht="15" hidden="false" customHeight="false" outlineLevel="0" collapsed="false">
      <c r="A156" s="18"/>
      <c r="B156" s="17"/>
      <c r="C156" s="17"/>
      <c r="D156" s="17"/>
      <c r="E156" s="17"/>
      <c r="F156" s="17"/>
      <c r="G156" s="17"/>
      <c r="H156" s="18"/>
      <c r="I156" s="20" t="str">
        <f aca="true">IF(OR(B156="",A156="",G156&lt;&gt;"Waiting"),"",MAX(0,TODAY()-A156))</f>
        <v/>
      </c>
      <c r="J156" s="17"/>
    </row>
    <row r="157" customFormat="false" ht="15" hidden="false" customHeight="false" outlineLevel="0" collapsed="false">
      <c r="A157" s="18"/>
      <c r="B157" s="17"/>
      <c r="C157" s="17"/>
      <c r="D157" s="17"/>
      <c r="E157" s="17"/>
      <c r="F157" s="17"/>
      <c r="G157" s="17"/>
      <c r="H157" s="18"/>
      <c r="I157" s="20" t="str">
        <f aca="true">IF(OR(B157="",A157="",G157&lt;&gt;"Waiting"),"",MAX(0,TODAY()-A157))</f>
        <v/>
      </c>
      <c r="J157" s="17"/>
    </row>
    <row r="158" customFormat="false" ht="15" hidden="false" customHeight="false" outlineLevel="0" collapsed="false">
      <c r="A158" s="18"/>
      <c r="B158" s="17"/>
      <c r="C158" s="17"/>
      <c r="D158" s="17"/>
      <c r="E158" s="17"/>
      <c r="F158" s="17"/>
      <c r="G158" s="17"/>
      <c r="H158" s="18"/>
      <c r="I158" s="20" t="str">
        <f aca="true">IF(OR(B158="",A158="",G158&lt;&gt;"Waiting"),"",MAX(0,TODAY()-A158))</f>
        <v/>
      </c>
      <c r="J158" s="17"/>
    </row>
    <row r="159" customFormat="false" ht="15" hidden="false" customHeight="false" outlineLevel="0" collapsed="false">
      <c r="A159" s="18"/>
      <c r="B159" s="17"/>
      <c r="C159" s="17"/>
      <c r="D159" s="17"/>
      <c r="E159" s="17"/>
      <c r="F159" s="17"/>
      <c r="G159" s="17"/>
      <c r="H159" s="18"/>
      <c r="I159" s="20" t="str">
        <f aca="true">IF(OR(B159="",A159="",G159&lt;&gt;"Waiting"),"",MAX(0,TODAY()-A159))</f>
        <v/>
      </c>
      <c r="J159" s="17"/>
    </row>
    <row r="160" customFormat="false" ht="15" hidden="false" customHeight="false" outlineLevel="0" collapsed="false">
      <c r="A160" s="18"/>
      <c r="B160" s="17"/>
      <c r="C160" s="17"/>
      <c r="D160" s="17"/>
      <c r="E160" s="17"/>
      <c r="F160" s="17"/>
      <c r="G160" s="17"/>
      <c r="H160" s="18"/>
      <c r="I160" s="20" t="str">
        <f aca="true">IF(OR(B160="",A160="",G160&lt;&gt;"Waiting"),"",MAX(0,TODAY()-A160))</f>
        <v/>
      </c>
      <c r="J160" s="17"/>
    </row>
    <row r="161" customFormat="false" ht="15" hidden="false" customHeight="false" outlineLevel="0" collapsed="false">
      <c r="A161" s="18"/>
      <c r="B161" s="17"/>
      <c r="C161" s="17"/>
      <c r="D161" s="17"/>
      <c r="E161" s="17"/>
      <c r="F161" s="17"/>
      <c r="G161" s="17"/>
      <c r="H161" s="18"/>
      <c r="I161" s="20" t="str">
        <f aca="true">IF(OR(B161="",A161="",G161&lt;&gt;"Waiting"),"",MAX(0,TODAY()-A161))</f>
        <v/>
      </c>
      <c r="J161" s="17"/>
    </row>
    <row r="162" customFormat="false" ht="15" hidden="false" customHeight="false" outlineLevel="0" collapsed="false">
      <c r="A162" s="18"/>
      <c r="B162" s="17"/>
      <c r="C162" s="17"/>
      <c r="D162" s="17"/>
      <c r="E162" s="17"/>
      <c r="F162" s="17"/>
      <c r="G162" s="17"/>
      <c r="H162" s="18"/>
      <c r="I162" s="20" t="str">
        <f aca="true">IF(OR(B162="",A162="",G162&lt;&gt;"Waiting"),"",MAX(0,TODAY()-A162))</f>
        <v/>
      </c>
      <c r="J162" s="17"/>
    </row>
    <row r="163" customFormat="false" ht="15" hidden="false" customHeight="false" outlineLevel="0" collapsed="false">
      <c r="A163" s="18"/>
      <c r="B163" s="17"/>
      <c r="C163" s="17"/>
      <c r="D163" s="17"/>
      <c r="E163" s="17"/>
      <c r="F163" s="17"/>
      <c r="G163" s="17"/>
      <c r="H163" s="18"/>
      <c r="I163" s="20" t="str">
        <f aca="true">IF(OR(B163="",A163="",G163&lt;&gt;"Waiting"),"",MAX(0,TODAY()-A163))</f>
        <v/>
      </c>
      <c r="J163" s="17"/>
    </row>
    <row r="164" customFormat="false" ht="15" hidden="false" customHeight="false" outlineLevel="0" collapsed="false">
      <c r="A164" s="18"/>
      <c r="B164" s="17"/>
      <c r="C164" s="17"/>
      <c r="D164" s="17"/>
      <c r="E164" s="17"/>
      <c r="F164" s="17"/>
      <c r="G164" s="17"/>
      <c r="H164" s="18"/>
      <c r="I164" s="20" t="str">
        <f aca="true">IF(OR(B164="",A164="",G164&lt;&gt;"Waiting"),"",MAX(0,TODAY()-A164))</f>
        <v/>
      </c>
      <c r="J164" s="17"/>
    </row>
    <row r="165" customFormat="false" ht="15" hidden="false" customHeight="false" outlineLevel="0" collapsed="false">
      <c r="A165" s="18"/>
      <c r="B165" s="17"/>
      <c r="C165" s="17"/>
      <c r="D165" s="17"/>
      <c r="E165" s="17"/>
      <c r="F165" s="17"/>
      <c r="G165" s="17"/>
      <c r="H165" s="18"/>
      <c r="I165" s="20" t="str">
        <f aca="true">IF(OR(B165="",A165="",G165&lt;&gt;"Waiting"),"",MAX(0,TODAY()-A165))</f>
        <v/>
      </c>
      <c r="J165" s="17"/>
    </row>
    <row r="166" customFormat="false" ht="15" hidden="false" customHeight="false" outlineLevel="0" collapsed="false">
      <c r="A166" s="18"/>
      <c r="B166" s="17"/>
      <c r="C166" s="17"/>
      <c r="D166" s="17"/>
      <c r="E166" s="17"/>
      <c r="F166" s="17"/>
      <c r="G166" s="17"/>
      <c r="H166" s="18"/>
      <c r="I166" s="20" t="str">
        <f aca="true">IF(OR(B166="",A166="",G166&lt;&gt;"Waiting"),"",MAX(0,TODAY()-A166))</f>
        <v/>
      </c>
      <c r="J166" s="17"/>
    </row>
    <row r="167" customFormat="false" ht="15" hidden="false" customHeight="false" outlineLevel="0" collapsed="false">
      <c r="A167" s="18"/>
      <c r="B167" s="17"/>
      <c r="C167" s="17"/>
      <c r="D167" s="17"/>
      <c r="E167" s="17"/>
      <c r="F167" s="17"/>
      <c r="G167" s="17"/>
      <c r="H167" s="18"/>
      <c r="I167" s="20" t="str">
        <f aca="true">IF(OR(B167="",A167="",G167&lt;&gt;"Waiting"),"",MAX(0,TODAY()-A167))</f>
        <v/>
      </c>
      <c r="J167" s="17"/>
    </row>
    <row r="168" customFormat="false" ht="15" hidden="false" customHeight="false" outlineLevel="0" collapsed="false">
      <c r="A168" s="18"/>
      <c r="B168" s="17"/>
      <c r="C168" s="17"/>
      <c r="D168" s="17"/>
      <c r="E168" s="17"/>
      <c r="F168" s="17"/>
      <c r="G168" s="17"/>
      <c r="H168" s="18"/>
      <c r="I168" s="20" t="str">
        <f aca="true">IF(OR(B168="",A168="",G168&lt;&gt;"Waiting"),"",MAX(0,TODAY()-A168))</f>
        <v/>
      </c>
      <c r="J168" s="17"/>
    </row>
    <row r="169" customFormat="false" ht="15" hidden="false" customHeight="false" outlineLevel="0" collapsed="false">
      <c r="A169" s="18"/>
      <c r="B169" s="17"/>
      <c r="C169" s="17"/>
      <c r="D169" s="17"/>
      <c r="E169" s="17"/>
      <c r="F169" s="17"/>
      <c r="G169" s="17"/>
      <c r="H169" s="18"/>
      <c r="I169" s="20" t="str">
        <f aca="true">IF(OR(B169="",A169="",G169&lt;&gt;"Waiting"),"",MAX(0,TODAY()-A169))</f>
        <v/>
      </c>
      <c r="J169" s="17"/>
    </row>
    <row r="170" customFormat="false" ht="15" hidden="false" customHeight="false" outlineLevel="0" collapsed="false">
      <c r="A170" s="18"/>
      <c r="B170" s="17"/>
      <c r="C170" s="17"/>
      <c r="D170" s="17"/>
      <c r="E170" s="17"/>
      <c r="F170" s="17"/>
      <c r="G170" s="17"/>
      <c r="H170" s="18"/>
      <c r="I170" s="20" t="str">
        <f aca="true">IF(OR(B170="",A170="",G170&lt;&gt;"Waiting"),"",MAX(0,TODAY()-A170))</f>
        <v/>
      </c>
      <c r="J170" s="17"/>
    </row>
    <row r="171" customFormat="false" ht="15" hidden="false" customHeight="false" outlineLevel="0" collapsed="false">
      <c r="A171" s="18"/>
      <c r="B171" s="17"/>
      <c r="C171" s="17"/>
      <c r="D171" s="17"/>
      <c r="E171" s="17"/>
      <c r="F171" s="17"/>
      <c r="G171" s="17"/>
      <c r="H171" s="18"/>
      <c r="I171" s="20" t="str">
        <f aca="true">IF(OR(B171="",A171="",G171&lt;&gt;"Waiting"),"",MAX(0,TODAY()-A171))</f>
        <v/>
      </c>
      <c r="J171" s="17"/>
    </row>
    <row r="172" customFormat="false" ht="15" hidden="false" customHeight="false" outlineLevel="0" collapsed="false">
      <c r="A172" s="18"/>
      <c r="B172" s="17"/>
      <c r="C172" s="17"/>
      <c r="D172" s="17"/>
      <c r="E172" s="17"/>
      <c r="F172" s="17"/>
      <c r="G172" s="17"/>
      <c r="H172" s="18"/>
      <c r="I172" s="20" t="str">
        <f aca="true">IF(OR(B172="",A172="",G172&lt;&gt;"Waiting"),"",MAX(0,TODAY()-A172))</f>
        <v/>
      </c>
      <c r="J172" s="17"/>
    </row>
    <row r="173" customFormat="false" ht="15" hidden="false" customHeight="false" outlineLevel="0" collapsed="false">
      <c r="A173" s="18"/>
      <c r="B173" s="17"/>
      <c r="C173" s="17"/>
      <c r="D173" s="17"/>
      <c r="E173" s="17"/>
      <c r="F173" s="17"/>
      <c r="G173" s="17"/>
      <c r="H173" s="18"/>
      <c r="I173" s="20" t="str">
        <f aca="true">IF(OR(B173="",A173="",G173&lt;&gt;"Waiting"),"",MAX(0,TODAY()-A173))</f>
        <v/>
      </c>
      <c r="J173" s="17"/>
    </row>
    <row r="174" customFormat="false" ht="15" hidden="false" customHeight="false" outlineLevel="0" collapsed="false">
      <c r="A174" s="18"/>
      <c r="B174" s="17"/>
      <c r="C174" s="17"/>
      <c r="D174" s="17"/>
      <c r="E174" s="17"/>
      <c r="F174" s="17"/>
      <c r="G174" s="17"/>
      <c r="H174" s="18"/>
      <c r="I174" s="20" t="str">
        <f aca="true">IF(OR(B174="",A174="",G174&lt;&gt;"Waiting"),"",MAX(0,TODAY()-A174))</f>
        <v/>
      </c>
      <c r="J174" s="17"/>
    </row>
    <row r="175" customFormat="false" ht="15" hidden="false" customHeight="false" outlineLevel="0" collapsed="false">
      <c r="A175" s="18"/>
      <c r="B175" s="17"/>
      <c r="C175" s="17"/>
      <c r="D175" s="17"/>
      <c r="E175" s="17"/>
      <c r="F175" s="17"/>
      <c r="G175" s="17"/>
      <c r="H175" s="18"/>
      <c r="I175" s="20" t="str">
        <f aca="true">IF(OR(B175="",A175="",G175&lt;&gt;"Waiting"),"",MAX(0,TODAY()-A175))</f>
        <v/>
      </c>
      <c r="J175" s="17"/>
    </row>
    <row r="176" customFormat="false" ht="15" hidden="false" customHeight="false" outlineLevel="0" collapsed="false">
      <c r="A176" s="18"/>
      <c r="B176" s="17"/>
      <c r="C176" s="17"/>
      <c r="D176" s="17"/>
      <c r="E176" s="17"/>
      <c r="F176" s="17"/>
      <c r="G176" s="17"/>
      <c r="H176" s="18"/>
      <c r="I176" s="20" t="str">
        <f aca="true">IF(OR(B176="",A176="",G176&lt;&gt;"Waiting"),"",MAX(0,TODAY()-A176))</f>
        <v/>
      </c>
      <c r="J176" s="17"/>
    </row>
    <row r="177" customFormat="false" ht="15" hidden="false" customHeight="false" outlineLevel="0" collapsed="false">
      <c r="A177" s="18"/>
      <c r="B177" s="17"/>
      <c r="C177" s="17"/>
      <c r="D177" s="17"/>
      <c r="E177" s="17"/>
      <c r="F177" s="17"/>
      <c r="G177" s="17"/>
      <c r="H177" s="18"/>
      <c r="I177" s="20" t="str">
        <f aca="true">IF(OR(B177="",A177="",G177&lt;&gt;"Waiting"),"",MAX(0,TODAY()-A177))</f>
        <v/>
      </c>
      <c r="J177" s="17"/>
    </row>
    <row r="178" customFormat="false" ht="15" hidden="false" customHeight="false" outlineLevel="0" collapsed="false">
      <c r="A178" s="18"/>
      <c r="B178" s="17"/>
      <c r="C178" s="17"/>
      <c r="D178" s="17"/>
      <c r="E178" s="17"/>
      <c r="F178" s="17"/>
      <c r="G178" s="17"/>
      <c r="H178" s="18"/>
      <c r="I178" s="20" t="str">
        <f aca="true">IF(OR(B178="",A178="",G178&lt;&gt;"Waiting"),"",MAX(0,TODAY()-A178))</f>
        <v/>
      </c>
      <c r="J178" s="17"/>
    </row>
    <row r="179" customFormat="false" ht="15" hidden="false" customHeight="false" outlineLevel="0" collapsed="false">
      <c r="A179" s="18"/>
      <c r="B179" s="17"/>
      <c r="C179" s="17"/>
      <c r="D179" s="17"/>
      <c r="E179" s="17"/>
      <c r="F179" s="17"/>
      <c r="G179" s="17"/>
      <c r="H179" s="18"/>
      <c r="I179" s="20" t="str">
        <f aca="true">IF(OR(B179="",A179="",G179&lt;&gt;"Waiting"),"",MAX(0,TODAY()-A179))</f>
        <v/>
      </c>
      <c r="J179" s="17"/>
    </row>
    <row r="180" customFormat="false" ht="15" hidden="false" customHeight="false" outlineLevel="0" collapsed="false">
      <c r="A180" s="18"/>
      <c r="B180" s="17"/>
      <c r="C180" s="17"/>
      <c r="D180" s="17"/>
      <c r="E180" s="17"/>
      <c r="F180" s="17"/>
      <c r="G180" s="17"/>
      <c r="H180" s="18"/>
      <c r="I180" s="20" t="str">
        <f aca="true">IF(OR(B180="",A180="",G180&lt;&gt;"Waiting"),"",MAX(0,TODAY()-A180))</f>
        <v/>
      </c>
      <c r="J180" s="17"/>
    </row>
    <row r="181" customFormat="false" ht="15" hidden="false" customHeight="false" outlineLevel="0" collapsed="false">
      <c r="A181" s="18"/>
      <c r="B181" s="17"/>
      <c r="C181" s="17"/>
      <c r="D181" s="17"/>
      <c r="E181" s="17"/>
      <c r="F181" s="17"/>
      <c r="G181" s="17"/>
      <c r="H181" s="18"/>
      <c r="I181" s="20" t="str">
        <f aca="true">IF(OR(B181="",A181="",G181&lt;&gt;"Waiting"),"",MAX(0,TODAY()-A181))</f>
        <v/>
      </c>
      <c r="J181" s="17"/>
    </row>
    <row r="182" customFormat="false" ht="15" hidden="false" customHeight="false" outlineLevel="0" collapsed="false">
      <c r="A182" s="18"/>
      <c r="B182" s="17"/>
      <c r="C182" s="17"/>
      <c r="D182" s="17"/>
      <c r="E182" s="17"/>
      <c r="F182" s="17"/>
      <c r="G182" s="17"/>
      <c r="H182" s="18"/>
      <c r="I182" s="20" t="str">
        <f aca="true">IF(OR(B182="",A182="",G182&lt;&gt;"Waiting"),"",MAX(0,TODAY()-A182))</f>
        <v/>
      </c>
      <c r="J182" s="17"/>
    </row>
    <row r="183" customFormat="false" ht="15" hidden="false" customHeight="false" outlineLevel="0" collapsed="false">
      <c r="A183" s="18"/>
      <c r="B183" s="17"/>
      <c r="C183" s="17"/>
      <c r="D183" s="17"/>
      <c r="E183" s="17"/>
      <c r="F183" s="17"/>
      <c r="G183" s="17"/>
      <c r="H183" s="18"/>
      <c r="I183" s="20" t="str">
        <f aca="true">IF(OR(B183="",A183="",G183&lt;&gt;"Waiting"),"",MAX(0,TODAY()-A183))</f>
        <v/>
      </c>
      <c r="J183" s="17"/>
    </row>
    <row r="184" customFormat="false" ht="15" hidden="false" customHeight="false" outlineLevel="0" collapsed="false">
      <c r="A184" s="18"/>
      <c r="B184" s="17"/>
      <c r="C184" s="17"/>
      <c r="D184" s="17"/>
      <c r="E184" s="17"/>
      <c r="F184" s="17"/>
      <c r="G184" s="17"/>
      <c r="H184" s="18"/>
      <c r="I184" s="20" t="str">
        <f aca="true">IF(OR(B184="",A184="",G184&lt;&gt;"Waiting"),"",MAX(0,TODAY()-A184))</f>
        <v/>
      </c>
      <c r="J184" s="17"/>
    </row>
    <row r="185" customFormat="false" ht="15" hidden="false" customHeight="false" outlineLevel="0" collapsed="false">
      <c r="A185" s="18"/>
      <c r="B185" s="17"/>
      <c r="C185" s="17"/>
      <c r="D185" s="17"/>
      <c r="E185" s="17"/>
      <c r="F185" s="17"/>
      <c r="G185" s="17"/>
      <c r="H185" s="18"/>
      <c r="I185" s="20" t="str">
        <f aca="true">IF(OR(B185="",A185="",G185&lt;&gt;"Waiting"),"",MAX(0,TODAY()-A185))</f>
        <v/>
      </c>
      <c r="J185" s="17"/>
    </row>
    <row r="186" customFormat="false" ht="15" hidden="false" customHeight="false" outlineLevel="0" collapsed="false">
      <c r="A186" s="18"/>
      <c r="B186" s="17"/>
      <c r="C186" s="17"/>
      <c r="D186" s="17"/>
      <c r="E186" s="17"/>
      <c r="F186" s="17"/>
      <c r="G186" s="17"/>
      <c r="H186" s="18"/>
      <c r="I186" s="20" t="str">
        <f aca="true">IF(OR(B186="",A186="",G186&lt;&gt;"Waiting"),"",MAX(0,TODAY()-A186))</f>
        <v/>
      </c>
      <c r="J186" s="17"/>
    </row>
    <row r="187" customFormat="false" ht="15" hidden="false" customHeight="false" outlineLevel="0" collapsed="false">
      <c r="A187" s="18"/>
      <c r="B187" s="17"/>
      <c r="C187" s="17"/>
      <c r="D187" s="17"/>
      <c r="E187" s="17"/>
      <c r="F187" s="17"/>
      <c r="G187" s="17"/>
      <c r="H187" s="18"/>
      <c r="I187" s="20" t="str">
        <f aca="true">IF(OR(B187="",A187="",G187&lt;&gt;"Waiting"),"",MAX(0,TODAY()-A187))</f>
        <v/>
      </c>
      <c r="J187" s="17"/>
    </row>
    <row r="188" customFormat="false" ht="15" hidden="false" customHeight="false" outlineLevel="0" collapsed="false">
      <c r="A188" s="18"/>
      <c r="B188" s="17"/>
      <c r="C188" s="17"/>
      <c r="D188" s="17"/>
      <c r="E188" s="17"/>
      <c r="F188" s="17"/>
      <c r="G188" s="17"/>
      <c r="H188" s="18"/>
      <c r="I188" s="20" t="str">
        <f aca="true">IF(OR(B188="",A188="",G188&lt;&gt;"Waiting"),"",MAX(0,TODAY()-A188))</f>
        <v/>
      </c>
      <c r="J188" s="17"/>
    </row>
    <row r="189" customFormat="false" ht="15" hidden="false" customHeight="false" outlineLevel="0" collapsed="false">
      <c r="A189" s="18"/>
      <c r="B189" s="17"/>
      <c r="C189" s="17"/>
      <c r="D189" s="17"/>
      <c r="E189" s="17"/>
      <c r="F189" s="17"/>
      <c r="G189" s="17"/>
      <c r="H189" s="18"/>
      <c r="I189" s="20" t="str">
        <f aca="true">IF(OR(B189="",A189="",G189&lt;&gt;"Waiting"),"",MAX(0,TODAY()-A189))</f>
        <v/>
      </c>
      <c r="J189" s="17"/>
    </row>
    <row r="190" customFormat="false" ht="15" hidden="false" customHeight="false" outlineLevel="0" collapsed="false">
      <c r="A190" s="18"/>
      <c r="B190" s="17"/>
      <c r="C190" s="17"/>
      <c r="D190" s="17"/>
      <c r="E190" s="17"/>
      <c r="F190" s="17"/>
      <c r="G190" s="17"/>
      <c r="H190" s="18"/>
      <c r="I190" s="20" t="str">
        <f aca="true">IF(OR(B190="",A190="",G190&lt;&gt;"Waiting"),"",MAX(0,TODAY()-A190))</f>
        <v/>
      </c>
      <c r="J190" s="17"/>
    </row>
    <row r="191" customFormat="false" ht="15" hidden="false" customHeight="false" outlineLevel="0" collapsed="false">
      <c r="A191" s="18"/>
      <c r="B191" s="17"/>
      <c r="C191" s="17"/>
      <c r="D191" s="17"/>
      <c r="E191" s="17"/>
      <c r="F191" s="17"/>
      <c r="G191" s="17"/>
      <c r="H191" s="18"/>
      <c r="I191" s="20" t="str">
        <f aca="true">IF(OR(B191="",A191="",G191&lt;&gt;"Waiting"),"",MAX(0,TODAY()-A191))</f>
        <v/>
      </c>
      <c r="J191" s="17"/>
    </row>
    <row r="192" customFormat="false" ht="15" hidden="false" customHeight="false" outlineLevel="0" collapsed="false">
      <c r="A192" s="18"/>
      <c r="B192" s="17"/>
      <c r="C192" s="17"/>
      <c r="D192" s="17"/>
      <c r="E192" s="17"/>
      <c r="F192" s="17"/>
      <c r="G192" s="17"/>
      <c r="H192" s="18"/>
      <c r="I192" s="20" t="str">
        <f aca="true">IF(OR(B192="",A192="",G192&lt;&gt;"Waiting"),"",MAX(0,TODAY()-A192))</f>
        <v/>
      </c>
      <c r="J192" s="17"/>
    </row>
    <row r="193" customFormat="false" ht="15" hidden="false" customHeight="false" outlineLevel="0" collapsed="false">
      <c r="A193" s="18"/>
      <c r="B193" s="17"/>
      <c r="C193" s="17"/>
      <c r="D193" s="17"/>
      <c r="E193" s="17"/>
      <c r="F193" s="17"/>
      <c r="G193" s="17"/>
      <c r="H193" s="18"/>
      <c r="I193" s="20" t="str">
        <f aca="true">IF(OR(B193="",A193="",G193&lt;&gt;"Waiting"),"",MAX(0,TODAY()-A193))</f>
        <v/>
      </c>
      <c r="J193" s="17"/>
    </row>
    <row r="194" customFormat="false" ht="15" hidden="false" customHeight="false" outlineLevel="0" collapsed="false">
      <c r="A194" s="18"/>
      <c r="B194" s="17"/>
      <c r="C194" s="17"/>
      <c r="D194" s="17"/>
      <c r="E194" s="17"/>
      <c r="F194" s="17"/>
      <c r="G194" s="17"/>
      <c r="H194" s="18"/>
      <c r="I194" s="20" t="str">
        <f aca="true">IF(OR(B194="",A194="",G194&lt;&gt;"Waiting"),"",MAX(0,TODAY()-A194))</f>
        <v/>
      </c>
      <c r="J194" s="17"/>
    </row>
    <row r="195" customFormat="false" ht="15" hidden="false" customHeight="false" outlineLevel="0" collapsed="false">
      <c r="A195" s="18"/>
      <c r="B195" s="17"/>
      <c r="C195" s="17"/>
      <c r="D195" s="17"/>
      <c r="E195" s="17"/>
      <c r="F195" s="17"/>
      <c r="G195" s="17"/>
      <c r="H195" s="18"/>
      <c r="I195" s="20" t="str">
        <f aca="true">IF(OR(B195="",A195="",G195&lt;&gt;"Waiting"),"",MAX(0,TODAY()-A195))</f>
        <v/>
      </c>
      <c r="J195" s="17"/>
    </row>
    <row r="196" customFormat="false" ht="15" hidden="false" customHeight="false" outlineLevel="0" collapsed="false">
      <c r="A196" s="18"/>
      <c r="B196" s="17"/>
      <c r="C196" s="17"/>
      <c r="D196" s="17"/>
      <c r="E196" s="17"/>
      <c r="F196" s="17"/>
      <c r="G196" s="17"/>
      <c r="H196" s="18"/>
      <c r="I196" s="20" t="str">
        <f aca="true">IF(OR(B196="",A196="",G196&lt;&gt;"Waiting"),"",MAX(0,TODAY()-A196))</f>
        <v/>
      </c>
      <c r="J196" s="17"/>
    </row>
    <row r="197" customFormat="false" ht="15" hidden="false" customHeight="false" outlineLevel="0" collapsed="false">
      <c r="A197" s="18"/>
      <c r="B197" s="17"/>
      <c r="C197" s="17"/>
      <c r="D197" s="17"/>
      <c r="E197" s="17"/>
      <c r="F197" s="17"/>
      <c r="G197" s="17"/>
      <c r="H197" s="18"/>
      <c r="I197" s="20" t="str">
        <f aca="true">IF(OR(B197="",A197="",G197&lt;&gt;"Waiting"),"",MAX(0,TODAY()-A197))</f>
        <v/>
      </c>
      <c r="J197" s="17"/>
    </row>
    <row r="198" customFormat="false" ht="15" hidden="false" customHeight="false" outlineLevel="0" collapsed="false">
      <c r="A198" s="18"/>
      <c r="B198" s="17"/>
      <c r="C198" s="17"/>
      <c r="D198" s="17"/>
      <c r="E198" s="17"/>
      <c r="F198" s="17"/>
      <c r="G198" s="17"/>
      <c r="H198" s="18"/>
      <c r="I198" s="20" t="str">
        <f aca="true">IF(OR(B198="",A198="",G198&lt;&gt;"Waiting"),"",MAX(0,TODAY()-A198))</f>
        <v/>
      </c>
      <c r="J198" s="17"/>
    </row>
    <row r="199" customFormat="false" ht="15" hidden="false" customHeight="false" outlineLevel="0" collapsed="false">
      <c r="A199" s="18"/>
      <c r="B199" s="17"/>
      <c r="C199" s="17"/>
      <c r="D199" s="17"/>
      <c r="E199" s="17"/>
      <c r="F199" s="17"/>
      <c r="G199" s="17"/>
      <c r="H199" s="18"/>
      <c r="I199" s="20" t="str">
        <f aca="true">IF(OR(B199="",A199="",G199&lt;&gt;"Waiting"),"",MAX(0,TODAY()-A199))</f>
        <v/>
      </c>
      <c r="J199" s="17"/>
    </row>
    <row r="200" customFormat="false" ht="15" hidden="false" customHeight="false" outlineLevel="0" collapsed="false">
      <c r="A200" s="18"/>
      <c r="B200" s="17"/>
      <c r="C200" s="17"/>
      <c r="D200" s="17"/>
      <c r="E200" s="17"/>
      <c r="F200" s="17"/>
      <c r="G200" s="17"/>
      <c r="H200" s="18"/>
      <c r="I200" s="20" t="str">
        <f aca="true">IF(OR(B200="",A200="",G200&lt;&gt;"Waiting"),"",MAX(0,TODAY()-A200))</f>
        <v/>
      </c>
      <c r="J200" s="17"/>
    </row>
    <row r="201" customFormat="false" ht="15" hidden="false" customHeight="false" outlineLevel="0" collapsed="false">
      <c r="A201" s="18"/>
      <c r="B201" s="17"/>
      <c r="C201" s="17"/>
      <c r="D201" s="17"/>
      <c r="E201" s="17"/>
      <c r="F201" s="17"/>
      <c r="G201" s="17"/>
      <c r="H201" s="18"/>
      <c r="I201" s="20" t="str">
        <f aca="true">IF(OR(B201="",A201="",G201&lt;&gt;"Waiting"),"",MAX(0,TODAY()-A201))</f>
        <v/>
      </c>
      <c r="J201" s="17"/>
    </row>
    <row r="202" customFormat="false" ht="15" hidden="false" customHeight="false" outlineLevel="0" collapsed="false">
      <c r="A202" s="18"/>
      <c r="B202" s="17"/>
      <c r="C202" s="17"/>
      <c r="D202" s="17"/>
      <c r="E202" s="17"/>
      <c r="F202" s="17"/>
      <c r="G202" s="17"/>
      <c r="H202" s="18"/>
      <c r="I202" s="20" t="str">
        <f aca="true">IF(OR(B202="",A202="",G202&lt;&gt;"Waiting"),"",MAX(0,TODAY()-A202))</f>
        <v/>
      </c>
      <c r="J202" s="17"/>
    </row>
    <row r="203" customFormat="false" ht="15" hidden="false" customHeight="false" outlineLevel="0" collapsed="false">
      <c r="A203" s="18"/>
      <c r="B203" s="17"/>
      <c r="C203" s="17"/>
      <c r="D203" s="17"/>
      <c r="E203" s="17"/>
      <c r="F203" s="17"/>
      <c r="G203" s="17"/>
      <c r="H203" s="18"/>
      <c r="I203" s="20" t="str">
        <f aca="true">IF(OR(B203="",A203="",G203&lt;&gt;"Waiting"),"",MAX(0,TODAY()-A203))</f>
        <v/>
      </c>
      <c r="J203" s="17"/>
    </row>
    <row r="204" customFormat="false" ht="15" hidden="false" customHeight="false" outlineLevel="0" collapsed="false">
      <c r="A204" s="18"/>
      <c r="B204" s="17"/>
      <c r="C204" s="17"/>
      <c r="D204" s="17"/>
      <c r="E204" s="17"/>
      <c r="F204" s="17"/>
      <c r="G204" s="17"/>
      <c r="H204" s="18"/>
      <c r="I204" s="20" t="str">
        <f aca="true">IF(OR(B204="",A204="",G204&lt;&gt;"Waiting"),"",MAX(0,TODAY()-A204))</f>
        <v/>
      </c>
      <c r="J204" s="17"/>
    </row>
    <row r="205" customFormat="false" ht="15" hidden="false" customHeight="false" outlineLevel="0" collapsed="false">
      <c r="A205" s="18"/>
      <c r="B205" s="17"/>
      <c r="C205" s="17"/>
      <c r="D205" s="17"/>
      <c r="E205" s="17"/>
      <c r="F205" s="17"/>
      <c r="G205" s="17"/>
      <c r="H205" s="18"/>
      <c r="I205" s="20" t="str">
        <f aca="true">IF(OR(B205="",A205="",G205&lt;&gt;"Waiting"),"",MAX(0,TODAY()-A205))</f>
        <v/>
      </c>
      <c r="J205" s="17"/>
    </row>
    <row r="206" customFormat="false" ht="15" hidden="false" customHeight="false" outlineLevel="0" collapsed="false">
      <c r="A206" s="18"/>
      <c r="B206" s="17"/>
      <c r="C206" s="17"/>
      <c r="D206" s="17"/>
      <c r="E206" s="17"/>
      <c r="F206" s="17"/>
      <c r="G206" s="17"/>
      <c r="H206" s="18"/>
      <c r="I206" s="20" t="str">
        <f aca="true">IF(OR(B206="",A206="",G206&lt;&gt;"Waiting"),"",MAX(0,TODAY()-A206))</f>
        <v/>
      </c>
      <c r="J206" s="17"/>
    </row>
    <row r="207" customFormat="false" ht="15" hidden="false" customHeight="false" outlineLevel="0" collapsed="false">
      <c r="A207" s="18"/>
      <c r="B207" s="17"/>
      <c r="C207" s="17"/>
      <c r="D207" s="17"/>
      <c r="E207" s="17"/>
      <c r="F207" s="17"/>
      <c r="G207" s="17"/>
      <c r="H207" s="18"/>
      <c r="I207" s="20" t="str">
        <f aca="true">IF(OR(B207="",A207="",G207&lt;&gt;"Waiting"),"",MAX(0,TODAY()-A207))</f>
        <v/>
      </c>
      <c r="J207" s="17"/>
    </row>
    <row r="208" customFormat="false" ht="15" hidden="false" customHeight="false" outlineLevel="0" collapsed="false">
      <c r="A208" s="18"/>
      <c r="B208" s="17"/>
      <c r="C208" s="17"/>
      <c r="D208" s="17"/>
      <c r="E208" s="17"/>
      <c r="F208" s="17"/>
      <c r="G208" s="17"/>
      <c r="H208" s="18"/>
      <c r="I208" s="20" t="str">
        <f aca="true">IF(OR(B208="",A208="",G208&lt;&gt;"Waiting"),"",MAX(0,TODAY()-A208))</f>
        <v/>
      </c>
      <c r="J208" s="17"/>
    </row>
    <row r="209" customFormat="false" ht="15" hidden="false" customHeight="false" outlineLevel="0" collapsed="false">
      <c r="A209" s="18"/>
      <c r="B209" s="17"/>
      <c r="C209" s="17"/>
      <c r="D209" s="17"/>
      <c r="E209" s="17"/>
      <c r="F209" s="17"/>
      <c r="G209" s="17"/>
      <c r="H209" s="18"/>
      <c r="I209" s="20" t="str">
        <f aca="true">IF(OR(B209="",A209="",G209&lt;&gt;"Waiting"),"",MAX(0,TODAY()-A209))</f>
        <v/>
      </c>
      <c r="J209" s="17"/>
    </row>
    <row r="210" customFormat="false" ht="15" hidden="false" customHeight="false" outlineLevel="0" collapsed="false">
      <c r="A210" s="18"/>
      <c r="B210" s="17"/>
      <c r="C210" s="17"/>
      <c r="D210" s="17"/>
      <c r="E210" s="17"/>
      <c r="F210" s="17"/>
      <c r="G210" s="17"/>
      <c r="H210" s="18"/>
      <c r="I210" s="20" t="str">
        <f aca="true">IF(OR(B210="",A210="",G210&lt;&gt;"Waiting"),"",MAX(0,TODAY()-A210))</f>
        <v/>
      </c>
      <c r="J210" s="17"/>
    </row>
    <row r="211" customFormat="false" ht="15" hidden="false" customHeight="false" outlineLevel="0" collapsed="false">
      <c r="A211" s="18"/>
      <c r="B211" s="17"/>
      <c r="C211" s="17"/>
      <c r="D211" s="17"/>
      <c r="E211" s="17"/>
      <c r="F211" s="17"/>
      <c r="G211" s="17"/>
      <c r="H211" s="18"/>
      <c r="I211" s="20" t="str">
        <f aca="true">IF(OR(B211="",A211="",G211&lt;&gt;"Waiting"),"",MAX(0,TODAY()-A211))</f>
        <v/>
      </c>
      <c r="J211" s="17"/>
    </row>
    <row r="212" customFormat="false" ht="15" hidden="false" customHeight="false" outlineLevel="0" collapsed="false">
      <c r="A212" s="18"/>
      <c r="B212" s="17"/>
      <c r="C212" s="17"/>
      <c r="D212" s="17"/>
      <c r="E212" s="17"/>
      <c r="F212" s="17"/>
      <c r="G212" s="17"/>
      <c r="H212" s="18"/>
      <c r="I212" s="20" t="str">
        <f aca="true">IF(OR(B212="",A212="",G212&lt;&gt;"Waiting"),"",MAX(0,TODAY()-A212))</f>
        <v/>
      </c>
      <c r="J212" s="17"/>
    </row>
    <row r="213" customFormat="false" ht="15" hidden="false" customHeight="false" outlineLevel="0" collapsed="false">
      <c r="A213" s="18"/>
      <c r="B213" s="17"/>
      <c r="C213" s="17"/>
      <c r="D213" s="17"/>
      <c r="E213" s="17"/>
      <c r="F213" s="17"/>
      <c r="G213" s="17"/>
      <c r="H213" s="18"/>
      <c r="I213" s="20" t="str">
        <f aca="true">IF(OR(B213="",A213="",G213&lt;&gt;"Waiting"),"",MAX(0,TODAY()-A213))</f>
        <v/>
      </c>
      <c r="J213" s="17"/>
    </row>
    <row r="214" customFormat="false" ht="15" hidden="false" customHeight="false" outlineLevel="0" collapsed="false">
      <c r="A214" s="18"/>
      <c r="B214" s="17"/>
      <c r="C214" s="17"/>
      <c r="D214" s="17"/>
      <c r="E214" s="17"/>
      <c r="F214" s="17"/>
      <c r="G214" s="17"/>
      <c r="H214" s="18"/>
      <c r="I214" s="20" t="str">
        <f aca="true">IF(OR(B214="",A214="",G214&lt;&gt;"Waiting"),"",MAX(0,TODAY()-A214))</f>
        <v/>
      </c>
      <c r="J214" s="17"/>
    </row>
    <row r="215" customFormat="false" ht="15" hidden="false" customHeight="false" outlineLevel="0" collapsed="false">
      <c r="A215" s="18"/>
      <c r="B215" s="17"/>
      <c r="C215" s="17"/>
      <c r="D215" s="17"/>
      <c r="E215" s="17"/>
      <c r="F215" s="17"/>
      <c r="G215" s="17"/>
      <c r="H215" s="18"/>
      <c r="I215" s="20" t="str">
        <f aca="true">IF(OR(B215="",A215="",G215&lt;&gt;"Waiting"),"",MAX(0,TODAY()-A215))</f>
        <v/>
      </c>
      <c r="J215" s="17"/>
    </row>
    <row r="216" customFormat="false" ht="15" hidden="false" customHeight="false" outlineLevel="0" collapsed="false">
      <c r="A216" s="18"/>
      <c r="B216" s="17"/>
      <c r="C216" s="17"/>
      <c r="D216" s="17"/>
      <c r="E216" s="17"/>
      <c r="F216" s="17"/>
      <c r="G216" s="17"/>
      <c r="H216" s="18"/>
      <c r="I216" s="20" t="str">
        <f aca="true">IF(OR(B216="",A216="",G216&lt;&gt;"Waiting"),"",MAX(0,TODAY()-A216))</f>
        <v/>
      </c>
      <c r="J216" s="17"/>
    </row>
    <row r="217" customFormat="false" ht="15" hidden="false" customHeight="false" outlineLevel="0" collapsed="false">
      <c r="A217" s="18"/>
      <c r="B217" s="17"/>
      <c r="C217" s="17"/>
      <c r="D217" s="17"/>
      <c r="E217" s="17"/>
      <c r="F217" s="17"/>
      <c r="G217" s="17"/>
      <c r="H217" s="18"/>
      <c r="I217" s="20" t="str">
        <f aca="true">IF(OR(B217="",A217="",G217&lt;&gt;"Waiting"),"",MAX(0,TODAY()-A217))</f>
        <v/>
      </c>
      <c r="J217" s="17"/>
    </row>
    <row r="218" customFormat="false" ht="15" hidden="false" customHeight="false" outlineLevel="0" collapsed="false">
      <c r="A218" s="18"/>
      <c r="B218" s="17"/>
      <c r="C218" s="17"/>
      <c r="D218" s="17"/>
      <c r="E218" s="17"/>
      <c r="F218" s="17"/>
      <c r="G218" s="17"/>
      <c r="H218" s="18"/>
      <c r="I218" s="20" t="str">
        <f aca="true">IF(OR(B218="",A218="",G218&lt;&gt;"Waiting"),"",MAX(0,TODAY()-A218))</f>
        <v/>
      </c>
      <c r="J218" s="17"/>
    </row>
    <row r="219" customFormat="false" ht="15" hidden="false" customHeight="false" outlineLevel="0" collapsed="false">
      <c r="A219" s="18"/>
      <c r="B219" s="17"/>
      <c r="C219" s="17"/>
      <c r="D219" s="17"/>
      <c r="E219" s="17"/>
      <c r="F219" s="17"/>
      <c r="G219" s="17"/>
      <c r="H219" s="18"/>
      <c r="I219" s="20" t="str">
        <f aca="true">IF(OR(B219="",A219="",G219&lt;&gt;"Waiting"),"",MAX(0,TODAY()-A219))</f>
        <v/>
      </c>
      <c r="J219" s="17"/>
    </row>
    <row r="220" customFormat="false" ht="15" hidden="false" customHeight="false" outlineLevel="0" collapsed="false">
      <c r="A220" s="18"/>
      <c r="B220" s="17"/>
      <c r="C220" s="17"/>
      <c r="D220" s="17"/>
      <c r="E220" s="17"/>
      <c r="F220" s="17"/>
      <c r="G220" s="17"/>
      <c r="H220" s="18"/>
      <c r="I220" s="20" t="str">
        <f aca="true">IF(OR(B220="",A220="",G220&lt;&gt;"Waiting"),"",MAX(0,TODAY()-A220))</f>
        <v/>
      </c>
      <c r="J220" s="17"/>
    </row>
    <row r="221" customFormat="false" ht="15" hidden="false" customHeight="false" outlineLevel="0" collapsed="false">
      <c r="A221" s="18"/>
      <c r="B221" s="17"/>
      <c r="C221" s="17"/>
      <c r="D221" s="17"/>
      <c r="E221" s="17"/>
      <c r="F221" s="17"/>
      <c r="G221" s="17"/>
      <c r="H221" s="18"/>
      <c r="I221" s="20" t="str">
        <f aca="true">IF(OR(B221="",A221="",G221&lt;&gt;"Waiting"),"",MAX(0,TODAY()-A221))</f>
        <v/>
      </c>
      <c r="J221" s="17"/>
    </row>
    <row r="222" customFormat="false" ht="15" hidden="false" customHeight="false" outlineLevel="0" collapsed="false">
      <c r="A222" s="18"/>
      <c r="B222" s="17"/>
      <c r="C222" s="17"/>
      <c r="D222" s="17"/>
      <c r="E222" s="17"/>
      <c r="F222" s="17"/>
      <c r="G222" s="17"/>
      <c r="H222" s="18"/>
      <c r="I222" s="20" t="str">
        <f aca="true">IF(OR(B222="",A222="",G222&lt;&gt;"Waiting"),"",MAX(0,TODAY()-A222))</f>
        <v/>
      </c>
      <c r="J222" s="17"/>
    </row>
    <row r="223" customFormat="false" ht="15" hidden="false" customHeight="false" outlineLevel="0" collapsed="false">
      <c r="A223" s="18"/>
      <c r="B223" s="17"/>
      <c r="C223" s="17"/>
      <c r="D223" s="17"/>
      <c r="E223" s="17"/>
      <c r="F223" s="17"/>
      <c r="G223" s="17"/>
      <c r="H223" s="18"/>
      <c r="I223" s="20" t="str">
        <f aca="true">IF(OR(B223="",A223="",G223&lt;&gt;"Waiting"),"",MAX(0,TODAY()-A223))</f>
        <v/>
      </c>
      <c r="J223" s="17"/>
    </row>
    <row r="224" customFormat="false" ht="15" hidden="false" customHeight="false" outlineLevel="0" collapsed="false">
      <c r="A224" s="18"/>
      <c r="B224" s="17"/>
      <c r="C224" s="17"/>
      <c r="D224" s="17"/>
      <c r="E224" s="17"/>
      <c r="F224" s="17"/>
      <c r="G224" s="17"/>
      <c r="H224" s="18"/>
      <c r="I224" s="20" t="str">
        <f aca="true">IF(OR(B224="",A224="",G224&lt;&gt;"Waiting"),"",MAX(0,TODAY()-A224))</f>
        <v/>
      </c>
      <c r="J224" s="17"/>
    </row>
    <row r="225" customFormat="false" ht="15" hidden="false" customHeight="false" outlineLevel="0" collapsed="false">
      <c r="A225" s="18"/>
      <c r="B225" s="17"/>
      <c r="C225" s="17"/>
      <c r="D225" s="17"/>
      <c r="E225" s="17"/>
      <c r="F225" s="17"/>
      <c r="G225" s="17"/>
      <c r="H225" s="18"/>
      <c r="I225" s="20" t="str">
        <f aca="true">IF(OR(B225="",A225="",G225&lt;&gt;"Waiting"),"",MAX(0,TODAY()-A225))</f>
        <v/>
      </c>
      <c r="J225" s="17"/>
    </row>
    <row r="226" customFormat="false" ht="15" hidden="false" customHeight="false" outlineLevel="0" collapsed="false">
      <c r="A226" s="18"/>
      <c r="B226" s="17"/>
      <c r="C226" s="17"/>
      <c r="D226" s="17"/>
      <c r="E226" s="17"/>
      <c r="F226" s="17"/>
      <c r="G226" s="17"/>
      <c r="H226" s="18"/>
      <c r="I226" s="20" t="str">
        <f aca="true">IF(OR(B226="",A226="",G226&lt;&gt;"Waiting"),"",MAX(0,TODAY()-A226))</f>
        <v/>
      </c>
      <c r="J226" s="17"/>
    </row>
    <row r="227" customFormat="false" ht="15" hidden="false" customHeight="false" outlineLevel="0" collapsed="false">
      <c r="A227" s="18"/>
      <c r="B227" s="17"/>
      <c r="C227" s="17"/>
      <c r="D227" s="17"/>
      <c r="E227" s="17"/>
      <c r="F227" s="17"/>
      <c r="G227" s="17"/>
      <c r="H227" s="18"/>
      <c r="I227" s="20" t="str">
        <f aca="true">IF(OR(B227="",A227="",G227&lt;&gt;"Waiting"),"",MAX(0,TODAY()-A227))</f>
        <v/>
      </c>
      <c r="J227" s="17"/>
    </row>
    <row r="228" customFormat="false" ht="15" hidden="false" customHeight="false" outlineLevel="0" collapsed="false">
      <c r="A228" s="18"/>
      <c r="B228" s="17"/>
      <c r="C228" s="17"/>
      <c r="D228" s="17"/>
      <c r="E228" s="17"/>
      <c r="F228" s="17"/>
      <c r="G228" s="17"/>
      <c r="H228" s="18"/>
      <c r="I228" s="20" t="str">
        <f aca="true">IF(OR(B228="",A228="",G228&lt;&gt;"Waiting"),"",MAX(0,TODAY()-A228))</f>
        <v/>
      </c>
      <c r="J228" s="17"/>
    </row>
    <row r="229" customFormat="false" ht="15" hidden="false" customHeight="false" outlineLevel="0" collapsed="false">
      <c r="A229" s="18"/>
      <c r="B229" s="17"/>
      <c r="C229" s="17"/>
      <c r="D229" s="17"/>
      <c r="E229" s="17"/>
      <c r="F229" s="17"/>
      <c r="G229" s="17"/>
      <c r="H229" s="18"/>
      <c r="I229" s="20" t="str">
        <f aca="true">IF(OR(B229="",A229="",G229&lt;&gt;"Waiting"),"",MAX(0,TODAY()-A229))</f>
        <v/>
      </c>
      <c r="J229" s="17"/>
    </row>
    <row r="230" customFormat="false" ht="15" hidden="false" customHeight="false" outlineLevel="0" collapsed="false">
      <c r="A230" s="18"/>
      <c r="B230" s="17"/>
      <c r="C230" s="17"/>
      <c r="D230" s="17"/>
      <c r="E230" s="17"/>
      <c r="F230" s="17"/>
      <c r="G230" s="17"/>
      <c r="H230" s="18"/>
      <c r="I230" s="20" t="str">
        <f aca="true">IF(OR(B230="",A230="",G230&lt;&gt;"Waiting"),"",MAX(0,TODAY()-A230))</f>
        <v/>
      </c>
      <c r="J230" s="17"/>
    </row>
    <row r="231" customFormat="false" ht="15" hidden="false" customHeight="false" outlineLevel="0" collapsed="false">
      <c r="A231" s="18"/>
      <c r="B231" s="17"/>
      <c r="C231" s="17"/>
      <c r="D231" s="17"/>
      <c r="E231" s="17"/>
      <c r="F231" s="17"/>
      <c r="G231" s="17"/>
      <c r="H231" s="18"/>
      <c r="I231" s="20" t="str">
        <f aca="true">IF(OR(B231="",A231="",G231&lt;&gt;"Waiting"),"",MAX(0,TODAY()-A231))</f>
        <v/>
      </c>
      <c r="J231" s="17"/>
    </row>
    <row r="232" customFormat="false" ht="15" hidden="false" customHeight="false" outlineLevel="0" collapsed="false">
      <c r="A232" s="18"/>
      <c r="B232" s="17"/>
      <c r="C232" s="17"/>
      <c r="D232" s="17"/>
      <c r="E232" s="17"/>
      <c r="F232" s="17"/>
      <c r="G232" s="17"/>
      <c r="H232" s="18"/>
      <c r="I232" s="20" t="str">
        <f aca="true">IF(OR(B232="",A232="",G232&lt;&gt;"Waiting"),"",MAX(0,TODAY()-A232))</f>
        <v/>
      </c>
      <c r="J232" s="17"/>
    </row>
    <row r="233" customFormat="false" ht="15" hidden="false" customHeight="false" outlineLevel="0" collapsed="false">
      <c r="A233" s="18"/>
      <c r="B233" s="17"/>
      <c r="C233" s="17"/>
      <c r="D233" s="17"/>
      <c r="E233" s="17"/>
      <c r="F233" s="17"/>
      <c r="G233" s="17"/>
      <c r="H233" s="18"/>
      <c r="I233" s="20" t="str">
        <f aca="true">IF(OR(B233="",A233="",G233&lt;&gt;"Waiting"),"",MAX(0,TODAY()-A233))</f>
        <v/>
      </c>
      <c r="J233" s="17"/>
    </row>
    <row r="234" customFormat="false" ht="15" hidden="false" customHeight="false" outlineLevel="0" collapsed="false">
      <c r="A234" s="18"/>
      <c r="B234" s="17"/>
      <c r="C234" s="17"/>
      <c r="D234" s="17"/>
      <c r="E234" s="17"/>
      <c r="F234" s="17"/>
      <c r="G234" s="17"/>
      <c r="H234" s="18"/>
      <c r="I234" s="20" t="str">
        <f aca="true">IF(OR(B234="",A234="",G234&lt;&gt;"Waiting"),"",MAX(0,TODAY()-A234))</f>
        <v/>
      </c>
      <c r="J234" s="17"/>
    </row>
    <row r="235" customFormat="false" ht="15" hidden="false" customHeight="false" outlineLevel="0" collapsed="false">
      <c r="A235" s="18"/>
      <c r="B235" s="17"/>
      <c r="C235" s="17"/>
      <c r="D235" s="17"/>
      <c r="E235" s="17"/>
      <c r="F235" s="17"/>
      <c r="G235" s="17"/>
      <c r="H235" s="18"/>
      <c r="I235" s="20" t="str">
        <f aca="true">IF(OR(B235="",A235="",G235&lt;&gt;"Waiting"),"",MAX(0,TODAY()-A235))</f>
        <v/>
      </c>
      <c r="J235" s="17"/>
    </row>
    <row r="236" customFormat="false" ht="15" hidden="false" customHeight="false" outlineLevel="0" collapsed="false">
      <c r="A236" s="18"/>
      <c r="B236" s="17"/>
      <c r="C236" s="17"/>
      <c r="D236" s="17"/>
      <c r="E236" s="17"/>
      <c r="F236" s="17"/>
      <c r="G236" s="17"/>
      <c r="H236" s="18"/>
      <c r="I236" s="20" t="str">
        <f aca="true">IF(OR(B236="",A236="",G236&lt;&gt;"Waiting"),"",MAX(0,TODAY()-A236))</f>
        <v/>
      </c>
      <c r="J236" s="17"/>
    </row>
    <row r="237" customFormat="false" ht="15" hidden="false" customHeight="false" outlineLevel="0" collapsed="false">
      <c r="A237" s="18"/>
      <c r="B237" s="17"/>
      <c r="C237" s="17"/>
      <c r="D237" s="17"/>
      <c r="E237" s="17"/>
      <c r="F237" s="17"/>
      <c r="G237" s="17"/>
      <c r="H237" s="18"/>
      <c r="I237" s="20" t="str">
        <f aca="true">IF(OR(B237="",A237="",G237&lt;&gt;"Waiting"),"",MAX(0,TODAY()-A237))</f>
        <v/>
      </c>
      <c r="J237" s="17"/>
    </row>
    <row r="238" customFormat="false" ht="15" hidden="false" customHeight="false" outlineLevel="0" collapsed="false">
      <c r="A238" s="18"/>
      <c r="B238" s="17"/>
      <c r="C238" s="17"/>
      <c r="D238" s="17"/>
      <c r="E238" s="17"/>
      <c r="F238" s="17"/>
      <c r="G238" s="17"/>
      <c r="H238" s="18"/>
      <c r="I238" s="20" t="str">
        <f aca="true">IF(OR(B238="",A238="",G238&lt;&gt;"Waiting"),"",MAX(0,TODAY()-A238))</f>
        <v/>
      </c>
      <c r="J238" s="17"/>
    </row>
    <row r="239" customFormat="false" ht="15" hidden="false" customHeight="false" outlineLevel="0" collapsed="false">
      <c r="A239" s="18"/>
      <c r="B239" s="17"/>
      <c r="C239" s="17"/>
      <c r="D239" s="17"/>
      <c r="E239" s="17"/>
      <c r="F239" s="17"/>
      <c r="G239" s="17"/>
      <c r="H239" s="18"/>
      <c r="I239" s="20" t="str">
        <f aca="true">IF(OR(B239="",A239="",G239&lt;&gt;"Waiting"),"",MAX(0,TODAY()-A239))</f>
        <v/>
      </c>
      <c r="J239" s="17"/>
    </row>
    <row r="240" customFormat="false" ht="15" hidden="false" customHeight="false" outlineLevel="0" collapsed="false">
      <c r="A240" s="18"/>
      <c r="B240" s="17"/>
      <c r="C240" s="17"/>
      <c r="D240" s="17"/>
      <c r="E240" s="17"/>
      <c r="F240" s="17"/>
      <c r="G240" s="17"/>
      <c r="H240" s="18"/>
      <c r="I240" s="20" t="str">
        <f aca="true">IF(OR(B240="",A240="",G240&lt;&gt;"Waiting"),"",MAX(0,TODAY()-A240))</f>
        <v/>
      </c>
      <c r="J240" s="17"/>
    </row>
    <row r="241" customFormat="false" ht="15" hidden="false" customHeight="false" outlineLevel="0" collapsed="false">
      <c r="A241" s="18"/>
      <c r="B241" s="17"/>
      <c r="C241" s="17"/>
      <c r="D241" s="17"/>
      <c r="E241" s="17"/>
      <c r="F241" s="17"/>
      <c r="G241" s="17"/>
      <c r="H241" s="18"/>
      <c r="I241" s="20" t="str">
        <f aca="true">IF(OR(B241="",A241="",G241&lt;&gt;"Waiting"),"",MAX(0,TODAY()-A241))</f>
        <v/>
      </c>
      <c r="J241" s="17"/>
    </row>
    <row r="242" customFormat="false" ht="15" hidden="false" customHeight="false" outlineLevel="0" collapsed="false">
      <c r="A242" s="18"/>
      <c r="B242" s="17"/>
      <c r="C242" s="17"/>
      <c r="D242" s="17"/>
      <c r="E242" s="17"/>
      <c r="F242" s="17"/>
      <c r="G242" s="17"/>
      <c r="H242" s="18"/>
      <c r="I242" s="20" t="str">
        <f aca="true">IF(OR(B242="",A242="",G242&lt;&gt;"Waiting"),"",MAX(0,TODAY()-A242))</f>
        <v/>
      </c>
      <c r="J242" s="17"/>
    </row>
    <row r="243" customFormat="false" ht="15" hidden="false" customHeight="false" outlineLevel="0" collapsed="false">
      <c r="A243" s="18"/>
      <c r="B243" s="17"/>
      <c r="C243" s="17"/>
      <c r="D243" s="17"/>
      <c r="E243" s="17"/>
      <c r="F243" s="17"/>
      <c r="G243" s="17"/>
      <c r="H243" s="18"/>
      <c r="I243" s="20" t="str">
        <f aca="true">IF(OR(B243="",A243="",G243&lt;&gt;"Waiting"),"",MAX(0,TODAY()-A243))</f>
        <v/>
      </c>
      <c r="J243" s="17"/>
    </row>
    <row r="244" customFormat="false" ht="15" hidden="false" customHeight="false" outlineLevel="0" collapsed="false">
      <c r="A244" s="18"/>
      <c r="B244" s="17"/>
      <c r="C244" s="17"/>
      <c r="D244" s="17"/>
      <c r="E244" s="17"/>
      <c r="F244" s="17"/>
      <c r="G244" s="17"/>
      <c r="H244" s="18"/>
      <c r="I244" s="20" t="str">
        <f aca="true">IF(OR(B244="",A244="",G244&lt;&gt;"Waiting"),"",MAX(0,TODAY()-A244))</f>
        <v/>
      </c>
      <c r="J244" s="17"/>
    </row>
    <row r="245" customFormat="false" ht="15" hidden="false" customHeight="false" outlineLevel="0" collapsed="false">
      <c r="A245" s="18"/>
      <c r="B245" s="17"/>
      <c r="C245" s="17"/>
      <c r="D245" s="17"/>
      <c r="E245" s="17"/>
      <c r="F245" s="17"/>
      <c r="G245" s="17"/>
      <c r="H245" s="18"/>
      <c r="I245" s="20" t="str">
        <f aca="true">IF(OR(B245="",A245="",G245&lt;&gt;"Waiting"),"",MAX(0,TODAY()-A245))</f>
        <v/>
      </c>
      <c r="J245" s="17"/>
    </row>
    <row r="246" customFormat="false" ht="15" hidden="false" customHeight="false" outlineLevel="0" collapsed="false">
      <c r="A246" s="18"/>
      <c r="B246" s="17"/>
      <c r="C246" s="17"/>
      <c r="D246" s="17"/>
      <c r="E246" s="17"/>
      <c r="F246" s="17"/>
      <c r="G246" s="17"/>
      <c r="H246" s="18"/>
      <c r="I246" s="20" t="str">
        <f aca="true">IF(OR(B246="",A246="",G246&lt;&gt;"Waiting"),"",MAX(0,TODAY()-A246))</f>
        <v/>
      </c>
      <c r="J246" s="17"/>
    </row>
    <row r="247" customFormat="false" ht="15" hidden="false" customHeight="false" outlineLevel="0" collapsed="false">
      <c r="A247" s="18"/>
      <c r="B247" s="17"/>
      <c r="C247" s="17"/>
      <c r="D247" s="17"/>
      <c r="E247" s="17"/>
      <c r="F247" s="17"/>
      <c r="G247" s="17"/>
      <c r="H247" s="18"/>
      <c r="I247" s="20" t="str">
        <f aca="true">IF(OR(B247="",A247="",G247&lt;&gt;"Waiting"),"",MAX(0,TODAY()-A247))</f>
        <v/>
      </c>
      <c r="J247" s="17"/>
    </row>
    <row r="248" customFormat="false" ht="15" hidden="false" customHeight="false" outlineLevel="0" collapsed="false">
      <c r="A248" s="18"/>
      <c r="B248" s="17"/>
      <c r="C248" s="17"/>
      <c r="D248" s="17"/>
      <c r="E248" s="17"/>
      <c r="F248" s="17"/>
      <c r="G248" s="17"/>
      <c r="H248" s="18"/>
      <c r="I248" s="20" t="str">
        <f aca="true">IF(OR(B248="",A248="",G248&lt;&gt;"Waiting"),"",MAX(0,TODAY()-A248))</f>
        <v/>
      </c>
      <c r="J248" s="17"/>
    </row>
    <row r="249" customFormat="false" ht="15" hidden="false" customHeight="false" outlineLevel="0" collapsed="false">
      <c r="A249" s="18"/>
      <c r="B249" s="17"/>
      <c r="C249" s="17"/>
      <c r="D249" s="17"/>
      <c r="E249" s="17"/>
      <c r="F249" s="17"/>
      <c r="G249" s="17"/>
      <c r="H249" s="18"/>
      <c r="I249" s="20" t="str">
        <f aca="true">IF(OR(B249="",A249="",G249&lt;&gt;"Waiting"),"",MAX(0,TODAY()-A249))</f>
        <v/>
      </c>
      <c r="J249" s="17"/>
    </row>
    <row r="250" customFormat="false" ht="15" hidden="false" customHeight="false" outlineLevel="0" collapsed="false">
      <c r="A250" s="18"/>
      <c r="B250" s="17"/>
      <c r="C250" s="17"/>
      <c r="D250" s="17"/>
      <c r="E250" s="17"/>
      <c r="F250" s="17"/>
      <c r="G250" s="17"/>
      <c r="H250" s="18"/>
      <c r="I250" s="20" t="str">
        <f aca="true">IF(OR(B250="",A250="",G250&lt;&gt;"Waiting"),"",MAX(0,TODAY()-A250))</f>
        <v/>
      </c>
      <c r="J250" s="17"/>
    </row>
    <row r="251" customFormat="false" ht="15" hidden="false" customHeight="false" outlineLevel="0" collapsed="false">
      <c r="A251" s="18"/>
      <c r="B251" s="17"/>
      <c r="C251" s="17"/>
      <c r="D251" s="17"/>
      <c r="E251" s="17"/>
      <c r="F251" s="17"/>
      <c r="G251" s="17"/>
      <c r="H251" s="18"/>
      <c r="I251" s="20" t="str">
        <f aca="true">IF(OR(B251="",A251="",G251&lt;&gt;"Waiting"),"",MAX(0,TODAY()-A251))</f>
        <v/>
      </c>
      <c r="J251" s="17"/>
    </row>
    <row r="252" customFormat="false" ht="15" hidden="false" customHeight="false" outlineLevel="0" collapsed="false">
      <c r="A252" s="18"/>
      <c r="B252" s="17"/>
      <c r="C252" s="17"/>
      <c r="D252" s="17"/>
      <c r="E252" s="17"/>
      <c r="F252" s="17"/>
      <c r="G252" s="17"/>
      <c r="H252" s="18"/>
      <c r="I252" s="20" t="str">
        <f aca="true">IF(OR(B252="",A252="",G252&lt;&gt;"Waiting"),"",MAX(0,TODAY()-A252))</f>
        <v/>
      </c>
      <c r="J252" s="17"/>
    </row>
    <row r="253" customFormat="false" ht="15" hidden="false" customHeight="false" outlineLevel="0" collapsed="false">
      <c r="A253" s="18"/>
      <c r="B253" s="17"/>
      <c r="C253" s="17"/>
      <c r="D253" s="17"/>
      <c r="E253" s="17"/>
      <c r="F253" s="17"/>
      <c r="G253" s="17"/>
      <c r="H253" s="18"/>
      <c r="I253" s="20" t="str">
        <f aca="true">IF(OR(B253="",A253="",G253&lt;&gt;"Waiting"),"",MAX(0,TODAY()-A253))</f>
        <v/>
      </c>
      <c r="J253" s="17"/>
    </row>
    <row r="254" customFormat="false" ht="15" hidden="false" customHeight="false" outlineLevel="0" collapsed="false">
      <c r="A254" s="18"/>
      <c r="B254" s="17"/>
      <c r="C254" s="17"/>
      <c r="D254" s="17"/>
      <c r="E254" s="17"/>
      <c r="F254" s="17"/>
      <c r="G254" s="17"/>
      <c r="H254" s="18"/>
      <c r="I254" s="20" t="str">
        <f aca="true">IF(OR(B254="",A254="",G254&lt;&gt;"Waiting"),"",MAX(0,TODAY()-A254))</f>
        <v/>
      </c>
      <c r="J254" s="17"/>
    </row>
    <row r="255" customFormat="false" ht="15" hidden="false" customHeight="false" outlineLevel="0" collapsed="false">
      <c r="A255" s="18"/>
      <c r="B255" s="17"/>
      <c r="C255" s="17"/>
      <c r="D255" s="17"/>
      <c r="E255" s="17"/>
      <c r="F255" s="17"/>
      <c r="G255" s="17"/>
      <c r="H255" s="18"/>
      <c r="I255" s="20" t="str">
        <f aca="true">IF(OR(B255="",A255="",G255&lt;&gt;"Waiting"),"",MAX(0,TODAY()-A255))</f>
        <v/>
      </c>
      <c r="J255" s="17"/>
    </row>
    <row r="256" customFormat="false" ht="15" hidden="false" customHeight="false" outlineLevel="0" collapsed="false">
      <c r="A256" s="18"/>
      <c r="B256" s="17"/>
      <c r="C256" s="17"/>
      <c r="D256" s="17"/>
      <c r="E256" s="17"/>
      <c r="F256" s="17"/>
      <c r="G256" s="17"/>
      <c r="H256" s="18"/>
      <c r="I256" s="20" t="str">
        <f aca="true">IF(OR(B256="",A256="",G256&lt;&gt;"Waiting"),"",MAX(0,TODAY()-A256))</f>
        <v/>
      </c>
      <c r="J256" s="17"/>
    </row>
    <row r="257" customFormat="false" ht="15" hidden="false" customHeight="false" outlineLevel="0" collapsed="false">
      <c r="A257" s="18"/>
      <c r="B257" s="17"/>
      <c r="C257" s="17"/>
      <c r="D257" s="17"/>
      <c r="E257" s="17"/>
      <c r="F257" s="17"/>
      <c r="G257" s="17"/>
      <c r="H257" s="18"/>
      <c r="I257" s="20" t="str">
        <f aca="true">IF(OR(B257="",A257="",G257&lt;&gt;"Waiting"),"",MAX(0,TODAY()-A257))</f>
        <v/>
      </c>
      <c r="J257" s="17"/>
    </row>
    <row r="258" customFormat="false" ht="15" hidden="false" customHeight="false" outlineLevel="0" collapsed="false">
      <c r="A258" s="18"/>
      <c r="B258" s="17"/>
      <c r="C258" s="17"/>
      <c r="D258" s="17"/>
      <c r="E258" s="17"/>
      <c r="F258" s="17"/>
      <c r="G258" s="17"/>
      <c r="H258" s="18"/>
      <c r="I258" s="20" t="str">
        <f aca="true">IF(OR(B258="",A258="",G258&lt;&gt;"Waiting"),"",MAX(0,TODAY()-A258))</f>
        <v/>
      </c>
      <c r="J258" s="17"/>
    </row>
    <row r="259" customFormat="false" ht="15" hidden="false" customHeight="false" outlineLevel="0" collapsed="false">
      <c r="A259" s="18"/>
      <c r="B259" s="17"/>
      <c r="C259" s="17"/>
      <c r="D259" s="17"/>
      <c r="E259" s="17"/>
      <c r="F259" s="17"/>
      <c r="G259" s="17"/>
      <c r="H259" s="18"/>
      <c r="I259" s="20" t="str">
        <f aca="true">IF(OR(B259="",A259="",G259&lt;&gt;"Waiting"),"",MAX(0,TODAY()-A259))</f>
        <v/>
      </c>
      <c r="J259" s="17"/>
    </row>
    <row r="260" customFormat="false" ht="15" hidden="false" customHeight="false" outlineLevel="0" collapsed="false">
      <c r="A260" s="18"/>
      <c r="B260" s="17"/>
      <c r="C260" s="17"/>
      <c r="D260" s="17"/>
      <c r="E260" s="17"/>
      <c r="F260" s="17"/>
      <c r="G260" s="17"/>
      <c r="H260" s="18"/>
      <c r="I260" s="20" t="str">
        <f aca="true">IF(OR(B260="",A260="",G260&lt;&gt;"Waiting"),"",MAX(0,TODAY()-A260))</f>
        <v/>
      </c>
      <c r="J260" s="17"/>
    </row>
    <row r="261" customFormat="false" ht="15" hidden="false" customHeight="false" outlineLevel="0" collapsed="false">
      <c r="A261" s="18"/>
      <c r="B261" s="17"/>
      <c r="C261" s="17"/>
      <c r="D261" s="17"/>
      <c r="E261" s="17"/>
      <c r="F261" s="17"/>
      <c r="G261" s="17"/>
      <c r="H261" s="18"/>
      <c r="I261" s="20" t="str">
        <f aca="true">IF(OR(B261="",A261="",G261&lt;&gt;"Waiting"),"",MAX(0,TODAY()-A261))</f>
        <v/>
      </c>
      <c r="J261" s="17"/>
    </row>
    <row r="262" customFormat="false" ht="15" hidden="false" customHeight="false" outlineLevel="0" collapsed="false">
      <c r="A262" s="18"/>
      <c r="B262" s="17"/>
      <c r="C262" s="17"/>
      <c r="D262" s="17"/>
      <c r="E262" s="17"/>
      <c r="F262" s="17"/>
      <c r="G262" s="17"/>
      <c r="H262" s="18"/>
      <c r="I262" s="20" t="str">
        <f aca="true">IF(OR(B262="",A262="",G262&lt;&gt;"Waiting"),"",MAX(0,TODAY()-A262))</f>
        <v/>
      </c>
      <c r="J262" s="17"/>
    </row>
    <row r="263" customFormat="false" ht="15" hidden="false" customHeight="false" outlineLevel="0" collapsed="false">
      <c r="A263" s="18"/>
      <c r="B263" s="17"/>
      <c r="C263" s="17"/>
      <c r="D263" s="17"/>
      <c r="E263" s="17"/>
      <c r="F263" s="17"/>
      <c r="G263" s="17"/>
      <c r="H263" s="18"/>
      <c r="I263" s="20" t="str">
        <f aca="true">IF(OR(B263="",A263="",G263&lt;&gt;"Waiting"),"",MAX(0,TODAY()-A263))</f>
        <v/>
      </c>
      <c r="J263" s="17"/>
    </row>
    <row r="264" customFormat="false" ht="15" hidden="false" customHeight="false" outlineLevel="0" collapsed="false">
      <c r="A264" s="18"/>
      <c r="B264" s="17"/>
      <c r="C264" s="17"/>
      <c r="D264" s="17"/>
      <c r="E264" s="17"/>
      <c r="F264" s="17"/>
      <c r="G264" s="17"/>
      <c r="H264" s="18"/>
      <c r="I264" s="20" t="str">
        <f aca="true">IF(OR(B264="",A264="",G264&lt;&gt;"Waiting"),"",MAX(0,TODAY()-A264))</f>
        <v/>
      </c>
      <c r="J264" s="17"/>
    </row>
    <row r="265" customFormat="false" ht="15" hidden="false" customHeight="false" outlineLevel="0" collapsed="false">
      <c r="A265" s="18"/>
      <c r="B265" s="17"/>
      <c r="C265" s="17"/>
      <c r="D265" s="17"/>
      <c r="E265" s="17"/>
      <c r="F265" s="17"/>
      <c r="G265" s="17"/>
      <c r="H265" s="18"/>
      <c r="I265" s="20" t="str">
        <f aca="true">IF(OR(B265="",A265="",G265&lt;&gt;"Waiting"),"",MAX(0,TODAY()-A265))</f>
        <v/>
      </c>
      <c r="J265" s="17"/>
    </row>
    <row r="266" customFormat="false" ht="15" hidden="false" customHeight="false" outlineLevel="0" collapsed="false">
      <c r="A266" s="18"/>
      <c r="B266" s="17"/>
      <c r="C266" s="17"/>
      <c r="D266" s="17"/>
      <c r="E266" s="17"/>
      <c r="F266" s="17"/>
      <c r="G266" s="17"/>
      <c r="H266" s="18"/>
      <c r="I266" s="20" t="str">
        <f aca="true">IF(OR(B266="",A266="",G266&lt;&gt;"Waiting"),"",MAX(0,TODAY()-A266))</f>
        <v/>
      </c>
      <c r="J266" s="17"/>
    </row>
    <row r="267" customFormat="false" ht="15" hidden="false" customHeight="false" outlineLevel="0" collapsed="false">
      <c r="A267" s="18"/>
      <c r="B267" s="17"/>
      <c r="C267" s="17"/>
      <c r="D267" s="17"/>
      <c r="E267" s="17"/>
      <c r="F267" s="17"/>
      <c r="G267" s="17"/>
      <c r="H267" s="18"/>
      <c r="I267" s="20" t="str">
        <f aca="true">IF(OR(B267="",A267="",G267&lt;&gt;"Waiting"),"",MAX(0,TODAY()-A267))</f>
        <v/>
      </c>
      <c r="J267" s="17"/>
    </row>
    <row r="268" customFormat="false" ht="15" hidden="false" customHeight="false" outlineLevel="0" collapsed="false">
      <c r="A268" s="18"/>
      <c r="B268" s="17"/>
      <c r="C268" s="17"/>
      <c r="D268" s="17"/>
      <c r="E268" s="17"/>
      <c r="F268" s="17"/>
      <c r="G268" s="17"/>
      <c r="H268" s="18"/>
      <c r="I268" s="20" t="str">
        <f aca="true">IF(OR(B268="",A268="",G268&lt;&gt;"Waiting"),"",MAX(0,TODAY()-A268))</f>
        <v/>
      </c>
      <c r="J268" s="17"/>
    </row>
    <row r="269" customFormat="false" ht="15" hidden="false" customHeight="false" outlineLevel="0" collapsed="false">
      <c r="A269" s="18"/>
      <c r="B269" s="17"/>
      <c r="C269" s="17"/>
      <c r="D269" s="17"/>
      <c r="E269" s="17"/>
      <c r="F269" s="17"/>
      <c r="G269" s="17"/>
      <c r="H269" s="18"/>
      <c r="I269" s="20" t="str">
        <f aca="true">IF(OR(B269="",A269="",G269&lt;&gt;"Waiting"),"",MAX(0,TODAY()-A269))</f>
        <v/>
      </c>
      <c r="J269" s="17"/>
    </row>
    <row r="270" customFormat="false" ht="15" hidden="false" customHeight="false" outlineLevel="0" collapsed="false">
      <c r="A270" s="18"/>
      <c r="B270" s="17"/>
      <c r="C270" s="17"/>
      <c r="D270" s="17"/>
      <c r="E270" s="17"/>
      <c r="F270" s="17"/>
      <c r="G270" s="17"/>
      <c r="H270" s="18"/>
      <c r="I270" s="20" t="str">
        <f aca="true">IF(OR(B270="",A270="",G270&lt;&gt;"Waiting"),"",MAX(0,TODAY()-A270))</f>
        <v/>
      </c>
      <c r="J270" s="17"/>
    </row>
    <row r="271" customFormat="false" ht="15" hidden="false" customHeight="false" outlineLevel="0" collapsed="false">
      <c r="A271" s="18"/>
      <c r="B271" s="17"/>
      <c r="C271" s="17"/>
      <c r="D271" s="17"/>
      <c r="E271" s="17"/>
      <c r="F271" s="17"/>
      <c r="G271" s="17"/>
      <c r="H271" s="18"/>
      <c r="I271" s="20" t="str">
        <f aca="true">IF(OR(B271="",A271="",G271&lt;&gt;"Waiting"),"",MAX(0,TODAY()-A271))</f>
        <v/>
      </c>
      <c r="J271" s="17"/>
    </row>
    <row r="272" customFormat="false" ht="15" hidden="false" customHeight="false" outlineLevel="0" collapsed="false">
      <c r="A272" s="18"/>
      <c r="B272" s="17"/>
      <c r="C272" s="17"/>
      <c r="D272" s="17"/>
      <c r="E272" s="17"/>
      <c r="F272" s="17"/>
      <c r="G272" s="17"/>
      <c r="H272" s="18"/>
      <c r="I272" s="20" t="str">
        <f aca="true">IF(OR(B272="",A272="",G272&lt;&gt;"Waiting"),"",MAX(0,TODAY()-A272))</f>
        <v/>
      </c>
      <c r="J272" s="17"/>
    </row>
    <row r="273" customFormat="false" ht="15" hidden="false" customHeight="false" outlineLevel="0" collapsed="false">
      <c r="A273" s="18"/>
      <c r="B273" s="17"/>
      <c r="C273" s="17"/>
      <c r="D273" s="17"/>
      <c r="E273" s="17"/>
      <c r="F273" s="17"/>
      <c r="G273" s="17"/>
      <c r="H273" s="18"/>
      <c r="I273" s="20" t="str">
        <f aca="true">IF(OR(B273="",A273="",G273&lt;&gt;"Waiting"),"",MAX(0,TODAY()-A273))</f>
        <v/>
      </c>
      <c r="J273" s="17"/>
    </row>
    <row r="274" customFormat="false" ht="15" hidden="false" customHeight="false" outlineLevel="0" collapsed="false">
      <c r="A274" s="18"/>
      <c r="B274" s="17"/>
      <c r="C274" s="17"/>
      <c r="D274" s="17"/>
      <c r="E274" s="17"/>
      <c r="F274" s="17"/>
      <c r="G274" s="17"/>
      <c r="H274" s="18"/>
      <c r="I274" s="20" t="str">
        <f aca="true">IF(OR(B274="",A274="",G274&lt;&gt;"Waiting"),"",MAX(0,TODAY()-A274))</f>
        <v/>
      </c>
      <c r="J274" s="17"/>
    </row>
    <row r="275" customFormat="false" ht="15" hidden="false" customHeight="false" outlineLevel="0" collapsed="false">
      <c r="A275" s="18"/>
      <c r="B275" s="17"/>
      <c r="C275" s="17"/>
      <c r="D275" s="17"/>
      <c r="E275" s="17"/>
      <c r="F275" s="17"/>
      <c r="G275" s="17"/>
      <c r="H275" s="18"/>
      <c r="I275" s="20" t="str">
        <f aca="true">IF(OR(B275="",A275="",G275&lt;&gt;"Waiting"),"",MAX(0,TODAY()-A275))</f>
        <v/>
      </c>
      <c r="J275" s="17"/>
    </row>
    <row r="276" customFormat="false" ht="15" hidden="false" customHeight="false" outlineLevel="0" collapsed="false">
      <c r="A276" s="18"/>
      <c r="B276" s="17"/>
      <c r="C276" s="17"/>
      <c r="D276" s="17"/>
      <c r="E276" s="17"/>
      <c r="F276" s="17"/>
      <c r="G276" s="17"/>
      <c r="H276" s="18"/>
      <c r="I276" s="20" t="str">
        <f aca="true">IF(OR(B276="",A276="",G276&lt;&gt;"Waiting"),"",MAX(0,TODAY()-A276))</f>
        <v/>
      </c>
      <c r="J276" s="17"/>
    </row>
    <row r="277" customFormat="false" ht="15" hidden="false" customHeight="false" outlineLevel="0" collapsed="false">
      <c r="A277" s="18"/>
      <c r="B277" s="17"/>
      <c r="C277" s="17"/>
      <c r="D277" s="17"/>
      <c r="E277" s="17"/>
      <c r="F277" s="17"/>
      <c r="G277" s="17"/>
      <c r="H277" s="18"/>
      <c r="I277" s="20" t="str">
        <f aca="true">IF(OR(B277="",A277="",G277&lt;&gt;"Waiting"),"",MAX(0,TODAY()-A277))</f>
        <v/>
      </c>
      <c r="J277" s="17"/>
    </row>
    <row r="278" customFormat="false" ht="15" hidden="false" customHeight="false" outlineLevel="0" collapsed="false">
      <c r="A278" s="18"/>
      <c r="B278" s="17"/>
      <c r="C278" s="17"/>
      <c r="D278" s="17"/>
      <c r="E278" s="17"/>
      <c r="F278" s="17"/>
      <c r="G278" s="17"/>
      <c r="H278" s="18"/>
      <c r="I278" s="20" t="str">
        <f aca="true">IF(OR(B278="",A278="",G278&lt;&gt;"Waiting"),"",MAX(0,TODAY()-A278))</f>
        <v/>
      </c>
      <c r="J278" s="17"/>
    </row>
    <row r="279" customFormat="false" ht="15" hidden="false" customHeight="false" outlineLevel="0" collapsed="false">
      <c r="A279" s="18"/>
      <c r="B279" s="17"/>
      <c r="C279" s="17"/>
      <c r="D279" s="17"/>
      <c r="E279" s="17"/>
      <c r="F279" s="17"/>
      <c r="G279" s="17"/>
      <c r="H279" s="18"/>
      <c r="I279" s="20" t="str">
        <f aca="true">IF(OR(B279="",A279="",G279&lt;&gt;"Waiting"),"",MAX(0,TODAY()-A279))</f>
        <v/>
      </c>
      <c r="J279" s="17"/>
    </row>
    <row r="280" customFormat="false" ht="15" hidden="false" customHeight="false" outlineLevel="0" collapsed="false">
      <c r="A280" s="18"/>
      <c r="B280" s="17"/>
      <c r="C280" s="17"/>
      <c r="D280" s="17"/>
      <c r="E280" s="17"/>
      <c r="F280" s="17"/>
      <c r="G280" s="17"/>
      <c r="H280" s="18"/>
      <c r="I280" s="20" t="str">
        <f aca="true">IF(OR(B280="",A280="",G280&lt;&gt;"Waiting"),"",MAX(0,TODAY()-A280))</f>
        <v/>
      </c>
      <c r="J280" s="17"/>
    </row>
    <row r="281" customFormat="false" ht="15" hidden="false" customHeight="false" outlineLevel="0" collapsed="false">
      <c r="A281" s="18"/>
      <c r="B281" s="17"/>
      <c r="C281" s="17"/>
      <c r="D281" s="17"/>
      <c r="E281" s="17"/>
      <c r="F281" s="17"/>
      <c r="G281" s="17"/>
      <c r="H281" s="18"/>
      <c r="I281" s="20" t="str">
        <f aca="true">IF(OR(B281="",A281="",G281&lt;&gt;"Waiting"),"",MAX(0,TODAY()-A281))</f>
        <v/>
      </c>
      <c r="J281" s="17"/>
    </row>
    <row r="282" customFormat="false" ht="15" hidden="false" customHeight="false" outlineLevel="0" collapsed="false">
      <c r="A282" s="18"/>
      <c r="B282" s="17"/>
      <c r="C282" s="17"/>
      <c r="D282" s="17"/>
      <c r="E282" s="17"/>
      <c r="F282" s="17"/>
      <c r="G282" s="17"/>
      <c r="H282" s="18"/>
      <c r="I282" s="20" t="str">
        <f aca="true">IF(OR(B282="",A282="",G282&lt;&gt;"Waiting"),"",MAX(0,TODAY()-A282))</f>
        <v/>
      </c>
      <c r="J282" s="17"/>
    </row>
    <row r="283" customFormat="false" ht="15" hidden="false" customHeight="false" outlineLevel="0" collapsed="false">
      <c r="A283" s="18"/>
      <c r="B283" s="17"/>
      <c r="C283" s="17"/>
      <c r="D283" s="17"/>
      <c r="E283" s="17"/>
      <c r="F283" s="17"/>
      <c r="G283" s="17"/>
      <c r="H283" s="18"/>
      <c r="I283" s="20" t="str">
        <f aca="true">IF(OR(B283="",A283="",G283&lt;&gt;"Waiting"),"",MAX(0,TODAY()-A283))</f>
        <v/>
      </c>
      <c r="J283" s="17"/>
    </row>
    <row r="284" customFormat="false" ht="15" hidden="false" customHeight="false" outlineLevel="0" collapsed="false">
      <c r="A284" s="18"/>
      <c r="B284" s="17"/>
      <c r="C284" s="17"/>
      <c r="D284" s="17"/>
      <c r="E284" s="17"/>
      <c r="F284" s="17"/>
      <c r="G284" s="17"/>
      <c r="H284" s="18"/>
      <c r="I284" s="20" t="str">
        <f aca="true">IF(OR(B284="",A284="",G284&lt;&gt;"Waiting"),"",MAX(0,TODAY()-A284))</f>
        <v/>
      </c>
      <c r="J284" s="17"/>
    </row>
    <row r="285" customFormat="false" ht="15" hidden="false" customHeight="false" outlineLevel="0" collapsed="false">
      <c r="A285" s="18"/>
      <c r="B285" s="17"/>
      <c r="C285" s="17"/>
      <c r="D285" s="17"/>
      <c r="E285" s="17"/>
      <c r="F285" s="17"/>
      <c r="G285" s="17"/>
      <c r="H285" s="18"/>
      <c r="I285" s="20" t="str">
        <f aca="true">IF(OR(B285="",A285="",G285&lt;&gt;"Waiting"),"",MAX(0,TODAY()-A285))</f>
        <v/>
      </c>
      <c r="J285" s="17"/>
    </row>
    <row r="286" customFormat="false" ht="15" hidden="false" customHeight="false" outlineLevel="0" collapsed="false">
      <c r="A286" s="18"/>
      <c r="B286" s="17"/>
      <c r="C286" s="17"/>
      <c r="D286" s="17"/>
      <c r="E286" s="17"/>
      <c r="F286" s="17"/>
      <c r="G286" s="17"/>
      <c r="H286" s="18"/>
      <c r="I286" s="20" t="str">
        <f aca="true">IF(OR(B286="",A286="",G286&lt;&gt;"Waiting"),"",MAX(0,TODAY()-A286))</f>
        <v/>
      </c>
      <c r="J286" s="17"/>
    </row>
    <row r="287" customFormat="false" ht="15" hidden="false" customHeight="false" outlineLevel="0" collapsed="false">
      <c r="A287" s="18"/>
      <c r="B287" s="17"/>
      <c r="C287" s="17"/>
      <c r="D287" s="17"/>
      <c r="E287" s="17"/>
      <c r="F287" s="17"/>
      <c r="G287" s="17"/>
      <c r="H287" s="18"/>
      <c r="I287" s="20" t="str">
        <f aca="true">IF(OR(B287="",A287="",G287&lt;&gt;"Waiting"),"",MAX(0,TODAY()-A287))</f>
        <v/>
      </c>
      <c r="J287" s="17"/>
    </row>
    <row r="288" customFormat="false" ht="15" hidden="false" customHeight="false" outlineLevel="0" collapsed="false">
      <c r="A288" s="18"/>
      <c r="B288" s="17"/>
      <c r="C288" s="17"/>
      <c r="D288" s="17"/>
      <c r="E288" s="17"/>
      <c r="F288" s="17"/>
      <c r="G288" s="17"/>
      <c r="H288" s="18"/>
      <c r="I288" s="20" t="str">
        <f aca="true">IF(OR(B288="",A288="",G288&lt;&gt;"Waiting"),"",MAX(0,TODAY()-A288))</f>
        <v/>
      </c>
      <c r="J288" s="17"/>
    </row>
    <row r="289" customFormat="false" ht="15" hidden="false" customHeight="false" outlineLevel="0" collapsed="false">
      <c r="A289" s="18"/>
      <c r="B289" s="17"/>
      <c r="C289" s="17"/>
      <c r="D289" s="17"/>
      <c r="E289" s="17"/>
      <c r="F289" s="17"/>
      <c r="G289" s="17"/>
      <c r="H289" s="18"/>
      <c r="I289" s="20" t="str">
        <f aca="true">IF(OR(B289="",A289="",G289&lt;&gt;"Waiting"),"",MAX(0,TODAY()-A289))</f>
        <v/>
      </c>
      <c r="J289" s="17"/>
    </row>
    <row r="290" customFormat="false" ht="15" hidden="false" customHeight="false" outlineLevel="0" collapsed="false">
      <c r="A290" s="18"/>
      <c r="B290" s="17"/>
      <c r="C290" s="17"/>
      <c r="D290" s="17"/>
      <c r="E290" s="17"/>
      <c r="F290" s="17"/>
      <c r="G290" s="17"/>
      <c r="H290" s="18"/>
      <c r="I290" s="20" t="str">
        <f aca="true">IF(OR(B290="",A290="",G290&lt;&gt;"Waiting"),"",MAX(0,TODAY()-A290))</f>
        <v/>
      </c>
      <c r="J290" s="17"/>
    </row>
    <row r="291" customFormat="false" ht="15" hidden="false" customHeight="false" outlineLevel="0" collapsed="false">
      <c r="A291" s="18"/>
      <c r="B291" s="17"/>
      <c r="C291" s="17"/>
      <c r="D291" s="17"/>
      <c r="E291" s="17"/>
      <c r="F291" s="17"/>
      <c r="G291" s="17"/>
      <c r="H291" s="18"/>
      <c r="I291" s="20" t="str">
        <f aca="true">IF(OR(B291="",A291="",G291&lt;&gt;"Waiting"),"",MAX(0,TODAY()-A291))</f>
        <v/>
      </c>
      <c r="J291" s="17"/>
    </row>
    <row r="292" customFormat="false" ht="15" hidden="false" customHeight="false" outlineLevel="0" collapsed="false">
      <c r="A292" s="18"/>
      <c r="B292" s="17"/>
      <c r="C292" s="17"/>
      <c r="D292" s="17"/>
      <c r="E292" s="17"/>
      <c r="F292" s="17"/>
      <c r="G292" s="17"/>
      <c r="H292" s="18"/>
      <c r="I292" s="20" t="str">
        <f aca="true">IF(OR(B292="",A292="",G292&lt;&gt;"Waiting"),"",MAX(0,TODAY()-A292))</f>
        <v/>
      </c>
      <c r="J292" s="17"/>
    </row>
    <row r="293" customFormat="false" ht="15" hidden="false" customHeight="false" outlineLevel="0" collapsed="false">
      <c r="A293" s="18"/>
      <c r="B293" s="17"/>
      <c r="C293" s="17"/>
      <c r="D293" s="17"/>
      <c r="E293" s="17"/>
      <c r="F293" s="17"/>
      <c r="G293" s="17"/>
      <c r="H293" s="18"/>
      <c r="I293" s="20" t="str">
        <f aca="true">IF(OR(B293="",A293="",G293&lt;&gt;"Waiting"),"",MAX(0,TODAY()-A293))</f>
        <v/>
      </c>
      <c r="J293" s="17"/>
    </row>
    <row r="294" customFormat="false" ht="15" hidden="false" customHeight="false" outlineLevel="0" collapsed="false">
      <c r="A294" s="18"/>
      <c r="B294" s="17"/>
      <c r="C294" s="17"/>
      <c r="D294" s="17"/>
      <c r="E294" s="17"/>
      <c r="F294" s="17"/>
      <c r="G294" s="17"/>
      <c r="H294" s="18"/>
      <c r="I294" s="20" t="str">
        <f aca="true">IF(OR(B294="",A294="",G294&lt;&gt;"Waiting"),"",MAX(0,TODAY()-A294))</f>
        <v/>
      </c>
      <c r="J294" s="17"/>
    </row>
    <row r="295" customFormat="false" ht="15" hidden="false" customHeight="false" outlineLevel="0" collapsed="false">
      <c r="A295" s="18"/>
      <c r="B295" s="17"/>
      <c r="C295" s="17"/>
      <c r="D295" s="17"/>
      <c r="E295" s="17"/>
      <c r="F295" s="17"/>
      <c r="G295" s="17"/>
      <c r="H295" s="18"/>
      <c r="I295" s="20" t="str">
        <f aca="true">IF(OR(B295="",A295="",G295&lt;&gt;"Waiting"),"",MAX(0,TODAY()-A295))</f>
        <v/>
      </c>
      <c r="J295" s="17"/>
    </row>
    <row r="296" customFormat="false" ht="15" hidden="false" customHeight="false" outlineLevel="0" collapsed="false">
      <c r="A296" s="18"/>
      <c r="B296" s="17"/>
      <c r="C296" s="17"/>
      <c r="D296" s="17"/>
      <c r="E296" s="17"/>
      <c r="F296" s="17"/>
      <c r="G296" s="17"/>
      <c r="H296" s="18"/>
      <c r="I296" s="20" t="str">
        <f aca="true">IF(OR(B296="",A296="",G296&lt;&gt;"Waiting"),"",MAX(0,TODAY()-A296))</f>
        <v/>
      </c>
      <c r="J296" s="17"/>
    </row>
    <row r="297" customFormat="false" ht="15" hidden="false" customHeight="false" outlineLevel="0" collapsed="false">
      <c r="A297" s="18"/>
      <c r="B297" s="17"/>
      <c r="C297" s="17"/>
      <c r="D297" s="17"/>
      <c r="E297" s="17"/>
      <c r="F297" s="17"/>
      <c r="G297" s="17"/>
      <c r="H297" s="18"/>
      <c r="I297" s="20" t="str">
        <f aca="true">IF(OR(B297="",A297="",G297&lt;&gt;"Waiting"),"",MAX(0,TODAY()-A297))</f>
        <v/>
      </c>
      <c r="J297" s="17"/>
    </row>
    <row r="298" customFormat="false" ht="15" hidden="false" customHeight="false" outlineLevel="0" collapsed="false">
      <c r="A298" s="18"/>
      <c r="B298" s="17"/>
      <c r="C298" s="17"/>
      <c r="D298" s="17"/>
      <c r="E298" s="17"/>
      <c r="F298" s="17"/>
      <c r="G298" s="17"/>
      <c r="H298" s="18"/>
      <c r="I298" s="20" t="str">
        <f aca="true">IF(OR(B298="",A298="",G298&lt;&gt;"Waiting"),"",MAX(0,TODAY()-A298))</f>
        <v/>
      </c>
      <c r="J298" s="17"/>
    </row>
    <row r="299" customFormat="false" ht="15" hidden="false" customHeight="false" outlineLevel="0" collapsed="false">
      <c r="A299" s="18"/>
      <c r="B299" s="17"/>
      <c r="C299" s="17"/>
      <c r="D299" s="17"/>
      <c r="E299" s="17"/>
      <c r="F299" s="17"/>
      <c r="G299" s="17"/>
      <c r="H299" s="18"/>
      <c r="I299" s="20" t="str">
        <f aca="true">IF(OR(B299="",A299="",G299&lt;&gt;"Waiting"),"",MAX(0,TODAY()-A299))</f>
        <v/>
      </c>
      <c r="J299" s="17"/>
    </row>
    <row r="300" customFormat="false" ht="15" hidden="false" customHeight="false" outlineLevel="0" collapsed="false">
      <c r="A300" s="18"/>
      <c r="B300" s="17"/>
      <c r="C300" s="17"/>
      <c r="D300" s="17"/>
      <c r="E300" s="17"/>
      <c r="F300" s="17"/>
      <c r="G300" s="17"/>
      <c r="H300" s="18"/>
      <c r="I300" s="20" t="str">
        <f aca="true">IF(OR(B300="",A300="",G300&lt;&gt;"Waiting"),"",MAX(0,TODAY()-A300))</f>
        <v/>
      </c>
      <c r="J300" s="17"/>
    </row>
    <row r="301" customFormat="false" ht="15" hidden="false" customHeight="false" outlineLevel="0" collapsed="false">
      <c r="A301" s="18"/>
      <c r="B301" s="17"/>
      <c r="C301" s="17"/>
      <c r="D301" s="17"/>
      <c r="E301" s="17"/>
      <c r="F301" s="17"/>
      <c r="G301" s="17"/>
      <c r="H301" s="18"/>
      <c r="I301" s="20" t="str">
        <f aca="true">IF(OR(B301="",A301="",G301&lt;&gt;"Waiting"),"",MAX(0,TODAY()-A301))</f>
        <v/>
      </c>
      <c r="J301" s="17"/>
    </row>
    <row r="302" customFormat="false" ht="15" hidden="false" customHeight="false" outlineLevel="0" collapsed="false">
      <c r="A302" s="18"/>
      <c r="B302" s="17"/>
      <c r="C302" s="17"/>
      <c r="D302" s="17"/>
      <c r="E302" s="17"/>
      <c r="F302" s="17"/>
      <c r="G302" s="17"/>
      <c r="H302" s="18"/>
      <c r="I302" s="20" t="str">
        <f aca="true">IF(OR(B302="",A302="",G302&lt;&gt;"Waiting"),"",MAX(0,TODAY()-A302))</f>
        <v/>
      </c>
      <c r="J302" s="17"/>
    </row>
    <row r="303" customFormat="false" ht="15" hidden="false" customHeight="false" outlineLevel="0" collapsed="false">
      <c r="A303" s="18"/>
      <c r="B303" s="17"/>
      <c r="C303" s="17"/>
      <c r="D303" s="17"/>
      <c r="E303" s="17"/>
      <c r="F303" s="17"/>
      <c r="G303" s="17"/>
      <c r="H303" s="18"/>
      <c r="I303" s="20" t="str">
        <f aca="true">IF(OR(B303="",A303="",G303&lt;&gt;"Waiting"),"",MAX(0,TODAY()-A303))</f>
        <v/>
      </c>
      <c r="J303" s="17"/>
    </row>
    <row r="304" customFormat="false" ht="15" hidden="false" customHeight="false" outlineLevel="0" collapsed="false">
      <c r="A304" s="18"/>
      <c r="B304" s="17"/>
      <c r="C304" s="17"/>
      <c r="D304" s="17"/>
      <c r="E304" s="17"/>
      <c r="F304" s="17"/>
      <c r="G304" s="17"/>
      <c r="H304" s="18"/>
      <c r="I304" s="20" t="str">
        <f aca="true">IF(OR(B304="",A304="",G304&lt;&gt;"Waiting"),"",MAX(0,TODAY()-A304))</f>
        <v/>
      </c>
      <c r="J304" s="17"/>
    </row>
  </sheetData>
  <mergeCells count="2">
    <mergeCell ref="A1:J1"/>
    <mergeCell ref="A2:J2"/>
  </mergeCells>
  <conditionalFormatting sqref="G5:G304">
    <cfRule type="cellIs" priority="2" operator="equal" aboveAverage="0" equalAverage="0" bottom="0" percent="0" rank="0" text="" dxfId="7">
      <formula>"Approved"</formula>
    </cfRule>
    <cfRule type="cellIs" priority="3" operator="equal" aboveAverage="0" equalAverage="0" bottom="0" percent="0" rank="0" text="" dxfId="8">
      <formula>"Waiting"</formula>
    </cfRule>
  </conditionalFormatting>
  <dataValidations count="5">
    <dataValidation allowBlank="true" errorStyle="stop" operator="between" showDropDown="false" showErrorMessage="false" showInputMessage="false" sqref="A5:A304 H5:H304" type="date">
      <formula1>0</formula1>
      <formula2>0</formula2>
    </dataValidation>
    <dataValidation allowBlank="true" errorStyle="stop" operator="between" showDropDown="false" showErrorMessage="false" showInputMessage="false" sqref="C5:C304" type="list">
      <formula1>"BBG,CCCL,Second Chance,Athlete brand,Office"</formula1>
      <formula2>0</formula2>
    </dataValidation>
    <dataValidation allowBlank="true" errorStyle="stop" operator="between" showDropDown="false" showErrorMessage="false" showInputMessage="false" sqref="D5:D304" type="list">
      <formula1>"Sponsor pitch,Sponsor deal,Social post,Member message,Parent announcement,Venue,Money,Contract,Press,Other"</formula1>
      <formula2>0</formula2>
    </dataValidation>
    <dataValidation allowBlank="true" errorStyle="stop" operator="between" showDropDown="false" showErrorMessage="false" showInputMessage="false" sqref="E5:E304" type="list">
      <formula1>"Claude,Kyle,Staff,Cody"</formula1>
      <formula2>0</formula2>
    </dataValidation>
    <dataValidation allowBlank="true" errorStyle="stop" operator="between" showDropDown="false" showErrorMessage="false" showInputMessage="false" sqref="G5:G304" type="list">
      <formula1>"Waiting,Approved,Changes needed,No"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true"/>
  </sheetPr>
  <dimension ref="A1:I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6"/>
    <col collapsed="false" customWidth="true" hidden="false" outlineLevel="0" max="4" min="4" style="0" width="18"/>
    <col collapsed="false" customWidth="true" hidden="false" outlineLevel="0" max="5" min="5" style="0" width="60"/>
    <col collapsed="false" customWidth="true" hidden="false" outlineLevel="0" max="6" min="6" style="0" width="26"/>
    <col collapsed="false" customWidth="true" hidden="false" outlineLevel="0" max="8" min="7" style="0" width="11"/>
    <col collapsed="false" customWidth="true" hidden="false" outlineLevel="0" max="9" min="9" style="0" width="30"/>
  </cols>
  <sheetData>
    <row r="1" customFormat="false" ht="30" hidden="false" customHeight="true" outlineLevel="0" collapsed="false">
      <c r="A1" s="1" t="s">
        <v>113</v>
      </c>
      <c r="B1" s="1"/>
      <c r="C1" s="1"/>
      <c r="D1" s="1"/>
      <c r="E1" s="1"/>
      <c r="F1" s="1"/>
      <c r="G1" s="1"/>
      <c r="H1" s="1"/>
      <c r="I1" s="1"/>
    </row>
    <row r="2" customFormat="false" ht="30" hidden="false" customHeight="true" outlineLevel="0" collapsed="false">
      <c r="A2" s="2" t="s">
        <v>114</v>
      </c>
      <c r="B2" s="2"/>
      <c r="C2" s="2"/>
      <c r="D2" s="2"/>
      <c r="E2" s="2"/>
      <c r="F2" s="2"/>
      <c r="G2" s="2"/>
      <c r="H2" s="2"/>
      <c r="I2" s="2"/>
    </row>
    <row r="4" customFormat="false" ht="31.5" hidden="false" customHeight="true" outlineLevel="0" collapsed="false">
      <c r="A4" s="16" t="s">
        <v>115</v>
      </c>
      <c r="B4" s="16" t="s">
        <v>55</v>
      </c>
      <c r="C4" s="16" t="s">
        <v>116</v>
      </c>
      <c r="D4" s="16" t="s">
        <v>117</v>
      </c>
      <c r="E4" s="16" t="s">
        <v>118</v>
      </c>
      <c r="F4" s="16" t="s">
        <v>119</v>
      </c>
      <c r="G4" s="16" t="s">
        <v>59</v>
      </c>
      <c r="H4" s="16" t="s">
        <v>120</v>
      </c>
      <c r="I4" s="16" t="s">
        <v>63</v>
      </c>
    </row>
    <row r="5" customFormat="false" ht="57.75" hidden="false" customHeight="true" outlineLevel="0" collapsed="false">
      <c r="A5" s="18" t="str">
        <f aca="false">IF('Start Here'!$C$12="","",'Start Here'!$C$12-WEEKDAY('Start Here'!$C$12,2)+8+0)</f>
        <v/>
      </c>
      <c r="B5" s="17" t="s">
        <v>65</v>
      </c>
      <c r="C5" s="17" t="s">
        <v>121</v>
      </c>
      <c r="D5" s="17" t="s">
        <v>122</v>
      </c>
      <c r="E5" s="17" t="s">
        <v>123</v>
      </c>
      <c r="F5" s="17" t="s">
        <v>124</v>
      </c>
      <c r="G5" s="17" t="s">
        <v>125</v>
      </c>
      <c r="H5" s="17"/>
      <c r="I5" s="17" t="s">
        <v>126</v>
      </c>
    </row>
    <row r="6" customFormat="false" ht="57.75" hidden="false" customHeight="true" outlineLevel="0" collapsed="false">
      <c r="A6" s="18" t="str">
        <f aca="false">IF('Start Here'!$C$12="","",'Start Here'!$C$12-WEEKDAY('Start Here'!$C$12,2)+8+0)</f>
        <v/>
      </c>
      <c r="B6" s="17" t="s">
        <v>66</v>
      </c>
      <c r="C6" s="17" t="s">
        <v>121</v>
      </c>
      <c r="D6" s="17" t="s">
        <v>127</v>
      </c>
      <c r="E6" s="17" t="s">
        <v>128</v>
      </c>
      <c r="F6" s="17" t="s">
        <v>129</v>
      </c>
      <c r="G6" s="17" t="s">
        <v>125</v>
      </c>
      <c r="H6" s="17"/>
      <c r="I6" s="17" t="s">
        <v>126</v>
      </c>
    </row>
    <row r="7" customFormat="false" ht="57.75" hidden="false" customHeight="true" outlineLevel="0" collapsed="false">
      <c r="A7" s="18" t="str">
        <f aca="false">IF('Start Here'!$C$12="","",'Start Here'!$C$12-WEEKDAY('Start Here'!$C$12,2)+8+2)</f>
        <v/>
      </c>
      <c r="B7" s="17" t="s">
        <v>65</v>
      </c>
      <c r="C7" s="17" t="s">
        <v>121</v>
      </c>
      <c r="D7" s="17" t="s">
        <v>130</v>
      </c>
      <c r="E7" s="17" t="s">
        <v>131</v>
      </c>
      <c r="F7" s="17" t="s">
        <v>132</v>
      </c>
      <c r="G7" s="17" t="s">
        <v>125</v>
      </c>
      <c r="H7" s="17"/>
      <c r="I7" s="17" t="s">
        <v>126</v>
      </c>
    </row>
    <row r="8" customFormat="false" ht="57.75" hidden="false" customHeight="true" outlineLevel="0" collapsed="false">
      <c r="A8" s="18" t="str">
        <f aca="false">IF('Start Here'!$C$12="","",'Start Here'!$C$12-WEEKDAY('Start Here'!$C$12,2)+8+2)</f>
        <v/>
      </c>
      <c r="B8" s="17" t="s">
        <v>66</v>
      </c>
      <c r="C8" s="17" t="s">
        <v>121</v>
      </c>
      <c r="D8" s="17" t="s">
        <v>133</v>
      </c>
      <c r="E8" s="17" t="s">
        <v>134</v>
      </c>
      <c r="F8" s="17" t="s">
        <v>135</v>
      </c>
      <c r="G8" s="17" t="s">
        <v>125</v>
      </c>
      <c r="H8" s="17"/>
      <c r="I8" s="17" t="s">
        <v>126</v>
      </c>
    </row>
    <row r="9" customFormat="false" ht="57.75" hidden="false" customHeight="true" outlineLevel="0" collapsed="false">
      <c r="A9" s="18" t="str">
        <f aca="false">IF('Start Here'!$C$12="","",'Start Here'!$C$12-WEEKDAY('Start Here'!$C$12,2)+8+4)</f>
        <v/>
      </c>
      <c r="B9" s="17" t="s">
        <v>65</v>
      </c>
      <c r="C9" s="17" t="s">
        <v>121</v>
      </c>
      <c r="D9" s="17" t="s">
        <v>136</v>
      </c>
      <c r="E9" s="17" t="s">
        <v>137</v>
      </c>
      <c r="F9" s="17" t="s">
        <v>138</v>
      </c>
      <c r="G9" s="17" t="s">
        <v>125</v>
      </c>
      <c r="H9" s="17"/>
      <c r="I9" s="17" t="s">
        <v>126</v>
      </c>
    </row>
    <row r="10" customFormat="false" ht="57.75" hidden="false" customHeight="true" outlineLevel="0" collapsed="false">
      <c r="A10" s="18" t="str">
        <f aca="false">IF('Start Here'!$C$12="","",'Start Here'!$C$12-WEEKDAY('Start Here'!$C$12,2)+8+4)</f>
        <v/>
      </c>
      <c r="B10" s="17" t="s">
        <v>66</v>
      </c>
      <c r="C10" s="17" t="s">
        <v>121</v>
      </c>
      <c r="D10" s="17" t="s">
        <v>139</v>
      </c>
      <c r="E10" s="17" t="s">
        <v>140</v>
      </c>
      <c r="F10" s="17" t="s">
        <v>141</v>
      </c>
      <c r="G10" s="17" t="s">
        <v>125</v>
      </c>
      <c r="H10" s="17"/>
      <c r="I10" s="17" t="s">
        <v>126</v>
      </c>
    </row>
    <row r="11" customFormat="false" ht="57.75" hidden="false" customHeight="true" outlineLevel="0" collapsed="false">
      <c r="A11" s="18" t="str">
        <f aca="false">IF('Start Here'!$C$12="","",'Start Here'!$C$12-WEEKDAY('Start Here'!$C$12,2)+8+7)</f>
        <v/>
      </c>
      <c r="B11" s="17" t="s">
        <v>65</v>
      </c>
      <c r="C11" s="17" t="s">
        <v>121</v>
      </c>
      <c r="D11" s="17" t="s">
        <v>122</v>
      </c>
      <c r="E11" s="17" t="s">
        <v>142</v>
      </c>
      <c r="F11" s="17" t="s">
        <v>143</v>
      </c>
      <c r="G11" s="17" t="s">
        <v>125</v>
      </c>
      <c r="H11" s="17"/>
      <c r="I11" s="17" t="s">
        <v>126</v>
      </c>
    </row>
    <row r="12" customFormat="false" ht="57.75" hidden="false" customHeight="true" outlineLevel="0" collapsed="false">
      <c r="A12" s="18" t="str">
        <f aca="false">IF('Start Here'!$C$12="","",'Start Here'!$C$12-WEEKDAY('Start Here'!$C$12,2)+8+7)</f>
        <v/>
      </c>
      <c r="B12" s="17" t="s">
        <v>66</v>
      </c>
      <c r="C12" s="17" t="s">
        <v>121</v>
      </c>
      <c r="D12" s="17" t="s">
        <v>127</v>
      </c>
      <c r="E12" s="17" t="s">
        <v>144</v>
      </c>
      <c r="F12" s="17" t="s">
        <v>145</v>
      </c>
      <c r="G12" s="17" t="s">
        <v>125</v>
      </c>
      <c r="H12" s="17"/>
      <c r="I12" s="17" t="s">
        <v>126</v>
      </c>
    </row>
    <row r="13" customFormat="false" ht="57.75" hidden="false" customHeight="true" outlineLevel="0" collapsed="false">
      <c r="A13" s="18" t="str">
        <f aca="false">IF('Start Here'!$C$12="","",'Start Here'!$C$12-WEEKDAY('Start Here'!$C$12,2)+8+9)</f>
        <v/>
      </c>
      <c r="B13" s="17" t="s">
        <v>80</v>
      </c>
      <c r="C13" s="17" t="s">
        <v>121</v>
      </c>
      <c r="D13" s="17" t="s">
        <v>146</v>
      </c>
      <c r="E13" s="17" t="s">
        <v>147</v>
      </c>
      <c r="F13" s="17" t="s">
        <v>148</v>
      </c>
      <c r="G13" s="17" t="s">
        <v>125</v>
      </c>
      <c r="H13" s="17"/>
      <c r="I13" s="17" t="s">
        <v>126</v>
      </c>
    </row>
    <row r="14" customFormat="false" ht="57.75" hidden="false" customHeight="true" outlineLevel="0" collapsed="false">
      <c r="A14" s="18" t="str">
        <f aca="false">IF('Start Here'!$C$12="","",'Start Here'!$C$12-WEEKDAY('Start Here'!$C$12,2)+8+9)</f>
        <v/>
      </c>
      <c r="B14" s="17" t="s">
        <v>66</v>
      </c>
      <c r="C14" s="17" t="s">
        <v>121</v>
      </c>
      <c r="D14" s="17" t="s">
        <v>133</v>
      </c>
      <c r="E14" s="17" t="s">
        <v>149</v>
      </c>
      <c r="F14" s="17" t="s">
        <v>150</v>
      </c>
      <c r="G14" s="17" t="s">
        <v>125</v>
      </c>
      <c r="H14" s="17"/>
      <c r="I14" s="17" t="s">
        <v>126</v>
      </c>
    </row>
    <row r="15" customFormat="false" ht="57.75" hidden="false" customHeight="true" outlineLevel="0" collapsed="false">
      <c r="A15" s="18" t="str">
        <f aca="false">IF('Start Here'!$C$12="","",'Start Here'!$C$12-WEEKDAY('Start Here'!$C$12,2)+8+11)</f>
        <v/>
      </c>
      <c r="B15" s="17" t="s">
        <v>65</v>
      </c>
      <c r="C15" s="17" t="s">
        <v>121</v>
      </c>
      <c r="D15" s="17" t="s">
        <v>151</v>
      </c>
      <c r="E15" s="17" t="s">
        <v>152</v>
      </c>
      <c r="F15" s="17" t="s">
        <v>153</v>
      </c>
      <c r="G15" s="17" t="s">
        <v>125</v>
      </c>
      <c r="H15" s="17"/>
      <c r="I15" s="17" t="s">
        <v>126</v>
      </c>
    </row>
    <row r="16" customFormat="false" ht="57.75" hidden="false" customHeight="true" outlineLevel="0" collapsed="false">
      <c r="A16" s="18" t="str">
        <f aca="false">IF('Start Here'!$C$12="","",'Start Here'!$C$12-WEEKDAY('Start Here'!$C$12,2)+8+11)</f>
        <v/>
      </c>
      <c r="B16" s="17" t="s">
        <v>66</v>
      </c>
      <c r="C16" s="17" t="s">
        <v>121</v>
      </c>
      <c r="D16" s="17" t="s">
        <v>139</v>
      </c>
      <c r="E16" s="17" t="s">
        <v>154</v>
      </c>
      <c r="F16" s="17" t="s">
        <v>155</v>
      </c>
      <c r="G16" s="17" t="s">
        <v>125</v>
      </c>
      <c r="H16" s="17"/>
      <c r="I16" s="17" t="s">
        <v>126</v>
      </c>
    </row>
    <row r="17" customFormat="false" ht="57.75" hidden="false" customHeight="true" outlineLevel="0" collapsed="false">
      <c r="A17" s="18" t="str">
        <f aca="false">IF('Start Here'!$C$12="","",'Start Here'!$C$12-WEEKDAY('Start Here'!$C$12,2)+8+14)</f>
        <v/>
      </c>
      <c r="B17" s="17" t="s">
        <v>65</v>
      </c>
      <c r="C17" s="17" t="s">
        <v>121</v>
      </c>
      <c r="D17" s="17" t="s">
        <v>122</v>
      </c>
      <c r="E17" s="17" t="s">
        <v>156</v>
      </c>
      <c r="F17" s="17" t="s">
        <v>157</v>
      </c>
      <c r="G17" s="17" t="s">
        <v>125</v>
      </c>
      <c r="H17" s="17"/>
      <c r="I17" s="17" t="s">
        <v>126</v>
      </c>
    </row>
    <row r="18" customFormat="false" ht="57.75" hidden="false" customHeight="true" outlineLevel="0" collapsed="false">
      <c r="A18" s="18" t="str">
        <f aca="false">IF('Start Here'!$C$12="","",'Start Here'!$C$12-WEEKDAY('Start Here'!$C$12,2)+8+14)</f>
        <v/>
      </c>
      <c r="B18" s="17" t="s">
        <v>66</v>
      </c>
      <c r="C18" s="17" t="s">
        <v>121</v>
      </c>
      <c r="D18" s="17" t="s">
        <v>127</v>
      </c>
      <c r="E18" s="17" t="s">
        <v>158</v>
      </c>
      <c r="F18" s="17" t="s">
        <v>159</v>
      </c>
      <c r="G18" s="17" t="s">
        <v>125</v>
      </c>
      <c r="H18" s="17"/>
      <c r="I18" s="17" t="s">
        <v>126</v>
      </c>
    </row>
    <row r="19" customFormat="false" ht="57.75" hidden="false" customHeight="true" outlineLevel="0" collapsed="false">
      <c r="A19" s="18" t="str">
        <f aca="false">IF('Start Here'!$C$12="","",'Start Here'!$C$12-WEEKDAY('Start Here'!$C$12,2)+8+16)</f>
        <v/>
      </c>
      <c r="B19" s="17" t="s">
        <v>65</v>
      </c>
      <c r="C19" s="17" t="s">
        <v>121</v>
      </c>
      <c r="D19" s="17" t="s">
        <v>160</v>
      </c>
      <c r="E19" s="17" t="s">
        <v>161</v>
      </c>
      <c r="F19" s="17" t="s">
        <v>162</v>
      </c>
      <c r="G19" s="17" t="s">
        <v>125</v>
      </c>
      <c r="H19" s="17"/>
      <c r="I19" s="17" t="s">
        <v>126</v>
      </c>
    </row>
    <row r="20" customFormat="false" ht="57.75" hidden="false" customHeight="true" outlineLevel="0" collapsed="false">
      <c r="A20" s="18" t="str">
        <f aca="false">IF('Start Here'!$C$12="","",'Start Here'!$C$12-WEEKDAY('Start Here'!$C$12,2)+8+16)</f>
        <v/>
      </c>
      <c r="B20" s="17" t="s">
        <v>66</v>
      </c>
      <c r="C20" s="17" t="s">
        <v>121</v>
      </c>
      <c r="D20" s="17" t="s">
        <v>133</v>
      </c>
      <c r="E20" s="17" t="s">
        <v>163</v>
      </c>
      <c r="F20" s="17" t="s">
        <v>164</v>
      </c>
      <c r="G20" s="17" t="s">
        <v>125</v>
      </c>
      <c r="H20" s="17"/>
      <c r="I20" s="17" t="s">
        <v>126</v>
      </c>
    </row>
    <row r="21" customFormat="false" ht="57.75" hidden="false" customHeight="true" outlineLevel="0" collapsed="false">
      <c r="A21" s="18" t="str">
        <f aca="false">IF('Start Here'!$C$12="","",'Start Here'!$C$12-WEEKDAY('Start Here'!$C$12,2)+8+18)</f>
        <v/>
      </c>
      <c r="B21" s="17" t="s">
        <v>80</v>
      </c>
      <c r="C21" s="17" t="s">
        <v>121</v>
      </c>
      <c r="D21" s="17" t="s">
        <v>133</v>
      </c>
      <c r="E21" s="17" t="s">
        <v>165</v>
      </c>
      <c r="F21" s="17" t="s">
        <v>166</v>
      </c>
      <c r="G21" s="17" t="s">
        <v>125</v>
      </c>
      <c r="H21" s="17"/>
      <c r="I21" s="17" t="s">
        <v>126</v>
      </c>
    </row>
    <row r="22" customFormat="false" ht="57.75" hidden="false" customHeight="true" outlineLevel="0" collapsed="false">
      <c r="A22" s="18" t="str">
        <f aca="false">IF('Start Here'!$C$12="","",'Start Here'!$C$12-WEEKDAY('Start Here'!$C$12,2)+8+18)</f>
        <v/>
      </c>
      <c r="B22" s="17" t="s">
        <v>66</v>
      </c>
      <c r="C22" s="17" t="s">
        <v>121</v>
      </c>
      <c r="D22" s="17" t="s">
        <v>146</v>
      </c>
      <c r="E22" s="17" t="s">
        <v>167</v>
      </c>
      <c r="F22" s="17" t="s">
        <v>168</v>
      </c>
      <c r="G22" s="17" t="s">
        <v>125</v>
      </c>
      <c r="H22" s="17"/>
      <c r="I22" s="17" t="s">
        <v>126</v>
      </c>
    </row>
    <row r="23" customFormat="false" ht="57.75" hidden="false" customHeight="true" outlineLevel="0" collapsed="false">
      <c r="A23" s="18" t="str">
        <f aca="false">IF('Start Here'!$C$12="","",'Start Here'!$C$12-WEEKDAY('Start Here'!$C$12,2)+8+21)</f>
        <v/>
      </c>
      <c r="B23" s="17" t="s">
        <v>65</v>
      </c>
      <c r="C23" s="17" t="s">
        <v>121</v>
      </c>
      <c r="D23" s="17" t="s">
        <v>122</v>
      </c>
      <c r="E23" s="17" t="s">
        <v>169</v>
      </c>
      <c r="F23" s="17" t="s">
        <v>170</v>
      </c>
      <c r="G23" s="17" t="s">
        <v>125</v>
      </c>
      <c r="H23" s="17"/>
      <c r="I23" s="17" t="s">
        <v>126</v>
      </c>
    </row>
    <row r="24" customFormat="false" ht="57.75" hidden="false" customHeight="true" outlineLevel="0" collapsed="false">
      <c r="A24" s="18" t="str">
        <f aca="false">IF('Start Here'!$C$12="","",'Start Here'!$C$12-WEEKDAY('Start Here'!$C$12,2)+8+21)</f>
        <v/>
      </c>
      <c r="B24" s="17" t="s">
        <v>66</v>
      </c>
      <c r="C24" s="17" t="s">
        <v>121</v>
      </c>
      <c r="D24" s="17" t="s">
        <v>127</v>
      </c>
      <c r="E24" s="17" t="s">
        <v>171</v>
      </c>
      <c r="F24" s="17" t="s">
        <v>172</v>
      </c>
      <c r="G24" s="17" t="s">
        <v>125</v>
      </c>
      <c r="H24" s="17"/>
      <c r="I24" s="17" t="s">
        <v>126</v>
      </c>
    </row>
    <row r="25" customFormat="false" ht="57.75" hidden="false" customHeight="true" outlineLevel="0" collapsed="false">
      <c r="A25" s="18" t="str">
        <f aca="false">IF('Start Here'!$C$12="","",'Start Here'!$C$12-WEEKDAY('Start Here'!$C$12,2)+8+23)</f>
        <v/>
      </c>
      <c r="B25" s="17" t="s">
        <v>65</v>
      </c>
      <c r="C25" s="17" t="s">
        <v>121</v>
      </c>
      <c r="D25" s="17" t="s">
        <v>130</v>
      </c>
      <c r="E25" s="17" t="s">
        <v>173</v>
      </c>
      <c r="F25" s="17" t="s">
        <v>174</v>
      </c>
      <c r="G25" s="17" t="s">
        <v>125</v>
      </c>
      <c r="H25" s="17"/>
      <c r="I25" s="17" t="s">
        <v>126</v>
      </c>
    </row>
    <row r="26" customFormat="false" ht="57.75" hidden="false" customHeight="true" outlineLevel="0" collapsed="false">
      <c r="A26" s="18" t="str">
        <f aca="false">IF('Start Here'!$C$12="","",'Start Here'!$C$12-WEEKDAY('Start Here'!$C$12,2)+8+23)</f>
        <v/>
      </c>
      <c r="B26" s="17" t="s">
        <v>66</v>
      </c>
      <c r="C26" s="17" t="s">
        <v>121</v>
      </c>
      <c r="D26" s="17" t="s">
        <v>133</v>
      </c>
      <c r="E26" s="17" t="s">
        <v>175</v>
      </c>
      <c r="F26" s="17" t="s">
        <v>176</v>
      </c>
      <c r="G26" s="17" t="s">
        <v>125</v>
      </c>
      <c r="H26" s="17"/>
      <c r="I26" s="17" t="s">
        <v>126</v>
      </c>
    </row>
    <row r="27" customFormat="false" ht="57.75" hidden="false" customHeight="true" outlineLevel="0" collapsed="false">
      <c r="A27" s="18" t="str">
        <f aca="false">IF('Start Here'!$C$12="","",'Start Here'!$C$12-WEEKDAY('Start Here'!$C$12,2)+8+25)</f>
        <v/>
      </c>
      <c r="B27" s="17" t="s">
        <v>65</v>
      </c>
      <c r="C27" s="17" t="s">
        <v>121</v>
      </c>
      <c r="D27" s="17" t="s">
        <v>151</v>
      </c>
      <c r="E27" s="17" t="s">
        <v>177</v>
      </c>
      <c r="F27" s="17" t="s">
        <v>178</v>
      </c>
      <c r="G27" s="17" t="s">
        <v>125</v>
      </c>
      <c r="H27" s="17"/>
      <c r="I27" s="17" t="s">
        <v>126</v>
      </c>
    </row>
    <row r="28" customFormat="false" ht="57.75" hidden="false" customHeight="true" outlineLevel="0" collapsed="false">
      <c r="A28" s="18" t="str">
        <f aca="false">IF('Start Here'!$C$12="","",'Start Here'!$C$12-WEEKDAY('Start Here'!$C$12,2)+8+25)</f>
        <v/>
      </c>
      <c r="B28" s="17" t="s">
        <v>66</v>
      </c>
      <c r="C28" s="17" t="s">
        <v>121</v>
      </c>
      <c r="D28" s="17" t="s">
        <v>139</v>
      </c>
      <c r="E28" s="17" t="s">
        <v>179</v>
      </c>
      <c r="F28" s="17" t="s">
        <v>180</v>
      </c>
      <c r="G28" s="17" t="s">
        <v>125</v>
      </c>
      <c r="H28" s="17"/>
      <c r="I28" s="17" t="s">
        <v>126</v>
      </c>
    </row>
    <row r="29" customFormat="false" ht="15" hidden="false" customHeight="false" outlineLevel="0" collapsed="false">
      <c r="A29" s="18"/>
      <c r="B29" s="17"/>
      <c r="C29" s="17"/>
      <c r="D29" s="17"/>
      <c r="E29" s="17"/>
      <c r="F29" s="17"/>
      <c r="G29" s="17"/>
      <c r="H29" s="17"/>
      <c r="I29" s="17"/>
    </row>
    <row r="30" customFormat="false" ht="15" hidden="false" customHeight="false" outlineLevel="0" collapsed="false">
      <c r="A30" s="18"/>
      <c r="B30" s="17"/>
      <c r="C30" s="17"/>
      <c r="D30" s="17"/>
      <c r="E30" s="17"/>
      <c r="F30" s="17"/>
      <c r="G30" s="17"/>
      <c r="H30" s="17"/>
      <c r="I30" s="17"/>
    </row>
    <row r="31" customFormat="false" ht="15" hidden="false" customHeight="false" outlineLevel="0" collapsed="false">
      <c r="A31" s="18"/>
      <c r="B31" s="17"/>
      <c r="C31" s="17"/>
      <c r="D31" s="17"/>
      <c r="E31" s="17"/>
      <c r="F31" s="17"/>
      <c r="G31" s="17"/>
      <c r="H31" s="17"/>
      <c r="I31" s="17"/>
    </row>
    <row r="32" customFormat="false" ht="15" hidden="false" customHeight="false" outlineLevel="0" collapsed="false">
      <c r="A32" s="18"/>
      <c r="B32" s="17"/>
      <c r="C32" s="17"/>
      <c r="D32" s="17"/>
      <c r="E32" s="17"/>
      <c r="F32" s="17"/>
      <c r="G32" s="17"/>
      <c r="H32" s="17"/>
      <c r="I32" s="17"/>
    </row>
    <row r="33" customFormat="false" ht="15" hidden="false" customHeight="false" outlineLevel="0" collapsed="false">
      <c r="A33" s="18"/>
      <c r="B33" s="17"/>
      <c r="C33" s="17"/>
      <c r="D33" s="17"/>
      <c r="E33" s="17"/>
      <c r="F33" s="17"/>
      <c r="G33" s="17"/>
      <c r="H33" s="17"/>
      <c r="I33" s="17"/>
    </row>
    <row r="34" customFormat="false" ht="15" hidden="false" customHeight="false" outlineLevel="0" collapsed="false">
      <c r="A34" s="18"/>
      <c r="B34" s="17"/>
      <c r="C34" s="17"/>
      <c r="D34" s="17"/>
      <c r="E34" s="17"/>
      <c r="F34" s="17"/>
      <c r="G34" s="17"/>
      <c r="H34" s="17"/>
      <c r="I34" s="17"/>
    </row>
    <row r="35" customFormat="false" ht="15" hidden="false" customHeight="false" outlineLevel="0" collapsed="false">
      <c r="A35" s="18"/>
      <c r="B35" s="17"/>
      <c r="C35" s="17"/>
      <c r="D35" s="17"/>
      <c r="E35" s="17"/>
      <c r="F35" s="17"/>
      <c r="G35" s="17"/>
      <c r="H35" s="17"/>
      <c r="I35" s="17"/>
    </row>
    <row r="36" customFormat="false" ht="15" hidden="false" customHeight="false" outlineLevel="0" collapsed="false">
      <c r="A36" s="18"/>
      <c r="B36" s="17"/>
      <c r="C36" s="17"/>
      <c r="D36" s="17"/>
      <c r="E36" s="17"/>
      <c r="F36" s="17"/>
      <c r="G36" s="17"/>
      <c r="H36" s="17"/>
      <c r="I36" s="17"/>
    </row>
    <row r="37" customFormat="false" ht="15" hidden="false" customHeight="false" outlineLevel="0" collapsed="false">
      <c r="A37" s="18"/>
      <c r="B37" s="17"/>
      <c r="C37" s="17"/>
      <c r="D37" s="17"/>
      <c r="E37" s="17"/>
      <c r="F37" s="17"/>
      <c r="G37" s="17"/>
      <c r="H37" s="17"/>
      <c r="I37" s="17"/>
    </row>
    <row r="38" customFormat="false" ht="15" hidden="false" customHeight="false" outlineLevel="0" collapsed="false">
      <c r="A38" s="18"/>
      <c r="B38" s="17"/>
      <c r="C38" s="17"/>
      <c r="D38" s="17"/>
      <c r="E38" s="17"/>
      <c r="F38" s="17"/>
      <c r="G38" s="17"/>
      <c r="H38" s="17"/>
      <c r="I38" s="17"/>
    </row>
    <row r="39" customFormat="false" ht="15" hidden="false" customHeight="false" outlineLevel="0" collapsed="false">
      <c r="A39" s="18"/>
      <c r="B39" s="17"/>
      <c r="C39" s="17"/>
      <c r="D39" s="17"/>
      <c r="E39" s="17"/>
      <c r="F39" s="17"/>
      <c r="G39" s="17"/>
      <c r="H39" s="17"/>
      <c r="I39" s="17"/>
    </row>
    <row r="40" customFormat="false" ht="15" hidden="false" customHeight="false" outlineLevel="0" collapsed="false">
      <c r="A40" s="18"/>
      <c r="B40" s="17"/>
      <c r="C40" s="17"/>
      <c r="D40" s="17"/>
      <c r="E40" s="17"/>
      <c r="F40" s="17"/>
      <c r="G40" s="17"/>
      <c r="H40" s="17"/>
      <c r="I40" s="17"/>
    </row>
    <row r="41" customFormat="false" ht="15" hidden="false" customHeight="false" outlineLevel="0" collapsed="false">
      <c r="A41" s="18"/>
      <c r="B41" s="17"/>
      <c r="C41" s="17"/>
      <c r="D41" s="17"/>
      <c r="E41" s="17"/>
      <c r="F41" s="17"/>
      <c r="G41" s="17"/>
      <c r="H41" s="17"/>
      <c r="I41" s="17"/>
    </row>
    <row r="42" customFormat="false" ht="15" hidden="false" customHeight="false" outlineLevel="0" collapsed="false">
      <c r="A42" s="18"/>
      <c r="B42" s="17"/>
      <c r="C42" s="17"/>
      <c r="D42" s="17"/>
      <c r="E42" s="17"/>
      <c r="F42" s="17"/>
      <c r="G42" s="17"/>
      <c r="H42" s="17"/>
      <c r="I42" s="17"/>
    </row>
    <row r="43" customFormat="false" ht="15" hidden="false" customHeight="false" outlineLevel="0" collapsed="false">
      <c r="A43" s="18"/>
      <c r="B43" s="17"/>
      <c r="C43" s="17"/>
      <c r="D43" s="17"/>
      <c r="E43" s="17"/>
      <c r="F43" s="17"/>
      <c r="G43" s="17"/>
      <c r="H43" s="17"/>
      <c r="I43" s="17"/>
    </row>
    <row r="44" customFormat="false" ht="15" hidden="false" customHeight="false" outlineLevel="0" collapsed="false">
      <c r="A44" s="18"/>
      <c r="B44" s="17"/>
      <c r="C44" s="17"/>
      <c r="D44" s="17"/>
      <c r="E44" s="17"/>
      <c r="F44" s="17"/>
      <c r="G44" s="17"/>
      <c r="H44" s="17"/>
      <c r="I44" s="17"/>
    </row>
    <row r="45" customFormat="false" ht="15" hidden="false" customHeight="false" outlineLevel="0" collapsed="false">
      <c r="A45" s="18"/>
      <c r="B45" s="17"/>
      <c r="C45" s="17"/>
      <c r="D45" s="17"/>
      <c r="E45" s="17"/>
      <c r="F45" s="17"/>
      <c r="G45" s="17"/>
      <c r="H45" s="17"/>
      <c r="I45" s="17"/>
    </row>
    <row r="46" customFormat="false" ht="15" hidden="false" customHeight="false" outlineLevel="0" collapsed="false">
      <c r="A46" s="18"/>
      <c r="B46" s="17"/>
      <c r="C46" s="17"/>
      <c r="D46" s="17"/>
      <c r="E46" s="17"/>
      <c r="F46" s="17"/>
      <c r="G46" s="17"/>
      <c r="H46" s="17"/>
      <c r="I46" s="17"/>
    </row>
    <row r="47" customFormat="false" ht="15" hidden="false" customHeight="false" outlineLevel="0" collapsed="false">
      <c r="A47" s="18"/>
      <c r="B47" s="17"/>
      <c r="C47" s="17"/>
      <c r="D47" s="17"/>
      <c r="E47" s="17"/>
      <c r="F47" s="17"/>
      <c r="G47" s="17"/>
      <c r="H47" s="17"/>
      <c r="I47" s="17"/>
    </row>
    <row r="48" customFormat="false" ht="15" hidden="false" customHeight="false" outlineLevel="0" collapsed="false">
      <c r="A48" s="18"/>
      <c r="B48" s="17"/>
      <c r="C48" s="17"/>
      <c r="D48" s="17"/>
      <c r="E48" s="17"/>
      <c r="F48" s="17"/>
      <c r="G48" s="17"/>
      <c r="H48" s="17"/>
      <c r="I48" s="17"/>
    </row>
    <row r="49" customFormat="false" ht="15" hidden="false" customHeight="false" outlineLevel="0" collapsed="false">
      <c r="A49" s="18"/>
      <c r="B49" s="17"/>
      <c r="C49" s="17"/>
      <c r="D49" s="17"/>
      <c r="E49" s="17"/>
      <c r="F49" s="17"/>
      <c r="G49" s="17"/>
      <c r="H49" s="17"/>
      <c r="I49" s="17"/>
    </row>
    <row r="50" customFormat="false" ht="15" hidden="false" customHeight="false" outlineLevel="0" collapsed="false">
      <c r="A50" s="18"/>
      <c r="B50" s="17"/>
      <c r="C50" s="17"/>
      <c r="D50" s="17"/>
      <c r="E50" s="17"/>
      <c r="F50" s="17"/>
      <c r="G50" s="17"/>
      <c r="H50" s="17"/>
      <c r="I50" s="17"/>
    </row>
    <row r="51" customFormat="false" ht="15" hidden="false" customHeight="false" outlineLevel="0" collapsed="false">
      <c r="A51" s="18"/>
      <c r="B51" s="17"/>
      <c r="C51" s="17"/>
      <c r="D51" s="17"/>
      <c r="E51" s="17"/>
      <c r="F51" s="17"/>
      <c r="G51" s="17"/>
      <c r="H51" s="17"/>
      <c r="I51" s="17"/>
    </row>
    <row r="52" customFormat="false" ht="15" hidden="false" customHeight="false" outlineLevel="0" collapsed="false">
      <c r="A52" s="18"/>
      <c r="B52" s="17"/>
      <c r="C52" s="17"/>
      <c r="D52" s="17"/>
      <c r="E52" s="17"/>
      <c r="F52" s="17"/>
      <c r="G52" s="17"/>
      <c r="H52" s="17"/>
      <c r="I52" s="17"/>
    </row>
    <row r="53" customFormat="false" ht="15" hidden="false" customHeight="false" outlineLevel="0" collapsed="false">
      <c r="A53" s="18"/>
      <c r="B53" s="17"/>
      <c r="C53" s="17"/>
      <c r="D53" s="17"/>
      <c r="E53" s="17"/>
      <c r="F53" s="17"/>
      <c r="G53" s="17"/>
      <c r="H53" s="17"/>
      <c r="I53" s="17"/>
    </row>
    <row r="54" customFormat="false" ht="15" hidden="false" customHeight="false" outlineLevel="0" collapsed="false">
      <c r="A54" s="18"/>
      <c r="B54" s="17"/>
      <c r="C54" s="17"/>
      <c r="D54" s="17"/>
      <c r="E54" s="17"/>
      <c r="F54" s="17"/>
      <c r="G54" s="17"/>
      <c r="H54" s="17"/>
      <c r="I54" s="17"/>
    </row>
    <row r="55" customFormat="false" ht="15" hidden="false" customHeight="false" outlineLevel="0" collapsed="false">
      <c r="A55" s="18"/>
      <c r="B55" s="17"/>
      <c r="C55" s="17"/>
      <c r="D55" s="17"/>
      <c r="E55" s="17"/>
      <c r="F55" s="17"/>
      <c r="G55" s="17"/>
      <c r="H55" s="17"/>
      <c r="I55" s="17"/>
    </row>
    <row r="56" customFormat="false" ht="15" hidden="false" customHeight="false" outlineLevel="0" collapsed="false">
      <c r="A56" s="18"/>
      <c r="B56" s="17"/>
      <c r="C56" s="17"/>
      <c r="D56" s="17"/>
      <c r="E56" s="17"/>
      <c r="F56" s="17"/>
      <c r="G56" s="17"/>
      <c r="H56" s="17"/>
      <c r="I56" s="17"/>
    </row>
    <row r="57" customFormat="false" ht="15" hidden="false" customHeight="false" outlineLevel="0" collapsed="false">
      <c r="A57" s="18"/>
      <c r="B57" s="17"/>
      <c r="C57" s="17"/>
      <c r="D57" s="17"/>
      <c r="E57" s="17"/>
      <c r="F57" s="17"/>
      <c r="G57" s="17"/>
      <c r="H57" s="17"/>
      <c r="I57" s="17"/>
    </row>
    <row r="58" customFormat="false" ht="15" hidden="false" customHeight="false" outlineLevel="0" collapsed="false">
      <c r="A58" s="18"/>
      <c r="B58" s="17"/>
      <c r="C58" s="17"/>
      <c r="D58" s="17"/>
      <c r="E58" s="17"/>
      <c r="F58" s="17"/>
      <c r="G58" s="17"/>
      <c r="H58" s="17"/>
      <c r="I58" s="17"/>
    </row>
    <row r="59" customFormat="false" ht="15" hidden="false" customHeight="false" outlineLevel="0" collapsed="false">
      <c r="A59" s="18"/>
      <c r="B59" s="17"/>
      <c r="C59" s="17"/>
      <c r="D59" s="17"/>
      <c r="E59" s="17"/>
      <c r="F59" s="17"/>
      <c r="G59" s="17"/>
      <c r="H59" s="17"/>
      <c r="I59" s="17"/>
    </row>
    <row r="60" customFormat="false" ht="15" hidden="false" customHeight="false" outlineLevel="0" collapsed="false">
      <c r="A60" s="18"/>
      <c r="B60" s="17"/>
      <c r="C60" s="17"/>
      <c r="D60" s="17"/>
      <c r="E60" s="17"/>
      <c r="F60" s="17"/>
      <c r="G60" s="17"/>
      <c r="H60" s="17"/>
      <c r="I60" s="17"/>
    </row>
    <row r="61" customFormat="false" ht="15" hidden="false" customHeight="false" outlineLevel="0" collapsed="false">
      <c r="A61" s="18"/>
      <c r="B61" s="17"/>
      <c r="C61" s="17"/>
      <c r="D61" s="17"/>
      <c r="E61" s="17"/>
      <c r="F61" s="17"/>
      <c r="G61" s="17"/>
      <c r="H61" s="17"/>
      <c r="I61" s="17"/>
    </row>
    <row r="62" customFormat="false" ht="15" hidden="false" customHeight="false" outlineLevel="0" collapsed="false">
      <c r="A62" s="18"/>
      <c r="B62" s="17"/>
      <c r="C62" s="17"/>
      <c r="D62" s="17"/>
      <c r="E62" s="17"/>
      <c r="F62" s="17"/>
      <c r="G62" s="17"/>
      <c r="H62" s="17"/>
      <c r="I62" s="17"/>
    </row>
    <row r="63" customFormat="false" ht="15" hidden="false" customHeight="false" outlineLevel="0" collapsed="false">
      <c r="A63" s="18"/>
      <c r="B63" s="17"/>
      <c r="C63" s="17"/>
      <c r="D63" s="17"/>
      <c r="E63" s="17"/>
      <c r="F63" s="17"/>
      <c r="G63" s="17"/>
      <c r="H63" s="17"/>
      <c r="I63" s="17"/>
    </row>
    <row r="64" customFormat="false" ht="15" hidden="false" customHeight="false" outlineLevel="0" collapsed="false">
      <c r="A64" s="18"/>
      <c r="B64" s="17"/>
      <c r="C64" s="17"/>
      <c r="D64" s="17"/>
      <c r="E64" s="17"/>
      <c r="F64" s="17"/>
      <c r="G64" s="17"/>
      <c r="H64" s="17"/>
      <c r="I64" s="17"/>
    </row>
    <row r="65" customFormat="false" ht="15" hidden="false" customHeight="false" outlineLevel="0" collapsed="false">
      <c r="A65" s="18"/>
      <c r="B65" s="17"/>
      <c r="C65" s="17"/>
      <c r="D65" s="17"/>
      <c r="E65" s="17"/>
      <c r="F65" s="17"/>
      <c r="G65" s="17"/>
      <c r="H65" s="17"/>
      <c r="I65" s="17"/>
    </row>
    <row r="66" customFormat="false" ht="15" hidden="false" customHeight="false" outlineLevel="0" collapsed="false">
      <c r="A66" s="18"/>
      <c r="B66" s="17"/>
      <c r="C66" s="17"/>
      <c r="D66" s="17"/>
      <c r="E66" s="17"/>
      <c r="F66" s="17"/>
      <c r="G66" s="17"/>
      <c r="H66" s="17"/>
      <c r="I66" s="17"/>
    </row>
    <row r="67" customFormat="false" ht="15" hidden="false" customHeight="false" outlineLevel="0" collapsed="false">
      <c r="A67" s="18"/>
      <c r="B67" s="17"/>
      <c r="C67" s="17"/>
      <c r="D67" s="17"/>
      <c r="E67" s="17"/>
      <c r="F67" s="17"/>
      <c r="G67" s="17"/>
      <c r="H67" s="17"/>
      <c r="I67" s="17"/>
    </row>
    <row r="68" customFormat="false" ht="15" hidden="false" customHeight="false" outlineLevel="0" collapsed="false">
      <c r="A68" s="18"/>
      <c r="B68" s="17"/>
      <c r="C68" s="17"/>
      <c r="D68" s="17"/>
      <c r="E68" s="17"/>
      <c r="F68" s="17"/>
      <c r="G68" s="17"/>
      <c r="H68" s="17"/>
      <c r="I68" s="17"/>
    </row>
    <row r="69" customFormat="false" ht="15" hidden="false" customHeight="false" outlineLevel="0" collapsed="false">
      <c r="A69" s="18"/>
      <c r="B69" s="17"/>
      <c r="C69" s="17"/>
      <c r="D69" s="17"/>
      <c r="E69" s="17"/>
      <c r="F69" s="17"/>
      <c r="G69" s="17"/>
      <c r="H69" s="17"/>
      <c r="I69" s="17"/>
    </row>
    <row r="70" customFormat="false" ht="15" hidden="false" customHeight="false" outlineLevel="0" collapsed="false">
      <c r="A70" s="18"/>
      <c r="B70" s="17"/>
      <c r="C70" s="17"/>
      <c r="D70" s="17"/>
      <c r="E70" s="17"/>
      <c r="F70" s="17"/>
      <c r="G70" s="17"/>
      <c r="H70" s="17"/>
      <c r="I70" s="17"/>
    </row>
    <row r="71" customFormat="false" ht="15" hidden="false" customHeight="false" outlineLevel="0" collapsed="false">
      <c r="A71" s="18"/>
      <c r="B71" s="17"/>
      <c r="C71" s="17"/>
      <c r="D71" s="17"/>
      <c r="E71" s="17"/>
      <c r="F71" s="17"/>
      <c r="G71" s="17"/>
      <c r="H71" s="17"/>
      <c r="I71" s="17"/>
    </row>
    <row r="72" customFormat="false" ht="15" hidden="false" customHeight="false" outlineLevel="0" collapsed="false">
      <c r="A72" s="18"/>
      <c r="B72" s="17"/>
      <c r="C72" s="17"/>
      <c r="D72" s="17"/>
      <c r="E72" s="17"/>
      <c r="F72" s="17"/>
      <c r="G72" s="17"/>
      <c r="H72" s="17"/>
      <c r="I72" s="17"/>
    </row>
    <row r="73" customFormat="false" ht="15" hidden="false" customHeight="false" outlineLevel="0" collapsed="false">
      <c r="A73" s="18"/>
      <c r="B73" s="17"/>
      <c r="C73" s="17"/>
      <c r="D73" s="17"/>
      <c r="E73" s="17"/>
      <c r="F73" s="17"/>
      <c r="G73" s="17"/>
      <c r="H73" s="17"/>
      <c r="I73" s="17"/>
    </row>
    <row r="74" customFormat="false" ht="15" hidden="false" customHeight="false" outlineLevel="0" collapsed="false">
      <c r="A74" s="18"/>
      <c r="B74" s="17"/>
      <c r="C74" s="17"/>
      <c r="D74" s="17"/>
      <c r="E74" s="17"/>
      <c r="F74" s="17"/>
      <c r="G74" s="17"/>
      <c r="H74" s="17"/>
      <c r="I74" s="17"/>
    </row>
    <row r="75" customFormat="false" ht="15" hidden="false" customHeight="false" outlineLevel="0" collapsed="false">
      <c r="A75" s="18"/>
      <c r="B75" s="17"/>
      <c r="C75" s="17"/>
      <c r="D75" s="17"/>
      <c r="E75" s="17"/>
      <c r="F75" s="17"/>
      <c r="G75" s="17"/>
      <c r="H75" s="17"/>
      <c r="I75" s="17"/>
    </row>
    <row r="76" customFormat="false" ht="15" hidden="false" customHeight="false" outlineLevel="0" collapsed="false">
      <c r="A76" s="18"/>
      <c r="B76" s="17"/>
      <c r="C76" s="17"/>
      <c r="D76" s="17"/>
      <c r="E76" s="17"/>
      <c r="F76" s="17"/>
      <c r="G76" s="17"/>
      <c r="H76" s="17"/>
      <c r="I76" s="17"/>
    </row>
    <row r="77" customFormat="false" ht="15" hidden="false" customHeight="false" outlineLevel="0" collapsed="false">
      <c r="A77" s="18"/>
      <c r="B77" s="17"/>
      <c r="C77" s="17"/>
      <c r="D77" s="17"/>
      <c r="E77" s="17"/>
      <c r="F77" s="17"/>
      <c r="G77" s="17"/>
      <c r="H77" s="17"/>
      <c r="I77" s="17"/>
    </row>
    <row r="78" customFormat="false" ht="15" hidden="false" customHeight="false" outlineLevel="0" collapsed="false">
      <c r="A78" s="18"/>
      <c r="B78" s="17"/>
      <c r="C78" s="17"/>
      <c r="D78" s="17"/>
      <c r="E78" s="17"/>
      <c r="F78" s="17"/>
      <c r="G78" s="17"/>
      <c r="H78" s="17"/>
      <c r="I78" s="17"/>
    </row>
    <row r="79" customFormat="false" ht="15" hidden="false" customHeight="false" outlineLevel="0" collapsed="false">
      <c r="A79" s="18"/>
      <c r="B79" s="17"/>
      <c r="C79" s="17"/>
      <c r="D79" s="17"/>
      <c r="E79" s="17"/>
      <c r="F79" s="17"/>
      <c r="G79" s="17"/>
      <c r="H79" s="17"/>
      <c r="I79" s="17"/>
    </row>
    <row r="80" customFormat="false" ht="15" hidden="false" customHeight="false" outlineLevel="0" collapsed="false">
      <c r="A80" s="18"/>
      <c r="B80" s="17"/>
      <c r="C80" s="17"/>
      <c r="D80" s="17"/>
      <c r="E80" s="17"/>
      <c r="F80" s="17"/>
      <c r="G80" s="17"/>
      <c r="H80" s="17"/>
      <c r="I80" s="17"/>
    </row>
    <row r="81" customFormat="false" ht="15" hidden="false" customHeight="false" outlineLevel="0" collapsed="false">
      <c r="A81" s="18"/>
      <c r="B81" s="17"/>
      <c r="C81" s="17"/>
      <c r="D81" s="17"/>
      <c r="E81" s="17"/>
      <c r="F81" s="17"/>
      <c r="G81" s="17"/>
      <c r="H81" s="17"/>
      <c r="I81" s="17"/>
    </row>
    <row r="82" customFormat="false" ht="15" hidden="false" customHeight="false" outlineLevel="0" collapsed="false">
      <c r="A82" s="18"/>
      <c r="B82" s="17"/>
      <c r="C82" s="17"/>
      <c r="D82" s="17"/>
      <c r="E82" s="17"/>
      <c r="F82" s="17"/>
      <c r="G82" s="17"/>
      <c r="H82" s="17"/>
      <c r="I82" s="17"/>
    </row>
    <row r="83" customFormat="false" ht="15" hidden="false" customHeight="false" outlineLevel="0" collapsed="false">
      <c r="A83" s="18"/>
      <c r="B83" s="17"/>
      <c r="C83" s="17"/>
      <c r="D83" s="17"/>
      <c r="E83" s="17"/>
      <c r="F83" s="17"/>
      <c r="G83" s="17"/>
      <c r="H83" s="17"/>
      <c r="I83" s="17"/>
    </row>
    <row r="84" customFormat="false" ht="15" hidden="false" customHeight="false" outlineLevel="0" collapsed="false">
      <c r="A84" s="18"/>
      <c r="B84" s="17"/>
      <c r="C84" s="17"/>
      <c r="D84" s="17"/>
      <c r="E84" s="17"/>
      <c r="F84" s="17"/>
      <c r="G84" s="17"/>
      <c r="H84" s="17"/>
      <c r="I84" s="17"/>
    </row>
    <row r="85" customFormat="false" ht="15" hidden="false" customHeight="false" outlineLevel="0" collapsed="false">
      <c r="A85" s="18"/>
      <c r="B85" s="17"/>
      <c r="C85" s="17"/>
      <c r="D85" s="17"/>
      <c r="E85" s="17"/>
      <c r="F85" s="17"/>
      <c r="G85" s="17"/>
      <c r="H85" s="17"/>
      <c r="I85" s="17"/>
    </row>
    <row r="86" customFormat="false" ht="15" hidden="false" customHeight="false" outlineLevel="0" collapsed="false">
      <c r="A86" s="18"/>
      <c r="B86" s="17"/>
      <c r="C86" s="17"/>
      <c r="D86" s="17"/>
      <c r="E86" s="17"/>
      <c r="F86" s="17"/>
      <c r="G86" s="17"/>
      <c r="H86" s="17"/>
      <c r="I86" s="17"/>
    </row>
    <row r="87" customFormat="false" ht="15" hidden="false" customHeight="false" outlineLevel="0" collapsed="false">
      <c r="A87" s="18"/>
      <c r="B87" s="17"/>
      <c r="C87" s="17"/>
      <c r="D87" s="17"/>
      <c r="E87" s="17"/>
      <c r="F87" s="17"/>
      <c r="G87" s="17"/>
      <c r="H87" s="17"/>
      <c r="I87" s="17"/>
    </row>
    <row r="88" customFormat="false" ht="15" hidden="false" customHeight="false" outlineLevel="0" collapsed="false">
      <c r="A88" s="18"/>
      <c r="B88" s="17"/>
      <c r="C88" s="17"/>
      <c r="D88" s="17"/>
      <c r="E88" s="17"/>
      <c r="F88" s="17"/>
      <c r="G88" s="17"/>
      <c r="H88" s="17"/>
      <c r="I88" s="17"/>
    </row>
    <row r="89" customFormat="false" ht="15" hidden="false" customHeight="false" outlineLevel="0" collapsed="false">
      <c r="A89" s="18"/>
      <c r="B89" s="17"/>
      <c r="C89" s="17"/>
      <c r="D89" s="17"/>
      <c r="E89" s="17"/>
      <c r="F89" s="17"/>
      <c r="G89" s="17"/>
      <c r="H89" s="17"/>
      <c r="I89" s="17"/>
    </row>
    <row r="90" customFormat="false" ht="15" hidden="false" customHeight="false" outlineLevel="0" collapsed="false">
      <c r="A90" s="18"/>
      <c r="B90" s="17"/>
      <c r="C90" s="17"/>
      <c r="D90" s="17"/>
      <c r="E90" s="17"/>
      <c r="F90" s="17"/>
      <c r="G90" s="17"/>
      <c r="H90" s="17"/>
      <c r="I90" s="17"/>
    </row>
    <row r="91" customFormat="false" ht="15" hidden="false" customHeight="false" outlineLevel="0" collapsed="false">
      <c r="A91" s="18"/>
      <c r="B91" s="17"/>
      <c r="C91" s="17"/>
      <c r="D91" s="17"/>
      <c r="E91" s="17"/>
      <c r="F91" s="17"/>
      <c r="G91" s="17"/>
      <c r="H91" s="17"/>
      <c r="I91" s="17"/>
    </row>
    <row r="92" customFormat="false" ht="15" hidden="false" customHeight="false" outlineLevel="0" collapsed="false">
      <c r="A92" s="18"/>
      <c r="B92" s="17"/>
      <c r="C92" s="17"/>
      <c r="D92" s="17"/>
      <c r="E92" s="17"/>
      <c r="F92" s="17"/>
      <c r="G92" s="17"/>
      <c r="H92" s="17"/>
      <c r="I92" s="17"/>
    </row>
    <row r="93" customFormat="false" ht="15" hidden="false" customHeight="false" outlineLevel="0" collapsed="false">
      <c r="A93" s="18"/>
      <c r="B93" s="17"/>
      <c r="C93" s="17"/>
      <c r="D93" s="17"/>
      <c r="E93" s="17"/>
      <c r="F93" s="17"/>
      <c r="G93" s="17"/>
      <c r="H93" s="17"/>
      <c r="I93" s="17"/>
    </row>
    <row r="94" customFormat="false" ht="15" hidden="false" customHeight="false" outlineLevel="0" collapsed="false">
      <c r="A94" s="18"/>
      <c r="B94" s="17"/>
      <c r="C94" s="17"/>
      <c r="D94" s="17"/>
      <c r="E94" s="17"/>
      <c r="F94" s="17"/>
      <c r="G94" s="17"/>
      <c r="H94" s="17"/>
      <c r="I94" s="17"/>
    </row>
    <row r="95" customFormat="false" ht="15" hidden="false" customHeight="false" outlineLevel="0" collapsed="false">
      <c r="A95" s="18"/>
      <c r="B95" s="17"/>
      <c r="C95" s="17"/>
      <c r="D95" s="17"/>
      <c r="E95" s="17"/>
      <c r="F95" s="17"/>
      <c r="G95" s="17"/>
      <c r="H95" s="17"/>
      <c r="I95" s="17"/>
    </row>
    <row r="96" customFormat="false" ht="15" hidden="false" customHeight="false" outlineLevel="0" collapsed="false">
      <c r="A96" s="18"/>
      <c r="B96" s="17"/>
      <c r="C96" s="17"/>
      <c r="D96" s="17"/>
      <c r="E96" s="17"/>
      <c r="F96" s="17"/>
      <c r="G96" s="17"/>
      <c r="H96" s="17"/>
      <c r="I96" s="17"/>
    </row>
    <row r="97" customFormat="false" ht="15" hidden="false" customHeight="false" outlineLevel="0" collapsed="false">
      <c r="A97" s="18"/>
      <c r="B97" s="17"/>
      <c r="C97" s="17"/>
      <c r="D97" s="17"/>
      <c r="E97" s="17"/>
      <c r="F97" s="17"/>
      <c r="G97" s="17"/>
      <c r="H97" s="17"/>
      <c r="I97" s="17"/>
    </row>
    <row r="98" customFormat="false" ht="15" hidden="false" customHeight="false" outlineLevel="0" collapsed="false">
      <c r="A98" s="18"/>
      <c r="B98" s="17"/>
      <c r="C98" s="17"/>
      <c r="D98" s="17"/>
      <c r="E98" s="17"/>
      <c r="F98" s="17"/>
      <c r="G98" s="17"/>
      <c r="H98" s="17"/>
      <c r="I98" s="17"/>
    </row>
    <row r="99" customFormat="false" ht="15" hidden="false" customHeight="false" outlineLevel="0" collapsed="false">
      <c r="A99" s="18"/>
      <c r="B99" s="17"/>
      <c r="C99" s="17"/>
      <c r="D99" s="17"/>
      <c r="E99" s="17"/>
      <c r="F99" s="17"/>
      <c r="G99" s="17"/>
      <c r="H99" s="17"/>
      <c r="I99" s="17"/>
    </row>
    <row r="100" customFormat="false" ht="15" hidden="false" customHeight="false" outlineLevel="0" collapsed="false">
      <c r="A100" s="18"/>
      <c r="B100" s="17"/>
      <c r="C100" s="17"/>
      <c r="D100" s="17"/>
      <c r="E100" s="17"/>
      <c r="F100" s="17"/>
      <c r="G100" s="17"/>
      <c r="H100" s="17"/>
      <c r="I100" s="17"/>
    </row>
    <row r="101" customFormat="false" ht="15" hidden="false" customHeight="false" outlineLevel="0" collapsed="false">
      <c r="A101" s="18"/>
      <c r="B101" s="17"/>
      <c r="C101" s="17"/>
      <c r="D101" s="17"/>
      <c r="E101" s="17"/>
      <c r="F101" s="17"/>
      <c r="G101" s="17"/>
      <c r="H101" s="17"/>
      <c r="I101" s="17"/>
    </row>
    <row r="102" customFormat="false" ht="15" hidden="false" customHeight="false" outlineLevel="0" collapsed="false">
      <c r="A102" s="18"/>
      <c r="B102" s="17"/>
      <c r="C102" s="17"/>
      <c r="D102" s="17"/>
      <c r="E102" s="17"/>
      <c r="F102" s="17"/>
      <c r="G102" s="17"/>
      <c r="H102" s="17"/>
      <c r="I102" s="17"/>
    </row>
    <row r="103" customFormat="false" ht="15" hidden="false" customHeight="false" outlineLevel="0" collapsed="false">
      <c r="A103" s="18"/>
      <c r="B103" s="17"/>
      <c r="C103" s="17"/>
      <c r="D103" s="17"/>
      <c r="E103" s="17"/>
      <c r="F103" s="17"/>
      <c r="G103" s="17"/>
      <c r="H103" s="17"/>
      <c r="I103" s="17"/>
    </row>
    <row r="104" customFormat="false" ht="15" hidden="false" customHeight="false" outlineLevel="0" collapsed="false">
      <c r="A104" s="18"/>
      <c r="B104" s="17"/>
      <c r="C104" s="17"/>
      <c r="D104" s="17"/>
      <c r="E104" s="17"/>
      <c r="F104" s="17"/>
      <c r="G104" s="17"/>
      <c r="H104" s="17"/>
      <c r="I104" s="17"/>
    </row>
    <row r="105" customFormat="false" ht="15" hidden="false" customHeight="false" outlineLevel="0" collapsed="false">
      <c r="A105" s="18"/>
      <c r="B105" s="17"/>
      <c r="C105" s="17"/>
      <c r="D105" s="17"/>
      <c r="E105" s="17"/>
      <c r="F105" s="17"/>
      <c r="G105" s="17"/>
      <c r="H105" s="17"/>
      <c r="I105" s="17"/>
    </row>
    <row r="106" customFormat="false" ht="15" hidden="false" customHeight="false" outlineLevel="0" collapsed="false">
      <c r="A106" s="18"/>
      <c r="B106" s="17"/>
      <c r="C106" s="17"/>
      <c r="D106" s="17"/>
      <c r="E106" s="17"/>
      <c r="F106" s="17"/>
      <c r="G106" s="17"/>
      <c r="H106" s="17"/>
      <c r="I106" s="17"/>
    </row>
    <row r="107" customFormat="false" ht="15" hidden="false" customHeight="false" outlineLevel="0" collapsed="false">
      <c r="A107" s="18"/>
      <c r="B107" s="17"/>
      <c r="C107" s="17"/>
      <c r="D107" s="17"/>
      <c r="E107" s="17"/>
      <c r="F107" s="17"/>
      <c r="G107" s="17"/>
      <c r="H107" s="17"/>
      <c r="I107" s="17"/>
    </row>
    <row r="108" customFormat="false" ht="15" hidden="false" customHeight="false" outlineLevel="0" collapsed="false">
      <c r="A108" s="18"/>
      <c r="B108" s="17"/>
      <c r="C108" s="17"/>
      <c r="D108" s="17"/>
      <c r="E108" s="17"/>
      <c r="F108" s="17"/>
      <c r="G108" s="17"/>
      <c r="H108" s="17"/>
      <c r="I108" s="17"/>
    </row>
    <row r="109" customFormat="false" ht="15" hidden="false" customHeight="false" outlineLevel="0" collapsed="false">
      <c r="A109" s="18"/>
      <c r="B109" s="17"/>
      <c r="C109" s="17"/>
      <c r="D109" s="17"/>
      <c r="E109" s="17"/>
      <c r="F109" s="17"/>
      <c r="G109" s="17"/>
      <c r="H109" s="17"/>
      <c r="I109" s="17"/>
    </row>
    <row r="110" customFormat="false" ht="15" hidden="false" customHeight="false" outlineLevel="0" collapsed="false">
      <c r="A110" s="18"/>
      <c r="B110" s="17"/>
      <c r="C110" s="17"/>
      <c r="D110" s="17"/>
      <c r="E110" s="17"/>
      <c r="F110" s="17"/>
      <c r="G110" s="17"/>
      <c r="H110" s="17"/>
      <c r="I110" s="17"/>
    </row>
    <row r="111" customFormat="false" ht="15" hidden="false" customHeight="false" outlineLevel="0" collapsed="false">
      <c r="A111" s="18"/>
      <c r="B111" s="17"/>
      <c r="C111" s="17"/>
      <c r="D111" s="17"/>
      <c r="E111" s="17"/>
      <c r="F111" s="17"/>
      <c r="G111" s="17"/>
      <c r="H111" s="17"/>
      <c r="I111" s="17"/>
    </row>
    <row r="112" customFormat="false" ht="15" hidden="false" customHeight="false" outlineLevel="0" collapsed="false">
      <c r="A112" s="18"/>
      <c r="B112" s="17"/>
      <c r="C112" s="17"/>
      <c r="D112" s="17"/>
      <c r="E112" s="17"/>
      <c r="F112" s="17"/>
      <c r="G112" s="17"/>
      <c r="H112" s="17"/>
      <c r="I112" s="17"/>
    </row>
    <row r="113" customFormat="false" ht="15" hidden="false" customHeight="false" outlineLevel="0" collapsed="false">
      <c r="A113" s="18"/>
      <c r="B113" s="17"/>
      <c r="C113" s="17"/>
      <c r="D113" s="17"/>
      <c r="E113" s="17"/>
      <c r="F113" s="17"/>
      <c r="G113" s="17"/>
      <c r="H113" s="17"/>
      <c r="I113" s="17"/>
    </row>
    <row r="114" customFormat="false" ht="15" hidden="false" customHeight="false" outlineLevel="0" collapsed="false">
      <c r="A114" s="18"/>
      <c r="B114" s="17"/>
      <c r="C114" s="17"/>
      <c r="D114" s="17"/>
      <c r="E114" s="17"/>
      <c r="F114" s="17"/>
      <c r="G114" s="17"/>
      <c r="H114" s="17"/>
      <c r="I114" s="17"/>
    </row>
    <row r="115" customFormat="false" ht="15" hidden="false" customHeight="false" outlineLevel="0" collapsed="false">
      <c r="A115" s="18"/>
      <c r="B115" s="17"/>
      <c r="C115" s="17"/>
      <c r="D115" s="17"/>
      <c r="E115" s="17"/>
      <c r="F115" s="17"/>
      <c r="G115" s="17"/>
      <c r="H115" s="17"/>
      <c r="I115" s="17"/>
    </row>
    <row r="116" customFormat="false" ht="15" hidden="false" customHeight="false" outlineLevel="0" collapsed="false">
      <c r="A116" s="18"/>
      <c r="B116" s="17"/>
      <c r="C116" s="17"/>
      <c r="D116" s="17"/>
      <c r="E116" s="17"/>
      <c r="F116" s="17"/>
      <c r="G116" s="17"/>
      <c r="H116" s="17"/>
      <c r="I116" s="17"/>
    </row>
    <row r="117" customFormat="false" ht="15" hidden="false" customHeight="false" outlineLevel="0" collapsed="false">
      <c r="A117" s="18"/>
      <c r="B117" s="17"/>
      <c r="C117" s="17"/>
      <c r="D117" s="17"/>
      <c r="E117" s="17"/>
      <c r="F117" s="17"/>
      <c r="G117" s="17"/>
      <c r="H117" s="17"/>
      <c r="I117" s="17"/>
    </row>
    <row r="118" customFormat="false" ht="15" hidden="false" customHeight="false" outlineLevel="0" collapsed="false">
      <c r="A118" s="18"/>
      <c r="B118" s="17"/>
      <c r="C118" s="17"/>
      <c r="D118" s="17"/>
      <c r="E118" s="17"/>
      <c r="F118" s="17"/>
      <c r="G118" s="17"/>
      <c r="H118" s="17"/>
      <c r="I118" s="17"/>
    </row>
    <row r="119" customFormat="false" ht="15" hidden="false" customHeight="false" outlineLevel="0" collapsed="false">
      <c r="A119" s="18"/>
      <c r="B119" s="17"/>
      <c r="C119" s="17"/>
      <c r="D119" s="17"/>
      <c r="E119" s="17"/>
      <c r="F119" s="17"/>
      <c r="G119" s="17"/>
      <c r="H119" s="17"/>
      <c r="I119" s="17"/>
    </row>
    <row r="120" customFormat="false" ht="15" hidden="false" customHeight="false" outlineLevel="0" collapsed="false">
      <c r="A120" s="18"/>
      <c r="B120" s="17"/>
      <c r="C120" s="17"/>
      <c r="D120" s="17"/>
      <c r="E120" s="17"/>
      <c r="F120" s="17"/>
      <c r="G120" s="17"/>
      <c r="H120" s="17"/>
      <c r="I120" s="17"/>
    </row>
    <row r="121" customFormat="false" ht="15" hidden="false" customHeight="false" outlineLevel="0" collapsed="false">
      <c r="A121" s="18"/>
      <c r="B121" s="17"/>
      <c r="C121" s="17"/>
      <c r="D121" s="17"/>
      <c r="E121" s="17"/>
      <c r="F121" s="17"/>
      <c r="G121" s="17"/>
      <c r="H121" s="17"/>
      <c r="I121" s="17"/>
    </row>
    <row r="122" customFormat="false" ht="15" hidden="false" customHeight="false" outlineLevel="0" collapsed="false">
      <c r="A122" s="18"/>
      <c r="B122" s="17"/>
      <c r="C122" s="17"/>
      <c r="D122" s="17"/>
      <c r="E122" s="17"/>
      <c r="F122" s="17"/>
      <c r="G122" s="17"/>
      <c r="H122" s="17"/>
      <c r="I122" s="17"/>
    </row>
    <row r="123" customFormat="false" ht="15" hidden="false" customHeight="false" outlineLevel="0" collapsed="false">
      <c r="A123" s="18"/>
      <c r="B123" s="17"/>
      <c r="C123" s="17"/>
      <c r="D123" s="17"/>
      <c r="E123" s="17"/>
      <c r="F123" s="17"/>
      <c r="G123" s="17"/>
      <c r="H123" s="17"/>
      <c r="I123" s="17"/>
    </row>
    <row r="124" customFormat="false" ht="15" hidden="false" customHeight="false" outlineLevel="0" collapsed="false">
      <c r="A124" s="18"/>
      <c r="B124" s="17"/>
      <c r="C124" s="17"/>
      <c r="D124" s="17"/>
      <c r="E124" s="17"/>
      <c r="F124" s="17"/>
      <c r="G124" s="17"/>
      <c r="H124" s="17"/>
      <c r="I124" s="17"/>
    </row>
    <row r="125" customFormat="false" ht="15" hidden="false" customHeight="false" outlineLevel="0" collapsed="false">
      <c r="A125" s="18"/>
      <c r="B125" s="17"/>
      <c r="C125" s="17"/>
      <c r="D125" s="17"/>
      <c r="E125" s="17"/>
      <c r="F125" s="17"/>
      <c r="G125" s="17"/>
      <c r="H125" s="17"/>
      <c r="I125" s="17"/>
    </row>
    <row r="126" customFormat="false" ht="15" hidden="false" customHeight="false" outlineLevel="0" collapsed="false">
      <c r="A126" s="18"/>
      <c r="B126" s="17"/>
      <c r="C126" s="17"/>
      <c r="D126" s="17"/>
      <c r="E126" s="17"/>
      <c r="F126" s="17"/>
      <c r="G126" s="17"/>
      <c r="H126" s="17"/>
      <c r="I126" s="17"/>
    </row>
    <row r="127" customFormat="false" ht="15" hidden="false" customHeight="false" outlineLevel="0" collapsed="false">
      <c r="A127" s="18"/>
      <c r="B127" s="17"/>
      <c r="C127" s="17"/>
      <c r="D127" s="17"/>
      <c r="E127" s="17"/>
      <c r="F127" s="17"/>
      <c r="G127" s="17"/>
      <c r="H127" s="17"/>
      <c r="I127" s="17"/>
    </row>
    <row r="128" customFormat="false" ht="15" hidden="false" customHeight="false" outlineLevel="0" collapsed="false">
      <c r="A128" s="18"/>
      <c r="B128" s="17"/>
      <c r="C128" s="17"/>
      <c r="D128" s="17"/>
      <c r="E128" s="17"/>
      <c r="F128" s="17"/>
      <c r="G128" s="17"/>
      <c r="H128" s="17"/>
      <c r="I128" s="17"/>
    </row>
    <row r="129" customFormat="false" ht="15" hidden="false" customHeight="false" outlineLevel="0" collapsed="false">
      <c r="A129" s="18"/>
      <c r="B129" s="17"/>
      <c r="C129" s="17"/>
      <c r="D129" s="17"/>
      <c r="E129" s="17"/>
      <c r="F129" s="17"/>
      <c r="G129" s="17"/>
      <c r="H129" s="17"/>
      <c r="I129" s="17"/>
    </row>
    <row r="130" customFormat="false" ht="15" hidden="false" customHeight="false" outlineLevel="0" collapsed="false">
      <c r="A130" s="18"/>
      <c r="B130" s="17"/>
      <c r="C130" s="17"/>
      <c r="D130" s="17"/>
      <c r="E130" s="17"/>
      <c r="F130" s="17"/>
      <c r="G130" s="17"/>
      <c r="H130" s="17"/>
      <c r="I130" s="17"/>
    </row>
    <row r="131" customFormat="false" ht="15" hidden="false" customHeight="false" outlineLevel="0" collapsed="false">
      <c r="A131" s="18"/>
      <c r="B131" s="17"/>
      <c r="C131" s="17"/>
      <c r="D131" s="17"/>
      <c r="E131" s="17"/>
      <c r="F131" s="17"/>
      <c r="G131" s="17"/>
      <c r="H131" s="17"/>
      <c r="I131" s="17"/>
    </row>
    <row r="132" customFormat="false" ht="15" hidden="false" customHeight="false" outlineLevel="0" collapsed="false">
      <c r="A132" s="18"/>
      <c r="B132" s="17"/>
      <c r="C132" s="17"/>
      <c r="D132" s="17"/>
      <c r="E132" s="17"/>
      <c r="F132" s="17"/>
      <c r="G132" s="17"/>
      <c r="H132" s="17"/>
      <c r="I132" s="17"/>
    </row>
    <row r="133" customFormat="false" ht="15" hidden="false" customHeight="false" outlineLevel="0" collapsed="false">
      <c r="A133" s="18"/>
      <c r="B133" s="17"/>
      <c r="C133" s="17"/>
      <c r="D133" s="17"/>
      <c r="E133" s="17"/>
      <c r="F133" s="17"/>
      <c r="G133" s="17"/>
      <c r="H133" s="17"/>
      <c r="I133" s="17"/>
    </row>
    <row r="134" customFormat="false" ht="15" hidden="false" customHeight="false" outlineLevel="0" collapsed="false">
      <c r="A134" s="18"/>
      <c r="B134" s="17"/>
      <c r="C134" s="17"/>
      <c r="D134" s="17"/>
      <c r="E134" s="17"/>
      <c r="F134" s="17"/>
      <c r="G134" s="17"/>
      <c r="H134" s="17"/>
      <c r="I134" s="17"/>
    </row>
    <row r="135" customFormat="false" ht="15" hidden="false" customHeight="false" outlineLevel="0" collapsed="false">
      <c r="A135" s="18"/>
      <c r="B135" s="17"/>
      <c r="C135" s="17"/>
      <c r="D135" s="17"/>
      <c r="E135" s="17"/>
      <c r="F135" s="17"/>
      <c r="G135" s="17"/>
      <c r="H135" s="17"/>
      <c r="I135" s="17"/>
    </row>
    <row r="136" customFormat="false" ht="15" hidden="false" customHeight="false" outlineLevel="0" collapsed="false">
      <c r="A136" s="18"/>
      <c r="B136" s="17"/>
      <c r="C136" s="17"/>
      <c r="D136" s="17"/>
      <c r="E136" s="17"/>
      <c r="F136" s="17"/>
      <c r="G136" s="17"/>
      <c r="H136" s="17"/>
      <c r="I136" s="17"/>
    </row>
    <row r="137" customFormat="false" ht="15" hidden="false" customHeight="false" outlineLevel="0" collapsed="false">
      <c r="A137" s="18"/>
      <c r="B137" s="17"/>
      <c r="C137" s="17"/>
      <c r="D137" s="17"/>
      <c r="E137" s="17"/>
      <c r="F137" s="17"/>
      <c r="G137" s="17"/>
      <c r="H137" s="17"/>
      <c r="I137" s="17"/>
    </row>
    <row r="138" customFormat="false" ht="15" hidden="false" customHeight="false" outlineLevel="0" collapsed="false">
      <c r="A138" s="18"/>
      <c r="B138" s="17"/>
      <c r="C138" s="17"/>
      <c r="D138" s="17"/>
      <c r="E138" s="17"/>
      <c r="F138" s="17"/>
      <c r="G138" s="17"/>
      <c r="H138" s="17"/>
      <c r="I138" s="17"/>
    </row>
    <row r="139" customFormat="false" ht="15" hidden="false" customHeight="false" outlineLevel="0" collapsed="false">
      <c r="A139" s="18"/>
      <c r="B139" s="17"/>
      <c r="C139" s="17"/>
      <c r="D139" s="17"/>
      <c r="E139" s="17"/>
      <c r="F139" s="17"/>
      <c r="G139" s="17"/>
      <c r="H139" s="17"/>
      <c r="I139" s="17"/>
    </row>
    <row r="140" customFormat="false" ht="15" hidden="false" customHeight="false" outlineLevel="0" collapsed="false">
      <c r="A140" s="18"/>
      <c r="B140" s="17"/>
      <c r="C140" s="17"/>
      <c r="D140" s="17"/>
      <c r="E140" s="17"/>
      <c r="F140" s="17"/>
      <c r="G140" s="17"/>
      <c r="H140" s="17"/>
      <c r="I140" s="17"/>
    </row>
    <row r="141" customFormat="false" ht="15" hidden="false" customHeight="false" outlineLevel="0" collapsed="false">
      <c r="A141" s="18"/>
      <c r="B141" s="17"/>
      <c r="C141" s="17"/>
      <c r="D141" s="17"/>
      <c r="E141" s="17"/>
      <c r="F141" s="17"/>
      <c r="G141" s="17"/>
      <c r="H141" s="17"/>
      <c r="I141" s="17"/>
    </row>
    <row r="142" customFormat="false" ht="15" hidden="false" customHeight="false" outlineLevel="0" collapsed="false">
      <c r="A142" s="18"/>
      <c r="B142" s="17"/>
      <c r="C142" s="17"/>
      <c r="D142" s="17"/>
      <c r="E142" s="17"/>
      <c r="F142" s="17"/>
      <c r="G142" s="17"/>
      <c r="H142" s="17"/>
      <c r="I142" s="17"/>
    </row>
    <row r="143" customFormat="false" ht="15" hidden="false" customHeight="false" outlineLevel="0" collapsed="false">
      <c r="A143" s="18"/>
      <c r="B143" s="17"/>
      <c r="C143" s="17"/>
      <c r="D143" s="17"/>
      <c r="E143" s="17"/>
      <c r="F143" s="17"/>
      <c r="G143" s="17"/>
      <c r="H143" s="17"/>
      <c r="I143" s="17"/>
    </row>
    <row r="144" customFormat="false" ht="15" hidden="false" customHeight="false" outlineLevel="0" collapsed="false">
      <c r="A144" s="18"/>
      <c r="B144" s="17"/>
      <c r="C144" s="17"/>
      <c r="D144" s="17"/>
      <c r="E144" s="17"/>
      <c r="F144" s="17"/>
      <c r="G144" s="17"/>
      <c r="H144" s="17"/>
      <c r="I144" s="17"/>
    </row>
    <row r="145" customFormat="false" ht="15" hidden="false" customHeight="false" outlineLevel="0" collapsed="false">
      <c r="A145" s="18"/>
      <c r="B145" s="17"/>
      <c r="C145" s="17"/>
      <c r="D145" s="17"/>
      <c r="E145" s="17"/>
      <c r="F145" s="17"/>
      <c r="G145" s="17"/>
      <c r="H145" s="17"/>
      <c r="I145" s="17"/>
    </row>
    <row r="146" customFormat="false" ht="15" hidden="false" customHeight="false" outlineLevel="0" collapsed="false">
      <c r="A146" s="18"/>
      <c r="B146" s="17"/>
      <c r="C146" s="17"/>
      <c r="D146" s="17"/>
      <c r="E146" s="17"/>
      <c r="F146" s="17"/>
      <c r="G146" s="17"/>
      <c r="H146" s="17"/>
      <c r="I146" s="17"/>
    </row>
    <row r="147" customFormat="false" ht="15" hidden="false" customHeight="false" outlineLevel="0" collapsed="false">
      <c r="A147" s="18"/>
      <c r="B147" s="17"/>
      <c r="C147" s="17"/>
      <c r="D147" s="17"/>
      <c r="E147" s="17"/>
      <c r="F147" s="17"/>
      <c r="G147" s="17"/>
      <c r="H147" s="17"/>
      <c r="I147" s="17"/>
    </row>
    <row r="148" customFormat="false" ht="15" hidden="false" customHeight="false" outlineLevel="0" collapsed="false">
      <c r="A148" s="18"/>
      <c r="B148" s="17"/>
      <c r="C148" s="17"/>
      <c r="D148" s="17"/>
      <c r="E148" s="17"/>
      <c r="F148" s="17"/>
      <c r="G148" s="17"/>
      <c r="H148" s="17"/>
      <c r="I148" s="17"/>
    </row>
    <row r="149" customFormat="false" ht="15" hidden="false" customHeight="false" outlineLevel="0" collapsed="false">
      <c r="A149" s="18"/>
      <c r="B149" s="17"/>
      <c r="C149" s="17"/>
      <c r="D149" s="17"/>
      <c r="E149" s="17"/>
      <c r="F149" s="17"/>
      <c r="G149" s="17"/>
      <c r="H149" s="17"/>
      <c r="I149" s="17"/>
    </row>
    <row r="150" customFormat="false" ht="15" hidden="false" customHeight="false" outlineLevel="0" collapsed="false">
      <c r="A150" s="18"/>
      <c r="B150" s="17"/>
      <c r="C150" s="17"/>
      <c r="D150" s="17"/>
      <c r="E150" s="17"/>
      <c r="F150" s="17"/>
      <c r="G150" s="17"/>
      <c r="H150" s="17"/>
      <c r="I150" s="17"/>
    </row>
    <row r="151" customFormat="false" ht="15" hidden="false" customHeight="false" outlineLevel="0" collapsed="false">
      <c r="A151" s="18"/>
      <c r="B151" s="17"/>
      <c r="C151" s="17"/>
      <c r="D151" s="17"/>
      <c r="E151" s="17"/>
      <c r="F151" s="17"/>
      <c r="G151" s="17"/>
      <c r="H151" s="17"/>
      <c r="I151" s="17"/>
    </row>
    <row r="152" customFormat="false" ht="15" hidden="false" customHeight="false" outlineLevel="0" collapsed="false">
      <c r="A152" s="18"/>
      <c r="B152" s="17"/>
      <c r="C152" s="17"/>
      <c r="D152" s="17"/>
      <c r="E152" s="17"/>
      <c r="F152" s="17"/>
      <c r="G152" s="17"/>
      <c r="H152" s="17"/>
      <c r="I152" s="17"/>
    </row>
    <row r="153" customFormat="false" ht="15" hidden="false" customHeight="false" outlineLevel="0" collapsed="false">
      <c r="A153" s="18"/>
      <c r="B153" s="17"/>
      <c r="C153" s="17"/>
      <c r="D153" s="17"/>
      <c r="E153" s="17"/>
      <c r="F153" s="17"/>
      <c r="G153" s="17"/>
      <c r="H153" s="17"/>
      <c r="I153" s="17"/>
    </row>
    <row r="154" customFormat="false" ht="15" hidden="false" customHeight="false" outlineLevel="0" collapsed="false">
      <c r="A154" s="18"/>
      <c r="B154" s="17"/>
      <c r="C154" s="17"/>
      <c r="D154" s="17"/>
      <c r="E154" s="17"/>
      <c r="F154" s="17"/>
      <c r="G154" s="17"/>
      <c r="H154" s="17"/>
      <c r="I154" s="17"/>
    </row>
    <row r="155" customFormat="false" ht="15" hidden="false" customHeight="false" outlineLevel="0" collapsed="false">
      <c r="A155" s="18"/>
      <c r="B155" s="17"/>
      <c r="C155" s="17"/>
      <c r="D155" s="17"/>
      <c r="E155" s="17"/>
      <c r="F155" s="17"/>
      <c r="G155" s="17"/>
      <c r="H155" s="17"/>
      <c r="I155" s="17"/>
    </row>
    <row r="156" customFormat="false" ht="15" hidden="false" customHeight="false" outlineLevel="0" collapsed="false">
      <c r="A156" s="18"/>
      <c r="B156" s="17"/>
      <c r="C156" s="17"/>
      <c r="D156" s="17"/>
      <c r="E156" s="17"/>
      <c r="F156" s="17"/>
      <c r="G156" s="17"/>
      <c r="H156" s="17"/>
      <c r="I156" s="17"/>
    </row>
    <row r="157" customFormat="false" ht="15" hidden="false" customHeight="false" outlineLevel="0" collapsed="false">
      <c r="A157" s="18"/>
      <c r="B157" s="17"/>
      <c r="C157" s="17"/>
      <c r="D157" s="17"/>
      <c r="E157" s="17"/>
      <c r="F157" s="17"/>
      <c r="G157" s="17"/>
      <c r="H157" s="17"/>
      <c r="I157" s="17"/>
    </row>
    <row r="158" customFormat="false" ht="15" hidden="false" customHeight="false" outlineLevel="0" collapsed="false">
      <c r="A158" s="18"/>
      <c r="B158" s="17"/>
      <c r="C158" s="17"/>
      <c r="D158" s="17"/>
      <c r="E158" s="17"/>
      <c r="F158" s="17"/>
      <c r="G158" s="17"/>
      <c r="H158" s="17"/>
      <c r="I158" s="17"/>
    </row>
    <row r="159" customFormat="false" ht="15" hidden="false" customHeight="false" outlineLevel="0" collapsed="false">
      <c r="A159" s="18"/>
      <c r="B159" s="17"/>
      <c r="C159" s="17"/>
      <c r="D159" s="17"/>
      <c r="E159" s="17"/>
      <c r="F159" s="17"/>
      <c r="G159" s="17"/>
      <c r="H159" s="17"/>
      <c r="I159" s="17"/>
    </row>
    <row r="160" customFormat="false" ht="15" hidden="false" customHeight="false" outlineLevel="0" collapsed="false">
      <c r="A160" s="18"/>
      <c r="B160" s="17"/>
      <c r="C160" s="17"/>
      <c r="D160" s="17"/>
      <c r="E160" s="17"/>
      <c r="F160" s="17"/>
      <c r="G160" s="17"/>
      <c r="H160" s="17"/>
      <c r="I160" s="17"/>
    </row>
    <row r="161" customFormat="false" ht="15" hidden="false" customHeight="false" outlineLevel="0" collapsed="false">
      <c r="A161" s="18"/>
      <c r="B161" s="17"/>
      <c r="C161" s="17"/>
      <c r="D161" s="17"/>
      <c r="E161" s="17"/>
      <c r="F161" s="17"/>
      <c r="G161" s="17"/>
      <c r="H161" s="17"/>
      <c r="I161" s="17"/>
    </row>
    <row r="162" customFormat="false" ht="15" hidden="false" customHeight="false" outlineLevel="0" collapsed="false">
      <c r="A162" s="18"/>
      <c r="B162" s="17"/>
      <c r="C162" s="17"/>
      <c r="D162" s="17"/>
      <c r="E162" s="17"/>
      <c r="F162" s="17"/>
      <c r="G162" s="17"/>
      <c r="H162" s="17"/>
      <c r="I162" s="17"/>
    </row>
    <row r="163" customFormat="false" ht="15" hidden="false" customHeight="false" outlineLevel="0" collapsed="false">
      <c r="A163" s="18"/>
      <c r="B163" s="17"/>
      <c r="C163" s="17"/>
      <c r="D163" s="17"/>
      <c r="E163" s="17"/>
      <c r="F163" s="17"/>
      <c r="G163" s="17"/>
      <c r="H163" s="17"/>
      <c r="I163" s="17"/>
    </row>
    <row r="164" customFormat="false" ht="15" hidden="false" customHeight="false" outlineLevel="0" collapsed="false">
      <c r="A164" s="18"/>
      <c r="B164" s="17"/>
      <c r="C164" s="17"/>
      <c r="D164" s="17"/>
      <c r="E164" s="17"/>
      <c r="F164" s="17"/>
      <c r="G164" s="17"/>
      <c r="H164" s="17"/>
      <c r="I164" s="17"/>
    </row>
    <row r="165" customFormat="false" ht="15" hidden="false" customHeight="false" outlineLevel="0" collapsed="false">
      <c r="A165" s="18"/>
      <c r="B165" s="17"/>
      <c r="C165" s="17"/>
      <c r="D165" s="17"/>
      <c r="E165" s="17"/>
      <c r="F165" s="17"/>
      <c r="G165" s="17"/>
      <c r="H165" s="17"/>
      <c r="I165" s="17"/>
    </row>
    <row r="166" customFormat="false" ht="15" hidden="false" customHeight="false" outlineLevel="0" collapsed="false">
      <c r="A166" s="18"/>
      <c r="B166" s="17"/>
      <c r="C166" s="17"/>
      <c r="D166" s="17"/>
      <c r="E166" s="17"/>
      <c r="F166" s="17"/>
      <c r="G166" s="17"/>
      <c r="H166" s="17"/>
      <c r="I166" s="17"/>
    </row>
    <row r="167" customFormat="false" ht="15" hidden="false" customHeight="false" outlineLevel="0" collapsed="false">
      <c r="A167" s="18"/>
      <c r="B167" s="17"/>
      <c r="C167" s="17"/>
      <c r="D167" s="17"/>
      <c r="E167" s="17"/>
      <c r="F167" s="17"/>
      <c r="G167" s="17"/>
      <c r="H167" s="17"/>
      <c r="I167" s="17"/>
    </row>
    <row r="168" customFormat="false" ht="15" hidden="false" customHeight="false" outlineLevel="0" collapsed="false">
      <c r="A168" s="18"/>
      <c r="B168" s="17"/>
      <c r="C168" s="17"/>
      <c r="D168" s="17"/>
      <c r="E168" s="17"/>
      <c r="F168" s="17"/>
      <c r="G168" s="17"/>
      <c r="H168" s="17"/>
      <c r="I168" s="17"/>
    </row>
    <row r="169" customFormat="false" ht="15" hidden="false" customHeight="false" outlineLevel="0" collapsed="false">
      <c r="A169" s="18"/>
      <c r="B169" s="17"/>
      <c r="C169" s="17"/>
      <c r="D169" s="17"/>
      <c r="E169" s="17"/>
      <c r="F169" s="17"/>
      <c r="G169" s="17"/>
      <c r="H169" s="17"/>
      <c r="I169" s="17"/>
    </row>
    <row r="170" customFormat="false" ht="15" hidden="false" customHeight="false" outlineLevel="0" collapsed="false">
      <c r="A170" s="18"/>
      <c r="B170" s="17"/>
      <c r="C170" s="17"/>
      <c r="D170" s="17"/>
      <c r="E170" s="17"/>
      <c r="F170" s="17"/>
      <c r="G170" s="17"/>
      <c r="H170" s="17"/>
      <c r="I170" s="17"/>
    </row>
    <row r="171" customFormat="false" ht="15" hidden="false" customHeight="false" outlineLevel="0" collapsed="false">
      <c r="A171" s="18"/>
      <c r="B171" s="17"/>
      <c r="C171" s="17"/>
      <c r="D171" s="17"/>
      <c r="E171" s="17"/>
      <c r="F171" s="17"/>
      <c r="G171" s="17"/>
      <c r="H171" s="17"/>
      <c r="I171" s="17"/>
    </row>
    <row r="172" customFormat="false" ht="15" hidden="false" customHeight="false" outlineLevel="0" collapsed="false">
      <c r="A172" s="18"/>
      <c r="B172" s="17"/>
      <c r="C172" s="17"/>
      <c r="D172" s="17"/>
      <c r="E172" s="17"/>
      <c r="F172" s="17"/>
      <c r="G172" s="17"/>
      <c r="H172" s="17"/>
      <c r="I172" s="17"/>
    </row>
    <row r="173" customFormat="false" ht="15" hidden="false" customHeight="false" outlineLevel="0" collapsed="false">
      <c r="A173" s="18"/>
      <c r="B173" s="17"/>
      <c r="C173" s="17"/>
      <c r="D173" s="17"/>
      <c r="E173" s="17"/>
      <c r="F173" s="17"/>
      <c r="G173" s="17"/>
      <c r="H173" s="17"/>
      <c r="I173" s="17"/>
    </row>
    <row r="174" customFormat="false" ht="15" hidden="false" customHeight="false" outlineLevel="0" collapsed="false">
      <c r="A174" s="18"/>
      <c r="B174" s="17"/>
      <c r="C174" s="17"/>
      <c r="D174" s="17"/>
      <c r="E174" s="17"/>
      <c r="F174" s="17"/>
      <c r="G174" s="17"/>
      <c r="H174" s="17"/>
      <c r="I174" s="17"/>
    </row>
    <row r="175" customFormat="false" ht="15" hidden="false" customHeight="false" outlineLevel="0" collapsed="false">
      <c r="A175" s="18"/>
      <c r="B175" s="17"/>
      <c r="C175" s="17"/>
      <c r="D175" s="17"/>
      <c r="E175" s="17"/>
      <c r="F175" s="17"/>
      <c r="G175" s="17"/>
      <c r="H175" s="17"/>
      <c r="I175" s="17"/>
    </row>
    <row r="176" customFormat="false" ht="15" hidden="false" customHeight="false" outlineLevel="0" collapsed="false">
      <c r="A176" s="18"/>
      <c r="B176" s="17"/>
      <c r="C176" s="17"/>
      <c r="D176" s="17"/>
      <c r="E176" s="17"/>
      <c r="F176" s="17"/>
      <c r="G176" s="17"/>
      <c r="H176" s="17"/>
      <c r="I176" s="17"/>
    </row>
    <row r="177" customFormat="false" ht="15" hidden="false" customHeight="false" outlineLevel="0" collapsed="false">
      <c r="A177" s="18"/>
      <c r="B177" s="17"/>
      <c r="C177" s="17"/>
      <c r="D177" s="17"/>
      <c r="E177" s="17"/>
      <c r="F177" s="17"/>
      <c r="G177" s="17"/>
      <c r="H177" s="17"/>
      <c r="I177" s="17"/>
    </row>
    <row r="178" customFormat="false" ht="15" hidden="false" customHeight="false" outlineLevel="0" collapsed="false">
      <c r="A178" s="18"/>
      <c r="B178" s="17"/>
      <c r="C178" s="17"/>
      <c r="D178" s="17"/>
      <c r="E178" s="17"/>
      <c r="F178" s="17"/>
      <c r="G178" s="17"/>
      <c r="H178" s="17"/>
      <c r="I178" s="17"/>
    </row>
    <row r="179" customFormat="false" ht="15" hidden="false" customHeight="false" outlineLevel="0" collapsed="false">
      <c r="A179" s="18"/>
      <c r="B179" s="17"/>
      <c r="C179" s="17"/>
      <c r="D179" s="17"/>
      <c r="E179" s="17"/>
      <c r="F179" s="17"/>
      <c r="G179" s="17"/>
      <c r="H179" s="17"/>
      <c r="I179" s="17"/>
    </row>
    <row r="180" customFormat="false" ht="15" hidden="false" customHeight="false" outlineLevel="0" collapsed="false">
      <c r="A180" s="18"/>
      <c r="B180" s="17"/>
      <c r="C180" s="17"/>
      <c r="D180" s="17"/>
      <c r="E180" s="17"/>
      <c r="F180" s="17"/>
      <c r="G180" s="17"/>
      <c r="H180" s="17"/>
      <c r="I180" s="17"/>
    </row>
    <row r="181" customFormat="false" ht="15" hidden="false" customHeight="false" outlineLevel="0" collapsed="false">
      <c r="A181" s="18"/>
      <c r="B181" s="17"/>
      <c r="C181" s="17"/>
      <c r="D181" s="17"/>
      <c r="E181" s="17"/>
      <c r="F181" s="17"/>
      <c r="G181" s="17"/>
      <c r="H181" s="17"/>
      <c r="I181" s="17"/>
    </row>
    <row r="182" customFormat="false" ht="15" hidden="false" customHeight="false" outlineLevel="0" collapsed="false">
      <c r="A182" s="18"/>
      <c r="B182" s="17"/>
      <c r="C182" s="17"/>
      <c r="D182" s="17"/>
      <c r="E182" s="17"/>
      <c r="F182" s="17"/>
      <c r="G182" s="17"/>
      <c r="H182" s="17"/>
      <c r="I182" s="17"/>
    </row>
    <row r="183" customFormat="false" ht="15" hidden="false" customHeight="false" outlineLevel="0" collapsed="false">
      <c r="A183" s="18"/>
      <c r="B183" s="17"/>
      <c r="C183" s="17"/>
      <c r="D183" s="17"/>
      <c r="E183" s="17"/>
      <c r="F183" s="17"/>
      <c r="G183" s="17"/>
      <c r="H183" s="17"/>
      <c r="I183" s="17"/>
    </row>
    <row r="184" customFormat="false" ht="15" hidden="false" customHeight="false" outlineLevel="0" collapsed="false">
      <c r="A184" s="18"/>
      <c r="B184" s="17"/>
      <c r="C184" s="17"/>
      <c r="D184" s="17"/>
      <c r="E184" s="17"/>
      <c r="F184" s="17"/>
      <c r="G184" s="17"/>
      <c r="H184" s="17"/>
      <c r="I184" s="17"/>
    </row>
    <row r="185" customFormat="false" ht="15" hidden="false" customHeight="false" outlineLevel="0" collapsed="false">
      <c r="A185" s="18"/>
      <c r="B185" s="17"/>
      <c r="C185" s="17"/>
      <c r="D185" s="17"/>
      <c r="E185" s="17"/>
      <c r="F185" s="17"/>
      <c r="G185" s="17"/>
      <c r="H185" s="17"/>
      <c r="I185" s="17"/>
    </row>
    <row r="186" customFormat="false" ht="15" hidden="false" customHeight="false" outlineLevel="0" collapsed="false">
      <c r="A186" s="18"/>
      <c r="B186" s="17"/>
      <c r="C186" s="17"/>
      <c r="D186" s="17"/>
      <c r="E186" s="17"/>
      <c r="F186" s="17"/>
      <c r="G186" s="17"/>
      <c r="H186" s="17"/>
      <c r="I186" s="17"/>
    </row>
    <row r="187" customFormat="false" ht="15" hidden="false" customHeight="false" outlineLevel="0" collapsed="false">
      <c r="A187" s="18"/>
      <c r="B187" s="17"/>
      <c r="C187" s="17"/>
      <c r="D187" s="17"/>
      <c r="E187" s="17"/>
      <c r="F187" s="17"/>
      <c r="G187" s="17"/>
      <c r="H187" s="17"/>
      <c r="I187" s="17"/>
    </row>
    <row r="188" customFormat="false" ht="15" hidden="false" customHeight="false" outlineLevel="0" collapsed="false">
      <c r="A188" s="18"/>
      <c r="B188" s="17"/>
      <c r="C188" s="17"/>
      <c r="D188" s="17"/>
      <c r="E188" s="17"/>
      <c r="F188" s="17"/>
      <c r="G188" s="17"/>
      <c r="H188" s="17"/>
      <c r="I188" s="17"/>
    </row>
    <row r="189" customFormat="false" ht="15" hidden="false" customHeight="false" outlineLevel="0" collapsed="false">
      <c r="A189" s="18"/>
      <c r="B189" s="17"/>
      <c r="C189" s="17"/>
      <c r="D189" s="17"/>
      <c r="E189" s="17"/>
      <c r="F189" s="17"/>
      <c r="G189" s="17"/>
      <c r="H189" s="17"/>
      <c r="I189" s="17"/>
    </row>
    <row r="190" customFormat="false" ht="15" hidden="false" customHeight="false" outlineLevel="0" collapsed="false">
      <c r="A190" s="18"/>
      <c r="B190" s="17"/>
      <c r="C190" s="17"/>
      <c r="D190" s="17"/>
      <c r="E190" s="17"/>
      <c r="F190" s="17"/>
      <c r="G190" s="17"/>
      <c r="H190" s="17"/>
      <c r="I190" s="17"/>
    </row>
    <row r="191" customFormat="false" ht="15" hidden="false" customHeight="false" outlineLevel="0" collapsed="false">
      <c r="A191" s="18"/>
      <c r="B191" s="17"/>
      <c r="C191" s="17"/>
      <c r="D191" s="17"/>
      <c r="E191" s="17"/>
      <c r="F191" s="17"/>
      <c r="G191" s="17"/>
      <c r="H191" s="17"/>
      <c r="I191" s="17"/>
    </row>
    <row r="192" customFormat="false" ht="15" hidden="false" customHeight="false" outlineLevel="0" collapsed="false">
      <c r="A192" s="18"/>
      <c r="B192" s="17"/>
      <c r="C192" s="17"/>
      <c r="D192" s="17"/>
      <c r="E192" s="17"/>
      <c r="F192" s="17"/>
      <c r="G192" s="17"/>
      <c r="H192" s="17"/>
      <c r="I192" s="17"/>
    </row>
    <row r="193" customFormat="false" ht="15" hidden="false" customHeight="false" outlineLevel="0" collapsed="false">
      <c r="A193" s="18"/>
      <c r="B193" s="17"/>
      <c r="C193" s="17"/>
      <c r="D193" s="17"/>
      <c r="E193" s="17"/>
      <c r="F193" s="17"/>
      <c r="G193" s="17"/>
      <c r="H193" s="17"/>
      <c r="I193" s="17"/>
    </row>
    <row r="194" customFormat="false" ht="15" hidden="false" customHeight="false" outlineLevel="0" collapsed="false">
      <c r="A194" s="18"/>
      <c r="B194" s="17"/>
      <c r="C194" s="17"/>
      <c r="D194" s="17"/>
      <c r="E194" s="17"/>
      <c r="F194" s="17"/>
      <c r="G194" s="17"/>
      <c r="H194" s="17"/>
      <c r="I194" s="17"/>
    </row>
    <row r="195" customFormat="false" ht="15" hidden="false" customHeight="false" outlineLevel="0" collapsed="false">
      <c r="A195" s="18"/>
      <c r="B195" s="17"/>
      <c r="C195" s="17"/>
      <c r="D195" s="17"/>
      <c r="E195" s="17"/>
      <c r="F195" s="17"/>
      <c r="G195" s="17"/>
      <c r="H195" s="17"/>
      <c r="I195" s="17"/>
    </row>
    <row r="196" customFormat="false" ht="15" hidden="false" customHeight="false" outlineLevel="0" collapsed="false">
      <c r="A196" s="18"/>
      <c r="B196" s="17"/>
      <c r="C196" s="17"/>
      <c r="D196" s="17"/>
      <c r="E196" s="17"/>
      <c r="F196" s="17"/>
      <c r="G196" s="17"/>
      <c r="H196" s="17"/>
      <c r="I196" s="17"/>
    </row>
    <row r="197" customFormat="false" ht="15" hidden="false" customHeight="false" outlineLevel="0" collapsed="false">
      <c r="A197" s="18"/>
      <c r="B197" s="17"/>
      <c r="C197" s="17"/>
      <c r="D197" s="17"/>
      <c r="E197" s="17"/>
      <c r="F197" s="17"/>
      <c r="G197" s="17"/>
      <c r="H197" s="17"/>
      <c r="I197" s="17"/>
    </row>
    <row r="198" customFormat="false" ht="15" hidden="false" customHeight="false" outlineLevel="0" collapsed="false">
      <c r="A198" s="18"/>
      <c r="B198" s="17"/>
      <c r="C198" s="17"/>
      <c r="D198" s="17"/>
      <c r="E198" s="17"/>
      <c r="F198" s="17"/>
      <c r="G198" s="17"/>
      <c r="H198" s="17"/>
      <c r="I198" s="17"/>
    </row>
    <row r="199" customFormat="false" ht="15" hidden="false" customHeight="false" outlineLevel="0" collapsed="false">
      <c r="A199" s="18"/>
      <c r="B199" s="17"/>
      <c r="C199" s="17"/>
      <c r="D199" s="17"/>
      <c r="E199" s="17"/>
      <c r="F199" s="17"/>
      <c r="G199" s="17"/>
      <c r="H199" s="17"/>
      <c r="I199" s="17"/>
    </row>
    <row r="200" customFormat="false" ht="15" hidden="false" customHeight="false" outlineLevel="0" collapsed="false">
      <c r="A200" s="18"/>
      <c r="B200" s="17"/>
      <c r="C200" s="17"/>
      <c r="D200" s="17"/>
      <c r="E200" s="17"/>
      <c r="F200" s="17"/>
      <c r="G200" s="17"/>
      <c r="H200" s="17"/>
      <c r="I200" s="17"/>
    </row>
    <row r="201" customFormat="false" ht="15" hidden="false" customHeight="false" outlineLevel="0" collapsed="false">
      <c r="A201" s="18"/>
      <c r="B201" s="17"/>
      <c r="C201" s="17"/>
      <c r="D201" s="17"/>
      <c r="E201" s="17"/>
      <c r="F201" s="17"/>
      <c r="G201" s="17"/>
      <c r="H201" s="17"/>
      <c r="I201" s="17"/>
    </row>
    <row r="202" customFormat="false" ht="15" hidden="false" customHeight="false" outlineLevel="0" collapsed="false">
      <c r="A202" s="18"/>
      <c r="B202" s="17"/>
      <c r="C202" s="17"/>
      <c r="D202" s="17"/>
      <c r="E202" s="17"/>
      <c r="F202" s="17"/>
      <c r="G202" s="17"/>
      <c r="H202" s="17"/>
      <c r="I202" s="17"/>
    </row>
    <row r="203" customFormat="false" ht="15" hidden="false" customHeight="false" outlineLevel="0" collapsed="false">
      <c r="A203" s="18"/>
      <c r="B203" s="17"/>
      <c r="C203" s="17"/>
      <c r="D203" s="17"/>
      <c r="E203" s="17"/>
      <c r="F203" s="17"/>
      <c r="G203" s="17"/>
      <c r="H203" s="17"/>
      <c r="I203" s="17"/>
    </row>
    <row r="204" customFormat="false" ht="15" hidden="false" customHeight="false" outlineLevel="0" collapsed="false">
      <c r="A204" s="18"/>
      <c r="B204" s="17"/>
      <c r="C204" s="17"/>
      <c r="D204" s="17"/>
      <c r="E204" s="17"/>
      <c r="F204" s="17"/>
      <c r="G204" s="17"/>
      <c r="H204" s="17"/>
      <c r="I204" s="17"/>
    </row>
    <row r="205" customFormat="false" ht="15" hidden="false" customHeight="false" outlineLevel="0" collapsed="false">
      <c r="A205" s="18"/>
      <c r="B205" s="17"/>
      <c r="C205" s="17"/>
      <c r="D205" s="17"/>
      <c r="E205" s="17"/>
      <c r="F205" s="17"/>
      <c r="G205" s="17"/>
      <c r="H205" s="17"/>
      <c r="I205" s="17"/>
    </row>
    <row r="206" customFormat="false" ht="15" hidden="false" customHeight="false" outlineLevel="0" collapsed="false">
      <c r="A206" s="18"/>
      <c r="B206" s="17"/>
      <c r="C206" s="17"/>
      <c r="D206" s="17"/>
      <c r="E206" s="17"/>
      <c r="F206" s="17"/>
      <c r="G206" s="17"/>
      <c r="H206" s="17"/>
      <c r="I206" s="17"/>
    </row>
    <row r="207" customFormat="false" ht="15" hidden="false" customHeight="false" outlineLevel="0" collapsed="false">
      <c r="A207" s="18"/>
      <c r="B207" s="17"/>
      <c r="C207" s="17"/>
      <c r="D207" s="17"/>
      <c r="E207" s="17"/>
      <c r="F207" s="17"/>
      <c r="G207" s="17"/>
      <c r="H207" s="17"/>
      <c r="I207" s="17"/>
    </row>
    <row r="208" customFormat="false" ht="15" hidden="false" customHeight="false" outlineLevel="0" collapsed="false">
      <c r="A208" s="18"/>
      <c r="B208" s="17"/>
      <c r="C208" s="17"/>
      <c r="D208" s="17"/>
      <c r="E208" s="17"/>
      <c r="F208" s="17"/>
      <c r="G208" s="17"/>
      <c r="H208" s="17"/>
      <c r="I208" s="17"/>
    </row>
    <row r="209" customFormat="false" ht="15" hidden="false" customHeight="false" outlineLevel="0" collapsed="false">
      <c r="A209" s="18"/>
      <c r="B209" s="17"/>
      <c r="C209" s="17"/>
      <c r="D209" s="17"/>
      <c r="E209" s="17"/>
      <c r="F209" s="17"/>
      <c r="G209" s="17"/>
      <c r="H209" s="17"/>
      <c r="I209" s="17"/>
    </row>
    <row r="210" customFormat="false" ht="15" hidden="false" customHeight="false" outlineLevel="0" collapsed="false">
      <c r="A210" s="18"/>
      <c r="B210" s="17"/>
      <c r="C210" s="17"/>
      <c r="D210" s="17"/>
      <c r="E210" s="17"/>
      <c r="F210" s="17"/>
      <c r="G210" s="17"/>
      <c r="H210" s="17"/>
      <c r="I210" s="17"/>
    </row>
    <row r="211" customFormat="false" ht="15" hidden="false" customHeight="false" outlineLevel="0" collapsed="false">
      <c r="A211" s="18"/>
      <c r="B211" s="17"/>
      <c r="C211" s="17"/>
      <c r="D211" s="17"/>
      <c r="E211" s="17"/>
      <c r="F211" s="17"/>
      <c r="G211" s="17"/>
      <c r="H211" s="17"/>
      <c r="I211" s="17"/>
    </row>
    <row r="212" customFormat="false" ht="15" hidden="false" customHeight="false" outlineLevel="0" collapsed="false">
      <c r="A212" s="18"/>
      <c r="B212" s="17"/>
      <c r="C212" s="17"/>
      <c r="D212" s="17"/>
      <c r="E212" s="17"/>
      <c r="F212" s="17"/>
      <c r="G212" s="17"/>
      <c r="H212" s="17"/>
      <c r="I212" s="17"/>
    </row>
    <row r="213" customFormat="false" ht="15" hidden="false" customHeight="false" outlineLevel="0" collapsed="false">
      <c r="A213" s="18"/>
      <c r="B213" s="17"/>
      <c r="C213" s="17"/>
      <c r="D213" s="17"/>
      <c r="E213" s="17"/>
      <c r="F213" s="17"/>
      <c r="G213" s="17"/>
      <c r="H213" s="17"/>
      <c r="I213" s="17"/>
    </row>
    <row r="214" customFormat="false" ht="15" hidden="false" customHeight="false" outlineLevel="0" collapsed="false">
      <c r="A214" s="18"/>
      <c r="B214" s="17"/>
      <c r="C214" s="17"/>
      <c r="D214" s="17"/>
      <c r="E214" s="17"/>
      <c r="F214" s="17"/>
      <c r="G214" s="17"/>
      <c r="H214" s="17"/>
      <c r="I214" s="17"/>
    </row>
    <row r="215" customFormat="false" ht="15" hidden="false" customHeight="false" outlineLevel="0" collapsed="false">
      <c r="A215" s="18"/>
      <c r="B215" s="17"/>
      <c r="C215" s="17"/>
      <c r="D215" s="17"/>
      <c r="E215" s="17"/>
      <c r="F215" s="17"/>
      <c r="G215" s="17"/>
      <c r="H215" s="17"/>
      <c r="I215" s="17"/>
    </row>
    <row r="216" customFormat="false" ht="15" hidden="false" customHeight="false" outlineLevel="0" collapsed="false">
      <c r="A216" s="18"/>
      <c r="B216" s="17"/>
      <c r="C216" s="17"/>
      <c r="D216" s="17"/>
      <c r="E216" s="17"/>
      <c r="F216" s="17"/>
      <c r="G216" s="17"/>
      <c r="H216" s="17"/>
      <c r="I216" s="17"/>
    </row>
    <row r="217" customFormat="false" ht="15" hidden="false" customHeight="false" outlineLevel="0" collapsed="false">
      <c r="A217" s="18"/>
      <c r="B217" s="17"/>
      <c r="C217" s="17"/>
      <c r="D217" s="17"/>
      <c r="E217" s="17"/>
      <c r="F217" s="17"/>
      <c r="G217" s="17"/>
      <c r="H217" s="17"/>
      <c r="I217" s="17"/>
    </row>
    <row r="218" customFormat="false" ht="15" hidden="false" customHeight="false" outlineLevel="0" collapsed="false">
      <c r="A218" s="18"/>
      <c r="B218" s="17"/>
      <c r="C218" s="17"/>
      <c r="D218" s="17"/>
      <c r="E218" s="17"/>
      <c r="F218" s="17"/>
      <c r="G218" s="17"/>
      <c r="H218" s="17"/>
      <c r="I218" s="17"/>
    </row>
    <row r="219" customFormat="false" ht="15" hidden="false" customHeight="false" outlineLevel="0" collapsed="false">
      <c r="A219" s="18"/>
      <c r="B219" s="17"/>
      <c r="C219" s="17"/>
      <c r="D219" s="17"/>
      <c r="E219" s="17"/>
      <c r="F219" s="17"/>
      <c r="G219" s="17"/>
      <c r="H219" s="17"/>
      <c r="I219" s="17"/>
    </row>
    <row r="220" customFormat="false" ht="15" hidden="false" customHeight="false" outlineLevel="0" collapsed="false">
      <c r="A220" s="18"/>
      <c r="B220" s="17"/>
      <c r="C220" s="17"/>
      <c r="D220" s="17"/>
      <c r="E220" s="17"/>
      <c r="F220" s="17"/>
      <c r="G220" s="17"/>
      <c r="H220" s="17"/>
      <c r="I220" s="17"/>
    </row>
    <row r="221" customFormat="false" ht="15" hidden="false" customHeight="false" outlineLevel="0" collapsed="false">
      <c r="A221" s="18"/>
      <c r="B221" s="17"/>
      <c r="C221" s="17"/>
      <c r="D221" s="17"/>
      <c r="E221" s="17"/>
      <c r="F221" s="17"/>
      <c r="G221" s="17"/>
      <c r="H221" s="17"/>
      <c r="I221" s="17"/>
    </row>
    <row r="222" customFormat="false" ht="15" hidden="false" customHeight="false" outlineLevel="0" collapsed="false">
      <c r="A222" s="18"/>
      <c r="B222" s="17"/>
      <c r="C222" s="17"/>
      <c r="D222" s="17"/>
      <c r="E222" s="17"/>
      <c r="F222" s="17"/>
      <c r="G222" s="17"/>
      <c r="H222" s="17"/>
      <c r="I222" s="17"/>
    </row>
    <row r="223" customFormat="false" ht="15" hidden="false" customHeight="false" outlineLevel="0" collapsed="false">
      <c r="A223" s="18"/>
      <c r="B223" s="17"/>
      <c r="C223" s="17"/>
      <c r="D223" s="17"/>
      <c r="E223" s="17"/>
      <c r="F223" s="17"/>
      <c r="G223" s="17"/>
      <c r="H223" s="17"/>
      <c r="I223" s="17"/>
    </row>
    <row r="224" customFormat="false" ht="15" hidden="false" customHeight="false" outlineLevel="0" collapsed="false">
      <c r="A224" s="18"/>
      <c r="B224" s="17"/>
      <c r="C224" s="17"/>
      <c r="D224" s="17"/>
      <c r="E224" s="17"/>
      <c r="F224" s="17"/>
      <c r="G224" s="17"/>
      <c r="H224" s="17"/>
      <c r="I224" s="17"/>
    </row>
    <row r="225" customFormat="false" ht="15" hidden="false" customHeight="false" outlineLevel="0" collapsed="false">
      <c r="A225" s="18"/>
      <c r="B225" s="17"/>
      <c r="C225" s="17"/>
      <c r="D225" s="17"/>
      <c r="E225" s="17"/>
      <c r="F225" s="17"/>
      <c r="G225" s="17"/>
      <c r="H225" s="17"/>
      <c r="I225" s="17"/>
    </row>
    <row r="226" customFormat="false" ht="15" hidden="false" customHeight="false" outlineLevel="0" collapsed="false">
      <c r="A226" s="18"/>
      <c r="B226" s="17"/>
      <c r="C226" s="17"/>
      <c r="D226" s="17"/>
      <c r="E226" s="17"/>
      <c r="F226" s="17"/>
      <c r="G226" s="17"/>
      <c r="H226" s="17"/>
      <c r="I226" s="17"/>
    </row>
    <row r="227" customFormat="false" ht="15" hidden="false" customHeight="false" outlineLevel="0" collapsed="false">
      <c r="A227" s="18"/>
      <c r="B227" s="17"/>
      <c r="C227" s="17"/>
      <c r="D227" s="17"/>
      <c r="E227" s="17"/>
      <c r="F227" s="17"/>
      <c r="G227" s="17"/>
      <c r="H227" s="17"/>
      <c r="I227" s="17"/>
    </row>
    <row r="228" customFormat="false" ht="15" hidden="false" customHeight="false" outlineLevel="0" collapsed="false">
      <c r="A228" s="18"/>
      <c r="B228" s="17"/>
      <c r="C228" s="17"/>
      <c r="D228" s="17"/>
      <c r="E228" s="17"/>
      <c r="F228" s="17"/>
      <c r="G228" s="17"/>
      <c r="H228" s="17"/>
      <c r="I228" s="17"/>
    </row>
    <row r="229" customFormat="false" ht="15" hidden="false" customHeight="false" outlineLevel="0" collapsed="false">
      <c r="A229" s="18"/>
      <c r="B229" s="17"/>
      <c r="C229" s="17"/>
      <c r="D229" s="17"/>
      <c r="E229" s="17"/>
      <c r="F229" s="17"/>
      <c r="G229" s="17"/>
      <c r="H229" s="17"/>
      <c r="I229" s="17"/>
    </row>
    <row r="230" customFormat="false" ht="15" hidden="false" customHeight="false" outlineLevel="0" collapsed="false">
      <c r="A230" s="18"/>
      <c r="B230" s="17"/>
      <c r="C230" s="17"/>
      <c r="D230" s="17"/>
      <c r="E230" s="17"/>
      <c r="F230" s="17"/>
      <c r="G230" s="17"/>
      <c r="H230" s="17"/>
      <c r="I230" s="17"/>
    </row>
    <row r="231" customFormat="false" ht="15" hidden="false" customHeight="false" outlineLevel="0" collapsed="false">
      <c r="A231" s="18"/>
      <c r="B231" s="17"/>
      <c r="C231" s="17"/>
      <c r="D231" s="17"/>
      <c r="E231" s="17"/>
      <c r="F231" s="17"/>
      <c r="G231" s="17"/>
      <c r="H231" s="17"/>
      <c r="I231" s="17"/>
    </row>
    <row r="232" customFormat="false" ht="15" hidden="false" customHeight="false" outlineLevel="0" collapsed="false">
      <c r="A232" s="18"/>
      <c r="B232" s="17"/>
      <c r="C232" s="17"/>
      <c r="D232" s="17"/>
      <c r="E232" s="17"/>
      <c r="F232" s="17"/>
      <c r="G232" s="17"/>
      <c r="H232" s="17"/>
      <c r="I232" s="17"/>
    </row>
    <row r="233" customFormat="false" ht="15" hidden="false" customHeight="false" outlineLevel="0" collapsed="false">
      <c r="A233" s="18"/>
      <c r="B233" s="17"/>
      <c r="C233" s="17"/>
      <c r="D233" s="17"/>
      <c r="E233" s="17"/>
      <c r="F233" s="17"/>
      <c r="G233" s="17"/>
      <c r="H233" s="17"/>
      <c r="I233" s="17"/>
    </row>
    <row r="234" customFormat="false" ht="15" hidden="false" customHeight="false" outlineLevel="0" collapsed="false">
      <c r="A234" s="18"/>
      <c r="B234" s="17"/>
      <c r="C234" s="17"/>
      <c r="D234" s="17"/>
      <c r="E234" s="17"/>
      <c r="F234" s="17"/>
      <c r="G234" s="17"/>
      <c r="H234" s="17"/>
      <c r="I234" s="17"/>
    </row>
    <row r="235" customFormat="false" ht="15" hidden="false" customHeight="false" outlineLevel="0" collapsed="false">
      <c r="A235" s="18"/>
      <c r="B235" s="17"/>
      <c r="C235" s="17"/>
      <c r="D235" s="17"/>
      <c r="E235" s="17"/>
      <c r="F235" s="17"/>
      <c r="G235" s="17"/>
      <c r="H235" s="17"/>
      <c r="I235" s="17"/>
    </row>
    <row r="236" customFormat="false" ht="15" hidden="false" customHeight="false" outlineLevel="0" collapsed="false">
      <c r="A236" s="18"/>
      <c r="B236" s="17"/>
      <c r="C236" s="17"/>
      <c r="D236" s="17"/>
      <c r="E236" s="17"/>
      <c r="F236" s="17"/>
      <c r="G236" s="17"/>
      <c r="H236" s="17"/>
      <c r="I236" s="17"/>
    </row>
    <row r="237" customFormat="false" ht="15" hidden="false" customHeight="false" outlineLevel="0" collapsed="false">
      <c r="A237" s="18"/>
      <c r="B237" s="17"/>
      <c r="C237" s="17"/>
      <c r="D237" s="17"/>
      <c r="E237" s="17"/>
      <c r="F237" s="17"/>
      <c r="G237" s="17"/>
      <c r="H237" s="17"/>
      <c r="I237" s="17"/>
    </row>
    <row r="238" customFormat="false" ht="15" hidden="false" customHeight="false" outlineLevel="0" collapsed="false">
      <c r="A238" s="18"/>
      <c r="B238" s="17"/>
      <c r="C238" s="17"/>
      <c r="D238" s="17"/>
      <c r="E238" s="17"/>
      <c r="F238" s="17"/>
      <c r="G238" s="17"/>
      <c r="H238" s="17"/>
      <c r="I238" s="17"/>
    </row>
    <row r="239" customFormat="false" ht="15" hidden="false" customHeight="false" outlineLevel="0" collapsed="false">
      <c r="A239" s="18"/>
      <c r="B239" s="17"/>
      <c r="C239" s="17"/>
      <c r="D239" s="17"/>
      <c r="E239" s="17"/>
      <c r="F239" s="17"/>
      <c r="G239" s="17"/>
      <c r="H239" s="17"/>
      <c r="I239" s="17"/>
    </row>
    <row r="240" customFormat="false" ht="15" hidden="false" customHeight="false" outlineLevel="0" collapsed="false">
      <c r="A240" s="18"/>
      <c r="B240" s="17"/>
      <c r="C240" s="17"/>
      <c r="D240" s="17"/>
      <c r="E240" s="17"/>
      <c r="F240" s="17"/>
      <c r="G240" s="17"/>
      <c r="H240" s="17"/>
      <c r="I240" s="17"/>
    </row>
    <row r="241" customFormat="false" ht="15" hidden="false" customHeight="false" outlineLevel="0" collapsed="false">
      <c r="A241" s="18"/>
      <c r="B241" s="17"/>
      <c r="C241" s="17"/>
      <c r="D241" s="17"/>
      <c r="E241" s="17"/>
      <c r="F241" s="17"/>
      <c r="G241" s="17"/>
      <c r="H241" s="17"/>
      <c r="I241" s="17"/>
    </row>
    <row r="242" customFormat="false" ht="15" hidden="false" customHeight="false" outlineLevel="0" collapsed="false">
      <c r="A242" s="18"/>
      <c r="B242" s="17"/>
      <c r="C242" s="17"/>
      <c r="D242" s="17"/>
      <c r="E242" s="17"/>
      <c r="F242" s="17"/>
      <c r="G242" s="17"/>
      <c r="H242" s="17"/>
      <c r="I242" s="17"/>
    </row>
    <row r="243" customFormat="false" ht="15" hidden="false" customHeight="false" outlineLevel="0" collapsed="false">
      <c r="A243" s="18"/>
      <c r="B243" s="17"/>
      <c r="C243" s="17"/>
      <c r="D243" s="17"/>
      <c r="E243" s="17"/>
      <c r="F243" s="17"/>
      <c r="G243" s="17"/>
      <c r="H243" s="17"/>
      <c r="I243" s="17"/>
    </row>
    <row r="244" customFormat="false" ht="15" hidden="false" customHeight="false" outlineLevel="0" collapsed="false">
      <c r="A244" s="18"/>
      <c r="B244" s="17"/>
      <c r="C244" s="17"/>
      <c r="D244" s="17"/>
      <c r="E244" s="17"/>
      <c r="F244" s="17"/>
      <c r="G244" s="17"/>
      <c r="H244" s="17"/>
      <c r="I244" s="17"/>
    </row>
    <row r="245" customFormat="false" ht="15" hidden="false" customHeight="false" outlineLevel="0" collapsed="false">
      <c r="A245" s="18"/>
      <c r="B245" s="17"/>
      <c r="C245" s="17"/>
      <c r="D245" s="17"/>
      <c r="E245" s="17"/>
      <c r="F245" s="17"/>
      <c r="G245" s="17"/>
      <c r="H245" s="17"/>
      <c r="I245" s="17"/>
    </row>
    <row r="246" customFormat="false" ht="15" hidden="false" customHeight="false" outlineLevel="0" collapsed="false">
      <c r="A246" s="18"/>
      <c r="B246" s="17"/>
      <c r="C246" s="17"/>
      <c r="D246" s="17"/>
      <c r="E246" s="17"/>
      <c r="F246" s="17"/>
      <c r="G246" s="17"/>
      <c r="H246" s="17"/>
      <c r="I246" s="17"/>
    </row>
    <row r="247" customFormat="false" ht="15" hidden="false" customHeight="false" outlineLevel="0" collapsed="false">
      <c r="A247" s="18"/>
      <c r="B247" s="17"/>
      <c r="C247" s="17"/>
      <c r="D247" s="17"/>
      <c r="E247" s="17"/>
      <c r="F247" s="17"/>
      <c r="G247" s="17"/>
      <c r="H247" s="17"/>
      <c r="I247" s="17"/>
    </row>
    <row r="248" customFormat="false" ht="15" hidden="false" customHeight="false" outlineLevel="0" collapsed="false">
      <c r="A248" s="18"/>
      <c r="B248" s="17"/>
      <c r="C248" s="17"/>
      <c r="D248" s="17"/>
      <c r="E248" s="17"/>
      <c r="F248" s="17"/>
      <c r="G248" s="17"/>
      <c r="H248" s="17"/>
      <c r="I248" s="17"/>
    </row>
    <row r="249" customFormat="false" ht="15" hidden="false" customHeight="false" outlineLevel="0" collapsed="false">
      <c r="A249" s="18"/>
      <c r="B249" s="17"/>
      <c r="C249" s="17"/>
      <c r="D249" s="17"/>
      <c r="E249" s="17"/>
      <c r="F249" s="17"/>
      <c r="G249" s="17"/>
      <c r="H249" s="17"/>
      <c r="I249" s="17"/>
    </row>
    <row r="250" customFormat="false" ht="15" hidden="false" customHeight="false" outlineLevel="0" collapsed="false">
      <c r="A250" s="18"/>
      <c r="B250" s="17"/>
      <c r="C250" s="17"/>
      <c r="D250" s="17"/>
      <c r="E250" s="17"/>
      <c r="F250" s="17"/>
      <c r="G250" s="17"/>
      <c r="H250" s="17"/>
      <c r="I250" s="17"/>
    </row>
    <row r="251" customFormat="false" ht="15" hidden="false" customHeight="false" outlineLevel="0" collapsed="false">
      <c r="A251" s="18"/>
      <c r="B251" s="17"/>
      <c r="C251" s="17"/>
      <c r="D251" s="17"/>
      <c r="E251" s="17"/>
      <c r="F251" s="17"/>
      <c r="G251" s="17"/>
      <c r="H251" s="17"/>
      <c r="I251" s="17"/>
    </row>
    <row r="252" customFormat="false" ht="15" hidden="false" customHeight="false" outlineLevel="0" collapsed="false">
      <c r="A252" s="18"/>
      <c r="B252" s="17"/>
      <c r="C252" s="17"/>
      <c r="D252" s="17"/>
      <c r="E252" s="17"/>
      <c r="F252" s="17"/>
      <c r="G252" s="17"/>
      <c r="H252" s="17"/>
      <c r="I252" s="17"/>
    </row>
    <row r="253" customFormat="false" ht="15" hidden="false" customHeight="false" outlineLevel="0" collapsed="false">
      <c r="A253" s="18"/>
      <c r="B253" s="17"/>
      <c r="C253" s="17"/>
      <c r="D253" s="17"/>
      <c r="E253" s="17"/>
      <c r="F253" s="17"/>
      <c r="G253" s="17"/>
      <c r="H253" s="17"/>
      <c r="I253" s="17"/>
    </row>
    <row r="254" customFormat="false" ht="15" hidden="false" customHeight="false" outlineLevel="0" collapsed="false">
      <c r="A254" s="18"/>
      <c r="B254" s="17"/>
      <c r="C254" s="17"/>
      <c r="D254" s="17"/>
      <c r="E254" s="17"/>
      <c r="F254" s="17"/>
      <c r="G254" s="17"/>
      <c r="H254" s="17"/>
      <c r="I254" s="17"/>
    </row>
    <row r="255" customFormat="false" ht="15" hidden="false" customHeight="false" outlineLevel="0" collapsed="false">
      <c r="A255" s="18"/>
      <c r="B255" s="17"/>
      <c r="C255" s="17"/>
      <c r="D255" s="17"/>
      <c r="E255" s="17"/>
      <c r="F255" s="17"/>
      <c r="G255" s="17"/>
      <c r="H255" s="17"/>
      <c r="I255" s="17"/>
    </row>
    <row r="256" customFormat="false" ht="15" hidden="false" customHeight="false" outlineLevel="0" collapsed="false">
      <c r="A256" s="18"/>
      <c r="B256" s="17"/>
      <c r="C256" s="17"/>
      <c r="D256" s="17"/>
      <c r="E256" s="17"/>
      <c r="F256" s="17"/>
      <c r="G256" s="17"/>
      <c r="H256" s="17"/>
      <c r="I256" s="17"/>
    </row>
    <row r="257" customFormat="false" ht="15" hidden="false" customHeight="false" outlineLevel="0" collapsed="false">
      <c r="A257" s="18"/>
      <c r="B257" s="17"/>
      <c r="C257" s="17"/>
      <c r="D257" s="17"/>
      <c r="E257" s="17"/>
      <c r="F257" s="17"/>
      <c r="G257" s="17"/>
      <c r="H257" s="17"/>
      <c r="I257" s="17"/>
    </row>
    <row r="258" customFormat="false" ht="15" hidden="false" customHeight="false" outlineLevel="0" collapsed="false">
      <c r="A258" s="18"/>
      <c r="B258" s="17"/>
      <c r="C258" s="17"/>
      <c r="D258" s="17"/>
      <c r="E258" s="17"/>
      <c r="F258" s="17"/>
      <c r="G258" s="17"/>
      <c r="H258" s="17"/>
      <c r="I258" s="17"/>
    </row>
    <row r="259" customFormat="false" ht="15" hidden="false" customHeight="false" outlineLevel="0" collapsed="false">
      <c r="A259" s="18"/>
      <c r="B259" s="17"/>
      <c r="C259" s="17"/>
      <c r="D259" s="17"/>
      <c r="E259" s="17"/>
      <c r="F259" s="17"/>
      <c r="G259" s="17"/>
      <c r="H259" s="17"/>
      <c r="I259" s="17"/>
    </row>
    <row r="260" customFormat="false" ht="15" hidden="false" customHeight="false" outlineLevel="0" collapsed="false">
      <c r="A260" s="18"/>
      <c r="B260" s="17"/>
      <c r="C260" s="17"/>
      <c r="D260" s="17"/>
      <c r="E260" s="17"/>
      <c r="F260" s="17"/>
      <c r="G260" s="17"/>
      <c r="H260" s="17"/>
      <c r="I260" s="17"/>
    </row>
    <row r="261" customFormat="false" ht="15" hidden="false" customHeight="false" outlineLevel="0" collapsed="false">
      <c r="A261" s="18"/>
      <c r="B261" s="17"/>
      <c r="C261" s="17"/>
      <c r="D261" s="17"/>
      <c r="E261" s="17"/>
      <c r="F261" s="17"/>
      <c r="G261" s="17"/>
      <c r="H261" s="17"/>
      <c r="I261" s="17"/>
    </row>
    <row r="262" customFormat="false" ht="15" hidden="false" customHeight="false" outlineLevel="0" collapsed="false">
      <c r="A262" s="18"/>
      <c r="B262" s="17"/>
      <c r="C262" s="17"/>
      <c r="D262" s="17"/>
      <c r="E262" s="17"/>
      <c r="F262" s="17"/>
      <c r="G262" s="17"/>
      <c r="H262" s="17"/>
      <c r="I262" s="17"/>
    </row>
    <row r="263" customFormat="false" ht="15" hidden="false" customHeight="false" outlineLevel="0" collapsed="false">
      <c r="A263" s="18"/>
      <c r="B263" s="17"/>
      <c r="C263" s="17"/>
      <c r="D263" s="17"/>
      <c r="E263" s="17"/>
      <c r="F263" s="17"/>
      <c r="G263" s="17"/>
      <c r="H263" s="17"/>
      <c r="I263" s="17"/>
    </row>
    <row r="264" customFormat="false" ht="15" hidden="false" customHeight="false" outlineLevel="0" collapsed="false">
      <c r="A264" s="18"/>
      <c r="B264" s="17"/>
      <c r="C264" s="17"/>
      <c r="D264" s="17"/>
      <c r="E264" s="17"/>
      <c r="F264" s="17"/>
      <c r="G264" s="17"/>
      <c r="H264" s="17"/>
      <c r="I264" s="17"/>
    </row>
    <row r="265" customFormat="false" ht="15" hidden="false" customHeight="false" outlineLevel="0" collapsed="false">
      <c r="A265" s="18"/>
      <c r="B265" s="17"/>
      <c r="C265" s="17"/>
      <c r="D265" s="17"/>
      <c r="E265" s="17"/>
      <c r="F265" s="17"/>
      <c r="G265" s="17"/>
      <c r="H265" s="17"/>
      <c r="I265" s="17"/>
    </row>
    <row r="266" customFormat="false" ht="15" hidden="false" customHeight="false" outlineLevel="0" collapsed="false">
      <c r="A266" s="18"/>
      <c r="B266" s="17"/>
      <c r="C266" s="17"/>
      <c r="D266" s="17"/>
      <c r="E266" s="17"/>
      <c r="F266" s="17"/>
      <c r="G266" s="17"/>
      <c r="H266" s="17"/>
      <c r="I266" s="17"/>
    </row>
    <row r="267" customFormat="false" ht="15" hidden="false" customHeight="false" outlineLevel="0" collapsed="false">
      <c r="A267" s="18"/>
      <c r="B267" s="17"/>
      <c r="C267" s="17"/>
      <c r="D267" s="17"/>
      <c r="E267" s="17"/>
      <c r="F267" s="17"/>
      <c r="G267" s="17"/>
      <c r="H267" s="17"/>
      <c r="I267" s="17"/>
    </row>
    <row r="268" customFormat="false" ht="15" hidden="false" customHeight="false" outlineLevel="0" collapsed="false">
      <c r="A268" s="18"/>
      <c r="B268" s="17"/>
      <c r="C268" s="17"/>
      <c r="D268" s="17"/>
      <c r="E268" s="17"/>
      <c r="F268" s="17"/>
      <c r="G268" s="17"/>
      <c r="H268" s="17"/>
      <c r="I268" s="17"/>
    </row>
    <row r="269" customFormat="false" ht="15" hidden="false" customHeight="false" outlineLevel="0" collapsed="false">
      <c r="A269" s="18"/>
      <c r="B269" s="17"/>
      <c r="C269" s="17"/>
      <c r="D269" s="17"/>
      <c r="E269" s="17"/>
      <c r="F269" s="17"/>
      <c r="G269" s="17"/>
      <c r="H269" s="17"/>
      <c r="I269" s="17"/>
    </row>
    <row r="270" customFormat="false" ht="15" hidden="false" customHeight="false" outlineLevel="0" collapsed="false">
      <c r="A270" s="18"/>
      <c r="B270" s="17"/>
      <c r="C270" s="17"/>
      <c r="D270" s="17"/>
      <c r="E270" s="17"/>
      <c r="F270" s="17"/>
      <c r="G270" s="17"/>
      <c r="H270" s="17"/>
      <c r="I270" s="17"/>
    </row>
    <row r="271" customFormat="false" ht="15" hidden="false" customHeight="false" outlineLevel="0" collapsed="false">
      <c r="A271" s="18"/>
      <c r="B271" s="17"/>
      <c r="C271" s="17"/>
      <c r="D271" s="17"/>
      <c r="E271" s="17"/>
      <c r="F271" s="17"/>
      <c r="G271" s="17"/>
      <c r="H271" s="17"/>
      <c r="I271" s="17"/>
    </row>
    <row r="272" customFormat="false" ht="15" hidden="false" customHeight="false" outlineLevel="0" collapsed="false">
      <c r="A272" s="18"/>
      <c r="B272" s="17"/>
      <c r="C272" s="17"/>
      <c r="D272" s="17"/>
      <c r="E272" s="17"/>
      <c r="F272" s="17"/>
      <c r="G272" s="17"/>
      <c r="H272" s="17"/>
      <c r="I272" s="17"/>
    </row>
    <row r="273" customFormat="false" ht="15" hidden="false" customHeight="false" outlineLevel="0" collapsed="false">
      <c r="A273" s="18"/>
      <c r="B273" s="17"/>
      <c r="C273" s="17"/>
      <c r="D273" s="17"/>
      <c r="E273" s="17"/>
      <c r="F273" s="17"/>
      <c r="G273" s="17"/>
      <c r="H273" s="17"/>
      <c r="I273" s="17"/>
    </row>
    <row r="274" customFormat="false" ht="15" hidden="false" customHeight="false" outlineLevel="0" collapsed="false">
      <c r="A274" s="18"/>
      <c r="B274" s="17"/>
      <c r="C274" s="17"/>
      <c r="D274" s="17"/>
      <c r="E274" s="17"/>
      <c r="F274" s="17"/>
      <c r="G274" s="17"/>
      <c r="H274" s="17"/>
      <c r="I274" s="17"/>
    </row>
    <row r="275" customFormat="false" ht="15" hidden="false" customHeight="false" outlineLevel="0" collapsed="false">
      <c r="A275" s="18"/>
      <c r="B275" s="17"/>
      <c r="C275" s="17"/>
      <c r="D275" s="17"/>
      <c r="E275" s="17"/>
      <c r="F275" s="17"/>
      <c r="G275" s="17"/>
      <c r="H275" s="17"/>
      <c r="I275" s="17"/>
    </row>
    <row r="276" customFormat="false" ht="15" hidden="false" customHeight="false" outlineLevel="0" collapsed="false">
      <c r="A276" s="18"/>
      <c r="B276" s="17"/>
      <c r="C276" s="17"/>
      <c r="D276" s="17"/>
      <c r="E276" s="17"/>
      <c r="F276" s="17"/>
      <c r="G276" s="17"/>
      <c r="H276" s="17"/>
      <c r="I276" s="17"/>
    </row>
    <row r="277" customFormat="false" ht="15" hidden="false" customHeight="false" outlineLevel="0" collapsed="false">
      <c r="A277" s="18"/>
      <c r="B277" s="17"/>
      <c r="C277" s="17"/>
      <c r="D277" s="17"/>
      <c r="E277" s="17"/>
      <c r="F277" s="17"/>
      <c r="G277" s="17"/>
      <c r="H277" s="17"/>
      <c r="I277" s="17"/>
    </row>
    <row r="278" customFormat="false" ht="15" hidden="false" customHeight="false" outlineLevel="0" collapsed="false">
      <c r="A278" s="18"/>
      <c r="B278" s="17"/>
      <c r="C278" s="17"/>
      <c r="D278" s="17"/>
      <c r="E278" s="17"/>
      <c r="F278" s="17"/>
      <c r="G278" s="17"/>
      <c r="H278" s="17"/>
      <c r="I278" s="17"/>
    </row>
    <row r="279" customFormat="false" ht="15" hidden="false" customHeight="false" outlineLevel="0" collapsed="false">
      <c r="A279" s="18"/>
      <c r="B279" s="17"/>
      <c r="C279" s="17"/>
      <c r="D279" s="17"/>
      <c r="E279" s="17"/>
      <c r="F279" s="17"/>
      <c r="G279" s="17"/>
      <c r="H279" s="17"/>
      <c r="I279" s="17"/>
    </row>
    <row r="280" customFormat="false" ht="15" hidden="false" customHeight="false" outlineLevel="0" collapsed="false">
      <c r="A280" s="18"/>
      <c r="B280" s="17"/>
      <c r="C280" s="17"/>
      <c r="D280" s="17"/>
      <c r="E280" s="17"/>
      <c r="F280" s="17"/>
      <c r="G280" s="17"/>
      <c r="H280" s="17"/>
      <c r="I280" s="17"/>
    </row>
    <row r="281" customFormat="false" ht="15" hidden="false" customHeight="false" outlineLevel="0" collapsed="false">
      <c r="A281" s="18"/>
      <c r="B281" s="17"/>
      <c r="C281" s="17"/>
      <c r="D281" s="17"/>
      <c r="E281" s="17"/>
      <c r="F281" s="17"/>
      <c r="G281" s="17"/>
      <c r="H281" s="17"/>
      <c r="I281" s="17"/>
    </row>
    <row r="282" customFormat="false" ht="15" hidden="false" customHeight="false" outlineLevel="0" collapsed="false">
      <c r="A282" s="18"/>
      <c r="B282" s="17"/>
      <c r="C282" s="17"/>
      <c r="D282" s="17"/>
      <c r="E282" s="17"/>
      <c r="F282" s="17"/>
      <c r="G282" s="17"/>
      <c r="H282" s="17"/>
      <c r="I282" s="17"/>
    </row>
    <row r="283" customFormat="false" ht="15" hidden="false" customHeight="false" outlineLevel="0" collapsed="false">
      <c r="A283" s="18"/>
      <c r="B283" s="17"/>
      <c r="C283" s="17"/>
      <c r="D283" s="17"/>
      <c r="E283" s="17"/>
      <c r="F283" s="17"/>
      <c r="G283" s="17"/>
      <c r="H283" s="17"/>
      <c r="I283" s="17"/>
    </row>
    <row r="284" customFormat="false" ht="15" hidden="false" customHeight="false" outlineLevel="0" collapsed="false">
      <c r="A284" s="18"/>
      <c r="B284" s="17"/>
      <c r="C284" s="17"/>
      <c r="D284" s="17"/>
      <c r="E284" s="17"/>
      <c r="F284" s="17"/>
      <c r="G284" s="17"/>
      <c r="H284" s="17"/>
      <c r="I284" s="17"/>
    </row>
    <row r="285" customFormat="false" ht="15" hidden="false" customHeight="false" outlineLevel="0" collapsed="false">
      <c r="A285" s="18"/>
      <c r="B285" s="17"/>
      <c r="C285" s="17"/>
      <c r="D285" s="17"/>
      <c r="E285" s="17"/>
      <c r="F285" s="17"/>
      <c r="G285" s="17"/>
      <c r="H285" s="17"/>
      <c r="I285" s="17"/>
    </row>
    <row r="286" customFormat="false" ht="15" hidden="false" customHeight="false" outlineLevel="0" collapsed="false">
      <c r="A286" s="18"/>
      <c r="B286" s="17"/>
      <c r="C286" s="17"/>
      <c r="D286" s="17"/>
      <c r="E286" s="17"/>
      <c r="F286" s="17"/>
      <c r="G286" s="17"/>
      <c r="H286" s="17"/>
      <c r="I286" s="17"/>
    </row>
    <row r="287" customFormat="false" ht="15" hidden="false" customHeight="false" outlineLevel="0" collapsed="false">
      <c r="A287" s="18"/>
      <c r="B287" s="17"/>
      <c r="C287" s="17"/>
      <c r="D287" s="17"/>
      <c r="E287" s="17"/>
      <c r="F287" s="17"/>
      <c r="G287" s="17"/>
      <c r="H287" s="17"/>
      <c r="I287" s="17"/>
    </row>
    <row r="288" customFormat="false" ht="15" hidden="false" customHeight="false" outlineLevel="0" collapsed="false">
      <c r="A288" s="18"/>
      <c r="B288" s="17"/>
      <c r="C288" s="17"/>
      <c r="D288" s="17"/>
      <c r="E288" s="17"/>
      <c r="F288" s="17"/>
      <c r="G288" s="17"/>
      <c r="H288" s="17"/>
      <c r="I288" s="17"/>
    </row>
    <row r="289" customFormat="false" ht="15" hidden="false" customHeight="false" outlineLevel="0" collapsed="false">
      <c r="A289" s="18"/>
      <c r="B289" s="17"/>
      <c r="C289" s="17"/>
      <c r="D289" s="17"/>
      <c r="E289" s="17"/>
      <c r="F289" s="17"/>
      <c r="G289" s="17"/>
      <c r="H289" s="17"/>
      <c r="I289" s="17"/>
    </row>
    <row r="290" customFormat="false" ht="15" hidden="false" customHeight="false" outlineLevel="0" collapsed="false">
      <c r="A290" s="18"/>
      <c r="B290" s="17"/>
      <c r="C290" s="17"/>
      <c r="D290" s="17"/>
      <c r="E290" s="17"/>
      <c r="F290" s="17"/>
      <c r="G290" s="17"/>
      <c r="H290" s="17"/>
      <c r="I290" s="17"/>
    </row>
    <row r="291" customFormat="false" ht="15" hidden="false" customHeight="false" outlineLevel="0" collapsed="false">
      <c r="A291" s="18"/>
      <c r="B291" s="17"/>
      <c r="C291" s="17"/>
      <c r="D291" s="17"/>
      <c r="E291" s="17"/>
      <c r="F291" s="17"/>
      <c r="G291" s="17"/>
      <c r="H291" s="17"/>
      <c r="I291" s="17"/>
    </row>
    <row r="292" customFormat="false" ht="15" hidden="false" customHeight="false" outlineLevel="0" collapsed="false">
      <c r="A292" s="18"/>
      <c r="B292" s="17"/>
      <c r="C292" s="17"/>
      <c r="D292" s="17"/>
      <c r="E292" s="17"/>
      <c r="F292" s="17"/>
      <c r="G292" s="17"/>
      <c r="H292" s="17"/>
      <c r="I292" s="17"/>
    </row>
    <row r="293" customFormat="false" ht="15" hidden="false" customHeight="false" outlineLevel="0" collapsed="false">
      <c r="A293" s="18"/>
      <c r="B293" s="17"/>
      <c r="C293" s="17"/>
      <c r="D293" s="17"/>
      <c r="E293" s="17"/>
      <c r="F293" s="17"/>
      <c r="G293" s="17"/>
      <c r="H293" s="17"/>
      <c r="I293" s="17"/>
    </row>
    <row r="294" customFormat="false" ht="15" hidden="false" customHeight="false" outlineLevel="0" collapsed="false">
      <c r="A294" s="18"/>
      <c r="B294" s="17"/>
      <c r="C294" s="17"/>
      <c r="D294" s="17"/>
      <c r="E294" s="17"/>
      <c r="F294" s="17"/>
      <c r="G294" s="17"/>
      <c r="H294" s="17"/>
      <c r="I294" s="17"/>
    </row>
    <row r="295" customFormat="false" ht="15" hidden="false" customHeight="false" outlineLevel="0" collapsed="false">
      <c r="A295" s="18"/>
      <c r="B295" s="17"/>
      <c r="C295" s="17"/>
      <c r="D295" s="17"/>
      <c r="E295" s="17"/>
      <c r="F295" s="17"/>
      <c r="G295" s="17"/>
      <c r="H295" s="17"/>
      <c r="I295" s="17"/>
    </row>
    <row r="296" customFormat="false" ht="15" hidden="false" customHeight="false" outlineLevel="0" collapsed="false">
      <c r="A296" s="18"/>
      <c r="B296" s="17"/>
      <c r="C296" s="17"/>
      <c r="D296" s="17"/>
      <c r="E296" s="17"/>
      <c r="F296" s="17"/>
      <c r="G296" s="17"/>
      <c r="H296" s="17"/>
      <c r="I296" s="17"/>
    </row>
    <row r="297" customFormat="false" ht="15" hidden="false" customHeight="false" outlineLevel="0" collapsed="false">
      <c r="A297" s="18"/>
      <c r="B297" s="17"/>
      <c r="C297" s="17"/>
      <c r="D297" s="17"/>
      <c r="E297" s="17"/>
      <c r="F297" s="17"/>
      <c r="G297" s="17"/>
      <c r="H297" s="17"/>
      <c r="I297" s="17"/>
    </row>
    <row r="298" customFormat="false" ht="15" hidden="false" customHeight="false" outlineLevel="0" collapsed="false">
      <c r="A298" s="18"/>
      <c r="B298" s="17"/>
      <c r="C298" s="17"/>
      <c r="D298" s="17"/>
      <c r="E298" s="17"/>
      <c r="F298" s="17"/>
      <c r="G298" s="17"/>
      <c r="H298" s="17"/>
      <c r="I298" s="17"/>
    </row>
    <row r="299" customFormat="false" ht="15" hidden="false" customHeight="false" outlineLevel="0" collapsed="false">
      <c r="A299" s="18"/>
      <c r="B299" s="17"/>
      <c r="C299" s="17"/>
      <c r="D299" s="17"/>
      <c r="E299" s="17"/>
      <c r="F299" s="17"/>
      <c r="G299" s="17"/>
      <c r="H299" s="17"/>
      <c r="I299" s="17"/>
    </row>
    <row r="300" customFormat="false" ht="15" hidden="false" customHeight="false" outlineLevel="0" collapsed="false">
      <c r="A300" s="18"/>
      <c r="B300" s="17"/>
      <c r="C300" s="17"/>
      <c r="D300" s="17"/>
      <c r="E300" s="17"/>
      <c r="F300" s="17"/>
      <c r="G300" s="17"/>
      <c r="H300" s="17"/>
      <c r="I300" s="17"/>
    </row>
    <row r="301" customFormat="false" ht="15" hidden="false" customHeight="false" outlineLevel="0" collapsed="false">
      <c r="A301" s="18"/>
      <c r="B301" s="17"/>
      <c r="C301" s="17"/>
      <c r="D301" s="17"/>
      <c r="E301" s="17"/>
      <c r="F301" s="17"/>
      <c r="G301" s="17"/>
      <c r="H301" s="17"/>
      <c r="I301" s="17"/>
    </row>
    <row r="302" customFormat="false" ht="15" hidden="false" customHeight="false" outlineLevel="0" collapsed="false">
      <c r="A302" s="18"/>
      <c r="B302" s="17"/>
      <c r="C302" s="17"/>
      <c r="D302" s="17"/>
      <c r="E302" s="17"/>
      <c r="F302" s="17"/>
      <c r="G302" s="17"/>
      <c r="H302" s="17"/>
      <c r="I302" s="17"/>
    </row>
    <row r="303" customFormat="false" ht="15" hidden="false" customHeight="false" outlineLevel="0" collapsed="false">
      <c r="A303" s="18"/>
      <c r="B303" s="17"/>
      <c r="C303" s="17"/>
      <c r="D303" s="17"/>
      <c r="E303" s="17"/>
      <c r="F303" s="17"/>
      <c r="G303" s="17"/>
      <c r="H303" s="17"/>
      <c r="I303" s="17"/>
    </row>
    <row r="304" customFormat="false" ht="15" hidden="false" customHeight="false" outlineLevel="0" collapsed="false">
      <c r="A304" s="18"/>
      <c r="B304" s="17"/>
      <c r="C304" s="17"/>
      <c r="D304" s="17"/>
      <c r="E304" s="17"/>
      <c r="F304" s="17"/>
      <c r="G304" s="17"/>
      <c r="H304" s="17"/>
      <c r="I304" s="17"/>
    </row>
  </sheetData>
  <mergeCells count="2">
    <mergeCell ref="A1:I1"/>
    <mergeCell ref="A2:I2"/>
  </mergeCells>
  <conditionalFormatting sqref="G5:G304">
    <cfRule type="cellIs" priority="2" operator="equal" aboveAverage="0" equalAverage="0" bottom="0" percent="0" rank="0" text="" dxfId="7">
      <formula>"Posted"</formula>
    </cfRule>
  </conditionalFormatting>
  <dataValidations count="6">
    <dataValidation allowBlank="true" errorStyle="stop" operator="between" showDropDown="false" showErrorMessage="false" showInputMessage="false" sqref="A5:A304" type="date">
      <formula1>0</formula1>
      <formula2>0</formula2>
    </dataValidation>
    <dataValidation allowBlank="true" errorStyle="stop" operator="between" showDropDown="false" showErrorMessage="false" showInputMessage="false" sqref="B5:B304" type="list">
      <formula1>"BBG,CCCL,Cody"</formula1>
      <formula2>0</formula2>
    </dataValidation>
    <dataValidation allowBlank="true" errorStyle="stop" operator="between" showDropDown="false" showErrorMessage="false" showInputMessage="false" sqref="C5:C304" type="list">
      <formula1>"Facebook + Instagram,Facebook,Instagram,TikTok,YouTube"</formula1>
      <formula2>0</formula2>
    </dataValidation>
    <dataValidation allowBlank="true" errorStyle="stop" operator="between" showDropDown="false" showErrorMessage="false" showInputMessage="false" sqref="D5:D304" type="list">
      <formula1>"Class of the week,Free trial,Coach spotlight,Member win,Training clip,Kids &amp; parents,Announcement,Sponsor shout-out,Fight countdown,Fighter spotlight,Results,Behind the scenes,Constrictor Tip,Get back up"</formula1>
      <formula2>0</formula2>
    </dataValidation>
    <dataValidation allowBlank="true" errorStyle="stop" operator="between" showDropDown="false" showErrorMessage="false" showInputMessage="false" sqref="G5:G304" type="list">
      <formula1>"Idea,Drafted,Approved,Posted"</formula1>
      <formula2>0</formula2>
    </dataValidation>
    <dataValidation allowBlank="true" errorStyle="stop" operator="between" showDropDown="false" showErrorMessage="false" showInputMessage="false" sqref="H5:H304" type="list">
      <formula1>"Cody,Staff"</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1C2B"/>
    <pageSetUpPr fitToPage="tru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0"/>
    <col collapsed="false" customWidth="true" hidden="false" outlineLevel="0" max="3" min="3" style="0" width="50"/>
  </cols>
  <sheetData>
    <row r="1" customFormat="false" ht="30" hidden="false" customHeight="true" outlineLevel="0" collapsed="false">
      <c r="A1" s="1" t="s">
        <v>181</v>
      </c>
      <c r="B1" s="1"/>
      <c r="C1" s="1"/>
    </row>
    <row r="2" customFormat="false" ht="30" hidden="false" customHeight="true" outlineLevel="0" collapsed="false">
      <c r="A2" s="2" t="s">
        <v>182</v>
      </c>
      <c r="B2" s="2"/>
      <c r="C2" s="2"/>
    </row>
    <row r="4" customFormat="false" ht="15" hidden="false" customHeight="false" outlineLevel="0" collapsed="false">
      <c r="A4" s="21" t="s">
        <v>183</v>
      </c>
      <c r="B4" s="21" t="s">
        <v>184</v>
      </c>
      <c r="C4" s="21" t="s">
        <v>185</v>
      </c>
    </row>
    <row r="5" customFormat="false" ht="15" hidden="false" customHeight="false" outlineLevel="0" collapsed="false">
      <c r="A5" s="22" t="s">
        <v>186</v>
      </c>
      <c r="B5" s="23"/>
      <c r="C5" s="10" t="s">
        <v>187</v>
      </c>
    </row>
    <row r="6" customFormat="false" ht="15" hidden="false" customHeight="false" outlineLevel="0" collapsed="false">
      <c r="A6" s="22" t="s">
        <v>188</v>
      </c>
      <c r="B6" s="23"/>
      <c r="C6" s="10" t="s">
        <v>189</v>
      </c>
    </row>
    <row r="7" customFormat="false" ht="15" hidden="false" customHeight="false" outlineLevel="0" collapsed="false">
      <c r="A7" s="22" t="s">
        <v>190</v>
      </c>
      <c r="B7" s="23"/>
      <c r="C7" s="10" t="s">
        <v>191</v>
      </c>
    </row>
    <row r="8" customFormat="false" ht="15" hidden="false" customHeight="false" outlineLevel="0" collapsed="false">
      <c r="A8" s="22" t="s">
        <v>192</v>
      </c>
      <c r="B8" s="23"/>
      <c r="C8" s="10" t="s">
        <v>193</v>
      </c>
    </row>
    <row r="9" customFormat="false" ht="15" hidden="false" customHeight="false" outlineLevel="0" collapsed="false">
      <c r="A9" s="22" t="s">
        <v>194</v>
      </c>
      <c r="B9" s="23"/>
      <c r="C9" s="10" t="s">
        <v>195</v>
      </c>
    </row>
    <row r="10" customFormat="false" ht="15" hidden="false" customHeight="false" outlineLevel="0" collapsed="false">
      <c r="A10" s="22" t="s">
        <v>196</v>
      </c>
      <c r="B10" s="23"/>
      <c r="C10" s="10" t="s">
        <v>197</v>
      </c>
    </row>
    <row r="11" customFormat="false" ht="15" hidden="false" customHeight="false" outlineLevel="0" collapsed="false">
      <c r="A11" s="22" t="s">
        <v>198</v>
      </c>
      <c r="B11" s="23"/>
      <c r="C11" s="10" t="s">
        <v>199</v>
      </c>
    </row>
    <row r="12" customFormat="false" ht="15" hidden="false" customHeight="false" outlineLevel="0" collapsed="false">
      <c r="A12" s="22" t="s">
        <v>200</v>
      </c>
      <c r="B12" s="23"/>
      <c r="C12" s="10" t="s">
        <v>201</v>
      </c>
    </row>
    <row r="13" customFormat="false" ht="15" hidden="false" customHeight="false" outlineLevel="0" collapsed="false">
      <c r="A13" s="22" t="s">
        <v>202</v>
      </c>
      <c r="B13" s="23"/>
      <c r="C13" s="10" t="s">
        <v>203</v>
      </c>
    </row>
    <row r="14" customFormat="false" ht="15" hidden="false" customHeight="false" outlineLevel="0" collapsed="false">
      <c r="A14" s="22" t="s">
        <v>204</v>
      </c>
      <c r="B14" s="23"/>
      <c r="C14" s="10" t="s">
        <v>205</v>
      </c>
    </row>
    <row r="15" customFormat="false" ht="15" hidden="false" customHeight="false" outlineLevel="0" collapsed="false">
      <c r="A15" s="22" t="s">
        <v>206</v>
      </c>
      <c r="B15" s="23"/>
      <c r="C15" s="10" t="s">
        <v>207</v>
      </c>
    </row>
    <row r="16" customFormat="false" ht="15" hidden="false" customHeight="false" outlineLevel="0" collapsed="false">
      <c r="A16" s="22" t="s">
        <v>208</v>
      </c>
      <c r="B16" s="23"/>
      <c r="C16" s="10" t="s">
        <v>209</v>
      </c>
    </row>
    <row r="17" customFormat="false" ht="15" hidden="false" customHeight="false" outlineLevel="0" collapsed="false">
      <c r="A17" s="22" t="s">
        <v>210</v>
      </c>
      <c r="B17" s="23"/>
      <c r="C17" s="10" t="s">
        <v>211</v>
      </c>
    </row>
    <row r="18" customFormat="false" ht="15" hidden="false" customHeight="false" outlineLevel="0" collapsed="false">
      <c r="A18" s="22" t="s">
        <v>212</v>
      </c>
      <c r="B18" s="23"/>
      <c r="C18" s="10" t="s">
        <v>213</v>
      </c>
    </row>
    <row r="19" customFormat="false" ht="15" hidden="false" customHeight="false" outlineLevel="0" collapsed="false">
      <c r="A19" s="22" t="s">
        <v>214</v>
      </c>
      <c r="B19" s="23"/>
      <c r="C19" s="10" t="s">
        <v>215</v>
      </c>
    </row>
    <row r="20" customFormat="false" ht="15" hidden="false" customHeight="false" outlineLevel="0" collapsed="false">
      <c r="A20" s="22" t="s">
        <v>216</v>
      </c>
      <c r="B20" s="23"/>
      <c r="C20" s="10" t="s">
        <v>217</v>
      </c>
    </row>
    <row r="21" customFormat="false" ht="15" hidden="false" customHeight="false" outlineLevel="0" collapsed="false">
      <c r="A21" s="22" t="s">
        <v>218</v>
      </c>
      <c r="B21" s="23"/>
      <c r="C21" s="10" t="s">
        <v>219</v>
      </c>
    </row>
    <row r="22" customFormat="false" ht="15" hidden="false" customHeight="false" outlineLevel="0" collapsed="false">
      <c r="A22" s="22" t="s">
        <v>220</v>
      </c>
      <c r="B22" s="23"/>
      <c r="C22" s="10" t="s">
        <v>221</v>
      </c>
    </row>
    <row r="23" customFormat="false" ht="15" hidden="false" customHeight="false" outlineLevel="0" collapsed="false">
      <c r="A23" s="22" t="s">
        <v>222</v>
      </c>
      <c r="B23" s="23"/>
      <c r="C23" s="10" t="s">
        <v>223</v>
      </c>
    </row>
    <row r="24" customFormat="false" ht="15" hidden="false" customHeight="false" outlineLevel="0" collapsed="false">
      <c r="A24" s="22" t="s">
        <v>224</v>
      </c>
      <c r="B24" s="23"/>
      <c r="C24" s="10" t="s">
        <v>225</v>
      </c>
    </row>
    <row r="25" customFormat="false" ht="15" hidden="false" customHeight="false" outlineLevel="0" collapsed="false">
      <c r="A25" s="22" t="s">
        <v>226</v>
      </c>
      <c r="B25" s="23"/>
      <c r="C25" s="10" t="s">
        <v>227</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2026-10-27T21:42:33Z</dcterms:created>
  <dc:creator>openpyxl</dc:creator>
  <dc:description/>
  <dc:language>en-US</dc:language>
  <cp:lastModifiedBy/>
  <dcterms:modified xsi:type="dcterms:W3CDTF">2026-10-27T21:42:33Z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