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ummary" sheetId="2" state="visible" r:id="rId4"/>
    <sheet name="Programs" sheetId="3" state="visible" r:id="rId5"/>
    <sheet name="Not Eligible" sheetId="4" state="visible" r:id="rId6"/>
    <sheet name="Application Kit" sheetId="5" state="visible" r:id="rId7"/>
    <sheet name="Open Questions" sheetId="6" state="visible" r:id="rId8"/>
  </sheets>
  <definedNames>
    <definedName function="false" hidden="true" localSheetId="2" name="_xlnm._FilterDatabase" vbProcedure="false">Programs!$A$4:$V$79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<sst xmlns="http://schemas.openxmlformats.org/spreadsheetml/2006/main" count="799" uniqueCount="574">
  <si>
    <t xml:space="preserve">THE CONSTRICTOR FUNDING TRACKER</t>
  </si>
  <si>
    <t xml:space="preserve">Grants and programs that fit BBG, CCCL, Second Chance and gym families: who can apply, when, and where each application stands.</t>
  </si>
  <si>
    <t xml:space="preserve">1</t>
  </si>
  <si>
    <t xml:space="preserve">What's here</t>
  </si>
  <si>
    <t xml:space="preserve">35 programs researched on 2026-10-18: 18 BBG, CCCL or families can use now, 13 that open up once Second Chance is a nonprofit or charity, and the rest for reference. The Not Eligible tab lists ones that don't fit and why.</t>
  </si>
  <si>
    <t xml:space="preserve">2</t>
  </si>
  <si>
    <t xml:space="preserve">Check before relying</t>
  </si>
  <si>
    <t xml:space="preserve">Programs change every year. Before planning around a date or amount, open the source link and check the current intake. The Confidence column says how sure the research was.</t>
  </si>
  <si>
    <t xml:space="preserve">3</t>
  </si>
  <si>
    <t xml:space="preserve">Track it</t>
  </si>
  <si>
    <t xml:space="preserve">For each program you go after, set Our status, the Next deadline and the Owner. 'Days left' counts down and the Summary tab shows what's due in the next 60 days.</t>
  </si>
  <si>
    <t xml:space="preserve">4</t>
  </si>
  <si>
    <t xml:space="preserve">Apply</t>
  </si>
  <si>
    <t xml:space="preserve">Ask Claude: "draft the Canada Summer Jobs application". It drafts from real facts only and marks the gaps for you. You review and submit. The Application Kit tab lists what funders usually ask for.</t>
  </si>
  <si>
    <t xml:space="preserve">5</t>
  </si>
  <si>
    <t xml:space="preserve">Money</t>
  </si>
  <si>
    <t xml:space="preserve">A grant counts on the Money Summary only when it's paid into the bank. Approved grants usually come with reports and receipts: put the report date in 'Report due'.</t>
  </si>
  <si>
    <t xml:space="preserve">6</t>
  </si>
  <si>
    <t xml:space="preserve">Second Chance</t>
  </si>
  <si>
    <t xml:space="preserve">Most nonprofit funding needs an incorporated nonprofit (some need a registered charity). Keep Second Chance's applications and money separate from BBG and CCCL.</t>
  </si>
  <si>
    <t xml:space="preserve">Colours</t>
  </si>
  <si>
    <t xml:space="preserve">Yellow, blue text</t>
  </si>
  <si>
    <t xml:space="preserve">You type or pick here</t>
  </si>
  <si>
    <t xml:space="preserve">Black, bold</t>
  </si>
  <si>
    <t xml:space="preserve">Calculated: don't type over it</t>
  </si>
  <si>
    <t xml:space="preserve">SUMMARY</t>
  </si>
  <si>
    <t xml:space="preserve">What's open to us, where each application stands, and what's due.</t>
  </si>
  <si>
    <t xml:space="preserve">For</t>
  </si>
  <si>
    <t xml:space="preserve">Programs</t>
  </si>
  <si>
    <t xml:space="preserve">Yes, now</t>
  </si>
  <si>
    <t xml:space="preserve">After nonprofit or charity</t>
  </si>
  <si>
    <t xml:space="preserve">Applied (submitted)</t>
  </si>
  <si>
    <t xml:space="preserve">Approved</t>
  </si>
  <si>
    <t xml:space="preserve">Approved $</t>
  </si>
  <si>
    <t xml:space="preserve">BBG</t>
  </si>
  <si>
    <t xml:space="preserve">CCCL</t>
  </si>
  <si>
    <t xml:space="preserve">Families</t>
  </si>
  <si>
    <t xml:space="preserve">Deadlines</t>
  </si>
  <si>
    <t xml:space="preserve">Due in the next 14 days</t>
  </si>
  <si>
    <t xml:space="preserve">Due in the next 60 days</t>
  </si>
  <si>
    <t xml:space="preserve">Deadline passed, not applied</t>
  </si>
  <si>
    <t xml:space="preserve">Reports due in the next 30 days</t>
  </si>
  <si>
    <t xml:space="preserve">Programs can count under more than one 'For'.</t>
  </si>
  <si>
    <t xml:space="preserve">PROGRAMS</t>
  </si>
  <si>
    <t xml:space="preserve">Researched programs (left) and where we stand with each (right, in yellow). Check the source before relying on a date or amount.</t>
  </si>
  <si>
    <t xml:space="preserve">Program</t>
  </si>
  <si>
    <t xml:space="preserve">Funder</t>
  </si>
  <si>
    <t xml:space="preserve">Level</t>
  </si>
  <si>
    <t xml:space="preserve">Can we apply?</t>
  </si>
  <si>
    <t xml:space="preserve">Who can apply</t>
  </si>
  <si>
    <t xml:space="preserve">What it funds</t>
  </si>
  <si>
    <t xml:space="preserve">Amount</t>
  </si>
  <si>
    <t xml:space="preserve">Intake / deadline</t>
  </si>
  <si>
    <t xml:space="preserve">Program status</t>
  </si>
  <si>
    <t xml:space="preserve">Matching money</t>
  </si>
  <si>
    <t xml:space="preserve">How to apply</t>
  </si>
  <si>
    <t xml:space="preserve">Source</t>
  </si>
  <si>
    <t xml:space="preserve">Confidence</t>
  </si>
  <si>
    <t xml:space="preserve">Our status</t>
  </si>
  <si>
    <t xml:space="preserve">Next deadline</t>
  </si>
  <si>
    <t xml:space="preserve">Days left</t>
  </si>
  <si>
    <t xml:space="preserve">Owner</t>
  </si>
  <si>
    <t xml:space="preserve">Amount asked</t>
  </si>
  <si>
    <t xml:space="preserve">Amount approved</t>
  </si>
  <si>
    <t xml:space="preserve">Report due</t>
  </si>
  <si>
    <t xml:space="preserve">Notes</t>
  </si>
  <si>
    <t xml:space="preserve">CFDC Young Entrepreneur Loan Fund</t>
  </si>
  <si>
    <t xml:space="preserve">CFDC North &amp; Central Hastings and South Algonquin</t>
  </si>
  <si>
    <t xml:space="preserve">Regional</t>
  </si>
  <si>
    <t xml:space="preserve">BBG, CCCL</t>
  </si>
  <si>
    <t xml:space="preserve">Business owners aged 18 to 39 in North &amp; Central Hastings and South Algonquin</t>
  </si>
  <si>
    <t xml:space="preserve">Business start-up or growth</t>
  </si>
  <si>
    <t xml:space="preserve">Up to $30,000; no fees, no payments for the first year, prime + 2.5%, term up to 5 years</t>
  </si>
  <si>
    <t xml:space="preserve">Continuous</t>
  </si>
  <si>
    <t xml:space="preserve">Rolling</t>
  </si>
  <si>
    <t xml:space="preserve">Loan</t>
  </si>
  <si>
    <t xml:space="preserve">Contact Carolyn Barker Brown at 613-332-5564 ext. 203</t>
  </si>
  <si>
    <t xml:space="preserve">https://community-futures.ca/services-programs/business-loans/</t>
  </si>
  <si>
    <t xml:space="preserve">High</t>
  </si>
  <si>
    <t xml:space="preserve">Not started</t>
  </si>
  <si>
    <t xml:space="preserve">Cody is 18-39 (Cody, Oct 20, 2026), so he qualifies on age. Only if Cody (or a co-owner) is 39 or younger.</t>
  </si>
  <si>
    <t xml:space="preserve">Canada Small Business Financing Program (CSBFP)</t>
  </si>
  <si>
    <t xml:space="preserve">Innovation, Science and Economic Development Canada (delivered by banks and credit unions)</t>
  </si>
  <si>
    <t xml:space="preserve">Federal</t>
  </si>
  <si>
    <t xml:space="preserve">Small businesses or start-ups operating in Canada with gross annual revenues of $10 million or less (farming excluded)</t>
  </si>
  <si>
    <t xml:space="preserve">Government-backed loans for equipment, leasehold improvements, real property, intangible assets and working capital; lines of credit</t>
  </si>
  <si>
    <t xml:space="preserve">Up to $1.15M per borrower: term loans up to $1M (max $500K for leasehold improvements and equipment, of which up to $15…</t>
  </si>
  <si>
    <t xml:space="preserve">Loan, not a grant. 2% registration fee; interest capped (floating term loans at lender prime + 3%; lines of credit prim…</t>
  </si>
  <si>
    <t xml:space="preserve">Ask a financial officer at your bank or credit union for a CSBFP loan; the lender approves and registers it</t>
  </si>
  <si>
    <t xml:space="preserve">https://ised-isde.canada.ca/site/canada-small-business-financing-program/en/find-loan-your-small-business/about-program/helping-small-businesses-get-loans</t>
  </si>
  <si>
    <t xml:space="preserve">Cody is thinking about a new or bigger space (Cody, Oct 20, 2026): CSBFP loans can cover leasehold improvements and equipment as well as gear. Good route for gym equipment (mats, ring, bags) or a cag…</t>
  </si>
  <si>
    <t xml:space="preserve">Canada Summer Jobs 2027 (private-sector employer rate)</t>
  </si>
  <si>
    <t xml:space="preserve">Employment and Social Development Canada (ESDC)</t>
  </si>
  <si>
    <t xml:space="preserve">Not-for-profits, public-sector employers, and private-sector (for-profit) employers with 50 or fewer full-time employees</t>
  </si>
  <si>
    <t xml:space="preserve">Wage subsidy for summer jobs for youth aged 15 to 30 (e.g., youth program assistant coaches, camp staff, event and marketing assistants)</t>
  </si>
  <si>
    <t xml:space="preserve">Private sector: up to 50% of the provincial adult minimum hourly wage; mandatory employment-related costs (MERCs) are n…</t>
  </si>
  <si>
    <t xml:space="preserve">CSJ 2027 call opens October 27, 2026 at 9:00 am ET (canada.ca, modified Sept 29, 2026). Closing date not yet posted (the 2026 call ran Nov…</t>
  </si>
  <si>
    <t xml:space="preserve">Open since Oct 27, 2026 (close date not posted yet)</t>
  </si>
  <si>
    <t xml:space="preserve">Employer pays the remaining ~50% of wages plus all MERCs</t>
  </si>
  <si>
    <t xml:space="preserve">Apply online through the CSJ applicant guide's 'Apply now' section once the call opens Oct 27, 2026</t>
  </si>
  <si>
    <t xml:space="preserve">https://www.canada.ca/en/employment-social-development/services/funding/canada-summer-jobs/applicant-guide.html</t>
  </si>
  <si>
    <t xml:space="preserve">Drafting</t>
  </si>
  <si>
    <t xml:space="preserve">Opens Oct 27, 2026 at 9 am ET. Open BBG's CRA payroll (RP) account first: the form asks for it. Draft application ready for Cody. Cody wants a funded summer student (Cody, Oct 20, 2026). The form's first question asks for the payroll (RP) number, and BBG only has a business number: open the CRA payroll account now (CSJ opened O…</t>
  </si>
  <si>
    <t xml:space="preserve">Canadian Tire Jumpstart Individual Child Grants</t>
  </si>
  <si>
    <t xml:space="preserve">Canadian Tire Jumpstart Charities</t>
  </si>
  <si>
    <t xml:space="preserve">Private</t>
  </si>
  <si>
    <t xml:space="preserve">Parents or guardians of children aged 4 to 18 meeting Low-Income Cut-Off (LICO) criteria; funds go to the program provider, which must be a registered business…</t>
  </si>
  <si>
    <t xml:space="preserve">Registration (and equipment) costs for sustained sport or physical activity programs: at least 5 weeks with one session per week, or camps of 5+ consecutive days</t>
  </si>
  <si>
    <t xml:space="preserve">Up to $300 per child per year (2026), subject to chapter discretion and local demand</t>
  </si>
  <si>
    <t xml:space="preserve">2026 program is open; apply before the program starts; payment takes 6-8 weeks</t>
  </si>
  <si>
    <t xml:space="preserve">Open</t>
  </si>
  <si>
    <t xml:space="preserve">None</t>
  </si>
  <si>
    <t xml:space="preserve">Parent creates an account on the Jumpstart Individual Child Grant page and applies with a Canada Child Benefit statement and program details</t>
  </si>
  <si>
    <t xml:space="preserve">https://jumpstart.canadiantire.ca/pages/individual-child-grants</t>
  </si>
  <si>
    <t xml:space="preserve">Tell families</t>
  </si>
  <si>
    <t xml:space="preserve">BBG is already signed up to take Jumpstart grants (Cody, Oct 20, 2026). FAQ (https://jumpstart.canadiantire.ca/pages/faq) confirms the payee can be a 'registered business', so a for-profit gym like B…</t>
  </si>
  <si>
    <t xml:space="preserve">Community Futures (CFDC of North &amp; Central Hastings and South Algonquin) Business Loans</t>
  </si>
  <si>
    <t xml:space="preserve">CFDC North &amp; Central Hastings and South Algonquin (Bancroft; FedDev-supported Community Futures)</t>
  </si>
  <si>
    <t xml:space="preserve">BBG, CCCL, Second Chance</t>
  </si>
  <si>
    <t xml:space="preserve">Businesses and social enterprises in its service area (Town of Bancroft, Hastings Highlands, Centre Hastings, Tweed, Marmora and Lake, Madoc, Faraday, Limerick…</t>
  </si>
  <si>
    <t xml:space="preserve">Operating costs, equipment, inventory, leasehold improvements, commercial real estate</t>
  </si>
  <si>
    <t xml:space="preserve">Up to $300,000 (Ready Money microloans up to $10,000); CANtrade Opportunity Fund up to $150,000 for tariff-affected bus…</t>
  </si>
  <si>
    <t xml:space="preserve">Loan; rates, terms and security set by risk; no prepayment penalties</t>
  </si>
  <si>
    <t xml:space="preserve">Call 613-332-5564, meet a loan officer, then submit the Loan Application (or Ready Money form) with a cash flow projection</t>
  </si>
  <si>
    <t xml:space="preserve">BBG is in the CFDC area (Bancroft). Free business advice is a good first stop for the bigger-space plans (Cody, Oct 20, 2026). Office at 26 Chemaushgon Rd, Bancroft. Second Chance fits only if it run…</t>
  </si>
  <si>
    <t xml:space="preserve">Futurpreneur Core Startup Program (with BDC)</t>
  </si>
  <si>
    <t xml:space="preserve">Futurpreneur Canada (national non-profit) with Business Development Bank of Canada</t>
  </si>
  <si>
    <t xml:space="preserve">Entrepreneurs aged 18 to 39 (Canadian citizen or PR) whose business is pre-startup or has less than a year of significant sales</t>
  </si>
  <si>
    <t xml:space="preserve">Start-up loans plus up to two years of 1:1 mentorship</t>
  </si>
  <si>
    <t xml:space="preserve">Up to $75,000 total: up to $25,000 from Futurpreneur (RBC prime + 3%, capped at 9%) and up to $50,000 from BDC (BDC flo…</t>
  </si>
  <si>
    <t xml:space="preserve">Loan, not a grant; 1% loan management fee on the Futurpreneur portion</t>
  </si>
  <si>
    <t xml:space="preserve">Sign up on futurpreneur.ca to be contacted, or submit a business plan and 24-month cash flow through the MyFP portal</t>
  </si>
  <si>
    <t xml:space="preserve">https://futurpreneur.ca/en/offering/core-startup/</t>
  </si>
  <si>
    <t xml:space="preserve">Cody is 18-39 and runs BBG and CCCL as two businesses (Cody, Oct 20, 2026). CCCL's first show was May 2, 2026, so CCCL has under a year of sales and may qualify; BBG opened in 2025, so it probably do…</t>
  </si>
  <si>
    <t xml:space="preserve">Starter Company Plus (Hastings County delivery)</t>
  </si>
  <si>
    <t xml:space="preserve">Government of Ontario, delivered by the Small Business Centre at the Quinte Business Development Centre (Belleville)</t>
  </si>
  <si>
    <t xml:space="preserve">Provincial</t>
  </si>
  <si>
    <t xml:space="preserve">Ontario residents 18+, not in school full-time, starting, expanding or buying a business; the Belleville centre serves businesses registered in Hastings County…</t>
  </si>
  <si>
    <t xml:space="preserve">Business training, mentoring and a start-up/expansion grant</t>
  </si>
  <si>
    <t xml:space="preserve">Grant up to $5,000</t>
  </si>
  <si>
    <t xml:space="preserve">2026 local intake ran Apr 13 to May 22, 2026. 2027 dates not posted (expect spring 2027)</t>
  </si>
  <si>
    <t xml:space="preserve">Closed (2027 intake unknown)</t>
  </si>
  <si>
    <t xml:space="preserve">Applicant contributes cash or in-kind equal to at least 25% of the grant</t>
  </si>
  <si>
    <t xml:space="preserve">Apply through the Small Business Centre (info@smallbusinessctr.com, 613-961-0590)</t>
  </si>
  <si>
    <t xml:space="preserve">https://ontario.ca/page/starter-company-plus</t>
  </si>
  <si>
    <t xml:space="preserve">Local intake details: https://www.smallbusinessctr.com/services/. Ask the centre whether one owner can enter two businesses (BBG and CCCL).</t>
  </si>
  <si>
    <t xml:space="preserve">CFDC Youth Business Marketing Grant</t>
  </si>
  <si>
    <t xml:space="preserve">Business owners aged 18 to 39 in the CFDC area</t>
  </si>
  <si>
    <t xml:space="preserve">One-on-one digital marketing consultation</t>
  </si>
  <si>
    <t xml:space="preserve">Approx. $500</t>
  </si>
  <si>
    <t xml:space="preserve">Not stated (contact office)</t>
  </si>
  <si>
    <t xml:space="preserve">Unknown</t>
  </si>
  <si>
    <t xml:space="preserve">None stated</t>
  </si>
  <si>
    <t xml:space="preserve">Contact Melanie Wright at 613-332-5564 ext. 210</t>
  </si>
  <si>
    <t xml:space="preserve">https://community-futures.ca/services-programs/economic-development/</t>
  </si>
  <si>
    <t xml:space="preserve">Medium</t>
  </si>
  <si>
    <t xml:space="preserve">Cody is 18-39 (Cody, Oct 20, 2026), so he qualifies on age. A quick win for CCCL or BBG marketing. Small, but quick to get; age 18-39 only.</t>
  </si>
  <si>
    <t xml:space="preserve">Community Coaching Grant (Coaches Association of Ontario and Hydro One)</t>
  </si>
  <si>
    <t xml:space="preserve">Coaches Association of Ontario with Hydro One</t>
  </si>
  <si>
    <t xml:space="preserve">Individual sport coaches in Ontario at any level; organizations may apply for a group of coaches if the coaches directly benefit</t>
  </si>
  <si>
    <t xml:space="preserve">Safety training (NCCP or other safety-focused courses), replacing outdated or unsafe equipment (mats, protective gear), other safe-sport costs</t>
  </si>
  <si>
    <t xml:space="preserve">Up to $1,000 per recipient (at least 40 grants in 2026)</t>
  </si>
  <si>
    <t xml:space="preserve">2026 applications closed June 5, 2026 (opened in May); 2027 dates not posted</t>
  </si>
  <si>
    <t xml:space="preserve">Closed (2027 intake likely spring 2027)</t>
  </si>
  <si>
    <t xml:space="preserve">None; expenses before acceptance are ineligible</t>
  </si>
  <si>
    <t xml:space="preserve">Online application on the CAO Safe Sport 101 grant page when it reopens</t>
  </si>
  <si>
    <t xml:space="preserve">https://safesport101.coachesontario.ca/grant/</t>
  </si>
  <si>
    <t xml:space="preserve">Because individual coaches can apply, for-profit status is not a barrier here. Scoring rewards specific items and quantities, how they improve safety or access (with data), and a detailed budget. 202…</t>
  </si>
  <si>
    <t xml:space="preserve">Community Sport and Recreation Infrastructure Fund: Stream 2 (New Builds / Signature New Builds)</t>
  </si>
  <si>
    <t xml:space="preserve">Ontario Ministry of Sport</t>
  </si>
  <si>
    <t xml:space="preserve">Municipalities, Indigenous communities, local services boards, not-for-profits, and for-profit organizations that operate or manage a space offering sport or r…</t>
  </si>
  <si>
    <t xml:space="preserve">New sport and recreation infrastructure, including repurposing or expanding existing structures to create net-new facilities</t>
  </si>
  <si>
    <t xml:space="preserve">Up to $10 million (more for Signature New Builds); no minimum stated</t>
  </si>
  <si>
    <t xml:space="preserve">Applications due Tuesday, December 22, 2026, 4 pm ET</t>
  </si>
  <si>
    <t xml:space="preserve">For-profit provincial share capped at 25%; applicant covers the rest. Cannot stack with other Ontario funding for the s…</t>
  </si>
  <si>
    <t xml:space="preserve">Apply per the CSRIF guidelines on ontario.ca (contact csrif@ontario.ca)</t>
  </si>
  <si>
    <t xml:space="preserve">https://www.ontario.ca/document/community-sport-and-recreation-infrastructure-fund/stream-2-new-buildssignature-new-builds</t>
  </si>
  <si>
    <t xml:space="preserve">Only for new or expanded facilities; the province pays at most 25%. Cody is thinking about a new or bigger gym space (Cody, Oct 20, 2026). Stream 2 only funds new builds and asks for audited financial statements, which is a big cost for a small sole proprietorship (B…</t>
  </si>
  <si>
    <t xml:space="preserve">Ontario's Highlands Tourism Organization (RTO 11) membership and Come Wander marketing partnerships</t>
  </si>
  <si>
    <t xml:space="preserve">Ontario's Highlands Tourism Organization (OHTO)</t>
  </si>
  <si>
    <t xml:space="preserve">CCCL, BBG</t>
  </si>
  <si>
    <t xml:space="preserve">Businesses, organizations or individuals that operate in Ontario's Highlands and/or deliver services to visitors (membership is free for tourism participants)</t>
  </si>
  <si>
    <t xml:space="preserve">Free marketing exposure: Come Wander content features, social posts, website features, newsletters, influencer and photo-shoot partnerships; early notice of grants; free member training</t>
  </si>
  <si>
    <t xml:space="preserve">No cash funding currently ('None at this time' for funding opportunities)</t>
  </si>
  <si>
    <t xml:space="preserve">Membership year-round</t>
  </si>
  <si>
    <t xml:space="preserve">Rolling (no funding open)</t>
  </si>
  <si>
    <t xml:space="preserve">Register through the OHTO member portal (ohto.ca/become-a-member) and contact the marketing department or book a Discovery Call</t>
  </si>
  <si>
    <t xml:space="preserve">https://ohto.ca/programs-resources/funding-partnership-opportunities</t>
  </si>
  <si>
    <t xml:space="preserve">Joining lets OHTO flag funding to CCCL when it appears (members were previously eligible for a 'TRIP' skills development funding program). Marketing programs: https://ohto.ca/programs-resources/marke…</t>
  </si>
  <si>
    <t xml:space="preserve">CFDC Façade Improvement Grant Program</t>
  </si>
  <si>
    <t xml:space="preserve">Legally registered small or medium-sized businesses in the CFDC service area, on commercially zoned property</t>
  </si>
  <si>
    <t xml:space="preserve">Façade improvements under a Green (environmental) or Accessibility component</t>
  </si>
  <si>
    <t xml:space="preserve">Up to $3,000 non-repayable</t>
  </si>
  <si>
    <t xml:space="preserve">Page still shows costs must be incurred before March 31, 2025; current round unconfirmed</t>
  </si>
  <si>
    <t xml:space="preserve">Reimburses 50% of eligible costs</t>
  </si>
  <si>
    <t xml:space="preserve">Contact CFDC to confirm whether a current round is open</t>
  </si>
  <si>
    <t xml:space="preserve">Low</t>
  </si>
  <si>
    <t xml:space="preserve">BBG leases its building (Cody, Oct 20, 2026): ask CFDC whether a tenant can apply (usually with the landlord's written OK). Only if BBG's building needs accessible entrances or green upgrades. Costs…</t>
  </si>
  <si>
    <t xml:space="preserve">Canadian Women &amp; Sport Spotlight Grant</t>
  </si>
  <si>
    <t xml:space="preserve">Canadian Women &amp; Sport</t>
  </si>
  <si>
    <t xml:space="preserve">Community sport and physical activity organizations (for-profit eligibility not stated)</t>
  </si>
  <si>
    <t xml:space="preserve">Projects removing barriers for girls from priority communities (2SLGBTQIA+, Black, Indigenous, racialized, low-income, disability, newcomer)</t>
  </si>
  <si>
    <t xml:space="preserve">$5,000 or $15,000</t>
  </si>
  <si>
    <t xml:space="preserve">Not stated</t>
  </si>
  <si>
    <t xml:space="preserve">Check the program page or email spotlight@womenandsport.ca</t>
  </si>
  <si>
    <t xml:space="preserve">https://womenandsport.ca/program/spotlight-grant</t>
  </si>
  <si>
    <t xml:space="preserve">Low-income girls in North Hastings could be the priority group; confirm eligibility of for-profit clubs.</t>
  </si>
  <si>
    <t xml:space="preserve">RTO8 (Kawarthas Northumberland) Partnership Funding Program</t>
  </si>
  <si>
    <t xml:space="preserve">Regional Tourism Organization 8</t>
  </si>
  <si>
    <t xml:space="preserve">Established for-profit tourism businesses (incorporated or with an active CRA business number, selling directly to consumers) in Kawartha Lakes, Northumberland…</t>
  </si>
  <si>
    <t xml:space="preserve">Matched digital marketing campaigns for bookable experiences with an overnight stay (visitors travelling 40+ km), signage, studies, visual assets</t>
  </si>
  <si>
    <t xml:space="preserve">Partner contributions of $1,500 to $14,000, matched by RTO8 (not a grant)</t>
  </si>
  <si>
    <t xml:space="preserve">2026-27 single intake closed Apr 6, 2026; 2027-28 not posted</t>
  </si>
  <si>
    <t xml:space="preserve">Closed (next intake unknown, likely spring 2027)</t>
  </si>
  <si>
    <t xml:space="preserve">Matched funding (partner pays its share)</t>
  </si>
  <si>
    <t xml:space="preserve">Download and submit the Partnership Funding Program application PDF during the intake</t>
  </si>
  <si>
    <t xml:space="preserve">https://rto8.com/2026-27-partnership-funding-program/</t>
  </si>
  <si>
    <t xml:space="preserve">CCCL is based in RTO 11 territory, so it likely only qualifies if it runs a recurring show in Peterborough or Lindsay with a local partner (e.g., a venue or DMO applicant). Pair the show with hotel p…</t>
  </si>
  <si>
    <t xml:space="preserve">The Next Play (Canadian Women &amp; Sport, funded by Ontario)</t>
  </si>
  <si>
    <t xml:space="preserve">Canadian Women &amp; Sport with the Government of Ontario</t>
  </si>
  <si>
    <t xml:space="preserve">Ontario-based sport, physical activity and recreation organizations (for-profit eligibility not stated)</t>
  </si>
  <si>
    <t xml:space="preserve">Training on gender-inclusive program design plus a grant to run programs that engage and retain girls and gender-diverse youth</t>
  </si>
  <si>
    <t xml:space="preserve">Earlier rounds: $1,000 honorarium for completing training plus a $4,500 project grant (2024 details); 65 organizations…</t>
  </si>
  <si>
    <t xml:space="preserve">Annual spring intake (2025 opened late April); 2026 recipients already announced; 2027 not posted</t>
  </si>
  <si>
    <t xml:space="preserve">Apply through Canadian Women &amp; Sport when the next round opens</t>
  </si>
  <si>
    <t xml:space="preserve">https://womenandsport.ca/resource/ontario-government-invests-in-the-next-play-for-20</t>
  </si>
  <si>
    <t xml:space="preserve">Ask info@womenandsport.ca whether for-profit gyms qualify before investing time. Fits BBG's women's boxing and girls' programs.</t>
  </si>
  <si>
    <t xml:space="preserve">Tourism Kingston sport event funding</t>
  </si>
  <si>
    <t xml:space="preserve">Tourism Kingston</t>
  </si>
  <si>
    <t xml:space="preserve">Local</t>
  </si>
  <si>
    <t xml:space="preserve">Organizers bringing sport events to Kingston; eligibility depends on event type, expected impact, length of stay and time of year</t>
  </si>
  <si>
    <t xml:space="preserve">Offsetting event hosting costs, including accommodation support</t>
  </si>
  <si>
    <t xml:space="preserve">Rolling (assumed; apply-now link on page)</t>
  </si>
  <si>
    <t xml:space="preserve">Use the 'apply now' form on Tourism Kingston's tournament and event hosting page</t>
  </si>
  <si>
    <t xml:space="preserve">https://www.visitkingston.ca/sport-tourism/tournament-event-hosting</t>
  </si>
  <si>
    <t xml:space="preserve">The page does not say whether for-profit promoters qualify; ask before planning a Kingston-area show. Room nights booked by fighters, teams and fans are the likely selling point.</t>
  </si>
  <si>
    <t xml:space="preserve">Town of Bancroft Community Improvement Plan (incl. Tax Increment Equivalent Grant)</t>
  </si>
  <si>
    <t xml:space="preserve">Town of Bancroft</t>
  </si>
  <si>
    <t xml:space="preserve">Property owners and businesses within the CIP area (details in the CIP document)</t>
  </si>
  <si>
    <t xml:space="preserve">Revitalization and redevelopment incentives for commercial properties; Tax Increment Equivalent Grant for improvements that raise assessed value</t>
  </si>
  <si>
    <t xml:space="preserve">Not stated on web pages; see CIP document</t>
  </si>
  <si>
    <t xml:space="preserve">Download the CIP and application form from the Town's CIP page or contact Bancroft Economic Development</t>
  </si>
  <si>
    <t xml:space="preserve">https://www.bancroft.ca/business/community_improvement_plan_and_application</t>
  </si>
  <si>
    <t xml:space="preserve">BBG is inside Bancroft's CIP area and leases its building (Cody, Oct 20, 2026). Worth asking the Town what a tenant can apply for, especially if BBG renovates or moves to a bigger space. CIP document…</t>
  </si>
  <si>
    <t xml:space="preserve">Town of Bancroft council grants and in-kind event support</t>
  </si>
  <si>
    <t xml:space="preserve">CCCL, Second Chance</t>
  </si>
  <si>
    <t xml:space="preserve">Community organizations and events that request support from council (no formal published program found)</t>
  </si>
  <si>
    <t xml:space="preserve">Cash grants and in-kind municipal services for community events</t>
  </si>
  <si>
    <t xml:space="preserve">Historic example (2016): Rally of the Tall Pines got $5,000 cash plus $7,500 in services; Wheels/Water/Wings got $3,000…</t>
  </si>
  <si>
    <t xml:space="preserve">Requests reviewed in the annual budget process (2016 review was late March)</t>
  </si>
  <si>
    <t xml:space="preserve">Send a written request to council or Economic Development ahead of budget deliberations</t>
  </si>
  <si>
    <t xml:space="preserve">https://www.bancroftthisweek.com/bancroft-council-assesses-local-grants/</t>
  </si>
  <si>
    <t xml:space="preserve">Source is a 2016 news article, not a current policy. For-profit status of CCCL may limit cash support; in-kind support (venue, arena, promotion) is the more realistic ask. Ask the Town if a current g…</t>
  </si>
  <si>
    <t xml:space="preserve">CFDC Local Initiatives Program</t>
  </si>
  <si>
    <t xml:space="preserve">After nonprofit</t>
  </si>
  <si>
    <t xml:space="preserve">Incorporated not-for-profit organizations, municipalities and other incorporated community organizations in the catchment; unincorporated groups only if an inc…</t>
  </si>
  <si>
    <t xml:space="preserve">Incremental community economic development projects (capital or non-capital); not core operations, staff wages, basic websites, yearly festivals or construction</t>
  </si>
  <si>
    <t xml:space="preserve">Non-repayable, normally up to $3,000</t>
  </si>
  <si>
    <t xml:space="preserve">One project per organization per fiscal year (Apr 1 to Mar 31); projects cannot run past March 31</t>
  </si>
  <si>
    <t xml:space="preserve">Rolling (funding limited)</t>
  </si>
  <si>
    <t xml:space="preserve">Contact the CFDC office before applying</t>
  </si>
  <si>
    <t xml:space="preserve">Not now</t>
  </si>
  <si>
    <t xml:space="preserve">Good small first grant for Second Chance (e.g., an employer-partnership launch or resume workshop series). Hastings County's resource page lists this at up to $3,500; CFDC's own page says normally up…</t>
  </si>
  <si>
    <t xml:space="preserve">Canada Summer Jobs 2027 (not-for-profit employer rate)</t>
  </si>
  <si>
    <t xml:space="preserve">Not-for-profit organizations (also public and small private employers at the lower rate)</t>
  </si>
  <si>
    <t xml:space="preserve">Summer jobs for youth aged 15 to 30, e.g., youth employment outreach or program assistant roles</t>
  </si>
  <si>
    <t xml:space="preserve">Up to 100% of the provincial adult minimum hourly wage plus eligible MERCs</t>
  </si>
  <si>
    <t xml:space="preserve">2027 call opens October 27, 2026 at 9:00 am ET; close date not yet posted</t>
  </si>
  <si>
    <t xml:space="preserve">None required at the not-for-profit rate (up to 100%)</t>
  </si>
  <si>
    <t xml:space="preserve">Apply online via the CSJ applicant guide once the call opens</t>
  </si>
  <si>
    <t xml:space="preserve">https://www.canada.ca/en/employment-social-development/services/funding/canada-summer-jobs/applicant-guide/about.html</t>
  </si>
  <si>
    <t xml:space="preserve">Second Chance would need to be an established not-for-profit employer at application time; the 2027 call likely closes in early-to-mid December 2026, which is probably too soon unless incorporation i…</t>
  </si>
  <si>
    <t xml:space="preserve">Jumpstart Community Development Grants (Access and Youth Development streams)</t>
  </si>
  <si>
    <t xml:space="preserve">Registered charities, registered nonprofits or societies, registered Canadian amateur athletic associations (RCAAAs), municipalities and other qualified donees…</t>
  </si>
  <si>
    <t xml:space="preserve">Access: programs that remove barriers to sport for kids and youth. Youth Development: programs using sport to build life, leadership and employment-related skills where mentorship, coaching or employment is core (ages u…</t>
  </si>
  <si>
    <t xml:space="preserve">Access up to $25,000; Youth Development up to $75,000</t>
  </si>
  <si>
    <t xml:space="preserve">Intake 1 (programs starting in 2027) closes October 20, 2026, 11:59 pm ET. Intake 2 (programs starting Sep 1 to Dec 31, 2027) opens Mar 10,…</t>
  </si>
  <si>
    <t xml:space="preserve">Open (closes Oct 20, 2026); next intake Mar 10 to Apr 7, 2027</t>
  </si>
  <si>
    <t xml:space="preserve">None stated; paid 70% on acceptance, 30% after impact report</t>
  </si>
  <si>
    <t xml:space="preserve">Book a call with the regional Relationship Manager, then apply on the jumpstartgrants.smartsimple.ca portal</t>
  </si>
  <si>
    <t xml:space="preserve">https://jumpstart.canadiantire.ca/pages/community-development-grants</t>
  </si>
  <si>
    <t xml:space="preserve">Weak fit: Second Chance serves adults, and Jumpstart funds kids' and youth sport. Strong fit for a combined idea: a nonprofit Second Chance running a sport-based youth employment/mentorship program w…</t>
  </si>
  <si>
    <t xml:space="preserve">Ontario Trillium Foundation Capital Grant</t>
  </si>
  <si>
    <t xml:space="preserve">Ontario Trillium Foundation (OTF)</t>
  </si>
  <si>
    <t xml:space="preserve">Registered or incorporated non-profits actively operating 12+ months, delivering programs in sports and recreation, arts and culture, environment, or human and…</t>
  </si>
  <si>
    <t xml:space="preserve">Equipment (fixed and non-fixed), renovations and retrofits, outdoor space improvements</t>
  </si>
  <si>
    <t xml:space="preserve">$10,000 to $200,000, for 6 or 12 months</t>
  </si>
  <si>
    <t xml:space="preserve">Most recent window Feb 4 to Mar 4, 2026 (closed); watch for the next window</t>
  </si>
  <si>
    <t xml:space="preserve">Closed (next deadline not posted)</t>
  </si>
  <si>
    <t xml:space="preserve">None stated; quotes required for items over $5,000</t>
  </si>
  <si>
    <t xml:space="preserve">Apply through the OTF portal when the next window opens</t>
  </si>
  <si>
    <t xml:space="preserve">https://otf.ca/our-grants/community-investments-grants/capital-grant</t>
  </si>
  <si>
    <t xml:space="preserve">Needs 3+ board members (50% arm's length). Fixed equipment or renovations need ownership or a lease with 5+ years remaining. If Cody ever set up a separate nonprofit youth sport club, this is the mai…</t>
  </si>
  <si>
    <t xml:space="preserve">Ontario Trillium Foundation Seed Grant</t>
  </si>
  <si>
    <t xml:space="preserve">CRA-registered charities and not-for-profit corporations without share capital, with 12+ months of incorporation, operating and financial history; for-profits…</t>
  </si>
  <si>
    <t xml:space="preserve">New programs or pilots (community discussion, feasibility, research or pilot project), e.g., under the 'Prosperous People' (economic well-being) action area</t>
  </si>
  <si>
    <t xml:space="preserve">$5,000 to $75,000 per year, up to 12 months</t>
  </si>
  <si>
    <t xml:space="preserve">No upcoming deadline posted; the last Seed intake has closed</t>
  </si>
  <si>
    <t xml:space="preserve">None stated; 10% held back until final report</t>
  </si>
  <si>
    <t xml:space="preserve">Watch OTF's grant deadlines page and apply through the OTF portal when it opens</t>
  </si>
  <si>
    <t xml:space="preserve">https://otf.ca/our-grants/community-investments-grants/seed-grant</t>
  </si>
  <si>
    <t xml:space="preserve">Requires at least 3 active board members and Board-approved financial statements. Scored on Strategy 50%, Process 25%, People 25%. Eligibility policy: https://otf.ca/node/107. Realistically, Second C…</t>
  </si>
  <si>
    <t xml:space="preserve">Ontario Trillium Foundation Grow Grant</t>
  </si>
  <si>
    <t xml:space="preserve">Registered charities and not-for-profit corporations (12+ months history); for-profits ineligible</t>
  </si>
  <si>
    <t xml:space="preserve">Scaling a proven program</t>
  </si>
  <si>
    <t xml:space="preserve">$50,000 to $250,000 over up to 24 months (per Mentor Works summary of OTF terms)</t>
  </si>
  <si>
    <t xml:space="preserve">Last Grow intake closed Nov 5, 2025; next not posted</t>
  </si>
  <si>
    <t xml:space="preserve">Apply through the OTF portal when an intake opens</t>
  </si>
  <si>
    <t xml:space="preserve">https://otf.ca/our-grants/grant-application-deadlines</t>
  </si>
  <si>
    <t xml:space="preserve">Only after Second Chance has a track record (e.g., after a Seed-funded pilot).</t>
  </si>
  <si>
    <t xml:space="preserve">Rural Ontario Development (ROD) Program: community streams (workforce development, attraction and retention; economic diversification)</t>
  </si>
  <si>
    <t xml:space="preserve">Government of Ontario (rural affairs ministry)</t>
  </si>
  <si>
    <t xml:space="preserve">Municipalities, Indigenous communities and organizations, local services boards and not-for-profit organizations in rural Ontario</t>
  </si>
  <si>
    <t xml:space="preserve">Workforce development, attraction and retention projects (fits employer partnerships and job-readiness work); also strategies and plans, economic diversification, and capacity-building events</t>
  </si>
  <si>
    <t xml:space="preserve">Workforce stream: up to 50% cost share, up to $150,000. Strategies/plans: 50% up to $50,000. Capacity-building events:…</t>
  </si>
  <si>
    <t xml:space="preserve">Fourth period Jan 18 to Feb 25, 2027, 5 pm ET (subject to change)</t>
  </si>
  <si>
    <t xml:space="preserve">Closed (next window Jan 18 to Feb 25, 2027)</t>
  </si>
  <si>
    <t xml:space="preserve">Applicant covers 50% (65% for events and infrastructure streams)</t>
  </si>
  <si>
    <t xml:space="preserve">Email application to RODprogram@ontario.ca during an intake period</t>
  </si>
  <si>
    <t xml:space="preserve">https://www.ontario.ca/page/rural-ontario-development-program</t>
  </si>
  <si>
    <t xml:space="preserve">Second Chance's workforce work (job skills for people leaving the justice system) fits this stream once it's incorporated. Second Chance must be an incorporated not-for-profit before the February 202…</t>
  </si>
  <si>
    <t xml:space="preserve">Skills Development Fund (SDF) Training Stream</t>
  </si>
  <si>
    <t xml:space="preserve">Ontario Ministry of Labour, Immigration, Training and Skills Development</t>
  </si>
  <si>
    <t xml:space="preserve">Ontario employers (including for-profit), non-profit organizations, employer/industry associations, unions, municipalities and others; must be a legal entity o…</t>
  </si>
  <si>
    <t xml:space="preserve">Workforce projects: training, tools and wraparound supports, including for groups facing barriers such as youth 15-29 and justice-involved individuals; wage subsidies and training stipends</t>
  </si>
  <si>
    <t xml:space="preserve">No set minimum or maximum; ministry first considers projects with budgets over $150,000. Wage subsidies and stipends ca…</t>
  </si>
  <si>
    <t xml:space="preserve">Round 6 ran Jul 29 to Oct 1, 2025; the ontario.ca page says the application period has closed. Next round not announced</t>
  </si>
  <si>
    <t xml:space="preserve">Closed (next round unknown)</t>
  </si>
  <si>
    <t xml:space="preserve">Cost-sharing or in-kind contributions are scored (5%) but not required; admin costs capped at 15%</t>
  </si>
  <si>
    <t xml:space="preserve">Apply through Transfer Payment Ontario when a new round opens</t>
  </si>
  <si>
    <t xml:space="preserve">https://www.ontario.ca/page/skills-development-fund-training-stream</t>
  </si>
  <si>
    <t xml:space="preserve">Second Chance's focus (job skills and work experience for people leaving the justice system) is the kind of project SDF funds; partner with an established employment agency for the first round. Round…</t>
  </si>
  <si>
    <t xml:space="preserve">MLSE Foundation Community Action Grant</t>
  </si>
  <si>
    <t xml:space="preserve">MLSE Foundation</t>
  </si>
  <si>
    <t xml:space="preserve">Second Chance, BBG</t>
  </si>
  <si>
    <t xml:space="preserve">After charity</t>
  </si>
  <si>
    <t xml:space="preserve">CRA qualified donees performing services in Ontario (registered charities, registered Ontario amateur athletic associations, municipalities, First Nations, etc…</t>
  </si>
  <si>
    <t xml:space="preserve">Youth sport and recreation programs for equity-deserving youth; primary focus Black youth, First Nations/Inuit/Métis youth, and women and girl-identified youth (gender-specific programming); emerging focus newcomer, 2SL…</t>
  </si>
  <si>
    <t xml:space="preserve">Up to $50,000</t>
  </si>
  <si>
    <t xml:space="preserve">EOI opens Nov 3, 2026 (webinar Nov 17, 2026), EOI closes Dec 15, 2026; full applications Feb 2 to Mar 2, 2027; outcomes Apr 1, 2027</t>
  </si>
  <si>
    <t xml:space="preserve">Opening Nov 3, 2026</t>
  </si>
  <si>
    <t xml:space="preserve">Submit an Expression of Interest through the MLSE Foundation portal</t>
  </si>
  <si>
    <t xml:space="preserve">https://www.mlsefoundation.org/how-we-give/community-grants</t>
  </si>
  <si>
    <t xml:space="preserve">BBG cannot apply as a for-profit, but a girls' or women's boxing program could be funded if a local qualified donee (e.g., a youth-serving charity) applies as lead or trustee and BBG delivers the coa…</t>
  </si>
  <si>
    <t xml:space="preserve">United Way Hastings &amp; Prince Edward Community Impact Fund</t>
  </si>
  <si>
    <t xml:space="preserve">United Way Hastings &amp; Prince Edward</t>
  </si>
  <si>
    <t xml:space="preserve">CRA qualified donees (not-for-profit charitable organizations) with a volunteer board and audited or reviewed financial statements, serving Hastings and/or Pri…</t>
  </si>
  <si>
    <t xml:space="preserve">One-year program funding under three pillars: kids be all they can be; moving people from poverty to possibility; strong and healthy communities</t>
  </si>
  <si>
    <t xml:space="preserve">Minimum request $5,000; no maximum stated</t>
  </si>
  <si>
    <t xml:space="preserve">Opens October 23, 2026, 8 am; training Nov 2, 2026; due December 11, 2026, 4 pm; decisions end of February 2027</t>
  </si>
  <si>
    <t xml:space="preserve">Opening Oct 23, 2026</t>
  </si>
  <si>
    <t xml:space="preserve">Apply through the e-CIMPACT system after reviewing the Investment Guidelines; contact klalonde@unitedwayhpe.ca</t>
  </si>
  <si>
    <t xml:space="preserve">https://unitedwayhpe.ca/funding/</t>
  </si>
  <si>
    <t xml:space="preserve">Second Chance cannot meet this in the 2026-27 round; target a later round after charitable registration. Ask United Way about its Innovation Fund small grants (currently closed).</t>
  </si>
  <si>
    <t xml:space="preserve">100 Women Who Care - Bancroft Region</t>
  </si>
  <si>
    <t xml:space="preserve">100 Women Who Care Bancroft Region (giving circle)</t>
  </si>
  <si>
    <t xml:space="preserve">Registered charities serving the Bancroft region that can issue tax receipts (nominated or self-submitted, drawn from a hat)</t>
  </si>
  <si>
    <t xml:space="preserve">Unrestricted donation pooled from members at each gathering</t>
  </si>
  <si>
    <t xml:space="preserve">$100 per member or team per gathering; 3 gatherings a year (spring, fall, winter)</t>
  </si>
  <si>
    <t xml:space="preserve">Three pitch rounds a year; winners wait a year before re-entering</t>
  </si>
  <si>
    <t xml:space="preserve">Submit the charity's name to be entered in the draw</t>
  </si>
  <si>
    <t xml:space="preserve">https://www.bancroftthisweek.com/100-women-who-care-seeking-additional-members/</t>
  </si>
  <si>
    <t xml:space="preserve">Source is a January 2023 local news article; confirm current details on the group's Facebook page (listed on Hastings County's business resources page).</t>
  </si>
  <si>
    <t xml:space="preserve">RBC Foundation community investments</t>
  </si>
  <si>
    <t xml:space="preserve">RBC Foundation</t>
  </si>
  <si>
    <t xml:space="preserve">Registered charities or other qualified donees in Canada; individuals, political groups and sports teams (unless qualified donees) ineligible</t>
  </si>
  <si>
    <t xml:space="preserve">Initiatives that build skills for the future of work and expand inclusive opportunity</t>
  </si>
  <si>
    <t xml:space="preserve">Requests generally up to C$500,000/year; typically no more than 20% of an organization's operating budget</t>
  </si>
  <si>
    <t xml:space="preserve">No deadlines listed</t>
  </si>
  <si>
    <t xml:space="preserve">RBC funds at most ~20% of operating budget</t>
  </si>
  <si>
    <t xml:space="preserve">Apply through RBC's Community Investments page for Canada</t>
  </si>
  <si>
    <t xml:space="preserve">https://www.rbc.com/our-impact/apply-for-funding/index.html</t>
  </si>
  <si>
    <t xml:space="preserve">Seed funding requests from organizations under 5 years old may use unaudited statements. Long shot for a new charity; better after a year of results.</t>
  </si>
  <si>
    <t xml:space="preserve">TELUS Friendly Future Foundation Community Boards (Ottawa and Eastern Ontario)</t>
  </si>
  <si>
    <t xml:space="preserve">TELUS Friendly Future Foundation</t>
  </si>
  <si>
    <t xml:space="preserve">Canadian registered charities and qualified donees</t>
  </si>
  <si>
    <t xml:space="preserve">Programs supporting youth up to age 29 facing obstacles, with health and education focus</t>
  </si>
  <si>
    <t xml:space="preserve">Up to $20,000, single year</t>
  </si>
  <si>
    <t xml:space="preserve">No Canadian community board deadlines listed</t>
  </si>
  <si>
    <t xml:space="preserve">Apply through the TELUS community grants portal when the board's intake opens</t>
  </si>
  <si>
    <t xml:space="preserve">https://www.telus.com/en/social-impact/giving-back/community-grants</t>
  </si>
  <si>
    <t xml:space="preserve">Weak fit unless Second Chance adds a youth program: it serves adults leaving the justice system. Fits if Second Chance serves youth (e.g., youth job readiness).</t>
  </si>
  <si>
    <t xml:space="preserve">KidSport Ontario: Provincial Fund (individual child grants)</t>
  </si>
  <si>
    <t xml:space="preserve">KidSport Ontario</t>
  </si>
  <si>
    <t xml:space="preserve">No</t>
  </si>
  <si>
    <t xml:space="preserve">Families (individual children) whose income is within federal low-income guidelines plus about 30%; communities without a local chapter apply to the Provincial…</t>
  </si>
  <si>
    <t xml:space="preserve">Sport registration fees (not travel or competitions)</t>
  </si>
  <si>
    <t xml:space="preserve">Up to $250 per eligible child per calendar year</t>
  </si>
  <si>
    <t xml:space="preserve">Rolling by program season; apply by Friday, December 4, 2026 for eligible programs running January-February 2027; processed within 30 days</t>
  </si>
  <si>
    <t xml:space="preserve">Open (rolling)</t>
  </si>
  <si>
    <t xml:space="preserve">Parent registers the child, tells the club they will apply, then applies online, by paper, mail or email with proof of income (Canada Child Benefit notice preferred)</t>
  </si>
  <si>
    <t xml:space="preserve">https://kidsportcanada.ca/ontario/provincial-fund/</t>
  </si>
  <si>
    <t xml:space="preserve">Not eligible</t>
  </si>
  <si>
    <t xml:space="preserve">Families apply by Dec 4 for Jan-Feb programs. BBG isn't registered with Boxing Ontario (Cody, Oct 2026), so KidSport can't cover BBG classes until it is. BBG isn't registered with Boxing Ontario or any provincial sport body (Cody, Oct 20, 2026), so KidSport can't cover BBG classes. It would if BBG registered. Key condition: 'Sport clubs must be member…</t>
  </si>
  <si>
    <t xml:space="preserve">Ontario Job Grant (formerly Canada-Ontario Job Grant)</t>
  </si>
  <si>
    <t xml:space="preserve">Ontario Ministry of Labour, Immigration, Training and Skills Development (Employment Ontario)</t>
  </si>
  <si>
    <t xml:space="preserve">Private-sector (for-profit) and non-profit employers with a physical Ontario location that have operated in Ontario for at least one year</t>
  </si>
  <si>
    <t xml:space="preserve">Third-party training for existing staff or new hires (e.g., coaching, first aid, safe sport, business or marketing courses delivered by an eligible training provider)</t>
  </si>
  <si>
    <t xml:space="preserve">Up to $10,000 per trainee; up to $15,000 per previously unemployed new hire with no minimum employer contribution</t>
  </si>
  <si>
    <t xml:space="preserve">Year-round; ministry currently accepting applications involving 25 or fewer participants</t>
  </si>
  <si>
    <t xml:space="preserve">Employers with under 100 employees pay at least one-sixth of training costs (no contribution for unemployed new hires)</t>
  </si>
  <si>
    <t xml:space="preserve">Apply online through the Employment Ontario Ontario Job Grant portal (one application at a time)</t>
  </si>
  <si>
    <t xml:space="preserve">https://www.ontario.ca/page/ontario-job-grant</t>
  </si>
  <si>
    <t xml:space="preserve">Not now: BBG has no payroll employees and its coaches are volunteers (Cody, Oct 20, 2026), so there's no one for the grant to train. Look again once BBG has staff on payroll. Training must come from…</t>
  </si>
  <si>
    <t xml:space="preserve">OTF Youth Opportunities Fund: Youth Innovations (Test / Scale) grants</t>
  </si>
  <si>
    <t xml:space="preserve">Grassroots groups (not registered charities and not incorporated, or small non-profits with gross revenue of $50,000 or less) with an Organizational Mentor; yo…</t>
  </si>
  <si>
    <t xml:space="preserve">Projects benefiting young people aged 12-25 (12-29 for youth with disabilities, mental health or addiction needs), including justice/care well-being outcomes</t>
  </si>
  <si>
    <t xml:space="preserve">Up to $100,000 per year for 1 to 3 years (15% of budget goes to the Organizational Mentor)</t>
  </si>
  <si>
    <t xml:space="preserve">2026 cycle closed (EOI Apr 15, 2026; application Jul 8, 2026). 2027 cycle not posted</t>
  </si>
  <si>
    <t xml:space="preserve">Closed (next cycle unknown)</t>
  </si>
  <si>
    <t xml:space="preserve">Submit an Expression of Interest when OTF opens the next YOF cycle, with an Organizational Mentor lined up</t>
  </si>
  <si>
    <t xml:space="preserve">https://otf.ca/og-grants/youth-innovations-test-grant</t>
  </si>
  <si>
    <t xml:space="preserve">Doesn't fit: Second Chance serves adults leaving the justice system (Cody, Oct 20, 2026), not a youth-led group. This is the one sizeable grant that does not require Second Chance to incorporate firs…</t>
  </si>
  <si>
    <t xml:space="preserve">Rural Ontario Development (ROD) Program: Business Development stream</t>
  </si>
  <si>
    <t xml:space="preserve">Small brick-and-mortar businesses in rural Ontario with 1 to 20 employees on payroll (excluding owners); incorporated, partnership, sole proprietorship or co-o…</t>
  </si>
  <si>
    <t xml:space="preserve">Project types: market development, cyber security, succession planning, accessibility improvements. Eligible costs: professional fees, technology, marketing and promotion, minor capital for accessibility, training</t>
  </si>
  <si>
    <t xml:space="preserve">35% of project costs, up to $10,000 (minimum request $1,000)</t>
  </si>
  <si>
    <t xml:space="preserve">Third period closed Oct 1, 2026. Fourth period: Jan 18 to Feb 25, 2027, 5 pm ET (subject to change)</t>
  </si>
  <si>
    <t xml:space="preserve">Applicant pays 65% of project costs</t>
  </si>
  <si>
    <t xml:space="preserve">Complete the PDF application in Adobe Acrobat and email it to RODProgram@ontario.ca; be registered on Transfer Payment Ontario</t>
  </si>
  <si>
    <t xml:space="preserve">Fourth window Jan 18 to Feb 25, 2027. Not now: BBG has no payroll employees (Cody, Oct 20, 2026), and ROD needs 1 to 20 (owners don't count). If BBG puts someone on payroll before the Jan 18 to Feb 25, 2027 window, check again; it would…</t>
  </si>
  <si>
    <t xml:space="preserve">NOT ELIGIBLE (FOR NOW)</t>
  </si>
  <si>
    <t xml:space="preserve">Programs that came up but don't fit, and why. Worth a second look if something changes (e.g. Second Chance becomes a charity).</t>
  </si>
  <si>
    <t xml:space="preserve">Why not</t>
  </si>
  <si>
    <t xml:space="preserve">Experience Ontario 2026/2027 (Established Events and Capacity Building streams)</t>
  </si>
  <si>
    <t xml:space="preserve">CCCL shows don't qualify: events must run at least two consecutive days with 5+ hours of programming each day. The program also excludes sporting competitions not marketed to tourists, events of a primarily commercial nature, and sole proprietorships and partnerships as applicants. The 2026 intake closed Dec 16, 2025. Note: Experience Ontario is the province's current festival/event program.</t>
  </si>
  <si>
    <t xml:space="preserve">https://forms.mgcs.gov.on.ca/dataset/8b8e8f60-9d1c-4ad7-843a-144ef54a105c/resource/f7351091-7cba-4d7a-93e2-dbc9e5cdb146/download/eo26_application_guidlines_2025_11_21_final.pdf</t>
  </si>
  <si>
    <t xml:space="preserve">Reconnect Festival and Event Program (Ontario)</t>
  </si>
  <si>
    <t xml:space="preserve">No current Reconnect intake found. It was a pandemic-recovery program, and Ontario's current festival/event funding is Experience Ontario (see above). Not available to CCCL.</t>
  </si>
  <si>
    <t xml:space="preserve">Ontario Sport Hosting Program 2026-27</t>
  </si>
  <si>
    <t xml:space="preserve">For-profit applicants are ineligible, and events must be national or international, sanctioned by listed national sport organizations or international federations (no MMA body is listed). CCCL can't apply.</t>
  </si>
  <si>
    <t xml:space="preserve">https://forms.mgcs.gov.on.ca/en/dataset/2a497778-0458-4d72-b19f-422fa3ecc066/resource/70e9c426-0ad2-449b-a449-aa5bdd0da7f7/download/2026-27-sport-hosting-guidelines_part-1-program-guide_en.pdf</t>
  </si>
  <si>
    <t xml:space="preserve">Eastern Ontario Development Fund (EODF)</t>
  </si>
  <si>
    <t xml:space="preserve">Business projects need 3+ years of operation, at least 5 employees in rural areas, $200,000+ investment and 5 new jobs (or a 30% increase). Personal services are excluded. Community projects must be led by municipalities, economic development or sector organizations. Not realistic for BBG or CCCL. (Hastings is in the program area; next deadline Jan 21, 2027.)</t>
  </si>
  <si>
    <t xml:space="preserve">https://www.ontario.ca/page/eastern-ontario-development-fund</t>
  </si>
  <si>
    <t xml:space="preserve">FedDev Ontario Tourism Growth Program (southern Ontario)</t>
  </si>
  <si>
    <t xml:space="preserve">Closed and no longer accepting applications. It covered 2023-24 to 2025-26. Watch for a successor program; incorporated tourism SMEs were eligible (repayable contributions).</t>
  </si>
  <si>
    <t xml:space="preserve">https://feddev-ontario.canada.ca/en/funding-southern-ontario/tourism-growth-program-southern-ontario</t>
  </si>
  <si>
    <t xml:space="preserve">FedDev Ontario funding for businesses (e.g., Business Scale-up and Productivity)</t>
  </si>
  <si>
    <t xml:space="preserve">Businesses must be for-profit, incorporated for at least 3 years, and have at least 5 full-time employees. BBG and CCCL likely fall short.</t>
  </si>
  <si>
    <t xml:space="preserve">https://feddev-ontario.canada.ca/en/funding-southern-ontario/funding-businesses-southern-ontario-who-can-apply</t>
  </si>
  <si>
    <t xml:space="preserve">FedDev Build Communities Strong Fund - Local Impact Stream</t>
  </si>
  <si>
    <t xml:space="preserve">Intake is paused. It is for community infrastructure projects, not small businesses.</t>
  </si>
  <si>
    <t xml:space="preserve">https://feddev-ontario.canada.ca/en/funding-southern-ontario/build-communities-strong-fund-local-impact-stream-southern-ontario</t>
  </si>
  <si>
    <t xml:space="preserve">Sport Canada Community Sport for All Initiative</t>
  </si>
  <si>
    <t xml:space="preserve">Closed. Only national-level incorporated not-for-profits could apply. Community groups get this money indirectly through funded national organizations such as Jumpstart.</t>
  </si>
  <si>
    <t xml:space="preserve">https://www.canada.ca/en/canadian-heritage/services/funding/sport-support/community-sport-initiative.html</t>
  </si>
  <si>
    <t xml:space="preserve">ESDC Youth Employment and Skills Strategy - Strategic Collaboration</t>
  </si>
  <si>
    <t xml:space="preserve">Closed (May-July 2024) and by invitation only.</t>
  </si>
  <si>
    <t xml:space="preserve">https://www.canada.ca/en/employment-social-development/services/funding/yess-strategic-collaboration.html</t>
  </si>
  <si>
    <t xml:space="preserve">ESDC Team Canada Strong Youth Placements</t>
  </si>
  <si>
    <t xml:space="preserve">The expression of interest closes Oct 23, 2026. It funds large trades and construction placement projects (up to $15M/year), and for-profits are allowed only for non-commercial activity. Second Chance is not yet incorporated and the project scale doesn't fit.</t>
  </si>
  <si>
    <t xml:space="preserve">https://www.canada.ca/en/employment-social-development/services/funding/team-canada-strong-youth-placements.html</t>
  </si>
  <si>
    <t xml:space="preserve">Community Sport and Recreation Infrastructure Fund - Stream 1 (Repair and Rehabilitation)</t>
  </si>
  <si>
    <t xml:space="preserve">For-profit organizations are not listed as eligible (only municipalities, Indigenous organizations, local services boards and not-for-profits). BBG can only use Stream 2 (new builds).</t>
  </si>
  <si>
    <t xml:space="preserve">https://www.ontario.ca/document/community-sport-and-recreation-infrastructure-fund/stream-1-repair-and-rehabilitation</t>
  </si>
  <si>
    <t xml:space="preserve">Ontario Trillium Foundation (all Community Investments streams) for BBG or CCCL</t>
  </si>
  <si>
    <t xml:space="preserve">OTF's eligibility policy lists for-profit organizations, individuals, and organizations with less than 12 months of incorporation, operating and financial history as ineligible. Only a nonprofit (e.g., Second Chance after incorporation) can apply.</t>
  </si>
  <si>
    <t xml:space="preserve">https://otf.ca/node/107</t>
  </si>
  <si>
    <t xml:space="preserve">ParticipACTION Community Challenge grants</t>
  </si>
  <si>
    <t xml:space="preserve">For-profit organizations are ineligible, so BBG can't apply. The 2026 intake closed Feb 10, 2026. A nonprofit partner could apply for up to $1,000 for June physical-activity programming.</t>
  </si>
  <si>
    <t xml:space="preserve">https://www.participaction.com/wp-content/uploads/2026/01/2026-Grant-Guidelines.pdf</t>
  </si>
  <si>
    <t xml:space="preserve">Summer Company (Ontario)</t>
  </si>
  <si>
    <t xml:space="preserve">Only for students aged 15-29 starting their own summer business (up to $3,000), so it doesn't fund BBG or CCCL. A BBG teen could use it to start their own business, but the gym can't apply.</t>
  </si>
  <si>
    <t xml:space="preserve">https://www.ontario.ca/page/start-summer-company-students</t>
  </si>
  <si>
    <t xml:space="preserve">City of Peterborough Community Grants</t>
  </si>
  <si>
    <t xml:space="preserve">For-profit businesses are ineligible, and applicants must be nonprofits or neighbourhood groups operating mainly within Peterborough city limits.</t>
  </si>
  <si>
    <t xml:space="preserve">https://www.peterborough.ca/CommunityGrants</t>
  </si>
  <si>
    <t xml:space="preserve">City of Kawartha Lakes Local Economic Development Support Grant</t>
  </si>
  <si>
    <t xml:space="preserve">Only for non-profit organizations within the City of Kawartha Lakes. The 2026 intake closed Jan 15, 2026.</t>
  </si>
  <si>
    <t xml:space="preserve">https://www.kawarthalakes.ca/business-development/funding-for-businesses-and-community-organizations/local-economic-development-support-grant/</t>
  </si>
  <si>
    <t xml:space="preserve">Haliburton County Development Corporation (HCDC) loans</t>
  </si>
  <si>
    <t xml:space="preserve">HCDC only serves businesses and not-for-profits in Haliburton County. CCCL qualifies only if it is based there; Bancroft-based businesses use the Bancroft CFDC instead.</t>
  </si>
  <si>
    <t xml:space="preserve">https://www.haliburtoncdc.ca/about-us/</t>
  </si>
  <si>
    <t xml:space="preserve">TIAO Tourism Workforce Sustainability Program</t>
  </si>
  <si>
    <t xml:space="preserve">The program has officially wrapped up. It was one-year SDF funding.</t>
  </si>
  <si>
    <t xml:space="preserve">https://www.tiaontario.ca/cpages/twsp-1</t>
  </si>
  <si>
    <t xml:space="preserve">Public Safety Canada Grants and Contributions Program to Voluntary Organizations (community reintegration)</t>
  </si>
  <si>
    <t xml:space="preserve">Only for incorporated not-for-profits offering corrections, conditional release or reintegration programming. The 2025-26 call closed Jan 23, 2026. Second Chance can consider a future call only once incorporated and if it serves justice-involved people.</t>
  </si>
  <si>
    <t xml:space="preserve">https://www.canada.ca/en/public-safety-canada/news/2025/12/government-of-canada-announces-funding-for-community-reintegration-programs.html</t>
  </si>
  <si>
    <t xml:space="preserve">APPLICATION KIT</t>
  </si>
  <si>
    <t xml:space="preserve">What funders usually ask for, and the facts we can use. Get these ready once and most applications go faster.</t>
  </si>
  <si>
    <t xml:space="preserve">Item</t>
  </si>
  <si>
    <t xml:space="preserve">Where it comes from / notes</t>
  </si>
  <si>
    <t xml:space="preserve">Ready?</t>
  </si>
  <si>
    <t xml:space="preserve">Business or organization legal name and address</t>
  </si>
  <si>
    <t xml:space="preserve">BBG: 17 Snow Road, Bancroft ON. BBG and CCCL are two separate businesses (Cody, Oct 20, 2026): use the right one's legal name.</t>
  </si>
  <si>
    <t xml:space="preserve">Business Number (CRA) and structure</t>
  </si>
  <si>
    <t xml:space="preserve">Sole proprietorship (Cody, Oct 20, 2026). BBG has a business number; open the payroll (RP) account before hiring. Your accountant can confirm anything else a form asks.</t>
  </si>
  <si>
    <t xml:space="preserve">Number of employees</t>
  </si>
  <si>
    <t xml:space="preserve">Canada Summer Jobs and others depend on it (e.g. 50 or fewer for private-sector employers).</t>
  </si>
  <si>
    <t xml:space="preserve">Last year's financial statements or a budget</t>
  </si>
  <si>
    <t xml:space="preserve">Your accountant; the Money Summary helps for a simple budget.</t>
  </si>
  <si>
    <t xml:space="preserve">Project description and timeline</t>
  </si>
  <si>
    <t xml:space="preserve">What the money will do, by when, and who it helps. Claude drafts it from real facts.</t>
  </si>
  <si>
    <t xml:space="preserve">Project budget with quotes</t>
  </si>
  <si>
    <t xml:space="preserve">Each cost marked as a quote, estimate or known cost.</t>
  </si>
  <si>
    <t xml:space="preserve">Letters of support</t>
  </si>
  <si>
    <t xml:space="preserve">From partners, the town or a sponsor. Ask early; never draft one for someone to sign as if it were theirs.</t>
  </si>
  <si>
    <t xml:space="preserve">Proof of insurance</t>
  </si>
  <si>
    <t xml:space="preserve">Gym and event policies.</t>
  </si>
  <si>
    <t xml:space="preserve">Results so far (real numbers only)</t>
  </si>
  <si>
    <t xml:space="preserve">400 tickets and 15 sponsors at the first show; about 90 gym members by March 2026 (The Highlander). No invented numbers.</t>
  </si>
  <si>
    <t xml:space="preserve">Photos</t>
  </si>
  <si>
    <t xml:space="preserve">Only adults who agreed, or kids with a parent's written OK. Never kids in funder marketing without it.</t>
  </si>
  <si>
    <t xml:space="preserve">Banking details for payment</t>
  </si>
  <si>
    <t xml:space="preserve">Entered on the funder's portal by Cody. Never put them in a sheet or a draft.</t>
  </si>
  <si>
    <t xml:space="preserve">Tips from the funders</t>
  </si>
  <si>
    <t xml:space="preserve">•</t>
  </si>
  <si>
    <t xml:space="preserve">Canada Summer Jobs 2027 opens Oct 27, 2026 at 9:00 am ET. Have the CRA business number and payroll deductions account ready. Jobs must be 30-40 hours/week for 6-16 consecutive weeks. Private employers get up to 50% of minimum wage with no MERCs; not-for-profits get up to 100% plus MERCs. Write the application to the riding's local priorities (2026 priorities for Hastings-Lennox and Addington-Tyendinaga included community events and local/regional tourism development). (canada.ca CSJ applicant guide; CFIB CSJ page; CSJ local priorities page)</t>
  </si>
  <si>
    <t xml:space="preserve">KidSport only pays for clubs that are members of their Provincial Sport Organization. Boxing Ontario club registration needs at least one NCCP Level 1 Instruction Beginner coach, a safety inspection, and staff registered with Boxing Ontario; registration runs to Dec 31 each year. BBG isn't registered (Cody, Oct 20, 2026). Decide whether to register: it's the only way families could use KidSport at BBG (Dec 4, 2026 deadline for Jan-Feb 2027 programs). (kidsportcanada.ca/ontario/provincial-fund; boxingontario.com becoming a registered club)</t>
  </si>
  <si>
    <t xml:space="preserve">Structure kids' programs as sessions of at least 5 weeks (one or more classes per week) or camps of at least 5 consecutive days so they qualify for Jumpstart individual grants. BBG is already a Jumpstart payee (Cody, Oct 2026); cheques go to the provider, not the family. Families should apply before the program starts. (jumpstart.canadiantire.ca individual-child-grants and FAQ)</t>
  </si>
  <si>
    <t xml:space="preserve">OTF requires nonprofits to have 12 months of incorporation, operating and financial history, at least 3 board members, and Board-approved financial statements. Incorporate Second Chance as early as possible so the 12-month clock starts. Seed applications are scored Strategy 50%, Process 25%, People 25%. (otf.ca eligibility policy and Seed grant page)</t>
  </si>
  <si>
    <t xml:space="preserve">Several funders (MLSE Foundation, RBC, TELUS, United Way, 100 Women Who Care) require qualified-donee status: a registered charity, or a registered Canadian amateur athletic association for sport. MLSE lets non-qualified groups apply through a qualified-donee trustee. Partnering with an existing local charity as lead or trustee is the fastest route for youth or employment projects. (mlsefoundation.org community grants; rbc.com apply for funding; telus.com community grants; unitedwayhpe.ca/funding)</t>
  </si>
  <si>
    <t xml:space="preserve">Jumpstart Community Development Grants recommend booking a call with your regional Relationship Manager before applying. Its Youth Development stream (up to $75,000) funds sport programs where coaching, mentorship or employment is core, which matches a Second Chance + BBG youth employment program. Next intake opens Mar 10, 2027. (jumpstart.canadiantire.ca/pages/community-development-grants)</t>
  </si>
  <si>
    <t xml:space="preserve">Rural Ontario Development business funding is first-come, first-served, and each business gets only one successful application. Costs incurred before the project's effective date are ineligible. Fill the form in Adobe Acrobat (not a browser), email it to RODProgram@ontario.ca, and register on Transfer Payment Ontario first. The next window is Jan 18 to Feb 25, 2027. (ontario.ca ROD page and business development application form)</t>
  </si>
  <si>
    <t xml:space="preserve">Starter Company Plus requires a cash or in-kind contribution of at least 25% of the grant. Hastings County businesses apply through the Small Business Centre in Belleville (2026 intake was Apr 13 to May 22), so plan a business plan and cash flow for a spring 2027 intake. (ontario.ca/page/starter-company-plus; smallbusinessctr.com/services)</t>
  </si>
  <si>
    <t xml:space="preserve">CFDC loan applications need the amount, its purpose and how it helps the business, a meeting with staff, the Loan Application (or Ready Money form under $10,000), and a cash flow projection. Owners aged 18-39 can get the Young Entrepreneur Loan with no payments in year one. (community-futures.ca business loans)</t>
  </si>
  <si>
    <t xml:space="preserve">Ontario Job Grant: employers with under 100 employees pay at least one-sixth of training costs. Training must be from an eligible third-party provider with 2+ years of experience delivering it, and the employer must have operated in Ontario for at least a year. Up to $15,000 with no employer share is possible when training an unemployed new hire, which could pair well with Second Chance clients hired by partner employers. (ontario.ca/page/ontario-job-grant)</t>
  </si>
  <si>
    <t xml:space="preserve">The Coaches Association of Ontario Community Coaching Grant lets individual coaches apply (up to $1,000 for mats, protective gear or safety training). Each BBG coach could apply separately when it reopens (2026 window closed June 5). Purchases made before acceptance are not reimbursed. (safesport101.coachesontario.ca/grant)</t>
  </si>
  <si>
    <t xml:space="preserve">The Community Sport and Recreation Infrastructure Fund caps for-profit applicants at 25% provincial cost share, requires audited financial statements and a corporate structure document, and closes Dec 22, 2026. Only pursue it if a new or expanded BBG facility is planned. (ontario.ca CSRIF Stream 2)</t>
  </si>
  <si>
    <t xml:space="preserve">The County of Haliburton is hosting a Funders Forum on November 5, 2026 for local businesses, nonprofits and community groups, a chance to meet funders relevant to CCCL's Haliburton shows. (haliburtoncounty.ca home page)</t>
  </si>
  <si>
    <t xml:space="preserve">United Way Hastings &amp; Prince Edward: applications open Oct 23, 2026, training session Nov 2, due Dec 11, 2026 through e-CIMPACT. Minimum request is $5,000, and audited or reviewed statements plus a volunteer board are required, so this is a goal for Second Chance after it becomes a charity. (unitedwayhpe.ca/funding)</t>
  </si>
  <si>
    <t xml:space="preserve">Track where CCCL ticket buyers come from (postal codes). Tourism funders define a visitor or tourist as someone travelling 40+ km (Experience Ontario, RTO8), and this data is what tourism partners and municipalities will ask for. (EO26 guidelines; rto8.com partnership program)</t>
  </si>
  <si>
    <t xml:space="preserve">MLSE Foundation Community Action Grant: expression of interest opens Nov 3, 2026, info webinar Nov 17, closes Dec 15, 2026. Women- and girl-identified youth programming is a primary focus, which suits BBG's women's boxing if delivered with a qualified-donee lead. (mlsefoundation.org)</t>
  </si>
  <si>
    <t xml:space="preserve">QUESTIONS FOR CODY</t>
  </si>
  <si>
    <t xml:space="preserve">Eligibility hangs on these. Cody answered most of them on October 20, 2026; the rest are at the bottom.</t>
  </si>
  <si>
    <t xml:space="preserve">Question</t>
  </si>
  <si>
    <t xml:space="preserve">Answer</t>
  </si>
  <si>
    <t xml:space="preserve">CODY'S ANSWERS (OCTOBER 20, 2026)</t>
  </si>
  <si>
    <t xml:space="preserve">Legal structure of BBG and CCCL; one entity or two?</t>
  </si>
  <si>
    <t xml:space="preserve">Sole proprietorship. BBG and CCCL are two businesses.</t>
  </si>
  <si>
    <t xml:space="preserve">Employees on payroll (excluding owners); coaches employees or contractors?</t>
  </si>
  <si>
    <t xml:space="preserve">None on payroll. Coaches are volunteers.</t>
  </si>
  <si>
    <t xml:space="preserve">CRA business number and payroll account; Transfer Payment Ontario?</t>
  </si>
  <si>
    <t xml:space="preserve">Business number only, no payroll account. Not sure about Transfer Payment Ontario.</t>
  </si>
  <si>
    <t xml:space="preserve">How long operating; annual sales?</t>
  </si>
  <si>
    <t xml:space="preserve">BBG opened in 2025; sales under $50,000 a year. CCCL's first show was May 2, 2026.</t>
  </si>
  <si>
    <t xml:space="preserve">Cody's age (youth programs need 18 to 39)</t>
  </si>
  <si>
    <t xml:space="preserve">18 to 39.</t>
  </si>
  <si>
    <t xml:space="preserve">Registered with Boxing Ontario or another sport body? NCCP?</t>
  </si>
  <si>
    <t xml:space="preserve">Not registered with any sport body. Some coaches have NCCP certification.</t>
  </si>
  <si>
    <t xml:space="preserve">Own or lease; commercially zoned; in Bancroft's CIP area?</t>
  </si>
  <si>
    <t xml:space="preserve">Leases. Inside the CIP area.</t>
  </si>
  <si>
    <t xml:space="preserve">New or expanded facility being considered?</t>
  </si>
  <si>
    <t xml:space="preserve">Yes.</t>
  </si>
  <si>
    <t xml:space="preserve">Where is CCCL based?</t>
  </si>
  <si>
    <t xml:space="preserve">At the gym's address in Bancroft; it runs events across Ontario.</t>
  </si>
  <si>
    <t xml:space="preserve">Second Chance: incorporation, board, charity plans?</t>
  </si>
  <si>
    <t xml:space="preserve">Incorporation in progress. Plans to become a registered charity. Five possible board members named. No bank account yet.</t>
  </si>
  <si>
    <t xml:space="preserve">Second Chance: who it serves?</t>
  </si>
  <si>
    <t xml:space="preserve">Adults leaving the justice system and anyone who needs a fresh start: job skills, work experience and volunteer roles at fight nights.</t>
  </si>
  <si>
    <t xml:space="preserve">Jumpstart payee?</t>
  </si>
  <si>
    <t xml:space="preserve">Yes, BBG is already signed up.</t>
  </si>
  <si>
    <t xml:space="preserve">Which federal riding is Bancroft in for CSJ local priorities? Hastings-Lennox and Addington-Tyendinaga appears likely (see the CSJ draft).</t>
  </si>
  <si>
    <t xml:space="preserve">Hastings—Lennox and Addington—Tyendinaga: Elections Canada lists the Town of Bancroft in it (checked Oct 2026; see the CSJ draft).</t>
  </si>
  <si>
    <t xml:space="preserve">STILL TO CONFIRM</t>
  </si>
  <si>
    <t xml:space="preserve">Is BBG registered on Transfer Payment Ontario? (Needed for most Ontario grants, including ROD.)</t>
  </si>
  <si>
    <t xml:space="preserve">Second Chance: incorporating federally (CNCA) or in Ontario (ONCA)? Are the board members at arm's length (not related to each other or to Cody, and not his employees)?</t>
  </si>
  <si>
    <t xml:space="preserve">Is there a local registered charity that could act as lead applicant or trustee for Second Chance projects while it gets established?</t>
  </si>
  <si>
    <t xml:space="preserve">Would the NCCP courses BBG's coaches want count as eligible third-party training (only matters once BBG has payroll staff)?</t>
  </si>
  <si>
    <t xml:space="preserve">Does the Town of Bancroft have a current community grant or event-support policy that CCCL could use?</t>
  </si>
  <si>
    <t xml:space="preserve">BUSINESS PROFILE FOR APPLICATIONS</t>
  </si>
  <si>
    <t xml:space="preserve">BBG is a sole proprietorship owned by Cody Purtell. BBG and CCCL are run as two businesses (Cody, Oct 20, 2026).</t>
  </si>
  <si>
    <t xml:space="preserve">Payroll: none besides Cody. Coaches are volunteers. Cody runs and coaches every class.</t>
  </si>
  <si>
    <t xml:space="preserve">CRA: BBG has a business number but no payroll program account yet.</t>
  </si>
  <si>
    <t xml:space="preserve">Transfer Payment Ontario: not sure whether BBG is registered.</t>
  </si>
  <si>
    <t xml:space="preserve">BBG's yearly sales: under $50,000.</t>
  </si>
  <si>
    <t xml:space="preserve">Owner age: 18 to 39.</t>
  </si>
  <si>
    <t xml:space="preserve">Premises: BBG leases its building at 17 Snow Road, Bancroft, inside Bancroft's Community Improvement Plan area. Cody is thinking about a new or bigger space.</t>
  </si>
  <si>
    <t xml:space="preserve">CCCL uses the gym's address in Bancroft and runs events across Ontario.</t>
  </si>
  <si>
    <t xml:space="preserve">Banking: one bank account for BBG and CCCL. Second Chance will need its own.</t>
  </si>
  <si>
    <t xml:space="preserve">Sport bodies: BBG isn't registered with Boxing Ontario or another provincial sport organization. BBG is a Jumpstart payee.</t>
  </si>
  <si>
    <t xml:space="preserve">Coaches: all have a vulnerable sector check; some hold NCCP certification. Rowan's Law paperwork is in place.</t>
  </si>
</sst>
</file>

<file path=xl/styles.xml><?xml version="1.0" encoding="utf-8"?>
<styleSheet xmlns="http://schemas.openxmlformats.org/spreadsheetml/2006/main">
  <numFmts count="5">
    <numFmt numFmtId="164" formatCode="General"/>
    <numFmt numFmtId="165" formatCode="General"/>
    <numFmt numFmtId="166" formatCode="\$#,##0;[RED]&quot;-$&quot;#,##0;\-"/>
    <numFmt numFmtId="167" formatCode="mmm\ d&quot;, &quot;yyyy"/>
    <numFmt numFmtId="168" formatCode="0"/>
  </numFmts>
  <fonts count="16">
    <font>
      <sz val="11"/>
      <color theme="1"/>
      <name val="Calibri"/>
      <family val="2"/>
      <charset val="1"/>
    </font>
    <font>
      <sz val="10"/>
      <name val="Arial"/>
      <family val="0"/>
    </font>
    <font>
      <sz val="10"/>
      <name val="Arial"/>
      <family val="0"/>
    </font>
    <font>
      <sz val="10"/>
      <name val="Arial"/>
      <family val="0"/>
    </font>
    <font>
      <b val="true"/>
      <sz val="16"/>
      <color rgb="FFEAA959"/>
      <name val="Arial"/>
      <family val="0"/>
      <charset val="1"/>
    </font>
    <font>
      <sz val="10"/>
      <color rgb="FFFFFFFF"/>
      <name val="Arial"/>
      <family val="0"/>
      <charset val="1"/>
    </font>
    <font>
      <b val="true"/>
      <sz val="12"/>
      <color rgb="FFEAA959"/>
      <name val="Arial"/>
      <family val="0"/>
      <charset val="1"/>
    </font>
    <font>
      <b val="true"/>
      <sz val="10"/>
      <name val="Arial"/>
      <family val="0"/>
      <charset val="1"/>
    </font>
    <font>
      <sz val="10"/>
      <name val="Arial"/>
      <family val="0"/>
      <charset val="1"/>
    </font>
    <font>
      <b val="true"/>
      <sz val="11"/>
      <color rgb="FF081C2B"/>
      <name val="Arial"/>
      <family val="0"/>
      <charset val="1"/>
    </font>
    <font>
      <sz val="10"/>
      <color rgb="FF0000FF"/>
      <name val="Arial"/>
      <family val="0"/>
      <charset val="1"/>
    </font>
    <font>
      <b val="true"/>
      <sz val="10"/>
      <color rgb="FFFFFFFF"/>
      <name val="Arial"/>
      <family val="0"/>
      <charset val="1"/>
    </font>
    <font>
      <b val="true"/>
      <sz val="10"/>
      <color rgb="FF000000"/>
      <name val="Arial"/>
      <family val="0"/>
      <charset val="1"/>
    </font>
    <font>
      <i val="true"/>
      <sz val="9"/>
      <color rgb="FF555555"/>
      <name val="Arial"/>
      <family val="0"/>
      <charset val="1"/>
    </font>
    <font>
      <sz val="9"/>
      <color rgb="FF1F5FA8"/>
      <name val="Arial"/>
      <family val="0"/>
      <charset val="1"/>
    </font>
    <font>
      <b val="true"/>
      <sz val="10"/>
      <color rgb="FFEAA959"/>
      <name val="Arial"/>
      <family val="0"/>
      <charset val="1"/>
    </font>
  </fonts>
  <fills count="4">
    <fill>
      <patternFill patternType="none"/>
    </fill>
    <fill>
      <patternFill patternType="gray125"/>
    </fill>
    <fill>
      <patternFill patternType="solid">
        <fgColor rgb="FF081C2B"/>
        <bgColor rgb="FF000000"/>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2" borderId="0"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center" vertical="bottom" textRotation="0" wrapText="false" indent="0" shrinkToFit="false"/>
      <protection locked="true" hidden="false"/>
    </xf>
    <xf numFmtId="166" fontId="12" fillId="0" borderId="1" xfId="0" applyFont="true" applyBorder="true" applyAlignment="true" applyProtection="false">
      <alignment horizontal="center"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7" fontId="10" fillId="3" borderId="1" xfId="0" applyFont="true" applyBorder="true" applyAlignment="true" applyProtection="false">
      <alignment horizontal="general" vertical="top" textRotation="0" wrapText="tru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6" fontId="10" fillId="3"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081C2B"/>
          <bgColor rgb="FF000000"/>
        </patternFill>
      </fill>
    </dxf>
    <dxf>
      <fill>
        <patternFill patternType="solid">
          <fgColor rgb="FFFFFF00"/>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EDEDED"/>
          <bgColor rgb="FF000000"/>
        </patternFill>
      </fill>
    </dxf>
    <dxf>
      <fill>
        <patternFill patternType="solid">
          <fgColor rgb="FF006100"/>
          <bgColor rgb="FF000000"/>
        </patternFill>
      </fill>
    </dxf>
    <dxf>
      <fill>
        <patternFill patternType="solid">
          <fgColor rgb="FF808080"/>
          <bgColor rgb="FF000000"/>
        </patternFill>
      </fill>
    </dxf>
    <dxf>
      <fill>
        <patternFill patternType="solid">
          <fgColor rgb="FF1F5FA8"/>
          <bgColor rgb="FF000000"/>
        </patternFill>
      </fill>
    </dxf>
    <dxf>
      <fill>
        <patternFill patternType="solid">
          <fgColor rgb="FF000000"/>
          <bgColor rgb="FF000000"/>
        </patternFill>
      </fill>
    </dxf>
    <dxf>
      <font>
        <name val="Arial"/>
        <charset val="1"/>
        <family val="0"/>
        <b val="1"/>
        <color rgb="FF006100"/>
      </font>
      <fill>
        <patternFill>
          <bgColor rgb="FFC6EFCE"/>
        </patternFill>
      </fill>
    </dxf>
    <dxf>
      <font>
        <name val="Arial"/>
        <charset val="1"/>
        <family val="0"/>
        <color rgb="FF808080"/>
      </font>
      <fill>
        <patternFill>
          <bgColor rgb="FFEDEDED"/>
        </patternFill>
      </fill>
    </dxf>
    <dxf>
      <font>
        <name val="Arial"/>
        <charset val="1"/>
        <family val="0"/>
        <b val="1"/>
        <color rgb="FF9C0006"/>
      </font>
      <fill>
        <patternFill>
          <bgColor rgb="FFFFC7CE"/>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EDEDED"/>
      <rgbColor rgb="FFCCFFFF"/>
      <rgbColor rgb="FF660066"/>
      <rgbColor rgb="FFFF8080"/>
      <rgbColor rgb="FF1F5FA8"/>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EAA959"/>
      <rgbColor rgb="FFFF6600"/>
      <rgbColor rgb="FF555555"/>
      <rgbColor rgb="FF969696"/>
      <rgbColor rgb="FF003366"/>
      <rgbColor rgb="FF339966"/>
      <rgbColor rgb="FF081C2B"/>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96"/>
  </cols>
  <sheetData>
    <row r="1" customFormat="false" ht="30" hidden="false" customHeight="true" outlineLevel="0" collapsed="false">
      <c r="A1" s="1" t="s">
        <v>0</v>
      </c>
      <c r="B1" s="1"/>
      <c r="C1" s="1"/>
    </row>
    <row r="2" customFormat="false" ht="31.5" hidden="false" customHeight="true" outlineLevel="0" collapsed="false">
      <c r="A2" s="2" t="s">
        <v>1</v>
      </c>
      <c r="B2" s="2"/>
      <c r="C2" s="2"/>
    </row>
    <row r="4" customFormat="false" ht="33.75" hidden="false" customHeight="true" outlineLevel="0" collapsed="false">
      <c r="A4" s="3" t="s">
        <v>2</v>
      </c>
      <c r="B4" s="4" t="s">
        <v>3</v>
      </c>
      <c r="C4" s="5" t="s">
        <v>4</v>
      </c>
    </row>
    <row r="5" customFormat="false" ht="33.75" hidden="false" customHeight="true" outlineLevel="0" collapsed="false">
      <c r="A5" s="3" t="s">
        <v>5</v>
      </c>
      <c r="B5" s="4" t="s">
        <v>6</v>
      </c>
      <c r="C5" s="5" t="s">
        <v>7</v>
      </c>
    </row>
    <row r="6" customFormat="false" ht="33.75" hidden="false" customHeight="true" outlineLevel="0" collapsed="false">
      <c r="A6" s="3" t="s">
        <v>8</v>
      </c>
      <c r="B6" s="4" t="s">
        <v>9</v>
      </c>
      <c r="C6" s="5" t="s">
        <v>10</v>
      </c>
    </row>
    <row r="7" customFormat="false" ht="33.75" hidden="false" customHeight="true" outlineLevel="0" collapsed="false">
      <c r="A7" s="3" t="s">
        <v>11</v>
      </c>
      <c r="B7" s="4" t="s">
        <v>12</v>
      </c>
      <c r="C7" s="5" t="s">
        <v>13</v>
      </c>
    </row>
    <row r="8" customFormat="false" ht="33.75" hidden="false" customHeight="true" outlineLevel="0" collapsed="false">
      <c r="A8" s="3" t="s">
        <v>14</v>
      </c>
      <c r="B8" s="4" t="s">
        <v>15</v>
      </c>
      <c r="C8" s="5" t="s">
        <v>16</v>
      </c>
    </row>
    <row r="9" customFormat="false" ht="33.75" hidden="false" customHeight="true" outlineLevel="0" collapsed="false">
      <c r="A9" s="3" t="s">
        <v>17</v>
      </c>
      <c r="B9" s="4" t="s">
        <v>18</v>
      </c>
      <c r="C9" s="5" t="s">
        <v>19</v>
      </c>
    </row>
    <row r="11" customFormat="false" ht="15" hidden="false" customHeight="false" outlineLevel="0" collapsed="false">
      <c r="B11" s="6" t="s">
        <v>20</v>
      </c>
    </row>
    <row r="12" customFormat="false" ht="15" hidden="false" customHeight="false" outlineLevel="0" collapsed="false">
      <c r="B12" s="7" t="s">
        <v>21</v>
      </c>
      <c r="C12" s="8" t="s">
        <v>22</v>
      </c>
    </row>
    <row r="13" customFormat="false" ht="15" hidden="false" customHeight="false" outlineLevel="0" collapsed="false">
      <c r="B13" s="8" t="s">
        <v>23</v>
      </c>
      <c r="C13" s="8" t="s">
        <v>24</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7" min="2" style="0" width="15"/>
  </cols>
  <sheetData>
    <row r="1" customFormat="false" ht="30" hidden="false" customHeight="true" outlineLevel="0" collapsed="false">
      <c r="A1" s="1" t="s">
        <v>25</v>
      </c>
      <c r="B1" s="1"/>
      <c r="C1" s="1"/>
      <c r="D1" s="1"/>
      <c r="E1" s="1"/>
      <c r="F1" s="1"/>
      <c r="G1" s="1"/>
    </row>
    <row r="2" customFormat="false" ht="31.5" hidden="false" customHeight="true" outlineLevel="0" collapsed="false">
      <c r="A2" s="2" t="s">
        <v>26</v>
      </c>
      <c r="B2" s="2"/>
      <c r="C2" s="2"/>
      <c r="D2" s="2"/>
      <c r="E2" s="2"/>
      <c r="F2" s="2"/>
      <c r="G2" s="2"/>
    </row>
    <row r="4" customFormat="false" ht="31.5" hidden="false" customHeight="true" outlineLevel="0" collapsed="false">
      <c r="A4" s="9" t="s">
        <v>27</v>
      </c>
      <c r="B4" s="9" t="s">
        <v>28</v>
      </c>
      <c r="C4" s="9" t="s">
        <v>29</v>
      </c>
      <c r="D4" s="9" t="s">
        <v>30</v>
      </c>
      <c r="E4" s="9" t="s">
        <v>31</v>
      </c>
      <c r="F4" s="9" t="s">
        <v>32</v>
      </c>
      <c r="G4" s="9" t="s">
        <v>33</v>
      </c>
    </row>
    <row r="5" customFormat="false" ht="15" hidden="false" customHeight="false" outlineLevel="0" collapsed="false">
      <c r="A5" s="10" t="s">
        <v>34</v>
      </c>
      <c r="B5" s="11" t="n">
        <f aca="false">COUNTIFS(Programs!$D$5:$D$79,"*BBG*")</f>
        <v>16</v>
      </c>
      <c r="C5" s="11" t="n">
        <f aca="false">COUNTIFS(Programs!$D$5:$D$79,"*BBG*",Programs!$E$5:$E$79,"Yes, now")</f>
        <v>13</v>
      </c>
      <c r="D5" s="11" t="n">
        <f aca="false">COUNTIFS(Programs!$D$5:$D$79,"*BBG*",Programs!$E$5:$E$79,"After*")</f>
        <v>1</v>
      </c>
      <c r="E5" s="11" t="n">
        <f aca="false">COUNTIFS(Programs!$D$5:$D$79,"*BBG*",Programs!$O$5:$O$79,"Submitted")</f>
        <v>0</v>
      </c>
      <c r="F5" s="11" t="n">
        <f aca="false">COUNTIFS(Programs!$D$5:$D$79,"*BBG*",Programs!$O$5:$O$79,"Approved")</f>
        <v>0</v>
      </c>
      <c r="G5" s="12" t="n">
        <f aca="false">SUMIFS(Programs!$T$5:$T$79,Programs!$D$5:$D$79,"*BBG*",Programs!$O$5:$O$79,"Approved")</f>
        <v>0</v>
      </c>
    </row>
    <row r="6" customFormat="false" ht="15" hidden="false" customHeight="false" outlineLevel="0" collapsed="false">
      <c r="A6" s="10" t="s">
        <v>35</v>
      </c>
      <c r="B6" s="11" t="n">
        <f aca="false">COUNTIFS(Programs!$D$5:$D$79,"*CCCL*")</f>
        <v>13</v>
      </c>
      <c r="C6" s="11" t="n">
        <f aca="false">COUNTIFS(Programs!$D$5:$D$79,"*CCCL*",Programs!$E$5:$E$79,"Yes, now")</f>
        <v>11</v>
      </c>
      <c r="D6" s="11" t="n">
        <f aca="false">COUNTIFS(Programs!$D$5:$D$79,"*CCCL*",Programs!$E$5:$E$79,"After*")</f>
        <v>0</v>
      </c>
      <c r="E6" s="11" t="n">
        <f aca="false">COUNTIFS(Programs!$D$5:$D$79,"*CCCL*",Programs!$O$5:$O$79,"Submitted")</f>
        <v>0</v>
      </c>
      <c r="F6" s="11" t="n">
        <f aca="false">COUNTIFS(Programs!$D$5:$D$79,"*CCCL*",Programs!$O$5:$O$79,"Approved")</f>
        <v>0</v>
      </c>
      <c r="G6" s="12" t="n">
        <f aca="false">SUMIFS(Programs!$T$5:$T$79,Programs!$D$5:$D$79,"*CCCL*",Programs!$O$5:$O$79,"Approved")</f>
        <v>0</v>
      </c>
    </row>
    <row r="7" customFormat="false" ht="15" hidden="false" customHeight="false" outlineLevel="0" collapsed="false">
      <c r="A7" s="10" t="s">
        <v>18</v>
      </c>
      <c r="B7" s="11" t="n">
        <f aca="false">COUNTIFS(Programs!$D$5:$D$79,"*Second Chance*")</f>
        <v>17</v>
      </c>
      <c r="C7" s="11" t="n">
        <f aca="false">COUNTIFS(Programs!$D$5:$D$79,"*Second Chance*",Programs!$E$5:$E$79,"Yes, now")</f>
        <v>2</v>
      </c>
      <c r="D7" s="11" t="n">
        <f aca="false">COUNTIFS(Programs!$D$5:$D$79,"*Second Chance*",Programs!$E$5:$E$79,"After*")</f>
        <v>13</v>
      </c>
      <c r="E7" s="11" t="n">
        <f aca="false">COUNTIFS(Programs!$D$5:$D$79,"*Second Chance*",Programs!$O$5:$O$79,"Submitted")</f>
        <v>0</v>
      </c>
      <c r="F7" s="11" t="n">
        <f aca="false">COUNTIFS(Programs!$D$5:$D$79,"*Second Chance*",Programs!$O$5:$O$79,"Approved")</f>
        <v>0</v>
      </c>
      <c r="G7" s="12" t="n">
        <f aca="false">SUMIFS(Programs!$T$5:$T$79,Programs!$D$5:$D$79,"*Second Chance*",Programs!$O$5:$O$79,"Approved")</f>
        <v>0</v>
      </c>
    </row>
    <row r="8" customFormat="false" ht="15" hidden="false" customHeight="false" outlineLevel="0" collapsed="false">
      <c r="A8" s="10" t="s">
        <v>36</v>
      </c>
      <c r="B8" s="11" t="n">
        <f aca="false">COUNTIFS(Programs!$D$5:$D$79,"*Families*")</f>
        <v>2</v>
      </c>
      <c r="C8" s="11" t="n">
        <f aca="false">COUNTIFS(Programs!$D$5:$D$79,"*Families*",Programs!$E$5:$E$79,"Yes, now")</f>
        <v>1</v>
      </c>
      <c r="D8" s="11" t="n">
        <f aca="false">COUNTIFS(Programs!$D$5:$D$79,"*Families*",Programs!$E$5:$E$79,"After*")</f>
        <v>0</v>
      </c>
      <c r="E8" s="11" t="n">
        <f aca="false">COUNTIFS(Programs!$D$5:$D$79,"*Families*",Programs!$O$5:$O$79,"Submitted")</f>
        <v>0</v>
      </c>
      <c r="F8" s="11" t="n">
        <f aca="false">COUNTIFS(Programs!$D$5:$D$79,"*Families*",Programs!$O$5:$O$79,"Approved")</f>
        <v>0</v>
      </c>
      <c r="G8" s="12" t="n">
        <f aca="false">SUMIFS(Programs!$T$5:$T$79,Programs!$D$5:$D$79,"*Families*",Programs!$O$5:$O$79,"Approved")</f>
        <v>0</v>
      </c>
    </row>
    <row r="10" customFormat="false" ht="15" hidden="false" customHeight="false" outlineLevel="0" collapsed="false">
      <c r="A10" s="6" t="s">
        <v>37</v>
      </c>
    </row>
    <row r="11" customFormat="false" ht="15" hidden="false" customHeight="false" outlineLevel="0" collapsed="false">
      <c r="A11" s="8" t="s">
        <v>38</v>
      </c>
      <c r="B11" s="13" t="n">
        <f aca="false">COUNTIFS(Programs!$Q$5:$Q$79,"&gt;=0",Programs!$Q$5:$Q$79,"&lt;=14",Programs!$O$5:$O$79,"&lt;&gt;Submitted",Programs!$O$5:$O$79,"&lt;&gt;Approved",Programs!$O$5:$O$79,"&lt;&gt;Declined")</f>
        <v>0</v>
      </c>
    </row>
    <row r="12" customFormat="false" ht="15" hidden="false" customHeight="false" outlineLevel="0" collapsed="false">
      <c r="A12" s="8" t="s">
        <v>39</v>
      </c>
      <c r="B12" s="13" t="n">
        <f aca="false">COUNTIFS(Programs!$Q$5:$Q$79,"&gt;=0",Programs!$Q$5:$Q$79,"&lt;=60",Programs!$O$5:$O$79,"&lt;&gt;Submitted",Programs!$O$5:$O$79,"&lt;&gt;Approved",Programs!$O$5:$O$79,"&lt;&gt;Declined")</f>
        <v>2</v>
      </c>
    </row>
    <row r="13" customFormat="false" ht="15" hidden="false" customHeight="false" outlineLevel="0" collapsed="false">
      <c r="A13" s="8" t="s">
        <v>40</v>
      </c>
      <c r="B13" s="13" t="n">
        <f aca="false">COUNTIFS(Programs!$Q$5:$Q$79,"&lt;0",Programs!$O$5:$O$79,"&lt;&gt;Submitted",Programs!$O$5:$O$79,"&lt;&gt;Approved",Programs!$O$5:$O$79,"&lt;&gt;Declined",Programs!$O$5:$O$79,"&lt;&gt;Not eligible",Programs!$O$5:$O$79,"&lt;&gt;Not now")</f>
        <v>0</v>
      </c>
    </row>
    <row r="14" customFormat="false" ht="15" hidden="false" customHeight="false" outlineLevel="0" collapsed="false">
      <c r="A14" s="8" t="s">
        <v>41</v>
      </c>
      <c r="B14" s="13" t="n">
        <f aca="true">COUNTIFS(Programs!$U$5:$U$79,"&gt;="&amp;TODAY(),Programs!$U$5:$U$79,"&lt;="&amp;(TODAY()+30))</f>
        <v>0</v>
      </c>
    </row>
    <row r="16" customFormat="false" ht="15" hidden="false" customHeight="false" outlineLevel="0" collapsed="false">
      <c r="A16" s="14" t="s">
        <v>42</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3" min="3" style="0" width="10"/>
    <col collapsed="false" customWidth="true" hidden="false" outlineLevel="0" max="4" min="4" style="0" width="16"/>
    <col collapsed="false" customWidth="true" hidden="false" outlineLevel="0" max="5" min="5" style="0" width="12"/>
    <col collapsed="false" customWidth="true" hidden="false" outlineLevel="0" max="6" min="6" style="0" width="26"/>
    <col collapsed="false" customWidth="true" hidden="false" outlineLevel="0" max="7" min="7" style="0" width="40"/>
    <col collapsed="false" customWidth="true" hidden="false" outlineLevel="0" max="8" min="8" style="0" width="18"/>
    <col collapsed="false" customWidth="true" hidden="false" outlineLevel="0" max="9" min="9" style="0" width="24"/>
    <col collapsed="false" customWidth="true" hidden="false" outlineLevel="0" max="10" min="10" style="0" width="11"/>
    <col collapsed="false" customWidth="true" hidden="false" outlineLevel="0" max="11" min="11" style="0" width="18"/>
    <col collapsed="false" customWidth="true" hidden="false" outlineLevel="0" max="12" min="12" style="0" width="32"/>
    <col collapsed="false" customWidth="true" hidden="false" outlineLevel="0" max="13" min="13" style="0" width="24"/>
    <col collapsed="false" customWidth="true" hidden="false" outlineLevel="0" max="14" min="14" style="0" width="10"/>
    <col collapsed="false" customWidth="true" hidden="false" outlineLevel="0" max="15" min="15" style="0" width="14"/>
    <col collapsed="false" customWidth="true" hidden="false" outlineLevel="0" max="16" min="16" style="0" width="12"/>
    <col collapsed="false" customWidth="true" hidden="false" outlineLevel="0" max="17" min="17" style="0" width="8"/>
    <col collapsed="false" customWidth="true" hidden="false" outlineLevel="0" max="18" min="18" style="0" width="9"/>
    <col collapsed="false" customWidth="true" hidden="false" outlineLevel="0" max="20" min="19" style="0" width="11"/>
    <col collapsed="false" customWidth="true" hidden="false" outlineLevel="0" max="21" min="21" style="0" width="12"/>
    <col collapsed="false" customWidth="true" hidden="false" outlineLevel="0" max="22" min="22" style="0" width="40"/>
  </cols>
  <sheetData>
    <row r="1" customFormat="false" ht="30" hidden="false" customHeight="true" outlineLevel="0" collapsed="false">
      <c r="A1" s="1" t="s">
        <v>43</v>
      </c>
      <c r="B1" s="1"/>
      <c r="C1" s="1"/>
      <c r="D1" s="1"/>
      <c r="E1" s="1"/>
      <c r="F1" s="1"/>
      <c r="G1" s="1"/>
      <c r="H1" s="1"/>
      <c r="I1" s="1"/>
      <c r="J1" s="1"/>
      <c r="K1" s="1"/>
      <c r="L1" s="1"/>
      <c r="M1" s="1"/>
      <c r="N1" s="1"/>
      <c r="O1" s="1"/>
      <c r="P1" s="1"/>
      <c r="Q1" s="1"/>
      <c r="R1" s="1"/>
      <c r="S1" s="1"/>
      <c r="T1" s="1"/>
      <c r="U1" s="1"/>
      <c r="V1" s="1"/>
    </row>
    <row r="2" customFormat="false" ht="31.5" hidden="false" customHeight="true" outlineLevel="0" collapsed="false">
      <c r="A2" s="2" t="s">
        <v>44</v>
      </c>
      <c r="B2" s="2"/>
      <c r="C2" s="2"/>
      <c r="D2" s="2"/>
      <c r="E2" s="2"/>
      <c r="F2" s="2"/>
      <c r="G2" s="2"/>
      <c r="H2" s="2"/>
      <c r="I2" s="2"/>
      <c r="J2" s="2"/>
      <c r="K2" s="2"/>
      <c r="L2" s="2"/>
      <c r="M2" s="2"/>
      <c r="N2" s="2"/>
      <c r="O2" s="2"/>
      <c r="P2" s="2"/>
      <c r="Q2" s="2"/>
      <c r="R2" s="2"/>
      <c r="S2" s="2"/>
      <c r="T2" s="2"/>
      <c r="U2" s="2"/>
      <c r="V2" s="2"/>
    </row>
    <row r="4" customFormat="false" ht="31.5" hidden="false" customHeight="true" outlineLevel="0" collapsed="false">
      <c r="A4" s="15" t="s">
        <v>45</v>
      </c>
      <c r="B4" s="15" t="s">
        <v>46</v>
      </c>
      <c r="C4" s="15" t="s">
        <v>47</v>
      </c>
      <c r="D4" s="15" t="s">
        <v>27</v>
      </c>
      <c r="E4" s="15" t="s">
        <v>48</v>
      </c>
      <c r="F4" s="15" t="s">
        <v>49</v>
      </c>
      <c r="G4" s="15" t="s">
        <v>50</v>
      </c>
      <c r="H4" s="15" t="s">
        <v>51</v>
      </c>
      <c r="I4" s="15" t="s">
        <v>52</v>
      </c>
      <c r="J4" s="15" t="s">
        <v>53</v>
      </c>
      <c r="K4" s="15" t="s">
        <v>54</v>
      </c>
      <c r="L4" s="15" t="s">
        <v>55</v>
      </c>
      <c r="M4" s="15" t="s">
        <v>56</v>
      </c>
      <c r="N4" s="15" t="s">
        <v>57</v>
      </c>
      <c r="O4" s="15" t="s">
        <v>58</v>
      </c>
      <c r="P4" s="15" t="s">
        <v>59</v>
      </c>
      <c r="Q4" s="15" t="s">
        <v>60</v>
      </c>
      <c r="R4" s="15" t="s">
        <v>61</v>
      </c>
      <c r="S4" s="15" t="s">
        <v>62</v>
      </c>
      <c r="T4" s="15" t="s">
        <v>63</v>
      </c>
      <c r="U4" s="15" t="s">
        <v>64</v>
      </c>
      <c r="V4" s="15" t="s">
        <v>65</v>
      </c>
    </row>
    <row r="5" customFormat="false" ht="78" hidden="false" customHeight="true" outlineLevel="0" collapsed="false">
      <c r="A5" s="16" t="s">
        <v>66</v>
      </c>
      <c r="B5" s="17" t="s">
        <v>67</v>
      </c>
      <c r="C5" s="17" t="s">
        <v>68</v>
      </c>
      <c r="D5" s="17" t="s">
        <v>69</v>
      </c>
      <c r="E5" s="17" t="s">
        <v>29</v>
      </c>
      <c r="F5" s="17" t="s">
        <v>70</v>
      </c>
      <c r="G5" s="17" t="s">
        <v>71</v>
      </c>
      <c r="H5" s="17" t="s">
        <v>72</v>
      </c>
      <c r="I5" s="17" t="s">
        <v>73</v>
      </c>
      <c r="J5" s="17" t="s">
        <v>74</v>
      </c>
      <c r="K5" s="17" t="s">
        <v>75</v>
      </c>
      <c r="L5" s="17" t="s">
        <v>76</v>
      </c>
      <c r="M5" s="18" t="s">
        <v>77</v>
      </c>
      <c r="N5" s="17" t="s">
        <v>78</v>
      </c>
      <c r="O5" s="19" t="s">
        <v>79</v>
      </c>
      <c r="P5" s="20"/>
      <c r="Q5" s="21" t="str">
        <f aca="true">IF(P5="","",P5-TODAY())</f>
        <v/>
      </c>
      <c r="R5" s="19"/>
      <c r="S5" s="22"/>
      <c r="T5" s="22"/>
      <c r="U5" s="20"/>
      <c r="V5" s="19" t="s">
        <v>80</v>
      </c>
    </row>
    <row r="6" customFormat="false" ht="78" hidden="false" customHeight="true" outlineLevel="0" collapsed="false">
      <c r="A6" s="16" t="s">
        <v>81</v>
      </c>
      <c r="B6" s="17" t="s">
        <v>82</v>
      </c>
      <c r="C6" s="17" t="s">
        <v>83</v>
      </c>
      <c r="D6" s="17" t="s">
        <v>69</v>
      </c>
      <c r="E6" s="17" t="s">
        <v>29</v>
      </c>
      <c r="F6" s="17" t="s">
        <v>84</v>
      </c>
      <c r="G6" s="17" t="s">
        <v>85</v>
      </c>
      <c r="H6" s="17" t="s">
        <v>86</v>
      </c>
      <c r="I6" s="17" t="s">
        <v>73</v>
      </c>
      <c r="J6" s="17" t="s">
        <v>74</v>
      </c>
      <c r="K6" s="17" t="s">
        <v>87</v>
      </c>
      <c r="L6" s="17" t="s">
        <v>88</v>
      </c>
      <c r="M6" s="18" t="s">
        <v>89</v>
      </c>
      <c r="N6" s="17" t="s">
        <v>78</v>
      </c>
      <c r="O6" s="19" t="s">
        <v>79</v>
      </c>
      <c r="P6" s="20"/>
      <c r="Q6" s="21" t="str">
        <f aca="true">IF(P6="","",P6-TODAY())</f>
        <v/>
      </c>
      <c r="R6" s="19"/>
      <c r="S6" s="22"/>
      <c r="T6" s="22"/>
      <c r="U6" s="20"/>
      <c r="V6" s="19" t="s">
        <v>90</v>
      </c>
    </row>
    <row r="7" customFormat="false" ht="78" hidden="false" customHeight="true" outlineLevel="0" collapsed="false">
      <c r="A7" s="16" t="s">
        <v>91</v>
      </c>
      <c r="B7" s="17" t="s">
        <v>92</v>
      </c>
      <c r="C7" s="17" t="s">
        <v>83</v>
      </c>
      <c r="D7" s="17" t="s">
        <v>69</v>
      </c>
      <c r="E7" s="17" t="s">
        <v>29</v>
      </c>
      <c r="F7" s="17" t="s">
        <v>93</v>
      </c>
      <c r="G7" s="17" t="s">
        <v>94</v>
      </c>
      <c r="H7" s="17" t="s">
        <v>95</v>
      </c>
      <c r="I7" s="17" t="s">
        <v>96</v>
      </c>
      <c r="J7" s="17" t="s">
        <v>97</v>
      </c>
      <c r="K7" s="17" t="s">
        <v>98</v>
      </c>
      <c r="L7" s="17" t="s">
        <v>99</v>
      </c>
      <c r="M7" s="18" t="s">
        <v>100</v>
      </c>
      <c r="N7" s="17" t="s">
        <v>78</v>
      </c>
      <c r="O7" s="19" t="s">
        <v>101</v>
      </c>
      <c r="P7" s="20"/>
      <c r="Q7" s="21" t="str">
        <f aca="true">IF(P7="","",P7-TODAY())</f>
        <v/>
      </c>
      <c r="R7" s="19"/>
      <c r="S7" s="22"/>
      <c r="T7" s="22"/>
      <c r="U7" s="20"/>
      <c r="V7" s="19" t="s">
        <v>102</v>
      </c>
    </row>
    <row r="8" customFormat="false" ht="78" hidden="false" customHeight="true" outlineLevel="0" collapsed="false">
      <c r="A8" s="16" t="s">
        <v>103</v>
      </c>
      <c r="B8" s="17" t="s">
        <v>104</v>
      </c>
      <c r="C8" s="17" t="s">
        <v>105</v>
      </c>
      <c r="D8" s="17" t="s">
        <v>36</v>
      </c>
      <c r="E8" s="17" t="s">
        <v>29</v>
      </c>
      <c r="F8" s="17" t="s">
        <v>106</v>
      </c>
      <c r="G8" s="17" t="s">
        <v>107</v>
      </c>
      <c r="H8" s="17" t="s">
        <v>108</v>
      </c>
      <c r="I8" s="17" t="s">
        <v>109</v>
      </c>
      <c r="J8" s="17" t="s">
        <v>110</v>
      </c>
      <c r="K8" s="17" t="s">
        <v>111</v>
      </c>
      <c r="L8" s="17" t="s">
        <v>112</v>
      </c>
      <c r="M8" s="18" t="s">
        <v>113</v>
      </c>
      <c r="N8" s="17" t="s">
        <v>78</v>
      </c>
      <c r="O8" s="19" t="s">
        <v>114</v>
      </c>
      <c r="P8" s="20"/>
      <c r="Q8" s="21" t="str">
        <f aca="true">IF(P8="","",P8-TODAY())</f>
        <v/>
      </c>
      <c r="R8" s="19"/>
      <c r="S8" s="22"/>
      <c r="T8" s="22"/>
      <c r="U8" s="20"/>
      <c r="V8" s="19" t="s">
        <v>115</v>
      </c>
    </row>
    <row r="9" customFormat="false" ht="78" hidden="false" customHeight="true" outlineLevel="0" collapsed="false">
      <c r="A9" s="16" t="s">
        <v>116</v>
      </c>
      <c r="B9" s="17" t="s">
        <v>117</v>
      </c>
      <c r="C9" s="17" t="s">
        <v>68</v>
      </c>
      <c r="D9" s="17" t="s">
        <v>118</v>
      </c>
      <c r="E9" s="17" t="s">
        <v>29</v>
      </c>
      <c r="F9" s="17" t="s">
        <v>119</v>
      </c>
      <c r="G9" s="17" t="s">
        <v>120</v>
      </c>
      <c r="H9" s="17" t="s">
        <v>121</v>
      </c>
      <c r="I9" s="17" t="s">
        <v>73</v>
      </c>
      <c r="J9" s="17" t="s">
        <v>74</v>
      </c>
      <c r="K9" s="17" t="s">
        <v>122</v>
      </c>
      <c r="L9" s="17" t="s">
        <v>123</v>
      </c>
      <c r="M9" s="18" t="s">
        <v>77</v>
      </c>
      <c r="N9" s="17" t="s">
        <v>78</v>
      </c>
      <c r="O9" s="19" t="s">
        <v>79</v>
      </c>
      <c r="P9" s="20"/>
      <c r="Q9" s="21" t="str">
        <f aca="true">IF(P9="","",P9-TODAY())</f>
        <v/>
      </c>
      <c r="R9" s="19"/>
      <c r="S9" s="22"/>
      <c r="T9" s="22"/>
      <c r="U9" s="20"/>
      <c r="V9" s="19" t="s">
        <v>124</v>
      </c>
    </row>
    <row r="10" customFormat="false" ht="78" hidden="false" customHeight="true" outlineLevel="0" collapsed="false">
      <c r="A10" s="16" t="s">
        <v>125</v>
      </c>
      <c r="B10" s="17" t="s">
        <v>126</v>
      </c>
      <c r="C10" s="17" t="s">
        <v>83</v>
      </c>
      <c r="D10" s="17" t="s">
        <v>35</v>
      </c>
      <c r="E10" s="17" t="s">
        <v>29</v>
      </c>
      <c r="F10" s="17" t="s">
        <v>127</v>
      </c>
      <c r="G10" s="17" t="s">
        <v>128</v>
      </c>
      <c r="H10" s="17" t="s">
        <v>129</v>
      </c>
      <c r="I10" s="17" t="s">
        <v>73</v>
      </c>
      <c r="J10" s="17" t="s">
        <v>74</v>
      </c>
      <c r="K10" s="17" t="s">
        <v>130</v>
      </c>
      <c r="L10" s="17" t="s">
        <v>131</v>
      </c>
      <c r="M10" s="18" t="s">
        <v>132</v>
      </c>
      <c r="N10" s="17" t="s">
        <v>78</v>
      </c>
      <c r="O10" s="19" t="s">
        <v>79</v>
      </c>
      <c r="P10" s="20"/>
      <c r="Q10" s="21" t="str">
        <f aca="true">IF(P10="","",P10-TODAY())</f>
        <v/>
      </c>
      <c r="R10" s="19"/>
      <c r="S10" s="22"/>
      <c r="T10" s="22"/>
      <c r="U10" s="20"/>
      <c r="V10" s="19" t="s">
        <v>133</v>
      </c>
    </row>
    <row r="11" customFormat="false" ht="78" hidden="false" customHeight="true" outlineLevel="0" collapsed="false">
      <c r="A11" s="16" t="s">
        <v>134</v>
      </c>
      <c r="B11" s="17" t="s">
        <v>135</v>
      </c>
      <c r="C11" s="17" t="s">
        <v>136</v>
      </c>
      <c r="D11" s="17" t="s">
        <v>69</v>
      </c>
      <c r="E11" s="17" t="s">
        <v>29</v>
      </c>
      <c r="F11" s="17" t="s">
        <v>137</v>
      </c>
      <c r="G11" s="17" t="s">
        <v>138</v>
      </c>
      <c r="H11" s="17" t="s">
        <v>139</v>
      </c>
      <c r="I11" s="17" t="s">
        <v>140</v>
      </c>
      <c r="J11" s="17" t="s">
        <v>141</v>
      </c>
      <c r="K11" s="17" t="s">
        <v>142</v>
      </c>
      <c r="L11" s="17" t="s">
        <v>143</v>
      </c>
      <c r="M11" s="18" t="s">
        <v>144</v>
      </c>
      <c r="N11" s="17" t="s">
        <v>78</v>
      </c>
      <c r="O11" s="19" t="s">
        <v>79</v>
      </c>
      <c r="P11" s="20"/>
      <c r="Q11" s="21" t="str">
        <f aca="true">IF(P11="","",P11-TODAY())</f>
        <v/>
      </c>
      <c r="R11" s="19"/>
      <c r="S11" s="22"/>
      <c r="T11" s="22"/>
      <c r="U11" s="20"/>
      <c r="V11" s="19" t="s">
        <v>145</v>
      </c>
    </row>
    <row r="12" customFormat="false" ht="78" hidden="false" customHeight="true" outlineLevel="0" collapsed="false">
      <c r="A12" s="16" t="s">
        <v>146</v>
      </c>
      <c r="B12" s="17" t="s">
        <v>67</v>
      </c>
      <c r="C12" s="17" t="s">
        <v>68</v>
      </c>
      <c r="D12" s="17" t="s">
        <v>69</v>
      </c>
      <c r="E12" s="17" t="s">
        <v>29</v>
      </c>
      <c r="F12" s="17" t="s">
        <v>147</v>
      </c>
      <c r="G12" s="17" t="s">
        <v>148</v>
      </c>
      <c r="H12" s="17" t="s">
        <v>149</v>
      </c>
      <c r="I12" s="17" t="s">
        <v>150</v>
      </c>
      <c r="J12" s="17" t="s">
        <v>151</v>
      </c>
      <c r="K12" s="17" t="s">
        <v>152</v>
      </c>
      <c r="L12" s="17" t="s">
        <v>153</v>
      </c>
      <c r="M12" s="18" t="s">
        <v>154</v>
      </c>
      <c r="N12" s="17" t="s">
        <v>155</v>
      </c>
      <c r="O12" s="19" t="s">
        <v>79</v>
      </c>
      <c r="P12" s="20"/>
      <c r="Q12" s="21" t="str">
        <f aca="true">IF(P12="","",P12-TODAY())</f>
        <v/>
      </c>
      <c r="R12" s="19"/>
      <c r="S12" s="22"/>
      <c r="T12" s="22"/>
      <c r="U12" s="20"/>
      <c r="V12" s="19" t="s">
        <v>156</v>
      </c>
    </row>
    <row r="13" customFormat="false" ht="78" hidden="false" customHeight="true" outlineLevel="0" collapsed="false">
      <c r="A13" s="16" t="s">
        <v>157</v>
      </c>
      <c r="B13" s="17" t="s">
        <v>158</v>
      </c>
      <c r="C13" s="17" t="s">
        <v>105</v>
      </c>
      <c r="D13" s="17" t="s">
        <v>34</v>
      </c>
      <c r="E13" s="17" t="s">
        <v>29</v>
      </c>
      <c r="F13" s="17" t="s">
        <v>159</v>
      </c>
      <c r="G13" s="17" t="s">
        <v>160</v>
      </c>
      <c r="H13" s="17" t="s">
        <v>161</v>
      </c>
      <c r="I13" s="17" t="s">
        <v>162</v>
      </c>
      <c r="J13" s="17" t="s">
        <v>163</v>
      </c>
      <c r="K13" s="17" t="s">
        <v>164</v>
      </c>
      <c r="L13" s="17" t="s">
        <v>165</v>
      </c>
      <c r="M13" s="18" t="s">
        <v>166</v>
      </c>
      <c r="N13" s="17" t="s">
        <v>155</v>
      </c>
      <c r="O13" s="19" t="s">
        <v>79</v>
      </c>
      <c r="P13" s="20"/>
      <c r="Q13" s="21" t="str">
        <f aca="true">IF(P13="","",P13-TODAY())</f>
        <v/>
      </c>
      <c r="R13" s="19"/>
      <c r="S13" s="22"/>
      <c r="T13" s="22"/>
      <c r="U13" s="20"/>
      <c r="V13" s="19" t="s">
        <v>167</v>
      </c>
    </row>
    <row r="14" customFormat="false" ht="78" hidden="false" customHeight="true" outlineLevel="0" collapsed="false">
      <c r="A14" s="16" t="s">
        <v>168</v>
      </c>
      <c r="B14" s="17" t="s">
        <v>169</v>
      </c>
      <c r="C14" s="17" t="s">
        <v>136</v>
      </c>
      <c r="D14" s="17" t="s">
        <v>34</v>
      </c>
      <c r="E14" s="17" t="s">
        <v>29</v>
      </c>
      <c r="F14" s="17" t="s">
        <v>170</v>
      </c>
      <c r="G14" s="17" t="s">
        <v>171</v>
      </c>
      <c r="H14" s="17" t="s">
        <v>172</v>
      </c>
      <c r="I14" s="17" t="s">
        <v>173</v>
      </c>
      <c r="J14" s="17" t="s">
        <v>110</v>
      </c>
      <c r="K14" s="17" t="s">
        <v>174</v>
      </c>
      <c r="L14" s="17" t="s">
        <v>175</v>
      </c>
      <c r="M14" s="18" t="s">
        <v>176</v>
      </c>
      <c r="N14" s="17" t="s">
        <v>155</v>
      </c>
      <c r="O14" s="19" t="s">
        <v>79</v>
      </c>
      <c r="P14" s="20" t="n">
        <v>46378</v>
      </c>
      <c r="Q14" s="21" t="n">
        <f aca="true">IF(P14="","",P14-TODAY())</f>
        <v>56</v>
      </c>
      <c r="R14" s="19"/>
      <c r="S14" s="22"/>
      <c r="T14" s="22"/>
      <c r="U14" s="20"/>
      <c r="V14" s="19" t="s">
        <v>177</v>
      </c>
    </row>
    <row r="15" customFormat="false" ht="78" hidden="false" customHeight="true" outlineLevel="0" collapsed="false">
      <c r="A15" s="16" t="s">
        <v>178</v>
      </c>
      <c r="B15" s="17" t="s">
        <v>179</v>
      </c>
      <c r="C15" s="17" t="s">
        <v>68</v>
      </c>
      <c r="D15" s="17" t="s">
        <v>180</v>
      </c>
      <c r="E15" s="17" t="s">
        <v>29</v>
      </c>
      <c r="F15" s="17" t="s">
        <v>181</v>
      </c>
      <c r="G15" s="17" t="s">
        <v>182</v>
      </c>
      <c r="H15" s="17" t="s">
        <v>183</v>
      </c>
      <c r="I15" s="17" t="s">
        <v>184</v>
      </c>
      <c r="J15" s="17" t="s">
        <v>185</v>
      </c>
      <c r="K15" s="17" t="s">
        <v>152</v>
      </c>
      <c r="L15" s="17" t="s">
        <v>186</v>
      </c>
      <c r="M15" s="18" t="s">
        <v>187</v>
      </c>
      <c r="N15" s="17" t="s">
        <v>155</v>
      </c>
      <c r="O15" s="19" t="s">
        <v>79</v>
      </c>
      <c r="P15" s="20"/>
      <c r="Q15" s="21" t="str">
        <f aca="true">IF(P15="","",P15-TODAY())</f>
        <v/>
      </c>
      <c r="R15" s="19"/>
      <c r="S15" s="22"/>
      <c r="T15" s="22"/>
      <c r="U15" s="20"/>
      <c r="V15" s="19" t="s">
        <v>188</v>
      </c>
    </row>
    <row r="16" customFormat="false" ht="78" hidden="false" customHeight="true" outlineLevel="0" collapsed="false">
      <c r="A16" s="16" t="s">
        <v>189</v>
      </c>
      <c r="B16" s="17" t="s">
        <v>67</v>
      </c>
      <c r="C16" s="17" t="s">
        <v>68</v>
      </c>
      <c r="D16" s="17" t="s">
        <v>34</v>
      </c>
      <c r="E16" s="17" t="s">
        <v>29</v>
      </c>
      <c r="F16" s="17" t="s">
        <v>190</v>
      </c>
      <c r="G16" s="17" t="s">
        <v>191</v>
      </c>
      <c r="H16" s="17" t="s">
        <v>192</v>
      </c>
      <c r="I16" s="17" t="s">
        <v>193</v>
      </c>
      <c r="J16" s="17" t="s">
        <v>151</v>
      </c>
      <c r="K16" s="17" t="s">
        <v>194</v>
      </c>
      <c r="L16" s="17" t="s">
        <v>195</v>
      </c>
      <c r="M16" s="18" t="s">
        <v>154</v>
      </c>
      <c r="N16" s="17" t="s">
        <v>196</v>
      </c>
      <c r="O16" s="19" t="s">
        <v>79</v>
      </c>
      <c r="P16" s="20"/>
      <c r="Q16" s="21" t="str">
        <f aca="true">IF(P16="","",P16-TODAY())</f>
        <v/>
      </c>
      <c r="R16" s="19"/>
      <c r="S16" s="22"/>
      <c r="T16" s="22"/>
      <c r="U16" s="20"/>
      <c r="V16" s="19" t="s">
        <v>197</v>
      </c>
    </row>
    <row r="17" customFormat="false" ht="78" hidden="false" customHeight="true" outlineLevel="0" collapsed="false">
      <c r="A17" s="16" t="s">
        <v>198</v>
      </c>
      <c r="B17" s="17" t="s">
        <v>199</v>
      </c>
      <c r="C17" s="17" t="s">
        <v>105</v>
      </c>
      <c r="D17" s="17" t="s">
        <v>34</v>
      </c>
      <c r="E17" s="17" t="s">
        <v>29</v>
      </c>
      <c r="F17" s="17" t="s">
        <v>200</v>
      </c>
      <c r="G17" s="17" t="s">
        <v>201</v>
      </c>
      <c r="H17" s="17" t="s">
        <v>202</v>
      </c>
      <c r="I17" s="17" t="s">
        <v>203</v>
      </c>
      <c r="J17" s="17" t="s">
        <v>151</v>
      </c>
      <c r="K17" s="17" t="s">
        <v>152</v>
      </c>
      <c r="L17" s="17" t="s">
        <v>204</v>
      </c>
      <c r="M17" s="18" t="s">
        <v>205</v>
      </c>
      <c r="N17" s="17" t="s">
        <v>196</v>
      </c>
      <c r="O17" s="19" t="s">
        <v>79</v>
      </c>
      <c r="P17" s="20"/>
      <c r="Q17" s="21" t="str">
        <f aca="true">IF(P17="","",P17-TODAY())</f>
        <v/>
      </c>
      <c r="R17" s="19"/>
      <c r="S17" s="22"/>
      <c r="T17" s="22"/>
      <c r="U17" s="20"/>
      <c r="V17" s="19" t="s">
        <v>206</v>
      </c>
    </row>
    <row r="18" customFormat="false" ht="78" hidden="false" customHeight="true" outlineLevel="0" collapsed="false">
      <c r="A18" s="16" t="s">
        <v>207</v>
      </c>
      <c r="B18" s="17" t="s">
        <v>208</v>
      </c>
      <c r="C18" s="17" t="s">
        <v>68</v>
      </c>
      <c r="D18" s="17" t="s">
        <v>35</v>
      </c>
      <c r="E18" s="17" t="s">
        <v>29</v>
      </c>
      <c r="F18" s="17" t="s">
        <v>209</v>
      </c>
      <c r="G18" s="17" t="s">
        <v>210</v>
      </c>
      <c r="H18" s="17" t="s">
        <v>211</v>
      </c>
      <c r="I18" s="17" t="s">
        <v>212</v>
      </c>
      <c r="J18" s="17" t="s">
        <v>213</v>
      </c>
      <c r="K18" s="17" t="s">
        <v>214</v>
      </c>
      <c r="L18" s="17" t="s">
        <v>215</v>
      </c>
      <c r="M18" s="18" t="s">
        <v>216</v>
      </c>
      <c r="N18" s="17" t="s">
        <v>196</v>
      </c>
      <c r="O18" s="19" t="s">
        <v>79</v>
      </c>
      <c r="P18" s="20"/>
      <c r="Q18" s="21" t="str">
        <f aca="true">IF(P18="","",P18-TODAY())</f>
        <v/>
      </c>
      <c r="R18" s="19"/>
      <c r="S18" s="22"/>
      <c r="T18" s="22"/>
      <c r="U18" s="20"/>
      <c r="V18" s="19" t="s">
        <v>217</v>
      </c>
    </row>
    <row r="19" customFormat="false" ht="78" hidden="false" customHeight="true" outlineLevel="0" collapsed="false">
      <c r="A19" s="16" t="s">
        <v>218</v>
      </c>
      <c r="B19" s="17" t="s">
        <v>219</v>
      </c>
      <c r="C19" s="17" t="s">
        <v>105</v>
      </c>
      <c r="D19" s="17" t="s">
        <v>34</v>
      </c>
      <c r="E19" s="17" t="s">
        <v>29</v>
      </c>
      <c r="F19" s="17" t="s">
        <v>220</v>
      </c>
      <c r="G19" s="17" t="s">
        <v>221</v>
      </c>
      <c r="H19" s="17" t="s">
        <v>222</v>
      </c>
      <c r="I19" s="17" t="s">
        <v>223</v>
      </c>
      <c r="J19" s="17" t="s">
        <v>141</v>
      </c>
      <c r="K19" s="17" t="s">
        <v>152</v>
      </c>
      <c r="L19" s="17" t="s">
        <v>224</v>
      </c>
      <c r="M19" s="18" t="s">
        <v>225</v>
      </c>
      <c r="N19" s="17" t="s">
        <v>196</v>
      </c>
      <c r="O19" s="19" t="s">
        <v>79</v>
      </c>
      <c r="P19" s="20"/>
      <c r="Q19" s="21" t="str">
        <f aca="true">IF(P19="","",P19-TODAY())</f>
        <v/>
      </c>
      <c r="R19" s="19"/>
      <c r="S19" s="22"/>
      <c r="T19" s="22"/>
      <c r="U19" s="20"/>
      <c r="V19" s="19" t="s">
        <v>226</v>
      </c>
    </row>
    <row r="20" customFormat="false" ht="78" hidden="false" customHeight="true" outlineLevel="0" collapsed="false">
      <c r="A20" s="16" t="s">
        <v>227</v>
      </c>
      <c r="B20" s="17" t="s">
        <v>228</v>
      </c>
      <c r="C20" s="17" t="s">
        <v>229</v>
      </c>
      <c r="D20" s="17" t="s">
        <v>35</v>
      </c>
      <c r="E20" s="17" t="s">
        <v>29</v>
      </c>
      <c r="F20" s="17" t="s">
        <v>230</v>
      </c>
      <c r="G20" s="17" t="s">
        <v>231</v>
      </c>
      <c r="H20" s="17" t="s">
        <v>203</v>
      </c>
      <c r="I20" s="17" t="s">
        <v>203</v>
      </c>
      <c r="J20" s="17" t="s">
        <v>232</v>
      </c>
      <c r="K20" s="17" t="s">
        <v>203</v>
      </c>
      <c r="L20" s="17" t="s">
        <v>233</v>
      </c>
      <c r="M20" s="18" t="s">
        <v>234</v>
      </c>
      <c r="N20" s="17" t="s">
        <v>196</v>
      </c>
      <c r="O20" s="19" t="s">
        <v>79</v>
      </c>
      <c r="P20" s="20"/>
      <c r="Q20" s="21" t="str">
        <f aca="true">IF(P20="","",P20-TODAY())</f>
        <v/>
      </c>
      <c r="R20" s="19"/>
      <c r="S20" s="22"/>
      <c r="T20" s="22"/>
      <c r="U20" s="20"/>
      <c r="V20" s="19" t="s">
        <v>235</v>
      </c>
    </row>
    <row r="21" customFormat="false" ht="78" hidden="false" customHeight="true" outlineLevel="0" collapsed="false">
      <c r="A21" s="16" t="s">
        <v>236</v>
      </c>
      <c r="B21" s="17" t="s">
        <v>237</v>
      </c>
      <c r="C21" s="17" t="s">
        <v>229</v>
      </c>
      <c r="D21" s="17" t="s">
        <v>34</v>
      </c>
      <c r="E21" s="17" t="s">
        <v>29</v>
      </c>
      <c r="F21" s="17" t="s">
        <v>238</v>
      </c>
      <c r="G21" s="17" t="s">
        <v>239</v>
      </c>
      <c r="H21" s="17" t="s">
        <v>240</v>
      </c>
      <c r="I21" s="17" t="s">
        <v>203</v>
      </c>
      <c r="J21" s="17" t="s">
        <v>151</v>
      </c>
      <c r="K21" s="17" t="s">
        <v>151</v>
      </c>
      <c r="L21" s="17" t="s">
        <v>241</v>
      </c>
      <c r="M21" s="18" t="s">
        <v>242</v>
      </c>
      <c r="N21" s="17" t="s">
        <v>196</v>
      </c>
      <c r="O21" s="19" t="s">
        <v>79</v>
      </c>
      <c r="P21" s="20"/>
      <c r="Q21" s="21" t="str">
        <f aca="true">IF(P21="","",P21-TODAY())</f>
        <v/>
      </c>
      <c r="R21" s="19"/>
      <c r="S21" s="22"/>
      <c r="T21" s="22"/>
      <c r="U21" s="20"/>
      <c r="V21" s="19" t="s">
        <v>243</v>
      </c>
    </row>
    <row r="22" customFormat="false" ht="78" hidden="false" customHeight="true" outlineLevel="0" collapsed="false">
      <c r="A22" s="16" t="s">
        <v>244</v>
      </c>
      <c r="B22" s="17" t="s">
        <v>237</v>
      </c>
      <c r="C22" s="17" t="s">
        <v>229</v>
      </c>
      <c r="D22" s="17" t="s">
        <v>245</v>
      </c>
      <c r="E22" s="17" t="s">
        <v>29</v>
      </c>
      <c r="F22" s="17" t="s">
        <v>246</v>
      </c>
      <c r="G22" s="17" t="s">
        <v>247</v>
      </c>
      <c r="H22" s="17" t="s">
        <v>248</v>
      </c>
      <c r="I22" s="17" t="s">
        <v>249</v>
      </c>
      <c r="J22" s="17" t="s">
        <v>151</v>
      </c>
      <c r="K22" s="17" t="s">
        <v>151</v>
      </c>
      <c r="L22" s="17" t="s">
        <v>250</v>
      </c>
      <c r="M22" s="18" t="s">
        <v>251</v>
      </c>
      <c r="N22" s="17" t="s">
        <v>196</v>
      </c>
      <c r="O22" s="19" t="s">
        <v>79</v>
      </c>
      <c r="P22" s="20"/>
      <c r="Q22" s="21" t="str">
        <f aca="true">IF(P22="","",P22-TODAY())</f>
        <v/>
      </c>
      <c r="R22" s="19"/>
      <c r="S22" s="22"/>
      <c r="T22" s="22"/>
      <c r="U22" s="20"/>
      <c r="V22" s="19" t="s">
        <v>252</v>
      </c>
    </row>
    <row r="23" customFormat="false" ht="78" hidden="false" customHeight="true" outlineLevel="0" collapsed="false">
      <c r="A23" s="16" t="s">
        <v>253</v>
      </c>
      <c r="B23" s="17" t="s">
        <v>67</v>
      </c>
      <c r="C23" s="17" t="s">
        <v>68</v>
      </c>
      <c r="D23" s="17" t="s">
        <v>18</v>
      </c>
      <c r="E23" s="17" t="s">
        <v>254</v>
      </c>
      <c r="F23" s="17" t="s">
        <v>255</v>
      </c>
      <c r="G23" s="17" t="s">
        <v>256</v>
      </c>
      <c r="H23" s="17" t="s">
        <v>257</v>
      </c>
      <c r="I23" s="17" t="s">
        <v>258</v>
      </c>
      <c r="J23" s="17" t="s">
        <v>259</v>
      </c>
      <c r="K23" s="17" t="s">
        <v>152</v>
      </c>
      <c r="L23" s="17" t="s">
        <v>260</v>
      </c>
      <c r="M23" s="18" t="s">
        <v>154</v>
      </c>
      <c r="N23" s="17" t="s">
        <v>78</v>
      </c>
      <c r="O23" s="19" t="s">
        <v>261</v>
      </c>
      <c r="P23" s="20"/>
      <c r="Q23" s="21" t="str">
        <f aca="true">IF(P23="","",P23-TODAY())</f>
        <v/>
      </c>
      <c r="R23" s="19"/>
      <c r="S23" s="22"/>
      <c r="T23" s="22"/>
      <c r="U23" s="20"/>
      <c r="V23" s="19" t="s">
        <v>262</v>
      </c>
    </row>
    <row r="24" customFormat="false" ht="78" hidden="false" customHeight="true" outlineLevel="0" collapsed="false">
      <c r="A24" s="16" t="s">
        <v>263</v>
      </c>
      <c r="B24" s="17" t="s">
        <v>92</v>
      </c>
      <c r="C24" s="17" t="s">
        <v>83</v>
      </c>
      <c r="D24" s="17" t="s">
        <v>18</v>
      </c>
      <c r="E24" s="17" t="s">
        <v>254</v>
      </c>
      <c r="F24" s="17" t="s">
        <v>264</v>
      </c>
      <c r="G24" s="17" t="s">
        <v>265</v>
      </c>
      <c r="H24" s="17" t="s">
        <v>266</v>
      </c>
      <c r="I24" s="17" t="s">
        <v>267</v>
      </c>
      <c r="J24" s="17" t="s">
        <v>97</v>
      </c>
      <c r="K24" s="17" t="s">
        <v>268</v>
      </c>
      <c r="L24" s="17" t="s">
        <v>269</v>
      </c>
      <c r="M24" s="18" t="s">
        <v>270</v>
      </c>
      <c r="N24" s="17" t="s">
        <v>78</v>
      </c>
      <c r="O24" s="19" t="s">
        <v>261</v>
      </c>
      <c r="P24" s="20"/>
      <c r="Q24" s="21" t="str">
        <f aca="true">IF(P24="","",P24-TODAY())</f>
        <v/>
      </c>
      <c r="R24" s="19"/>
      <c r="S24" s="22"/>
      <c r="T24" s="22"/>
      <c r="U24" s="20"/>
      <c r="V24" s="19" t="s">
        <v>271</v>
      </c>
    </row>
    <row r="25" customFormat="false" ht="78" hidden="false" customHeight="true" outlineLevel="0" collapsed="false">
      <c r="A25" s="16" t="s">
        <v>272</v>
      </c>
      <c r="B25" s="17" t="s">
        <v>104</v>
      </c>
      <c r="C25" s="17" t="s">
        <v>105</v>
      </c>
      <c r="D25" s="17" t="s">
        <v>18</v>
      </c>
      <c r="E25" s="17" t="s">
        <v>254</v>
      </c>
      <c r="F25" s="17" t="s">
        <v>273</v>
      </c>
      <c r="G25" s="17" t="s">
        <v>274</v>
      </c>
      <c r="H25" s="17" t="s">
        <v>275</v>
      </c>
      <c r="I25" s="17" t="s">
        <v>276</v>
      </c>
      <c r="J25" s="17" t="s">
        <v>277</v>
      </c>
      <c r="K25" s="17" t="s">
        <v>278</v>
      </c>
      <c r="L25" s="17" t="s">
        <v>279</v>
      </c>
      <c r="M25" s="18" t="s">
        <v>280</v>
      </c>
      <c r="N25" s="17" t="s">
        <v>78</v>
      </c>
      <c r="O25" s="19" t="s">
        <v>261</v>
      </c>
      <c r="P25" s="20"/>
      <c r="Q25" s="21" t="str">
        <f aca="true">IF(P25="","",P25-TODAY())</f>
        <v/>
      </c>
      <c r="R25" s="19"/>
      <c r="S25" s="22"/>
      <c r="T25" s="22"/>
      <c r="U25" s="20"/>
      <c r="V25" s="19" t="s">
        <v>281</v>
      </c>
    </row>
    <row r="26" customFormat="false" ht="78" hidden="false" customHeight="true" outlineLevel="0" collapsed="false">
      <c r="A26" s="16" t="s">
        <v>282</v>
      </c>
      <c r="B26" s="17" t="s">
        <v>283</v>
      </c>
      <c r="C26" s="17" t="s">
        <v>136</v>
      </c>
      <c r="D26" s="17" t="s">
        <v>18</v>
      </c>
      <c r="E26" s="17" t="s">
        <v>254</v>
      </c>
      <c r="F26" s="17" t="s">
        <v>284</v>
      </c>
      <c r="G26" s="17" t="s">
        <v>285</v>
      </c>
      <c r="H26" s="17" t="s">
        <v>286</v>
      </c>
      <c r="I26" s="17" t="s">
        <v>287</v>
      </c>
      <c r="J26" s="17" t="s">
        <v>288</v>
      </c>
      <c r="K26" s="17" t="s">
        <v>289</v>
      </c>
      <c r="L26" s="17" t="s">
        <v>290</v>
      </c>
      <c r="M26" s="18" t="s">
        <v>291</v>
      </c>
      <c r="N26" s="17" t="s">
        <v>78</v>
      </c>
      <c r="O26" s="19" t="s">
        <v>261</v>
      </c>
      <c r="P26" s="20"/>
      <c r="Q26" s="21" t="str">
        <f aca="true">IF(P26="","",P26-TODAY())</f>
        <v/>
      </c>
      <c r="R26" s="19"/>
      <c r="S26" s="22"/>
      <c r="T26" s="22"/>
      <c r="U26" s="20"/>
      <c r="V26" s="19" t="s">
        <v>292</v>
      </c>
    </row>
    <row r="27" customFormat="false" ht="78" hidden="false" customHeight="true" outlineLevel="0" collapsed="false">
      <c r="A27" s="16" t="s">
        <v>293</v>
      </c>
      <c r="B27" s="17" t="s">
        <v>283</v>
      </c>
      <c r="C27" s="17" t="s">
        <v>136</v>
      </c>
      <c r="D27" s="17" t="s">
        <v>18</v>
      </c>
      <c r="E27" s="17" t="s">
        <v>254</v>
      </c>
      <c r="F27" s="17" t="s">
        <v>294</v>
      </c>
      <c r="G27" s="17" t="s">
        <v>295</v>
      </c>
      <c r="H27" s="17" t="s">
        <v>296</v>
      </c>
      <c r="I27" s="17" t="s">
        <v>297</v>
      </c>
      <c r="J27" s="17" t="s">
        <v>288</v>
      </c>
      <c r="K27" s="17" t="s">
        <v>298</v>
      </c>
      <c r="L27" s="17" t="s">
        <v>299</v>
      </c>
      <c r="M27" s="18" t="s">
        <v>300</v>
      </c>
      <c r="N27" s="17" t="s">
        <v>78</v>
      </c>
      <c r="O27" s="19" t="s">
        <v>261</v>
      </c>
      <c r="P27" s="20"/>
      <c r="Q27" s="21" t="str">
        <f aca="true">IF(P27="","",P27-TODAY())</f>
        <v/>
      </c>
      <c r="R27" s="19"/>
      <c r="S27" s="22"/>
      <c r="T27" s="22"/>
      <c r="U27" s="20"/>
      <c r="V27" s="19" t="s">
        <v>301</v>
      </c>
    </row>
    <row r="28" customFormat="false" ht="78" hidden="false" customHeight="true" outlineLevel="0" collapsed="false">
      <c r="A28" s="16" t="s">
        <v>302</v>
      </c>
      <c r="B28" s="17" t="s">
        <v>283</v>
      </c>
      <c r="C28" s="17" t="s">
        <v>136</v>
      </c>
      <c r="D28" s="17" t="s">
        <v>18</v>
      </c>
      <c r="E28" s="17" t="s">
        <v>254</v>
      </c>
      <c r="F28" s="17" t="s">
        <v>303</v>
      </c>
      <c r="G28" s="17" t="s">
        <v>304</v>
      </c>
      <c r="H28" s="17" t="s">
        <v>305</v>
      </c>
      <c r="I28" s="17" t="s">
        <v>306</v>
      </c>
      <c r="J28" s="17" t="s">
        <v>288</v>
      </c>
      <c r="K28" s="17" t="s">
        <v>152</v>
      </c>
      <c r="L28" s="17" t="s">
        <v>307</v>
      </c>
      <c r="M28" s="18" t="s">
        <v>308</v>
      </c>
      <c r="N28" s="17" t="s">
        <v>155</v>
      </c>
      <c r="O28" s="19" t="s">
        <v>261</v>
      </c>
      <c r="P28" s="20"/>
      <c r="Q28" s="21" t="str">
        <f aca="true">IF(P28="","",P28-TODAY())</f>
        <v/>
      </c>
      <c r="R28" s="19"/>
      <c r="S28" s="22"/>
      <c r="T28" s="22"/>
      <c r="U28" s="20"/>
      <c r="V28" s="19" t="s">
        <v>309</v>
      </c>
    </row>
    <row r="29" customFormat="false" ht="78" hidden="false" customHeight="true" outlineLevel="0" collapsed="false">
      <c r="A29" s="16" t="s">
        <v>310</v>
      </c>
      <c r="B29" s="17" t="s">
        <v>311</v>
      </c>
      <c r="C29" s="17" t="s">
        <v>136</v>
      </c>
      <c r="D29" s="17" t="s">
        <v>18</v>
      </c>
      <c r="E29" s="17" t="s">
        <v>254</v>
      </c>
      <c r="F29" s="17" t="s">
        <v>312</v>
      </c>
      <c r="G29" s="17" t="s">
        <v>313</v>
      </c>
      <c r="H29" s="17" t="s">
        <v>314</v>
      </c>
      <c r="I29" s="17" t="s">
        <v>315</v>
      </c>
      <c r="J29" s="17" t="s">
        <v>316</v>
      </c>
      <c r="K29" s="17" t="s">
        <v>317</v>
      </c>
      <c r="L29" s="17" t="s">
        <v>318</v>
      </c>
      <c r="M29" s="18" t="s">
        <v>319</v>
      </c>
      <c r="N29" s="17" t="s">
        <v>155</v>
      </c>
      <c r="O29" s="19" t="s">
        <v>261</v>
      </c>
      <c r="P29" s="20"/>
      <c r="Q29" s="21" t="str">
        <f aca="true">IF(P29="","",P29-TODAY())</f>
        <v/>
      </c>
      <c r="R29" s="19"/>
      <c r="S29" s="22"/>
      <c r="T29" s="22"/>
      <c r="U29" s="20"/>
      <c r="V29" s="19" t="s">
        <v>320</v>
      </c>
    </row>
    <row r="30" customFormat="false" ht="78" hidden="false" customHeight="true" outlineLevel="0" collapsed="false">
      <c r="A30" s="16" t="s">
        <v>321</v>
      </c>
      <c r="B30" s="17" t="s">
        <v>322</v>
      </c>
      <c r="C30" s="17" t="s">
        <v>136</v>
      </c>
      <c r="D30" s="17" t="s">
        <v>18</v>
      </c>
      <c r="E30" s="17" t="s">
        <v>254</v>
      </c>
      <c r="F30" s="17" t="s">
        <v>323</v>
      </c>
      <c r="G30" s="17" t="s">
        <v>324</v>
      </c>
      <c r="H30" s="17" t="s">
        <v>325</v>
      </c>
      <c r="I30" s="17" t="s">
        <v>326</v>
      </c>
      <c r="J30" s="17" t="s">
        <v>327</v>
      </c>
      <c r="K30" s="17" t="s">
        <v>328</v>
      </c>
      <c r="L30" s="17" t="s">
        <v>329</v>
      </c>
      <c r="M30" s="18" t="s">
        <v>330</v>
      </c>
      <c r="N30" s="17" t="s">
        <v>155</v>
      </c>
      <c r="O30" s="19" t="s">
        <v>261</v>
      </c>
      <c r="P30" s="20"/>
      <c r="Q30" s="21" t="str">
        <f aca="true">IF(P30="","",P30-TODAY())</f>
        <v/>
      </c>
      <c r="R30" s="19"/>
      <c r="S30" s="22"/>
      <c r="T30" s="22"/>
      <c r="U30" s="20"/>
      <c r="V30" s="19" t="s">
        <v>331</v>
      </c>
    </row>
    <row r="31" customFormat="false" ht="78" hidden="false" customHeight="true" outlineLevel="0" collapsed="false">
      <c r="A31" s="16" t="s">
        <v>332</v>
      </c>
      <c r="B31" s="17" t="s">
        <v>333</v>
      </c>
      <c r="C31" s="17" t="s">
        <v>105</v>
      </c>
      <c r="D31" s="17" t="s">
        <v>334</v>
      </c>
      <c r="E31" s="17" t="s">
        <v>335</v>
      </c>
      <c r="F31" s="17" t="s">
        <v>336</v>
      </c>
      <c r="G31" s="17" t="s">
        <v>337</v>
      </c>
      <c r="H31" s="17" t="s">
        <v>338</v>
      </c>
      <c r="I31" s="17" t="s">
        <v>339</v>
      </c>
      <c r="J31" s="17" t="s">
        <v>340</v>
      </c>
      <c r="K31" s="17" t="s">
        <v>152</v>
      </c>
      <c r="L31" s="17" t="s">
        <v>341</v>
      </c>
      <c r="M31" s="18" t="s">
        <v>342</v>
      </c>
      <c r="N31" s="17" t="s">
        <v>78</v>
      </c>
      <c r="O31" s="19" t="s">
        <v>261</v>
      </c>
      <c r="P31" s="20"/>
      <c r="Q31" s="21" t="str">
        <f aca="true">IF(P31="","",P31-TODAY())</f>
        <v/>
      </c>
      <c r="R31" s="19"/>
      <c r="S31" s="22"/>
      <c r="T31" s="22"/>
      <c r="U31" s="20"/>
      <c r="V31" s="19" t="s">
        <v>343</v>
      </c>
    </row>
    <row r="32" customFormat="false" ht="78" hidden="false" customHeight="true" outlineLevel="0" collapsed="false">
      <c r="A32" s="16" t="s">
        <v>344</v>
      </c>
      <c r="B32" s="17" t="s">
        <v>345</v>
      </c>
      <c r="C32" s="17" t="s">
        <v>68</v>
      </c>
      <c r="D32" s="17" t="s">
        <v>18</v>
      </c>
      <c r="E32" s="17" t="s">
        <v>335</v>
      </c>
      <c r="F32" s="17" t="s">
        <v>346</v>
      </c>
      <c r="G32" s="17" t="s">
        <v>347</v>
      </c>
      <c r="H32" s="17" t="s">
        <v>348</v>
      </c>
      <c r="I32" s="17" t="s">
        <v>349</v>
      </c>
      <c r="J32" s="17" t="s">
        <v>350</v>
      </c>
      <c r="K32" s="17" t="s">
        <v>152</v>
      </c>
      <c r="L32" s="17" t="s">
        <v>351</v>
      </c>
      <c r="M32" s="18" t="s">
        <v>352</v>
      </c>
      <c r="N32" s="17" t="s">
        <v>78</v>
      </c>
      <c r="O32" s="19" t="s">
        <v>261</v>
      </c>
      <c r="P32" s="20"/>
      <c r="Q32" s="21" t="str">
        <f aca="true">IF(P32="","",P32-TODAY())</f>
        <v/>
      </c>
      <c r="R32" s="19"/>
      <c r="S32" s="22"/>
      <c r="T32" s="22"/>
      <c r="U32" s="20"/>
      <c r="V32" s="19" t="s">
        <v>353</v>
      </c>
    </row>
    <row r="33" customFormat="false" ht="78" hidden="false" customHeight="true" outlineLevel="0" collapsed="false">
      <c r="A33" s="16" t="s">
        <v>354</v>
      </c>
      <c r="B33" s="17" t="s">
        <v>355</v>
      </c>
      <c r="C33" s="17" t="s">
        <v>229</v>
      </c>
      <c r="D33" s="17" t="s">
        <v>18</v>
      </c>
      <c r="E33" s="17" t="s">
        <v>335</v>
      </c>
      <c r="F33" s="17" t="s">
        <v>356</v>
      </c>
      <c r="G33" s="17" t="s">
        <v>357</v>
      </c>
      <c r="H33" s="17" t="s">
        <v>358</v>
      </c>
      <c r="I33" s="17" t="s">
        <v>359</v>
      </c>
      <c r="J33" s="17" t="s">
        <v>74</v>
      </c>
      <c r="K33" s="17" t="s">
        <v>111</v>
      </c>
      <c r="L33" s="17" t="s">
        <v>360</v>
      </c>
      <c r="M33" s="18" t="s">
        <v>361</v>
      </c>
      <c r="N33" s="17" t="s">
        <v>155</v>
      </c>
      <c r="O33" s="19" t="s">
        <v>261</v>
      </c>
      <c r="P33" s="20"/>
      <c r="Q33" s="21" t="str">
        <f aca="true">IF(P33="","",P33-TODAY())</f>
        <v/>
      </c>
      <c r="R33" s="19"/>
      <c r="S33" s="22"/>
      <c r="T33" s="22"/>
      <c r="U33" s="20"/>
      <c r="V33" s="19" t="s">
        <v>362</v>
      </c>
    </row>
    <row r="34" customFormat="false" ht="78" hidden="false" customHeight="true" outlineLevel="0" collapsed="false">
      <c r="A34" s="16" t="s">
        <v>363</v>
      </c>
      <c r="B34" s="17" t="s">
        <v>364</v>
      </c>
      <c r="C34" s="17" t="s">
        <v>105</v>
      </c>
      <c r="D34" s="17" t="s">
        <v>18</v>
      </c>
      <c r="E34" s="17" t="s">
        <v>335</v>
      </c>
      <c r="F34" s="17" t="s">
        <v>365</v>
      </c>
      <c r="G34" s="17" t="s">
        <v>366</v>
      </c>
      <c r="H34" s="17" t="s">
        <v>367</v>
      </c>
      <c r="I34" s="17" t="s">
        <v>368</v>
      </c>
      <c r="J34" s="17" t="s">
        <v>74</v>
      </c>
      <c r="K34" s="17" t="s">
        <v>369</v>
      </c>
      <c r="L34" s="17" t="s">
        <v>370</v>
      </c>
      <c r="M34" s="18" t="s">
        <v>371</v>
      </c>
      <c r="N34" s="17" t="s">
        <v>155</v>
      </c>
      <c r="O34" s="19" t="s">
        <v>261</v>
      </c>
      <c r="P34" s="20"/>
      <c r="Q34" s="21" t="str">
        <f aca="true">IF(P34="","",P34-TODAY())</f>
        <v/>
      </c>
      <c r="R34" s="19"/>
      <c r="S34" s="22"/>
      <c r="T34" s="22"/>
      <c r="U34" s="20"/>
      <c r="V34" s="19" t="s">
        <v>372</v>
      </c>
    </row>
    <row r="35" customFormat="false" ht="78" hidden="false" customHeight="true" outlineLevel="0" collapsed="false">
      <c r="A35" s="16" t="s">
        <v>373</v>
      </c>
      <c r="B35" s="17" t="s">
        <v>374</v>
      </c>
      <c r="C35" s="17" t="s">
        <v>105</v>
      </c>
      <c r="D35" s="17" t="s">
        <v>18</v>
      </c>
      <c r="E35" s="17" t="s">
        <v>335</v>
      </c>
      <c r="F35" s="17" t="s">
        <v>375</v>
      </c>
      <c r="G35" s="17" t="s">
        <v>376</v>
      </c>
      <c r="H35" s="17" t="s">
        <v>377</v>
      </c>
      <c r="I35" s="17" t="s">
        <v>378</v>
      </c>
      <c r="J35" s="17" t="s">
        <v>151</v>
      </c>
      <c r="K35" s="17" t="s">
        <v>152</v>
      </c>
      <c r="L35" s="17" t="s">
        <v>379</v>
      </c>
      <c r="M35" s="18" t="s">
        <v>380</v>
      </c>
      <c r="N35" s="17" t="s">
        <v>155</v>
      </c>
      <c r="O35" s="19" t="s">
        <v>261</v>
      </c>
      <c r="P35" s="20"/>
      <c r="Q35" s="21" t="str">
        <f aca="true">IF(P35="","",P35-TODAY())</f>
        <v/>
      </c>
      <c r="R35" s="19"/>
      <c r="S35" s="22"/>
      <c r="T35" s="22"/>
      <c r="U35" s="20"/>
      <c r="V35" s="19" t="s">
        <v>381</v>
      </c>
    </row>
    <row r="36" customFormat="false" ht="78" hidden="false" customHeight="true" outlineLevel="0" collapsed="false">
      <c r="A36" s="16" t="s">
        <v>382</v>
      </c>
      <c r="B36" s="17" t="s">
        <v>383</v>
      </c>
      <c r="C36" s="17" t="s">
        <v>105</v>
      </c>
      <c r="D36" s="17" t="s">
        <v>36</v>
      </c>
      <c r="E36" s="17" t="s">
        <v>384</v>
      </c>
      <c r="F36" s="17" t="s">
        <v>385</v>
      </c>
      <c r="G36" s="17" t="s">
        <v>386</v>
      </c>
      <c r="H36" s="17" t="s">
        <v>387</v>
      </c>
      <c r="I36" s="17" t="s">
        <v>388</v>
      </c>
      <c r="J36" s="17" t="s">
        <v>389</v>
      </c>
      <c r="K36" s="17" t="s">
        <v>111</v>
      </c>
      <c r="L36" s="17" t="s">
        <v>390</v>
      </c>
      <c r="M36" s="18" t="s">
        <v>391</v>
      </c>
      <c r="N36" s="17" t="s">
        <v>78</v>
      </c>
      <c r="O36" s="19" t="s">
        <v>392</v>
      </c>
      <c r="P36" s="20" t="n">
        <v>46360</v>
      </c>
      <c r="Q36" s="21" t="n">
        <f aca="true">IF(P36="","",P36-TODAY())</f>
        <v>38</v>
      </c>
      <c r="R36" s="19"/>
      <c r="S36" s="22"/>
      <c r="T36" s="22"/>
      <c r="U36" s="20"/>
      <c r="V36" s="19" t="s">
        <v>393</v>
      </c>
    </row>
    <row r="37" customFormat="false" ht="78" hidden="false" customHeight="true" outlineLevel="0" collapsed="false">
      <c r="A37" s="16" t="s">
        <v>394</v>
      </c>
      <c r="B37" s="17" t="s">
        <v>395</v>
      </c>
      <c r="C37" s="17" t="s">
        <v>136</v>
      </c>
      <c r="D37" s="17" t="s">
        <v>118</v>
      </c>
      <c r="E37" s="17" t="s">
        <v>384</v>
      </c>
      <c r="F37" s="17" t="s">
        <v>396</v>
      </c>
      <c r="G37" s="17" t="s">
        <v>397</v>
      </c>
      <c r="H37" s="17" t="s">
        <v>398</v>
      </c>
      <c r="I37" s="17" t="s">
        <v>399</v>
      </c>
      <c r="J37" s="17" t="s">
        <v>74</v>
      </c>
      <c r="K37" s="17" t="s">
        <v>400</v>
      </c>
      <c r="L37" s="17" t="s">
        <v>401</v>
      </c>
      <c r="M37" s="18" t="s">
        <v>402</v>
      </c>
      <c r="N37" s="17" t="s">
        <v>78</v>
      </c>
      <c r="O37" s="19" t="s">
        <v>392</v>
      </c>
      <c r="P37" s="20"/>
      <c r="Q37" s="21" t="str">
        <f aca="true">IF(P37="","",P37-TODAY())</f>
        <v/>
      </c>
      <c r="R37" s="19"/>
      <c r="S37" s="22"/>
      <c r="T37" s="22"/>
      <c r="U37" s="20"/>
      <c r="V37" s="19" t="s">
        <v>403</v>
      </c>
    </row>
    <row r="38" customFormat="false" ht="78" hidden="false" customHeight="true" outlineLevel="0" collapsed="false">
      <c r="A38" s="16" t="s">
        <v>404</v>
      </c>
      <c r="B38" s="17" t="s">
        <v>283</v>
      </c>
      <c r="C38" s="17" t="s">
        <v>136</v>
      </c>
      <c r="D38" s="17" t="s">
        <v>18</v>
      </c>
      <c r="E38" s="17" t="s">
        <v>384</v>
      </c>
      <c r="F38" s="17" t="s">
        <v>405</v>
      </c>
      <c r="G38" s="17" t="s">
        <v>406</v>
      </c>
      <c r="H38" s="17" t="s">
        <v>407</v>
      </c>
      <c r="I38" s="17" t="s">
        <v>408</v>
      </c>
      <c r="J38" s="17" t="s">
        <v>409</v>
      </c>
      <c r="K38" s="17" t="s">
        <v>111</v>
      </c>
      <c r="L38" s="17" t="s">
        <v>410</v>
      </c>
      <c r="M38" s="18" t="s">
        <v>411</v>
      </c>
      <c r="N38" s="17" t="s">
        <v>155</v>
      </c>
      <c r="O38" s="19" t="s">
        <v>392</v>
      </c>
      <c r="P38" s="20"/>
      <c r="Q38" s="21" t="str">
        <f aca="true">IF(P38="","",P38-TODAY())</f>
        <v/>
      </c>
      <c r="R38" s="19"/>
      <c r="S38" s="22"/>
      <c r="T38" s="22"/>
      <c r="U38" s="20"/>
      <c r="V38" s="19" t="s">
        <v>412</v>
      </c>
    </row>
    <row r="39" customFormat="false" ht="78" hidden="false" customHeight="true" outlineLevel="0" collapsed="false">
      <c r="A39" s="16" t="s">
        <v>413</v>
      </c>
      <c r="B39" s="17" t="s">
        <v>311</v>
      </c>
      <c r="C39" s="17" t="s">
        <v>136</v>
      </c>
      <c r="D39" s="17" t="s">
        <v>69</v>
      </c>
      <c r="E39" s="17" t="s">
        <v>384</v>
      </c>
      <c r="F39" s="17" t="s">
        <v>414</v>
      </c>
      <c r="G39" s="17" t="s">
        <v>415</v>
      </c>
      <c r="H39" s="17" t="s">
        <v>416</v>
      </c>
      <c r="I39" s="17" t="s">
        <v>417</v>
      </c>
      <c r="J39" s="17" t="s">
        <v>316</v>
      </c>
      <c r="K39" s="17" t="s">
        <v>418</v>
      </c>
      <c r="L39" s="17" t="s">
        <v>419</v>
      </c>
      <c r="M39" s="18" t="s">
        <v>319</v>
      </c>
      <c r="N39" s="17" t="s">
        <v>155</v>
      </c>
      <c r="O39" s="19" t="s">
        <v>392</v>
      </c>
      <c r="P39" s="20" t="n">
        <v>46443</v>
      </c>
      <c r="Q39" s="21" t="n">
        <f aca="true">IF(P39="","",P39-TODAY())</f>
        <v>121</v>
      </c>
      <c r="R39" s="19"/>
      <c r="S39" s="22"/>
      <c r="T39" s="22"/>
      <c r="U39" s="20"/>
      <c r="V39" s="19" t="s">
        <v>420</v>
      </c>
    </row>
    <row r="40" customFormat="false" ht="15" hidden="false" customHeight="false" outlineLevel="0" collapsed="false">
      <c r="A40" s="19"/>
      <c r="B40" s="19"/>
      <c r="C40" s="19"/>
      <c r="D40" s="19"/>
      <c r="E40" s="19"/>
      <c r="F40" s="19"/>
      <c r="G40" s="19"/>
      <c r="H40" s="19"/>
      <c r="I40" s="19"/>
      <c r="J40" s="19"/>
      <c r="K40" s="19"/>
      <c r="L40" s="19"/>
      <c r="M40" s="19"/>
      <c r="N40" s="19"/>
      <c r="O40" s="19"/>
      <c r="P40" s="20"/>
      <c r="Q40" s="21" t="str">
        <f aca="true">IF(P40="","",P40-TODAY())</f>
        <v/>
      </c>
      <c r="R40" s="19"/>
      <c r="S40" s="22"/>
      <c r="T40" s="22"/>
      <c r="U40" s="20"/>
      <c r="V40" s="19"/>
    </row>
    <row r="41" customFormat="false" ht="15" hidden="false" customHeight="false" outlineLevel="0" collapsed="false">
      <c r="A41" s="19"/>
      <c r="B41" s="19"/>
      <c r="C41" s="19"/>
      <c r="D41" s="19"/>
      <c r="E41" s="19"/>
      <c r="F41" s="19"/>
      <c r="G41" s="19"/>
      <c r="H41" s="19"/>
      <c r="I41" s="19"/>
      <c r="J41" s="19"/>
      <c r="K41" s="19"/>
      <c r="L41" s="19"/>
      <c r="M41" s="19"/>
      <c r="N41" s="19"/>
      <c r="O41" s="19"/>
      <c r="P41" s="20"/>
      <c r="Q41" s="21" t="str">
        <f aca="true">IF(P41="","",P41-TODAY())</f>
        <v/>
      </c>
      <c r="R41" s="19"/>
      <c r="S41" s="22"/>
      <c r="T41" s="22"/>
      <c r="U41" s="20"/>
      <c r="V41" s="19"/>
    </row>
    <row r="42" customFormat="false" ht="15" hidden="false" customHeight="false" outlineLevel="0" collapsed="false">
      <c r="A42" s="19"/>
      <c r="B42" s="19"/>
      <c r="C42" s="19"/>
      <c r="D42" s="19"/>
      <c r="E42" s="19"/>
      <c r="F42" s="19"/>
      <c r="G42" s="19"/>
      <c r="H42" s="19"/>
      <c r="I42" s="19"/>
      <c r="J42" s="19"/>
      <c r="K42" s="19"/>
      <c r="L42" s="19"/>
      <c r="M42" s="19"/>
      <c r="N42" s="19"/>
      <c r="O42" s="19"/>
      <c r="P42" s="20"/>
      <c r="Q42" s="21" t="str">
        <f aca="true">IF(P42="","",P42-TODAY())</f>
        <v/>
      </c>
      <c r="R42" s="19"/>
      <c r="S42" s="22"/>
      <c r="T42" s="22"/>
      <c r="U42" s="20"/>
      <c r="V42" s="19"/>
    </row>
    <row r="43" customFormat="false" ht="15" hidden="false" customHeight="false" outlineLevel="0" collapsed="false">
      <c r="A43" s="19"/>
      <c r="B43" s="19"/>
      <c r="C43" s="19"/>
      <c r="D43" s="19"/>
      <c r="E43" s="19"/>
      <c r="F43" s="19"/>
      <c r="G43" s="19"/>
      <c r="H43" s="19"/>
      <c r="I43" s="19"/>
      <c r="J43" s="19"/>
      <c r="K43" s="19"/>
      <c r="L43" s="19"/>
      <c r="M43" s="19"/>
      <c r="N43" s="19"/>
      <c r="O43" s="19"/>
      <c r="P43" s="20"/>
      <c r="Q43" s="21" t="str">
        <f aca="true">IF(P43="","",P43-TODAY())</f>
        <v/>
      </c>
      <c r="R43" s="19"/>
      <c r="S43" s="22"/>
      <c r="T43" s="22"/>
      <c r="U43" s="20"/>
      <c r="V43" s="19"/>
    </row>
    <row r="44" customFormat="false" ht="15" hidden="false" customHeight="false" outlineLevel="0" collapsed="false">
      <c r="A44" s="19"/>
      <c r="B44" s="19"/>
      <c r="C44" s="19"/>
      <c r="D44" s="19"/>
      <c r="E44" s="19"/>
      <c r="F44" s="19"/>
      <c r="G44" s="19"/>
      <c r="H44" s="19"/>
      <c r="I44" s="19"/>
      <c r="J44" s="19"/>
      <c r="K44" s="19"/>
      <c r="L44" s="19"/>
      <c r="M44" s="19"/>
      <c r="N44" s="19"/>
      <c r="O44" s="19"/>
      <c r="P44" s="20"/>
      <c r="Q44" s="21" t="str">
        <f aca="true">IF(P44="","",P44-TODAY())</f>
        <v/>
      </c>
      <c r="R44" s="19"/>
      <c r="S44" s="22"/>
      <c r="T44" s="22"/>
      <c r="U44" s="20"/>
      <c r="V44" s="19"/>
    </row>
    <row r="45" customFormat="false" ht="15" hidden="false" customHeight="false" outlineLevel="0" collapsed="false">
      <c r="A45" s="19"/>
      <c r="B45" s="19"/>
      <c r="C45" s="19"/>
      <c r="D45" s="19"/>
      <c r="E45" s="19"/>
      <c r="F45" s="19"/>
      <c r="G45" s="19"/>
      <c r="H45" s="19"/>
      <c r="I45" s="19"/>
      <c r="J45" s="19"/>
      <c r="K45" s="19"/>
      <c r="L45" s="19"/>
      <c r="M45" s="19"/>
      <c r="N45" s="19"/>
      <c r="O45" s="19"/>
      <c r="P45" s="20"/>
      <c r="Q45" s="21" t="str">
        <f aca="true">IF(P45="","",P45-TODAY())</f>
        <v/>
      </c>
      <c r="R45" s="19"/>
      <c r="S45" s="22"/>
      <c r="T45" s="22"/>
      <c r="U45" s="20"/>
      <c r="V45" s="19"/>
    </row>
    <row r="46" customFormat="false" ht="15" hidden="false" customHeight="false" outlineLevel="0" collapsed="false">
      <c r="A46" s="19"/>
      <c r="B46" s="19"/>
      <c r="C46" s="19"/>
      <c r="D46" s="19"/>
      <c r="E46" s="19"/>
      <c r="F46" s="19"/>
      <c r="G46" s="19"/>
      <c r="H46" s="19"/>
      <c r="I46" s="19"/>
      <c r="J46" s="19"/>
      <c r="K46" s="19"/>
      <c r="L46" s="19"/>
      <c r="M46" s="19"/>
      <c r="N46" s="19"/>
      <c r="O46" s="19"/>
      <c r="P46" s="20"/>
      <c r="Q46" s="21" t="str">
        <f aca="true">IF(P46="","",P46-TODAY())</f>
        <v/>
      </c>
      <c r="R46" s="19"/>
      <c r="S46" s="22"/>
      <c r="T46" s="22"/>
      <c r="U46" s="20"/>
      <c r="V46" s="19"/>
    </row>
    <row r="47" customFormat="false" ht="15" hidden="false" customHeight="false" outlineLevel="0" collapsed="false">
      <c r="A47" s="19"/>
      <c r="B47" s="19"/>
      <c r="C47" s="19"/>
      <c r="D47" s="19"/>
      <c r="E47" s="19"/>
      <c r="F47" s="19"/>
      <c r="G47" s="19"/>
      <c r="H47" s="19"/>
      <c r="I47" s="19"/>
      <c r="J47" s="19"/>
      <c r="K47" s="19"/>
      <c r="L47" s="19"/>
      <c r="M47" s="19"/>
      <c r="N47" s="19"/>
      <c r="O47" s="19"/>
      <c r="P47" s="20"/>
      <c r="Q47" s="21" t="str">
        <f aca="true">IF(P47="","",P47-TODAY())</f>
        <v/>
      </c>
      <c r="R47" s="19"/>
      <c r="S47" s="22"/>
      <c r="T47" s="22"/>
      <c r="U47" s="20"/>
      <c r="V47" s="19"/>
    </row>
    <row r="48" customFormat="false" ht="15" hidden="false" customHeight="false" outlineLevel="0" collapsed="false">
      <c r="A48" s="19"/>
      <c r="B48" s="19"/>
      <c r="C48" s="19"/>
      <c r="D48" s="19"/>
      <c r="E48" s="19"/>
      <c r="F48" s="19"/>
      <c r="G48" s="19"/>
      <c r="H48" s="19"/>
      <c r="I48" s="19"/>
      <c r="J48" s="19"/>
      <c r="K48" s="19"/>
      <c r="L48" s="19"/>
      <c r="M48" s="19"/>
      <c r="N48" s="19"/>
      <c r="O48" s="19"/>
      <c r="P48" s="20"/>
      <c r="Q48" s="21" t="str">
        <f aca="true">IF(P48="","",P48-TODAY())</f>
        <v/>
      </c>
      <c r="R48" s="19"/>
      <c r="S48" s="22"/>
      <c r="T48" s="22"/>
      <c r="U48" s="20"/>
      <c r="V48" s="19"/>
    </row>
    <row r="49" customFormat="false" ht="15" hidden="false" customHeight="false" outlineLevel="0" collapsed="false">
      <c r="A49" s="19"/>
      <c r="B49" s="19"/>
      <c r="C49" s="19"/>
      <c r="D49" s="19"/>
      <c r="E49" s="19"/>
      <c r="F49" s="19"/>
      <c r="G49" s="19"/>
      <c r="H49" s="19"/>
      <c r="I49" s="19"/>
      <c r="J49" s="19"/>
      <c r="K49" s="19"/>
      <c r="L49" s="19"/>
      <c r="M49" s="19"/>
      <c r="N49" s="19"/>
      <c r="O49" s="19"/>
      <c r="P49" s="20"/>
      <c r="Q49" s="21" t="str">
        <f aca="true">IF(P49="","",P49-TODAY())</f>
        <v/>
      </c>
      <c r="R49" s="19"/>
      <c r="S49" s="22"/>
      <c r="T49" s="22"/>
      <c r="U49" s="20"/>
      <c r="V49" s="19"/>
    </row>
    <row r="50" customFormat="false" ht="15" hidden="false" customHeight="false" outlineLevel="0" collapsed="false">
      <c r="A50" s="19"/>
      <c r="B50" s="19"/>
      <c r="C50" s="19"/>
      <c r="D50" s="19"/>
      <c r="E50" s="19"/>
      <c r="F50" s="19"/>
      <c r="G50" s="19"/>
      <c r="H50" s="19"/>
      <c r="I50" s="19"/>
      <c r="J50" s="19"/>
      <c r="K50" s="19"/>
      <c r="L50" s="19"/>
      <c r="M50" s="19"/>
      <c r="N50" s="19"/>
      <c r="O50" s="19"/>
      <c r="P50" s="20"/>
      <c r="Q50" s="21" t="str">
        <f aca="true">IF(P50="","",P50-TODAY())</f>
        <v/>
      </c>
      <c r="R50" s="19"/>
      <c r="S50" s="22"/>
      <c r="T50" s="22"/>
      <c r="U50" s="20"/>
      <c r="V50" s="19"/>
    </row>
    <row r="51" customFormat="false" ht="15" hidden="false" customHeight="false" outlineLevel="0" collapsed="false">
      <c r="A51" s="19"/>
      <c r="B51" s="19"/>
      <c r="C51" s="19"/>
      <c r="D51" s="19"/>
      <c r="E51" s="19"/>
      <c r="F51" s="19"/>
      <c r="G51" s="19"/>
      <c r="H51" s="19"/>
      <c r="I51" s="19"/>
      <c r="J51" s="19"/>
      <c r="K51" s="19"/>
      <c r="L51" s="19"/>
      <c r="M51" s="19"/>
      <c r="N51" s="19"/>
      <c r="O51" s="19"/>
      <c r="P51" s="20"/>
      <c r="Q51" s="21" t="str">
        <f aca="true">IF(P51="","",P51-TODAY())</f>
        <v/>
      </c>
      <c r="R51" s="19"/>
      <c r="S51" s="22"/>
      <c r="T51" s="22"/>
      <c r="U51" s="20"/>
      <c r="V51" s="19"/>
    </row>
    <row r="52" customFormat="false" ht="15" hidden="false" customHeight="false" outlineLevel="0" collapsed="false">
      <c r="A52" s="19"/>
      <c r="B52" s="19"/>
      <c r="C52" s="19"/>
      <c r="D52" s="19"/>
      <c r="E52" s="19"/>
      <c r="F52" s="19"/>
      <c r="G52" s="19"/>
      <c r="H52" s="19"/>
      <c r="I52" s="19"/>
      <c r="J52" s="19"/>
      <c r="K52" s="19"/>
      <c r="L52" s="19"/>
      <c r="M52" s="19"/>
      <c r="N52" s="19"/>
      <c r="O52" s="19"/>
      <c r="P52" s="20"/>
      <c r="Q52" s="21" t="str">
        <f aca="true">IF(P52="","",P52-TODAY())</f>
        <v/>
      </c>
      <c r="R52" s="19"/>
      <c r="S52" s="22"/>
      <c r="T52" s="22"/>
      <c r="U52" s="20"/>
      <c r="V52" s="19"/>
    </row>
    <row r="53" customFormat="false" ht="15" hidden="false" customHeight="false" outlineLevel="0" collapsed="false">
      <c r="A53" s="19"/>
      <c r="B53" s="19"/>
      <c r="C53" s="19"/>
      <c r="D53" s="19"/>
      <c r="E53" s="19"/>
      <c r="F53" s="19"/>
      <c r="G53" s="19"/>
      <c r="H53" s="19"/>
      <c r="I53" s="19"/>
      <c r="J53" s="19"/>
      <c r="K53" s="19"/>
      <c r="L53" s="19"/>
      <c r="M53" s="19"/>
      <c r="N53" s="19"/>
      <c r="O53" s="19"/>
      <c r="P53" s="20"/>
      <c r="Q53" s="21" t="str">
        <f aca="true">IF(P53="","",P53-TODAY())</f>
        <v/>
      </c>
      <c r="R53" s="19"/>
      <c r="S53" s="22"/>
      <c r="T53" s="22"/>
      <c r="U53" s="20"/>
      <c r="V53" s="19"/>
    </row>
    <row r="54" customFormat="false" ht="15" hidden="false" customHeight="false" outlineLevel="0" collapsed="false">
      <c r="A54" s="19"/>
      <c r="B54" s="19"/>
      <c r="C54" s="19"/>
      <c r="D54" s="19"/>
      <c r="E54" s="19"/>
      <c r="F54" s="19"/>
      <c r="G54" s="19"/>
      <c r="H54" s="19"/>
      <c r="I54" s="19"/>
      <c r="J54" s="19"/>
      <c r="K54" s="19"/>
      <c r="L54" s="19"/>
      <c r="M54" s="19"/>
      <c r="N54" s="19"/>
      <c r="O54" s="19"/>
      <c r="P54" s="20"/>
      <c r="Q54" s="21" t="str">
        <f aca="true">IF(P54="","",P54-TODAY())</f>
        <v/>
      </c>
      <c r="R54" s="19"/>
      <c r="S54" s="22"/>
      <c r="T54" s="22"/>
      <c r="U54" s="20"/>
      <c r="V54" s="19"/>
    </row>
    <row r="55" customFormat="false" ht="15" hidden="false" customHeight="false" outlineLevel="0" collapsed="false">
      <c r="A55" s="19"/>
      <c r="B55" s="19"/>
      <c r="C55" s="19"/>
      <c r="D55" s="19"/>
      <c r="E55" s="19"/>
      <c r="F55" s="19"/>
      <c r="G55" s="19"/>
      <c r="H55" s="19"/>
      <c r="I55" s="19"/>
      <c r="J55" s="19"/>
      <c r="K55" s="19"/>
      <c r="L55" s="19"/>
      <c r="M55" s="19"/>
      <c r="N55" s="19"/>
      <c r="O55" s="19"/>
      <c r="P55" s="20"/>
      <c r="Q55" s="21" t="str">
        <f aca="true">IF(P55="","",P55-TODAY())</f>
        <v/>
      </c>
      <c r="R55" s="19"/>
      <c r="S55" s="22"/>
      <c r="T55" s="22"/>
      <c r="U55" s="20"/>
      <c r="V55" s="19"/>
    </row>
    <row r="56" customFormat="false" ht="15" hidden="false" customHeight="false" outlineLevel="0" collapsed="false">
      <c r="A56" s="19"/>
      <c r="B56" s="19"/>
      <c r="C56" s="19"/>
      <c r="D56" s="19"/>
      <c r="E56" s="19"/>
      <c r="F56" s="19"/>
      <c r="G56" s="19"/>
      <c r="H56" s="19"/>
      <c r="I56" s="19"/>
      <c r="J56" s="19"/>
      <c r="K56" s="19"/>
      <c r="L56" s="19"/>
      <c r="M56" s="19"/>
      <c r="N56" s="19"/>
      <c r="O56" s="19"/>
      <c r="P56" s="20"/>
      <c r="Q56" s="21" t="str">
        <f aca="true">IF(P56="","",P56-TODAY())</f>
        <v/>
      </c>
      <c r="R56" s="19"/>
      <c r="S56" s="22"/>
      <c r="T56" s="22"/>
      <c r="U56" s="20"/>
      <c r="V56" s="19"/>
    </row>
    <row r="57" customFormat="false" ht="15" hidden="false" customHeight="false" outlineLevel="0" collapsed="false">
      <c r="A57" s="19"/>
      <c r="B57" s="19"/>
      <c r="C57" s="19"/>
      <c r="D57" s="19"/>
      <c r="E57" s="19"/>
      <c r="F57" s="19"/>
      <c r="G57" s="19"/>
      <c r="H57" s="19"/>
      <c r="I57" s="19"/>
      <c r="J57" s="19"/>
      <c r="K57" s="19"/>
      <c r="L57" s="19"/>
      <c r="M57" s="19"/>
      <c r="N57" s="19"/>
      <c r="O57" s="19"/>
      <c r="P57" s="20"/>
      <c r="Q57" s="21" t="str">
        <f aca="true">IF(P57="","",P57-TODAY())</f>
        <v/>
      </c>
      <c r="R57" s="19"/>
      <c r="S57" s="22"/>
      <c r="T57" s="22"/>
      <c r="U57" s="20"/>
      <c r="V57" s="19"/>
    </row>
    <row r="58" customFormat="false" ht="15" hidden="false" customHeight="false" outlineLevel="0" collapsed="false">
      <c r="A58" s="19"/>
      <c r="B58" s="19"/>
      <c r="C58" s="19"/>
      <c r="D58" s="19"/>
      <c r="E58" s="19"/>
      <c r="F58" s="19"/>
      <c r="G58" s="19"/>
      <c r="H58" s="19"/>
      <c r="I58" s="19"/>
      <c r="J58" s="19"/>
      <c r="K58" s="19"/>
      <c r="L58" s="19"/>
      <c r="M58" s="19"/>
      <c r="N58" s="19"/>
      <c r="O58" s="19"/>
      <c r="P58" s="20"/>
      <c r="Q58" s="21" t="str">
        <f aca="true">IF(P58="","",P58-TODAY())</f>
        <v/>
      </c>
      <c r="R58" s="19"/>
      <c r="S58" s="22"/>
      <c r="T58" s="22"/>
      <c r="U58" s="20"/>
      <c r="V58" s="19"/>
    </row>
    <row r="59" customFormat="false" ht="15" hidden="false" customHeight="false" outlineLevel="0" collapsed="false">
      <c r="A59" s="19"/>
      <c r="B59" s="19"/>
      <c r="C59" s="19"/>
      <c r="D59" s="19"/>
      <c r="E59" s="19"/>
      <c r="F59" s="19"/>
      <c r="G59" s="19"/>
      <c r="H59" s="19"/>
      <c r="I59" s="19"/>
      <c r="J59" s="19"/>
      <c r="K59" s="19"/>
      <c r="L59" s="19"/>
      <c r="M59" s="19"/>
      <c r="N59" s="19"/>
      <c r="O59" s="19"/>
      <c r="P59" s="20"/>
      <c r="Q59" s="21" t="str">
        <f aca="true">IF(P59="","",P59-TODAY())</f>
        <v/>
      </c>
      <c r="R59" s="19"/>
      <c r="S59" s="22"/>
      <c r="T59" s="22"/>
      <c r="U59" s="20"/>
      <c r="V59" s="19"/>
    </row>
    <row r="60" customFormat="false" ht="15" hidden="false" customHeight="false" outlineLevel="0" collapsed="false">
      <c r="A60" s="19"/>
      <c r="B60" s="19"/>
      <c r="C60" s="19"/>
      <c r="D60" s="19"/>
      <c r="E60" s="19"/>
      <c r="F60" s="19"/>
      <c r="G60" s="19"/>
      <c r="H60" s="19"/>
      <c r="I60" s="19"/>
      <c r="J60" s="19"/>
      <c r="K60" s="19"/>
      <c r="L60" s="19"/>
      <c r="M60" s="19"/>
      <c r="N60" s="19"/>
      <c r="O60" s="19"/>
      <c r="P60" s="20"/>
      <c r="Q60" s="21" t="str">
        <f aca="true">IF(P60="","",P60-TODAY())</f>
        <v/>
      </c>
      <c r="R60" s="19"/>
      <c r="S60" s="22"/>
      <c r="T60" s="22"/>
      <c r="U60" s="20"/>
      <c r="V60" s="19"/>
    </row>
    <row r="61" customFormat="false" ht="15" hidden="false" customHeight="false" outlineLevel="0" collapsed="false">
      <c r="A61" s="19"/>
      <c r="B61" s="19"/>
      <c r="C61" s="19"/>
      <c r="D61" s="19"/>
      <c r="E61" s="19"/>
      <c r="F61" s="19"/>
      <c r="G61" s="19"/>
      <c r="H61" s="19"/>
      <c r="I61" s="19"/>
      <c r="J61" s="19"/>
      <c r="K61" s="19"/>
      <c r="L61" s="19"/>
      <c r="M61" s="19"/>
      <c r="N61" s="19"/>
      <c r="O61" s="19"/>
      <c r="P61" s="20"/>
      <c r="Q61" s="21" t="str">
        <f aca="true">IF(P61="","",P61-TODAY())</f>
        <v/>
      </c>
      <c r="R61" s="19"/>
      <c r="S61" s="22"/>
      <c r="T61" s="22"/>
      <c r="U61" s="20"/>
      <c r="V61" s="19"/>
    </row>
    <row r="62" customFormat="false" ht="15" hidden="false" customHeight="false" outlineLevel="0" collapsed="false">
      <c r="A62" s="19"/>
      <c r="B62" s="19"/>
      <c r="C62" s="19"/>
      <c r="D62" s="19"/>
      <c r="E62" s="19"/>
      <c r="F62" s="19"/>
      <c r="G62" s="19"/>
      <c r="H62" s="19"/>
      <c r="I62" s="19"/>
      <c r="J62" s="19"/>
      <c r="K62" s="19"/>
      <c r="L62" s="19"/>
      <c r="M62" s="19"/>
      <c r="N62" s="19"/>
      <c r="O62" s="19"/>
      <c r="P62" s="20"/>
      <c r="Q62" s="21" t="str">
        <f aca="true">IF(P62="","",P62-TODAY())</f>
        <v/>
      </c>
      <c r="R62" s="19"/>
      <c r="S62" s="22"/>
      <c r="T62" s="22"/>
      <c r="U62" s="20"/>
      <c r="V62" s="19"/>
    </row>
    <row r="63" customFormat="false" ht="15" hidden="false" customHeight="false" outlineLevel="0" collapsed="false">
      <c r="A63" s="19"/>
      <c r="B63" s="19"/>
      <c r="C63" s="19"/>
      <c r="D63" s="19"/>
      <c r="E63" s="19"/>
      <c r="F63" s="19"/>
      <c r="G63" s="19"/>
      <c r="H63" s="19"/>
      <c r="I63" s="19"/>
      <c r="J63" s="19"/>
      <c r="K63" s="19"/>
      <c r="L63" s="19"/>
      <c r="M63" s="19"/>
      <c r="N63" s="19"/>
      <c r="O63" s="19"/>
      <c r="P63" s="20"/>
      <c r="Q63" s="21" t="str">
        <f aca="true">IF(P63="","",P63-TODAY())</f>
        <v/>
      </c>
      <c r="R63" s="19"/>
      <c r="S63" s="22"/>
      <c r="T63" s="22"/>
      <c r="U63" s="20"/>
      <c r="V63" s="19"/>
    </row>
    <row r="64" customFormat="false" ht="15" hidden="false" customHeight="false" outlineLevel="0" collapsed="false">
      <c r="A64" s="19"/>
      <c r="B64" s="19"/>
      <c r="C64" s="19"/>
      <c r="D64" s="19"/>
      <c r="E64" s="19"/>
      <c r="F64" s="19"/>
      <c r="G64" s="19"/>
      <c r="H64" s="19"/>
      <c r="I64" s="19"/>
      <c r="J64" s="19"/>
      <c r="K64" s="19"/>
      <c r="L64" s="19"/>
      <c r="M64" s="19"/>
      <c r="N64" s="19"/>
      <c r="O64" s="19"/>
      <c r="P64" s="20"/>
      <c r="Q64" s="21" t="str">
        <f aca="true">IF(P64="","",P64-TODAY())</f>
        <v/>
      </c>
      <c r="R64" s="19"/>
      <c r="S64" s="22"/>
      <c r="T64" s="22"/>
      <c r="U64" s="20"/>
      <c r="V64" s="19"/>
    </row>
    <row r="65" customFormat="false" ht="15" hidden="false" customHeight="false" outlineLevel="0" collapsed="false">
      <c r="A65" s="19"/>
      <c r="B65" s="19"/>
      <c r="C65" s="19"/>
      <c r="D65" s="19"/>
      <c r="E65" s="19"/>
      <c r="F65" s="19"/>
      <c r="G65" s="19"/>
      <c r="H65" s="19"/>
      <c r="I65" s="19"/>
      <c r="J65" s="19"/>
      <c r="K65" s="19"/>
      <c r="L65" s="19"/>
      <c r="M65" s="19"/>
      <c r="N65" s="19"/>
      <c r="O65" s="19"/>
      <c r="P65" s="20"/>
      <c r="Q65" s="21" t="str">
        <f aca="true">IF(P65="","",P65-TODAY())</f>
        <v/>
      </c>
      <c r="R65" s="19"/>
      <c r="S65" s="22"/>
      <c r="T65" s="22"/>
      <c r="U65" s="20"/>
      <c r="V65" s="19"/>
    </row>
    <row r="66" customFormat="false" ht="15" hidden="false" customHeight="false" outlineLevel="0" collapsed="false">
      <c r="A66" s="19"/>
      <c r="B66" s="19"/>
      <c r="C66" s="19"/>
      <c r="D66" s="19"/>
      <c r="E66" s="19"/>
      <c r="F66" s="19"/>
      <c r="G66" s="19"/>
      <c r="H66" s="19"/>
      <c r="I66" s="19"/>
      <c r="J66" s="19"/>
      <c r="K66" s="19"/>
      <c r="L66" s="19"/>
      <c r="M66" s="19"/>
      <c r="N66" s="19"/>
      <c r="O66" s="19"/>
      <c r="P66" s="20"/>
      <c r="Q66" s="21" t="str">
        <f aca="true">IF(P66="","",P66-TODAY())</f>
        <v/>
      </c>
      <c r="R66" s="19"/>
      <c r="S66" s="22"/>
      <c r="T66" s="22"/>
      <c r="U66" s="20"/>
      <c r="V66" s="19"/>
    </row>
    <row r="67" customFormat="false" ht="15" hidden="false" customHeight="false" outlineLevel="0" collapsed="false">
      <c r="A67" s="19"/>
      <c r="B67" s="19"/>
      <c r="C67" s="19"/>
      <c r="D67" s="19"/>
      <c r="E67" s="19"/>
      <c r="F67" s="19"/>
      <c r="G67" s="19"/>
      <c r="H67" s="19"/>
      <c r="I67" s="19"/>
      <c r="J67" s="19"/>
      <c r="K67" s="19"/>
      <c r="L67" s="19"/>
      <c r="M67" s="19"/>
      <c r="N67" s="19"/>
      <c r="O67" s="19"/>
      <c r="P67" s="20"/>
      <c r="Q67" s="21" t="str">
        <f aca="true">IF(P67="","",P67-TODAY())</f>
        <v/>
      </c>
      <c r="R67" s="19"/>
      <c r="S67" s="22"/>
      <c r="T67" s="22"/>
      <c r="U67" s="20"/>
      <c r="V67" s="19"/>
    </row>
    <row r="68" customFormat="false" ht="15" hidden="false" customHeight="false" outlineLevel="0" collapsed="false">
      <c r="A68" s="19"/>
      <c r="B68" s="19"/>
      <c r="C68" s="19"/>
      <c r="D68" s="19"/>
      <c r="E68" s="19"/>
      <c r="F68" s="19"/>
      <c r="G68" s="19"/>
      <c r="H68" s="19"/>
      <c r="I68" s="19"/>
      <c r="J68" s="19"/>
      <c r="K68" s="19"/>
      <c r="L68" s="19"/>
      <c r="M68" s="19"/>
      <c r="N68" s="19"/>
      <c r="O68" s="19"/>
      <c r="P68" s="20"/>
      <c r="Q68" s="21" t="str">
        <f aca="true">IF(P68="","",P68-TODAY())</f>
        <v/>
      </c>
      <c r="R68" s="19"/>
      <c r="S68" s="22"/>
      <c r="T68" s="22"/>
      <c r="U68" s="20"/>
      <c r="V68" s="19"/>
    </row>
    <row r="69" customFormat="false" ht="15" hidden="false" customHeight="false" outlineLevel="0" collapsed="false">
      <c r="A69" s="19"/>
      <c r="B69" s="19"/>
      <c r="C69" s="19"/>
      <c r="D69" s="19"/>
      <c r="E69" s="19"/>
      <c r="F69" s="19"/>
      <c r="G69" s="19"/>
      <c r="H69" s="19"/>
      <c r="I69" s="19"/>
      <c r="J69" s="19"/>
      <c r="K69" s="19"/>
      <c r="L69" s="19"/>
      <c r="M69" s="19"/>
      <c r="N69" s="19"/>
      <c r="O69" s="19"/>
      <c r="P69" s="20"/>
      <c r="Q69" s="21" t="str">
        <f aca="true">IF(P69="","",P69-TODAY())</f>
        <v/>
      </c>
      <c r="R69" s="19"/>
      <c r="S69" s="22"/>
      <c r="T69" s="22"/>
      <c r="U69" s="20"/>
      <c r="V69" s="19"/>
    </row>
    <row r="70" customFormat="false" ht="15" hidden="false" customHeight="false" outlineLevel="0" collapsed="false">
      <c r="A70" s="19"/>
      <c r="B70" s="19"/>
      <c r="C70" s="19"/>
      <c r="D70" s="19"/>
      <c r="E70" s="19"/>
      <c r="F70" s="19"/>
      <c r="G70" s="19"/>
      <c r="H70" s="19"/>
      <c r="I70" s="19"/>
      <c r="J70" s="19"/>
      <c r="K70" s="19"/>
      <c r="L70" s="19"/>
      <c r="M70" s="19"/>
      <c r="N70" s="19"/>
      <c r="O70" s="19"/>
      <c r="P70" s="20"/>
      <c r="Q70" s="21" t="str">
        <f aca="true">IF(P70="","",P70-TODAY())</f>
        <v/>
      </c>
      <c r="R70" s="19"/>
      <c r="S70" s="22"/>
      <c r="T70" s="22"/>
      <c r="U70" s="20"/>
      <c r="V70" s="19"/>
    </row>
    <row r="71" customFormat="false" ht="15" hidden="false" customHeight="false" outlineLevel="0" collapsed="false">
      <c r="A71" s="19"/>
      <c r="B71" s="19"/>
      <c r="C71" s="19"/>
      <c r="D71" s="19"/>
      <c r="E71" s="19"/>
      <c r="F71" s="19"/>
      <c r="G71" s="19"/>
      <c r="H71" s="19"/>
      <c r="I71" s="19"/>
      <c r="J71" s="19"/>
      <c r="K71" s="19"/>
      <c r="L71" s="19"/>
      <c r="M71" s="19"/>
      <c r="N71" s="19"/>
      <c r="O71" s="19"/>
      <c r="P71" s="20"/>
      <c r="Q71" s="21" t="str">
        <f aca="true">IF(P71="","",P71-TODAY())</f>
        <v/>
      </c>
      <c r="R71" s="19"/>
      <c r="S71" s="22"/>
      <c r="T71" s="22"/>
      <c r="U71" s="20"/>
      <c r="V71" s="19"/>
    </row>
    <row r="72" customFormat="false" ht="15" hidden="false" customHeight="false" outlineLevel="0" collapsed="false">
      <c r="A72" s="19"/>
      <c r="B72" s="19"/>
      <c r="C72" s="19"/>
      <c r="D72" s="19"/>
      <c r="E72" s="19"/>
      <c r="F72" s="19"/>
      <c r="G72" s="19"/>
      <c r="H72" s="19"/>
      <c r="I72" s="19"/>
      <c r="J72" s="19"/>
      <c r="K72" s="19"/>
      <c r="L72" s="19"/>
      <c r="M72" s="19"/>
      <c r="N72" s="19"/>
      <c r="O72" s="19"/>
      <c r="P72" s="20"/>
      <c r="Q72" s="21" t="str">
        <f aca="true">IF(P72="","",P72-TODAY())</f>
        <v/>
      </c>
      <c r="R72" s="19"/>
      <c r="S72" s="22"/>
      <c r="T72" s="22"/>
      <c r="U72" s="20"/>
      <c r="V72" s="19"/>
    </row>
    <row r="73" customFormat="false" ht="15" hidden="false" customHeight="false" outlineLevel="0" collapsed="false">
      <c r="A73" s="19"/>
      <c r="B73" s="19"/>
      <c r="C73" s="19"/>
      <c r="D73" s="19"/>
      <c r="E73" s="19"/>
      <c r="F73" s="19"/>
      <c r="G73" s="19"/>
      <c r="H73" s="19"/>
      <c r="I73" s="19"/>
      <c r="J73" s="19"/>
      <c r="K73" s="19"/>
      <c r="L73" s="19"/>
      <c r="M73" s="19"/>
      <c r="N73" s="19"/>
      <c r="O73" s="19"/>
      <c r="P73" s="20"/>
      <c r="Q73" s="21" t="str">
        <f aca="true">IF(P73="","",P73-TODAY())</f>
        <v/>
      </c>
      <c r="R73" s="19"/>
      <c r="S73" s="22"/>
      <c r="T73" s="22"/>
      <c r="U73" s="20"/>
      <c r="V73" s="19"/>
    </row>
    <row r="74" customFormat="false" ht="15" hidden="false" customHeight="false" outlineLevel="0" collapsed="false">
      <c r="A74" s="19"/>
      <c r="B74" s="19"/>
      <c r="C74" s="19"/>
      <c r="D74" s="19"/>
      <c r="E74" s="19"/>
      <c r="F74" s="19"/>
      <c r="G74" s="19"/>
      <c r="H74" s="19"/>
      <c r="I74" s="19"/>
      <c r="J74" s="19"/>
      <c r="K74" s="19"/>
      <c r="L74" s="19"/>
      <c r="M74" s="19"/>
      <c r="N74" s="19"/>
      <c r="O74" s="19"/>
      <c r="P74" s="20"/>
      <c r="Q74" s="21" t="str">
        <f aca="true">IF(P74="","",P74-TODAY())</f>
        <v/>
      </c>
      <c r="R74" s="19"/>
      <c r="S74" s="22"/>
      <c r="T74" s="22"/>
      <c r="U74" s="20"/>
      <c r="V74" s="19"/>
    </row>
    <row r="75" customFormat="false" ht="15" hidden="false" customHeight="false" outlineLevel="0" collapsed="false">
      <c r="A75" s="19"/>
      <c r="B75" s="19"/>
      <c r="C75" s="19"/>
      <c r="D75" s="19"/>
      <c r="E75" s="19"/>
      <c r="F75" s="19"/>
      <c r="G75" s="19"/>
      <c r="H75" s="19"/>
      <c r="I75" s="19"/>
      <c r="J75" s="19"/>
      <c r="K75" s="19"/>
      <c r="L75" s="19"/>
      <c r="M75" s="19"/>
      <c r="N75" s="19"/>
      <c r="O75" s="19"/>
      <c r="P75" s="20"/>
      <c r="Q75" s="21" t="str">
        <f aca="true">IF(P75="","",P75-TODAY())</f>
        <v/>
      </c>
      <c r="R75" s="19"/>
      <c r="S75" s="22"/>
      <c r="T75" s="22"/>
      <c r="U75" s="20"/>
      <c r="V75" s="19"/>
    </row>
    <row r="76" customFormat="false" ht="15" hidden="false" customHeight="false" outlineLevel="0" collapsed="false">
      <c r="A76" s="19"/>
      <c r="B76" s="19"/>
      <c r="C76" s="19"/>
      <c r="D76" s="19"/>
      <c r="E76" s="19"/>
      <c r="F76" s="19"/>
      <c r="G76" s="19"/>
      <c r="H76" s="19"/>
      <c r="I76" s="19"/>
      <c r="J76" s="19"/>
      <c r="K76" s="19"/>
      <c r="L76" s="19"/>
      <c r="M76" s="19"/>
      <c r="N76" s="19"/>
      <c r="O76" s="19"/>
      <c r="P76" s="20"/>
      <c r="Q76" s="21" t="str">
        <f aca="true">IF(P76="","",P76-TODAY())</f>
        <v/>
      </c>
      <c r="R76" s="19"/>
      <c r="S76" s="22"/>
      <c r="T76" s="22"/>
      <c r="U76" s="20"/>
      <c r="V76" s="19"/>
    </row>
    <row r="77" customFormat="false" ht="15" hidden="false" customHeight="false" outlineLevel="0" collapsed="false">
      <c r="A77" s="19"/>
      <c r="B77" s="19"/>
      <c r="C77" s="19"/>
      <c r="D77" s="19"/>
      <c r="E77" s="19"/>
      <c r="F77" s="19"/>
      <c r="G77" s="19"/>
      <c r="H77" s="19"/>
      <c r="I77" s="19"/>
      <c r="J77" s="19"/>
      <c r="K77" s="19"/>
      <c r="L77" s="19"/>
      <c r="M77" s="19"/>
      <c r="N77" s="19"/>
      <c r="O77" s="19"/>
      <c r="P77" s="20"/>
      <c r="Q77" s="21" t="str">
        <f aca="true">IF(P77="","",P77-TODAY())</f>
        <v/>
      </c>
      <c r="R77" s="19"/>
      <c r="S77" s="22"/>
      <c r="T77" s="22"/>
      <c r="U77" s="20"/>
      <c r="V77" s="19"/>
    </row>
    <row r="78" customFormat="false" ht="15" hidden="false" customHeight="false" outlineLevel="0" collapsed="false">
      <c r="A78" s="19"/>
      <c r="B78" s="19"/>
      <c r="C78" s="19"/>
      <c r="D78" s="19"/>
      <c r="E78" s="19"/>
      <c r="F78" s="19"/>
      <c r="G78" s="19"/>
      <c r="H78" s="19"/>
      <c r="I78" s="19"/>
      <c r="J78" s="19"/>
      <c r="K78" s="19"/>
      <c r="L78" s="19"/>
      <c r="M78" s="19"/>
      <c r="N78" s="19"/>
      <c r="O78" s="19"/>
      <c r="P78" s="20"/>
      <c r="Q78" s="21" t="str">
        <f aca="true">IF(P78="","",P78-TODAY())</f>
        <v/>
      </c>
      <c r="R78" s="19"/>
      <c r="S78" s="22"/>
      <c r="T78" s="22"/>
      <c r="U78" s="20"/>
      <c r="V78" s="19"/>
    </row>
    <row r="79" customFormat="false" ht="15" hidden="false" customHeight="false" outlineLevel="0" collapsed="false">
      <c r="A79" s="19"/>
      <c r="B79" s="19"/>
      <c r="C79" s="19"/>
      <c r="D79" s="19"/>
      <c r="E79" s="19"/>
      <c r="F79" s="19"/>
      <c r="G79" s="19"/>
      <c r="H79" s="19"/>
      <c r="I79" s="19"/>
      <c r="J79" s="19"/>
      <c r="K79" s="19"/>
      <c r="L79" s="19"/>
      <c r="M79" s="19"/>
      <c r="N79" s="19"/>
      <c r="O79" s="19"/>
      <c r="P79" s="20"/>
      <c r="Q79" s="21" t="str">
        <f aca="true">IF(P79="","",P79-TODAY())</f>
        <v/>
      </c>
      <c r="R79" s="19"/>
      <c r="S79" s="22"/>
      <c r="T79" s="22"/>
      <c r="U79" s="20"/>
      <c r="V79" s="19"/>
    </row>
  </sheetData>
  <autoFilter ref="A4:V79"/>
  <mergeCells count="2">
    <mergeCell ref="A1:V1"/>
    <mergeCell ref="A2:V2"/>
  </mergeCells>
  <conditionalFormatting sqref="E5:E79">
    <cfRule type="cellIs" priority="2" operator="equal" aboveAverage="0" equalAverage="0" bottom="0" percent="0" rank="0" text="" dxfId="11">
      <formula>"Yes, now"</formula>
    </cfRule>
    <cfRule type="cellIs" priority="3" operator="equal" aboveAverage="0" equalAverage="0" bottom="0" percent="0" rank="0" text="" dxfId="12">
      <formula>"No"</formula>
    </cfRule>
  </conditionalFormatting>
  <conditionalFormatting sqref="Q5:Q79">
    <cfRule type="expression" priority="4" aboveAverage="0" equalAverage="0" bottom="0" percent="0" rank="0" text="" dxfId="13">
      <formula>AND(Q5&lt;&gt;"",Q5&lt;=14,O5&lt;&gt;"Submitted",O5&lt;&gt;"Approved",O5&lt;&gt;"Declined")</formula>
    </cfRule>
  </conditionalFormatting>
  <conditionalFormatting sqref="O5:O79">
    <cfRule type="cellIs" priority="5" operator="equal" aboveAverage="0" equalAverage="0" bottom="0" percent="0" rank="0" text="" dxfId="14">
      <formula>"Approved"</formula>
    </cfRule>
  </conditionalFormatting>
  <dataValidations count="4">
    <dataValidation allowBlank="true" errorStyle="stop" operator="between" showDropDown="false" showErrorMessage="false" showInputMessage="false" sqref="O5:O79" type="list">
      <formula1>"Not started,Researching,Planning to apply,Drafting,Submitted,Approved,Declined,Not eligible,Not now,Tell families"</formula1>
      <formula2>0</formula2>
    </dataValidation>
    <dataValidation allowBlank="true" errorStyle="stop" operator="between" showDropDown="false" showErrorMessage="false" showInputMessage="false" sqref="R5:R79" type="list">
      <formula1>"Cody,Kyle"</formula1>
      <formula2>0</formula2>
    </dataValidation>
    <dataValidation allowBlank="true" errorStyle="stop" operator="between" showDropDown="false" showErrorMessage="false" showInputMessage="false" sqref="E5:E79" type="list">
      <formula1>"Yes,now,After nonprofit,After charity,No"</formula1>
      <formula2>0</formula2>
    </dataValidation>
    <dataValidation allowBlank="true" errorStyle="stop" operator="between" showDropDown="false" showErrorMessage="false" showInputMessage="false" sqref="P5:P79 U5:U79" type="dat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80"/>
    <col collapsed="false" customWidth="true" hidden="false" outlineLevel="0" max="3" min="3" style="0" width="40"/>
  </cols>
  <sheetData>
    <row r="1" customFormat="false" ht="30" hidden="false" customHeight="true" outlineLevel="0" collapsed="false">
      <c r="A1" s="1" t="s">
        <v>421</v>
      </c>
      <c r="B1" s="1"/>
      <c r="C1" s="1"/>
    </row>
    <row r="2" customFormat="false" ht="31.5" hidden="false" customHeight="true" outlineLevel="0" collapsed="false">
      <c r="A2" s="2" t="s">
        <v>422</v>
      </c>
      <c r="B2" s="2"/>
      <c r="C2" s="2"/>
    </row>
    <row r="4" customFormat="false" ht="31.5" hidden="false" customHeight="true" outlineLevel="0" collapsed="false">
      <c r="A4" s="15" t="s">
        <v>45</v>
      </c>
      <c r="B4" s="15" t="s">
        <v>423</v>
      </c>
      <c r="C4" s="15" t="s">
        <v>56</v>
      </c>
    </row>
    <row r="5" customFormat="false" ht="75.75" hidden="false" customHeight="true" outlineLevel="0" collapsed="false">
      <c r="A5" s="16" t="s">
        <v>424</v>
      </c>
      <c r="B5" s="17" t="s">
        <v>425</v>
      </c>
      <c r="C5" s="18" t="s">
        <v>426</v>
      </c>
    </row>
    <row r="6" customFormat="false" ht="33.75" hidden="false" customHeight="true" outlineLevel="0" collapsed="false">
      <c r="A6" s="16" t="s">
        <v>427</v>
      </c>
      <c r="B6" s="17" t="s">
        <v>428</v>
      </c>
      <c r="C6" s="18" t="s">
        <v>426</v>
      </c>
    </row>
    <row r="7" customFormat="false" ht="48" hidden="false" customHeight="true" outlineLevel="0" collapsed="false">
      <c r="A7" s="16" t="s">
        <v>429</v>
      </c>
      <c r="B7" s="17" t="s">
        <v>430</v>
      </c>
      <c r="C7" s="18" t="s">
        <v>431</v>
      </c>
    </row>
    <row r="8" customFormat="false" ht="75.75" hidden="false" customHeight="true" outlineLevel="0" collapsed="false">
      <c r="A8" s="16" t="s">
        <v>432</v>
      </c>
      <c r="B8" s="17" t="s">
        <v>433</v>
      </c>
      <c r="C8" s="18" t="s">
        <v>434</v>
      </c>
    </row>
    <row r="9" customFormat="false" ht="33.75" hidden="false" customHeight="true" outlineLevel="0" collapsed="false">
      <c r="A9" s="16" t="s">
        <v>435</v>
      </c>
      <c r="B9" s="17" t="s">
        <v>436</v>
      </c>
      <c r="C9" s="18" t="s">
        <v>437</v>
      </c>
    </row>
    <row r="10" customFormat="false" ht="33.75" hidden="false" customHeight="true" outlineLevel="0" collapsed="false">
      <c r="A10" s="16" t="s">
        <v>438</v>
      </c>
      <c r="B10" s="17" t="s">
        <v>439</v>
      </c>
      <c r="C10" s="18" t="s">
        <v>440</v>
      </c>
    </row>
    <row r="11" customFormat="false" ht="30" hidden="false" customHeight="true" outlineLevel="0" collapsed="false">
      <c r="A11" s="16" t="s">
        <v>441</v>
      </c>
      <c r="B11" s="17" t="s">
        <v>442</v>
      </c>
      <c r="C11" s="18" t="s">
        <v>443</v>
      </c>
    </row>
    <row r="12" customFormat="false" ht="33.75" hidden="false" customHeight="true" outlineLevel="0" collapsed="false">
      <c r="A12" s="16" t="s">
        <v>444</v>
      </c>
      <c r="B12" s="17" t="s">
        <v>445</v>
      </c>
      <c r="C12" s="18" t="s">
        <v>446</v>
      </c>
    </row>
    <row r="13" customFormat="false" ht="30" hidden="false" customHeight="true" outlineLevel="0" collapsed="false">
      <c r="A13" s="16" t="s">
        <v>447</v>
      </c>
      <c r="B13" s="17" t="s">
        <v>448</v>
      </c>
      <c r="C13" s="18" t="s">
        <v>449</v>
      </c>
    </row>
    <row r="14" customFormat="false" ht="48" hidden="false" customHeight="true" outlineLevel="0" collapsed="false">
      <c r="A14" s="16" t="s">
        <v>450</v>
      </c>
      <c r="B14" s="17" t="s">
        <v>451</v>
      </c>
      <c r="C14" s="18" t="s">
        <v>452</v>
      </c>
    </row>
    <row r="15" customFormat="false" ht="48" hidden="false" customHeight="true" outlineLevel="0" collapsed="false">
      <c r="A15" s="16" t="s">
        <v>453</v>
      </c>
      <c r="B15" s="17" t="s">
        <v>454</v>
      </c>
      <c r="C15" s="18" t="s">
        <v>455</v>
      </c>
    </row>
    <row r="16" customFormat="false" ht="48" hidden="false" customHeight="true" outlineLevel="0" collapsed="false">
      <c r="A16" s="16" t="s">
        <v>456</v>
      </c>
      <c r="B16" s="17" t="s">
        <v>457</v>
      </c>
      <c r="C16" s="18" t="s">
        <v>458</v>
      </c>
    </row>
    <row r="17" customFormat="false" ht="48" hidden="false" customHeight="true" outlineLevel="0" collapsed="false">
      <c r="A17" s="16" t="s">
        <v>459</v>
      </c>
      <c r="B17" s="17" t="s">
        <v>460</v>
      </c>
      <c r="C17" s="18" t="s">
        <v>461</v>
      </c>
    </row>
    <row r="18" customFormat="false" ht="48" hidden="false" customHeight="true" outlineLevel="0" collapsed="false">
      <c r="A18" s="16" t="s">
        <v>462</v>
      </c>
      <c r="B18" s="17" t="s">
        <v>463</v>
      </c>
      <c r="C18" s="18" t="s">
        <v>464</v>
      </c>
    </row>
    <row r="19" customFormat="false" ht="33.75" hidden="false" customHeight="true" outlineLevel="0" collapsed="false">
      <c r="A19" s="16" t="s">
        <v>465</v>
      </c>
      <c r="B19" s="17" t="s">
        <v>466</v>
      </c>
      <c r="C19" s="18" t="s">
        <v>467</v>
      </c>
    </row>
    <row r="20" customFormat="false" ht="33.75" hidden="false" customHeight="true" outlineLevel="0" collapsed="false">
      <c r="A20" s="16" t="s">
        <v>468</v>
      </c>
      <c r="B20" s="17" t="s">
        <v>469</v>
      </c>
      <c r="C20" s="18" t="s">
        <v>470</v>
      </c>
    </row>
    <row r="21" customFormat="false" ht="33.75" hidden="false" customHeight="true" outlineLevel="0" collapsed="false">
      <c r="A21" s="16" t="s">
        <v>471</v>
      </c>
      <c r="B21" s="17" t="s">
        <v>472</v>
      </c>
      <c r="C21" s="18" t="s">
        <v>473</v>
      </c>
    </row>
    <row r="22" customFormat="false" ht="30" hidden="false" customHeight="true" outlineLevel="0" collapsed="false">
      <c r="A22" s="16" t="s">
        <v>474</v>
      </c>
      <c r="B22" s="17" t="s">
        <v>475</v>
      </c>
      <c r="C22" s="18" t="s">
        <v>476</v>
      </c>
    </row>
    <row r="23" customFormat="false" ht="48" hidden="false" customHeight="true" outlineLevel="0" collapsed="false">
      <c r="A23" s="16" t="s">
        <v>477</v>
      </c>
      <c r="B23" s="17" t="s">
        <v>478</v>
      </c>
      <c r="C23" s="18" t="s">
        <v>479</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0"/>
    <col collapsed="false" customWidth="true" hidden="false" outlineLevel="0" max="3" min="3" style="0" width="10"/>
  </cols>
  <sheetData>
    <row r="1" customFormat="false" ht="30" hidden="false" customHeight="true" outlineLevel="0" collapsed="false">
      <c r="A1" s="1" t="s">
        <v>480</v>
      </c>
      <c r="B1" s="1"/>
      <c r="C1" s="1"/>
    </row>
    <row r="2" customFormat="false" ht="31.5" hidden="false" customHeight="true" outlineLevel="0" collapsed="false">
      <c r="A2" s="2" t="s">
        <v>481</v>
      </c>
      <c r="B2" s="2"/>
      <c r="C2" s="2"/>
    </row>
    <row r="4" customFormat="false" ht="31.5" hidden="false" customHeight="true" outlineLevel="0" collapsed="false">
      <c r="A4" s="15" t="s">
        <v>482</v>
      </c>
      <c r="B4" s="15" t="s">
        <v>483</v>
      </c>
      <c r="C4" s="15" t="s">
        <v>484</v>
      </c>
    </row>
    <row r="5" customFormat="false" ht="30" hidden="false" customHeight="true" outlineLevel="0" collapsed="false">
      <c r="A5" s="16" t="s">
        <v>485</v>
      </c>
      <c r="B5" s="17" t="s">
        <v>486</v>
      </c>
      <c r="C5" s="19"/>
    </row>
    <row r="6" customFormat="false" ht="30" hidden="false" customHeight="true" outlineLevel="0" collapsed="false">
      <c r="A6" s="16" t="s">
        <v>487</v>
      </c>
      <c r="B6" s="17" t="s">
        <v>488</v>
      </c>
      <c r="C6" s="19"/>
    </row>
    <row r="7" customFormat="false" ht="30" hidden="false" customHeight="true" outlineLevel="0" collapsed="false">
      <c r="A7" s="16" t="s">
        <v>489</v>
      </c>
      <c r="B7" s="17" t="s">
        <v>490</v>
      </c>
      <c r="C7" s="19"/>
    </row>
    <row r="8" customFormat="false" ht="30" hidden="false" customHeight="true" outlineLevel="0" collapsed="false">
      <c r="A8" s="16" t="s">
        <v>491</v>
      </c>
      <c r="B8" s="17" t="s">
        <v>492</v>
      </c>
      <c r="C8" s="19"/>
    </row>
    <row r="9" customFormat="false" ht="30" hidden="false" customHeight="true" outlineLevel="0" collapsed="false">
      <c r="A9" s="16" t="s">
        <v>493</v>
      </c>
      <c r="B9" s="17" t="s">
        <v>494</v>
      </c>
      <c r="C9" s="19"/>
    </row>
    <row r="10" customFormat="false" ht="30" hidden="false" customHeight="true" outlineLevel="0" collapsed="false">
      <c r="A10" s="16" t="s">
        <v>495</v>
      </c>
      <c r="B10" s="17" t="s">
        <v>496</v>
      </c>
      <c r="C10" s="19"/>
    </row>
    <row r="11" customFormat="false" ht="30" hidden="false" customHeight="true" outlineLevel="0" collapsed="false">
      <c r="A11" s="16" t="s">
        <v>497</v>
      </c>
      <c r="B11" s="17" t="s">
        <v>498</v>
      </c>
      <c r="C11" s="19"/>
    </row>
    <row r="12" customFormat="false" ht="30" hidden="false" customHeight="true" outlineLevel="0" collapsed="false">
      <c r="A12" s="16" t="s">
        <v>499</v>
      </c>
      <c r="B12" s="17" t="s">
        <v>500</v>
      </c>
      <c r="C12" s="19"/>
    </row>
    <row r="13" customFormat="false" ht="30" hidden="false" customHeight="true" outlineLevel="0" collapsed="false">
      <c r="A13" s="16" t="s">
        <v>501</v>
      </c>
      <c r="B13" s="17" t="s">
        <v>502</v>
      </c>
      <c r="C13" s="19"/>
    </row>
    <row r="14" customFormat="false" ht="30" hidden="false" customHeight="true" outlineLevel="0" collapsed="false">
      <c r="A14" s="16" t="s">
        <v>503</v>
      </c>
      <c r="B14" s="17" t="s">
        <v>504</v>
      </c>
      <c r="C14" s="19"/>
    </row>
    <row r="15" customFormat="false" ht="30" hidden="false" customHeight="true" outlineLevel="0" collapsed="false">
      <c r="A15" s="16" t="s">
        <v>505</v>
      </c>
      <c r="B15" s="17" t="s">
        <v>506</v>
      </c>
      <c r="C15" s="19"/>
    </row>
    <row r="17" customFormat="false" ht="15" hidden="false" customHeight="false" outlineLevel="0" collapsed="false">
      <c r="A17" s="6" t="s">
        <v>507</v>
      </c>
    </row>
    <row r="18" customFormat="false" ht="87.75" hidden="false" customHeight="true" outlineLevel="0" collapsed="false">
      <c r="A18" s="8" t="s">
        <v>508</v>
      </c>
      <c r="B18" s="5" t="s">
        <v>509</v>
      </c>
    </row>
    <row r="19" customFormat="false" ht="87.75" hidden="false" customHeight="true" outlineLevel="0" collapsed="false">
      <c r="A19" s="8" t="s">
        <v>508</v>
      </c>
      <c r="B19" s="5" t="s">
        <v>510</v>
      </c>
    </row>
    <row r="20" customFormat="false" ht="60" hidden="false" customHeight="true" outlineLevel="0" collapsed="false">
      <c r="A20" s="8" t="s">
        <v>508</v>
      </c>
      <c r="B20" s="5" t="s">
        <v>511</v>
      </c>
    </row>
    <row r="21" customFormat="false" ht="60" hidden="false" customHeight="true" outlineLevel="0" collapsed="false">
      <c r="A21" s="8" t="s">
        <v>508</v>
      </c>
      <c r="B21" s="5" t="s">
        <v>512</v>
      </c>
    </row>
    <row r="22" customFormat="false" ht="87.75" hidden="false" customHeight="true" outlineLevel="0" collapsed="false">
      <c r="A22" s="8" t="s">
        <v>508</v>
      </c>
      <c r="B22" s="5" t="s">
        <v>513</v>
      </c>
    </row>
    <row r="23" customFormat="false" ht="60" hidden="false" customHeight="true" outlineLevel="0" collapsed="false">
      <c r="A23" s="8" t="s">
        <v>508</v>
      </c>
      <c r="B23" s="5" t="s">
        <v>514</v>
      </c>
    </row>
    <row r="24" customFormat="false" ht="73.5" hidden="false" customHeight="true" outlineLevel="0" collapsed="false">
      <c r="A24" s="8" t="s">
        <v>508</v>
      </c>
      <c r="B24" s="5" t="s">
        <v>515</v>
      </c>
    </row>
    <row r="25" customFormat="false" ht="60" hidden="false" customHeight="true" outlineLevel="0" collapsed="false">
      <c r="A25" s="8" t="s">
        <v>508</v>
      </c>
      <c r="B25" s="5" t="s">
        <v>516</v>
      </c>
    </row>
    <row r="26" customFormat="false" ht="60" hidden="false" customHeight="true" outlineLevel="0" collapsed="false">
      <c r="A26" s="8" t="s">
        <v>508</v>
      </c>
      <c r="B26" s="5" t="s">
        <v>517</v>
      </c>
    </row>
    <row r="27" customFormat="false" ht="73.5" hidden="false" customHeight="true" outlineLevel="0" collapsed="false">
      <c r="A27" s="8" t="s">
        <v>508</v>
      </c>
      <c r="B27" s="5" t="s">
        <v>518</v>
      </c>
    </row>
    <row r="28" customFormat="false" ht="60" hidden="false" customHeight="true" outlineLevel="0" collapsed="false">
      <c r="A28" s="8" t="s">
        <v>508</v>
      </c>
      <c r="B28" s="5" t="s">
        <v>519</v>
      </c>
    </row>
    <row r="29" customFormat="false" ht="45.75" hidden="false" customHeight="true" outlineLevel="0" collapsed="false">
      <c r="A29" s="8" t="s">
        <v>508</v>
      </c>
      <c r="B29" s="5" t="s">
        <v>520</v>
      </c>
    </row>
    <row r="30" customFormat="false" ht="45.75" hidden="false" customHeight="true" outlineLevel="0" collapsed="false">
      <c r="A30" s="8" t="s">
        <v>508</v>
      </c>
      <c r="B30" s="5" t="s">
        <v>521</v>
      </c>
    </row>
    <row r="31" customFormat="false" ht="60" hidden="false" customHeight="true" outlineLevel="0" collapsed="false">
      <c r="A31" s="8" t="s">
        <v>508</v>
      </c>
      <c r="B31" s="5" t="s">
        <v>522</v>
      </c>
    </row>
    <row r="32" customFormat="false" ht="45.75" hidden="false" customHeight="true" outlineLevel="0" collapsed="false">
      <c r="A32" s="8" t="s">
        <v>508</v>
      </c>
      <c r="B32" s="5" t="s">
        <v>523</v>
      </c>
    </row>
    <row r="33" customFormat="false" ht="45.75" hidden="false" customHeight="true" outlineLevel="0" collapsed="false">
      <c r="A33" s="8" t="s">
        <v>508</v>
      </c>
      <c r="B33" s="5" t="s">
        <v>524</v>
      </c>
    </row>
  </sheetData>
  <mergeCells count="2">
    <mergeCell ref="A1:C1"/>
    <mergeCell ref="A2:C2"/>
  </mergeCells>
  <dataValidations count="1">
    <dataValidation allowBlank="true" errorStyle="stop" operator="between" showDropDown="false" showErrorMessage="false" showInputMessage="false" sqref="C5:C15" type="list">
      <formula1>"Yes,No,Not needed"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70"/>
  </cols>
  <sheetData>
    <row r="1" customFormat="false" ht="30" hidden="false" customHeight="true" outlineLevel="0" collapsed="false">
      <c r="A1" s="1" t="s">
        <v>525</v>
      </c>
      <c r="B1" s="1"/>
    </row>
    <row r="2" customFormat="false" ht="31.5" hidden="false" customHeight="true" outlineLevel="0" collapsed="false">
      <c r="A2" s="2" t="s">
        <v>526</v>
      </c>
      <c r="B2" s="2"/>
    </row>
    <row r="4" customFormat="false" ht="31.5" hidden="false" customHeight="true" outlineLevel="0" collapsed="false">
      <c r="A4" s="15" t="s">
        <v>527</v>
      </c>
      <c r="B4" s="15" t="s">
        <v>528</v>
      </c>
    </row>
    <row r="5" customFormat="false" ht="15" hidden="false" customHeight="false" outlineLevel="0" collapsed="false">
      <c r="A5" s="23" t="s">
        <v>529</v>
      </c>
    </row>
    <row r="6" customFormat="false" ht="18" hidden="false" customHeight="true" outlineLevel="0" collapsed="false">
      <c r="A6" s="17" t="s">
        <v>530</v>
      </c>
      <c r="B6" s="19" t="s">
        <v>531</v>
      </c>
    </row>
    <row r="7" customFormat="false" ht="18" hidden="false" customHeight="true" outlineLevel="0" collapsed="false">
      <c r="A7" s="17" t="s">
        <v>532</v>
      </c>
      <c r="B7" s="19" t="s">
        <v>533</v>
      </c>
    </row>
    <row r="8" customFormat="false" ht="31.5" hidden="false" customHeight="true" outlineLevel="0" collapsed="false">
      <c r="A8" s="17" t="s">
        <v>534</v>
      </c>
      <c r="B8" s="19" t="s">
        <v>535</v>
      </c>
    </row>
    <row r="9" customFormat="false" ht="31.5" hidden="false" customHeight="true" outlineLevel="0" collapsed="false">
      <c r="A9" s="17" t="s">
        <v>536</v>
      </c>
      <c r="B9" s="19" t="s">
        <v>537</v>
      </c>
    </row>
    <row r="10" customFormat="false" ht="18" hidden="false" customHeight="true" outlineLevel="0" collapsed="false">
      <c r="A10" s="17" t="s">
        <v>538</v>
      </c>
      <c r="B10" s="19" t="s">
        <v>539</v>
      </c>
    </row>
    <row r="11" customFormat="false" ht="18" hidden="false" customHeight="true" outlineLevel="0" collapsed="false">
      <c r="A11" s="17" t="s">
        <v>540</v>
      </c>
      <c r="B11" s="19" t="s">
        <v>541</v>
      </c>
    </row>
    <row r="12" customFormat="false" ht="18" hidden="false" customHeight="true" outlineLevel="0" collapsed="false">
      <c r="A12" s="17" t="s">
        <v>542</v>
      </c>
      <c r="B12" s="19" t="s">
        <v>543</v>
      </c>
    </row>
    <row r="13" customFormat="false" ht="18" hidden="false" customHeight="true" outlineLevel="0" collapsed="false">
      <c r="A13" s="17" t="s">
        <v>544</v>
      </c>
      <c r="B13" s="19" t="s">
        <v>545</v>
      </c>
    </row>
    <row r="14" customFormat="false" ht="18" hidden="false" customHeight="true" outlineLevel="0" collapsed="false">
      <c r="A14" s="17" t="s">
        <v>546</v>
      </c>
      <c r="B14" s="19" t="s">
        <v>547</v>
      </c>
    </row>
    <row r="15" customFormat="false" ht="31.5" hidden="false" customHeight="true" outlineLevel="0" collapsed="false">
      <c r="A15" s="17" t="s">
        <v>548</v>
      </c>
      <c r="B15" s="19" t="s">
        <v>549</v>
      </c>
    </row>
    <row r="16" customFormat="false" ht="31.5" hidden="false" customHeight="true" outlineLevel="0" collapsed="false">
      <c r="A16" s="17" t="s">
        <v>550</v>
      </c>
      <c r="B16" s="19" t="s">
        <v>551</v>
      </c>
    </row>
    <row r="17" customFormat="false" ht="18" hidden="false" customHeight="true" outlineLevel="0" collapsed="false">
      <c r="A17" s="17" t="s">
        <v>552</v>
      </c>
      <c r="B17" s="19" t="s">
        <v>553</v>
      </c>
    </row>
    <row r="18" customFormat="false" ht="31.5" hidden="false" customHeight="true" outlineLevel="0" collapsed="false">
      <c r="A18" s="17" t="s">
        <v>554</v>
      </c>
      <c r="B18" s="19" t="s">
        <v>555</v>
      </c>
    </row>
    <row r="20" customFormat="false" ht="15" hidden="false" customHeight="false" outlineLevel="0" collapsed="false">
      <c r="A20" s="23" t="s">
        <v>556</v>
      </c>
    </row>
    <row r="21" customFormat="false" ht="31.5" hidden="false" customHeight="true" outlineLevel="0" collapsed="false">
      <c r="A21" s="17" t="s">
        <v>557</v>
      </c>
      <c r="B21" s="19"/>
    </row>
    <row r="22" customFormat="false" ht="45.75" hidden="false" customHeight="true" outlineLevel="0" collapsed="false">
      <c r="A22" s="17" t="s">
        <v>558</v>
      </c>
      <c r="B22" s="19"/>
    </row>
    <row r="23" customFormat="false" ht="31.5" hidden="false" customHeight="true" outlineLevel="0" collapsed="false">
      <c r="A23" s="17" t="s">
        <v>559</v>
      </c>
      <c r="B23" s="19"/>
    </row>
    <row r="24" customFormat="false" ht="31.5" hidden="false" customHeight="true" outlineLevel="0" collapsed="false">
      <c r="A24" s="17" t="s">
        <v>560</v>
      </c>
      <c r="B24" s="19"/>
    </row>
    <row r="25" customFormat="false" ht="31.5" hidden="false" customHeight="true" outlineLevel="0" collapsed="false">
      <c r="A25" s="17" t="s">
        <v>561</v>
      </c>
      <c r="B25" s="19"/>
    </row>
    <row r="27" customFormat="false" ht="15" hidden="false" customHeight="false" outlineLevel="0" collapsed="false">
      <c r="A27" s="23" t="s">
        <v>562</v>
      </c>
    </row>
    <row r="28" customFormat="false" ht="18" hidden="false" customHeight="true" outlineLevel="0" collapsed="false">
      <c r="A28" s="17" t="s">
        <v>563</v>
      </c>
      <c r="B28" s="17"/>
    </row>
    <row r="29" customFormat="false" ht="18" hidden="false" customHeight="true" outlineLevel="0" collapsed="false">
      <c r="A29" s="17" t="s">
        <v>564</v>
      </c>
      <c r="B29" s="17"/>
    </row>
    <row r="30" customFormat="false" ht="18" hidden="false" customHeight="true" outlineLevel="0" collapsed="false">
      <c r="A30" s="17" t="s">
        <v>565</v>
      </c>
      <c r="B30" s="17"/>
    </row>
    <row r="31" customFormat="false" ht="18" hidden="false" customHeight="true" outlineLevel="0" collapsed="false">
      <c r="A31" s="17" t="s">
        <v>566</v>
      </c>
      <c r="B31" s="17"/>
    </row>
    <row r="32" customFormat="false" ht="18" hidden="false" customHeight="true" outlineLevel="0" collapsed="false">
      <c r="A32" s="17" t="s">
        <v>567</v>
      </c>
      <c r="B32" s="17"/>
    </row>
    <row r="33" customFormat="false" ht="18" hidden="false" customHeight="true" outlineLevel="0" collapsed="false">
      <c r="A33" s="17" t="s">
        <v>568</v>
      </c>
      <c r="B33" s="17"/>
    </row>
    <row r="34" customFormat="false" ht="31.5" hidden="false" customHeight="true" outlineLevel="0" collapsed="false">
      <c r="A34" s="17" t="s">
        <v>569</v>
      </c>
      <c r="B34" s="17"/>
    </row>
    <row r="35" customFormat="false" ht="18" hidden="false" customHeight="true" outlineLevel="0" collapsed="false">
      <c r="A35" s="17" t="s">
        <v>570</v>
      </c>
      <c r="B35" s="17"/>
    </row>
    <row r="36" customFormat="false" ht="18" hidden="false" customHeight="true" outlineLevel="0" collapsed="false">
      <c r="A36" s="17" t="s">
        <v>571</v>
      </c>
      <c r="B36" s="17"/>
    </row>
    <row r="37" customFormat="false" ht="18" hidden="false" customHeight="true" outlineLevel="0" collapsed="false">
      <c r="A37" s="17" t="s">
        <v>572</v>
      </c>
      <c r="B37" s="17"/>
    </row>
    <row r="38" customFormat="false" ht="18" hidden="false" customHeight="true" outlineLevel="0" collapsed="false">
      <c r="A38" s="17" t="s">
        <v>573</v>
      </c>
      <c r="B38" s="17"/>
    </row>
  </sheetData>
  <mergeCells count="13">
    <mergeCell ref="A1:B1"/>
    <mergeCell ref="A2:B2"/>
    <mergeCell ref="A28:B28"/>
    <mergeCell ref="A29:B29"/>
    <mergeCell ref="A30:B30"/>
    <mergeCell ref="A31:B31"/>
    <mergeCell ref="A32:B32"/>
    <mergeCell ref="A33:B33"/>
    <mergeCell ref="A34:B34"/>
    <mergeCell ref="A35:B35"/>
    <mergeCell ref="A36:B36"/>
    <mergeCell ref="A37:B37"/>
    <mergeCell ref="A38:B3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2026-10-27T21:42:32Z</dcterms:created>
  <dc:creator>openpyxl</dc:creator>
  <dc:description/>
  <dc:language>en-US</dc:language>
  <cp:lastModifiedBy/>
  <dcterms:modified xsi:type="dcterms:W3CDTF">2026-10-27T21:42:32Z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